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 1" sheetId="1" state="visible" r:id="rId1"/>
    <sheet name="List 2" sheetId="2" state="visible" r:id="rId2"/>
    <sheet name="Comparison" sheetId="3" state="visible" r:id="rId3"/>
    <sheet name="Calc" sheetId="4" state="hidden" r:id="rId4"/>
  </sheets>
  <definedNames>
    <definedName name="_xlnm._FilterDatabase" localSheetId="2" hidden="1">'Comparison'!$A$1:$G$1001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Item #</t>
        </is>
      </c>
      <c r="B1" s="1" t="inlineStr">
        <is>
          <t>Quantity</t>
        </is>
      </c>
      <c r="C1" s="1" t="inlineStr">
        <is>
          <t>Part #</t>
        </is>
      </c>
      <c r="D1" s="1" t="inlineStr">
        <is>
          <t>Part 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Item #</t>
        </is>
      </c>
      <c r="B1" s="1" t="inlineStr">
        <is>
          <t>Quantity</t>
        </is>
      </c>
      <c r="C1" s="1" t="inlineStr">
        <is>
          <t>Part #</t>
        </is>
      </c>
      <c r="D1" s="1" t="inlineStr">
        <is>
          <t>Part 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1" customWidth="1" min="4" max="4"/>
    <col width="11" customWidth="1" min="5" max="5"/>
    <col width="20" customWidth="1" min="6" max="6"/>
    <col width="16" customWidth="1" min="7" max="7"/>
    <col width="3" customWidth="1" min="8" max="8"/>
    <col width="16" customWidth="1" min="9" max="9"/>
    <col width="8" customWidth="1" min="10" max="10"/>
  </cols>
  <sheetData>
    <row r="1">
      <c r="A1" s="2" t="inlineStr">
        <is>
          <t>Item #</t>
        </is>
      </c>
      <c r="B1" s="2" t="inlineStr">
        <is>
          <t>Part #</t>
        </is>
      </c>
      <c r="C1" s="2" t="inlineStr">
        <is>
          <t>Part Description</t>
        </is>
      </c>
      <c r="D1" s="2" t="inlineStr">
        <is>
          <t>Qty List 1</t>
        </is>
      </c>
      <c r="E1" s="2" t="inlineStr">
        <is>
          <t>Qty List 2</t>
        </is>
      </c>
      <c r="F1" s="2" t="inlineStr">
        <is>
          <t>Difference (L2 - L1)</t>
        </is>
      </c>
      <c r="G1" s="2" t="inlineStr">
        <is>
          <t>Status</t>
        </is>
      </c>
      <c r="I1" s="1" t="inlineStr">
        <is>
          <t>Summary</t>
        </is>
      </c>
      <c r="J1" s="1" t="inlineStr">
        <is>
          <t>Count</t>
        </is>
      </c>
    </row>
    <row r="2">
      <c r="A2">
        <f>IFERROR(INDEX(Calc!$L$2:$L$1001,MATCH(ROW()-1,Calc!$X$2:$X$1001,0)),"")</f>
        <v/>
      </c>
      <c r="B2">
        <f>IFERROR(INDEX(Calc!$M$2:$M$1001,MATCH(ROW()-1,Calc!$X$2:$X$1001,0)),"")</f>
        <v/>
      </c>
      <c r="C2">
        <f>IFERROR(INDEX(Calc!$N$2:$N$1001,MATCH(ROW()-1,Calc!$X$2:$X$1001,0)),"")</f>
        <v/>
      </c>
      <c r="D2" s="3">
        <f>IFERROR(INDEX(Calc!$O$2:$O$1001,MATCH(ROW()-1,Calc!$X$2:$X$1001,0)),"")</f>
        <v/>
      </c>
      <c r="E2" s="3">
        <f>IFERROR(INDEX(Calc!$P$2:$P$1001,MATCH(ROW()-1,Calc!$X$2:$X$1001,0)),"")</f>
        <v/>
      </c>
      <c r="F2" s="3">
        <f>IF(G2="","",E2-D2)</f>
        <v/>
      </c>
      <c r="G2">
        <f>IFERROR(INDEX(Calc!$S$2:$S$1001,MATCH(ROW()-1,Calc!$X$2:$X$1001,0)),"")</f>
        <v/>
      </c>
      <c r="I2" s="4" t="inlineStr">
        <is>
          <t>Match</t>
        </is>
      </c>
      <c r="J2" s="4">
        <f>COUNTIF($G$2:$G$1001,I2)</f>
        <v/>
      </c>
    </row>
    <row r="3">
      <c r="A3">
        <f>IFERROR(INDEX(Calc!$L$2:$L$1001,MATCH(ROW()-1,Calc!$X$2:$X$1001,0)),"")</f>
        <v/>
      </c>
      <c r="B3">
        <f>IFERROR(INDEX(Calc!$M$2:$M$1001,MATCH(ROW()-1,Calc!$X$2:$X$1001,0)),"")</f>
        <v/>
      </c>
      <c r="C3">
        <f>IFERROR(INDEX(Calc!$N$2:$N$1001,MATCH(ROW()-1,Calc!$X$2:$X$1001,0)),"")</f>
        <v/>
      </c>
      <c r="D3" s="3">
        <f>IFERROR(INDEX(Calc!$O$2:$O$1001,MATCH(ROW()-1,Calc!$X$2:$X$1001,0)),"")</f>
        <v/>
      </c>
      <c r="E3" s="3">
        <f>IFERROR(INDEX(Calc!$P$2:$P$1001,MATCH(ROW()-1,Calc!$X$2:$X$1001,0)),"")</f>
        <v/>
      </c>
      <c r="F3" s="3">
        <f>IF(G3="","",E3-D3)</f>
        <v/>
      </c>
      <c r="G3">
        <f>IFERROR(INDEX(Calc!$S$2:$S$1001,MATCH(ROW()-1,Calc!$X$2:$X$1001,0)),"")</f>
        <v/>
      </c>
      <c r="I3" s="5" t="inlineStr">
        <is>
          <t>Qty Different</t>
        </is>
      </c>
      <c r="J3" s="5">
        <f>COUNTIF($G$2:$G$1001,I3)</f>
        <v/>
      </c>
    </row>
    <row r="4">
      <c r="A4">
        <f>IFERROR(INDEX(Calc!$L$2:$L$1001,MATCH(ROW()-1,Calc!$X$2:$X$1001,0)),"")</f>
        <v/>
      </c>
      <c r="B4">
        <f>IFERROR(INDEX(Calc!$M$2:$M$1001,MATCH(ROW()-1,Calc!$X$2:$X$1001,0)),"")</f>
        <v/>
      </c>
      <c r="C4">
        <f>IFERROR(INDEX(Calc!$N$2:$N$1001,MATCH(ROW()-1,Calc!$X$2:$X$1001,0)),"")</f>
        <v/>
      </c>
      <c r="D4" s="3">
        <f>IFERROR(INDEX(Calc!$O$2:$O$1001,MATCH(ROW()-1,Calc!$X$2:$X$1001,0)),"")</f>
        <v/>
      </c>
      <c r="E4" s="3">
        <f>IFERROR(INDEX(Calc!$P$2:$P$1001,MATCH(ROW()-1,Calc!$X$2:$X$1001,0)),"")</f>
        <v/>
      </c>
      <c r="F4" s="3">
        <f>IF(G4="","",E4-D4)</f>
        <v/>
      </c>
      <c r="G4">
        <f>IFERROR(INDEX(Calc!$S$2:$S$1001,MATCH(ROW()-1,Calc!$X$2:$X$1001,0)),"")</f>
        <v/>
      </c>
      <c r="I4" s="6" t="inlineStr">
        <is>
          <t>Only in List 1</t>
        </is>
      </c>
      <c r="J4" s="6">
        <f>COUNTIF($G$2:$G$1001,I4)</f>
        <v/>
      </c>
    </row>
    <row r="5">
      <c r="A5">
        <f>IFERROR(INDEX(Calc!$L$2:$L$1001,MATCH(ROW()-1,Calc!$X$2:$X$1001,0)),"")</f>
        <v/>
      </c>
      <c r="B5">
        <f>IFERROR(INDEX(Calc!$M$2:$M$1001,MATCH(ROW()-1,Calc!$X$2:$X$1001,0)),"")</f>
        <v/>
      </c>
      <c r="C5">
        <f>IFERROR(INDEX(Calc!$N$2:$N$1001,MATCH(ROW()-1,Calc!$X$2:$X$1001,0)),"")</f>
        <v/>
      </c>
      <c r="D5" s="3">
        <f>IFERROR(INDEX(Calc!$O$2:$O$1001,MATCH(ROW()-1,Calc!$X$2:$X$1001,0)),"")</f>
        <v/>
      </c>
      <c r="E5" s="3">
        <f>IFERROR(INDEX(Calc!$P$2:$P$1001,MATCH(ROW()-1,Calc!$X$2:$X$1001,0)),"")</f>
        <v/>
      </c>
      <c r="F5" s="3">
        <f>IF(G5="","",E5-D5)</f>
        <v/>
      </c>
      <c r="G5">
        <f>IFERROR(INDEX(Calc!$S$2:$S$1001,MATCH(ROW()-1,Calc!$X$2:$X$1001,0)),"")</f>
        <v/>
      </c>
      <c r="I5" s="7" t="inlineStr">
        <is>
          <t>Only in List 2</t>
        </is>
      </c>
      <c r="J5" s="7">
        <f>COUNTIF($G$2:$G$1001,I5)</f>
        <v/>
      </c>
    </row>
    <row r="6">
      <c r="A6">
        <f>IFERROR(INDEX(Calc!$L$2:$L$1001,MATCH(ROW()-1,Calc!$X$2:$X$1001,0)),"")</f>
        <v/>
      </c>
      <c r="B6">
        <f>IFERROR(INDEX(Calc!$M$2:$M$1001,MATCH(ROW()-1,Calc!$X$2:$X$1001,0)),"")</f>
        <v/>
      </c>
      <c r="C6">
        <f>IFERROR(INDEX(Calc!$N$2:$N$1001,MATCH(ROW()-1,Calc!$X$2:$X$1001,0)),"")</f>
        <v/>
      </c>
      <c r="D6" s="3">
        <f>IFERROR(INDEX(Calc!$O$2:$O$1001,MATCH(ROW()-1,Calc!$X$2:$X$1001,0)),"")</f>
        <v/>
      </c>
      <c r="E6" s="3">
        <f>IFERROR(INDEX(Calc!$P$2:$P$1001,MATCH(ROW()-1,Calc!$X$2:$X$1001,0)),"")</f>
        <v/>
      </c>
      <c r="F6" s="3">
        <f>IF(G6="","",E6-D6)</f>
        <v/>
      </c>
      <c r="G6">
        <f>IFERROR(INDEX(Calc!$S$2:$S$1001,MATCH(ROW()-1,Calc!$X$2:$X$1001,0)),"")</f>
        <v/>
      </c>
      <c r="I6" s="1" t="inlineStr">
        <is>
          <t>Total</t>
        </is>
      </c>
      <c r="J6" s="1">
        <f>SUM(J2:J5)</f>
        <v/>
      </c>
    </row>
    <row r="7">
      <c r="A7">
        <f>IFERROR(INDEX(Calc!$L$2:$L$1001,MATCH(ROW()-1,Calc!$X$2:$X$1001,0)),"")</f>
        <v/>
      </c>
      <c r="B7">
        <f>IFERROR(INDEX(Calc!$M$2:$M$1001,MATCH(ROW()-1,Calc!$X$2:$X$1001,0)),"")</f>
        <v/>
      </c>
      <c r="C7">
        <f>IFERROR(INDEX(Calc!$N$2:$N$1001,MATCH(ROW()-1,Calc!$X$2:$X$1001,0)),"")</f>
        <v/>
      </c>
      <c r="D7" s="3">
        <f>IFERROR(INDEX(Calc!$O$2:$O$1001,MATCH(ROW()-1,Calc!$X$2:$X$1001,0)),"")</f>
        <v/>
      </c>
      <c r="E7" s="3">
        <f>IFERROR(INDEX(Calc!$P$2:$P$1001,MATCH(ROW()-1,Calc!$X$2:$X$1001,0)),"")</f>
        <v/>
      </c>
      <c r="F7" s="3">
        <f>IF(G7="","",E7-D7)</f>
        <v/>
      </c>
      <c r="G7">
        <f>IFERROR(INDEX(Calc!$S$2:$S$1001,MATCH(ROW()-1,Calc!$X$2:$X$1001,0)),"")</f>
        <v/>
      </c>
    </row>
    <row r="8">
      <c r="A8">
        <f>IFERROR(INDEX(Calc!$L$2:$L$1001,MATCH(ROW()-1,Calc!$X$2:$X$1001,0)),"")</f>
        <v/>
      </c>
      <c r="B8">
        <f>IFERROR(INDEX(Calc!$M$2:$M$1001,MATCH(ROW()-1,Calc!$X$2:$X$1001,0)),"")</f>
        <v/>
      </c>
      <c r="C8">
        <f>IFERROR(INDEX(Calc!$N$2:$N$1001,MATCH(ROW()-1,Calc!$X$2:$X$1001,0)),"")</f>
        <v/>
      </c>
      <c r="D8" s="3">
        <f>IFERROR(INDEX(Calc!$O$2:$O$1001,MATCH(ROW()-1,Calc!$X$2:$X$1001,0)),"")</f>
        <v/>
      </c>
      <c r="E8" s="3">
        <f>IFERROR(INDEX(Calc!$P$2:$P$1001,MATCH(ROW()-1,Calc!$X$2:$X$1001,0)),"")</f>
        <v/>
      </c>
      <c r="F8" s="3">
        <f>IF(G8="","",E8-D8)</f>
        <v/>
      </c>
      <c r="G8">
        <f>IFERROR(INDEX(Calc!$S$2:$S$1001,MATCH(ROW()-1,Calc!$X$2:$X$1001,0)),"")</f>
        <v/>
      </c>
    </row>
    <row r="9">
      <c r="A9">
        <f>IFERROR(INDEX(Calc!$L$2:$L$1001,MATCH(ROW()-1,Calc!$X$2:$X$1001,0)),"")</f>
        <v/>
      </c>
      <c r="B9">
        <f>IFERROR(INDEX(Calc!$M$2:$M$1001,MATCH(ROW()-1,Calc!$X$2:$X$1001,0)),"")</f>
        <v/>
      </c>
      <c r="C9">
        <f>IFERROR(INDEX(Calc!$N$2:$N$1001,MATCH(ROW()-1,Calc!$X$2:$X$1001,0)),"")</f>
        <v/>
      </c>
      <c r="D9" s="3">
        <f>IFERROR(INDEX(Calc!$O$2:$O$1001,MATCH(ROW()-1,Calc!$X$2:$X$1001,0)),"")</f>
        <v/>
      </c>
      <c r="E9" s="3">
        <f>IFERROR(INDEX(Calc!$P$2:$P$1001,MATCH(ROW()-1,Calc!$X$2:$X$1001,0)),"")</f>
        <v/>
      </c>
      <c r="F9" s="3">
        <f>IF(G9="","",E9-D9)</f>
        <v/>
      </c>
      <c r="G9">
        <f>IFERROR(INDEX(Calc!$S$2:$S$1001,MATCH(ROW()-1,Calc!$X$2:$X$1001,0)),"")</f>
        <v/>
      </c>
    </row>
    <row r="10">
      <c r="A10">
        <f>IFERROR(INDEX(Calc!$L$2:$L$1001,MATCH(ROW()-1,Calc!$X$2:$X$1001,0)),"")</f>
        <v/>
      </c>
      <c r="B10">
        <f>IFERROR(INDEX(Calc!$M$2:$M$1001,MATCH(ROW()-1,Calc!$X$2:$X$1001,0)),"")</f>
        <v/>
      </c>
      <c r="C10">
        <f>IFERROR(INDEX(Calc!$N$2:$N$1001,MATCH(ROW()-1,Calc!$X$2:$X$1001,0)),"")</f>
        <v/>
      </c>
      <c r="D10" s="3">
        <f>IFERROR(INDEX(Calc!$O$2:$O$1001,MATCH(ROW()-1,Calc!$X$2:$X$1001,0)),"")</f>
        <v/>
      </c>
      <c r="E10" s="3">
        <f>IFERROR(INDEX(Calc!$P$2:$P$1001,MATCH(ROW()-1,Calc!$X$2:$X$1001,0)),"")</f>
        <v/>
      </c>
      <c r="F10" s="3">
        <f>IF(G10="","",E10-D10)</f>
        <v/>
      </c>
      <c r="G10">
        <f>IFERROR(INDEX(Calc!$S$2:$S$1001,MATCH(ROW()-1,Calc!$X$2:$X$1001,0)),"")</f>
        <v/>
      </c>
    </row>
    <row r="11">
      <c r="A11">
        <f>IFERROR(INDEX(Calc!$L$2:$L$1001,MATCH(ROW()-1,Calc!$X$2:$X$1001,0)),"")</f>
        <v/>
      </c>
      <c r="B11">
        <f>IFERROR(INDEX(Calc!$M$2:$M$1001,MATCH(ROW()-1,Calc!$X$2:$X$1001,0)),"")</f>
        <v/>
      </c>
      <c r="C11">
        <f>IFERROR(INDEX(Calc!$N$2:$N$1001,MATCH(ROW()-1,Calc!$X$2:$X$1001,0)),"")</f>
        <v/>
      </c>
      <c r="D11" s="3">
        <f>IFERROR(INDEX(Calc!$O$2:$O$1001,MATCH(ROW()-1,Calc!$X$2:$X$1001,0)),"")</f>
        <v/>
      </c>
      <c r="E11" s="3">
        <f>IFERROR(INDEX(Calc!$P$2:$P$1001,MATCH(ROW()-1,Calc!$X$2:$X$1001,0)),"")</f>
        <v/>
      </c>
      <c r="F11" s="3">
        <f>IF(G11="","",E11-D11)</f>
        <v/>
      </c>
      <c r="G11">
        <f>IFERROR(INDEX(Calc!$S$2:$S$1001,MATCH(ROW()-1,Calc!$X$2:$X$1001,0)),"")</f>
        <v/>
      </c>
    </row>
    <row r="12">
      <c r="A12">
        <f>IFERROR(INDEX(Calc!$L$2:$L$1001,MATCH(ROW()-1,Calc!$X$2:$X$1001,0)),"")</f>
        <v/>
      </c>
      <c r="B12">
        <f>IFERROR(INDEX(Calc!$M$2:$M$1001,MATCH(ROW()-1,Calc!$X$2:$X$1001,0)),"")</f>
        <v/>
      </c>
      <c r="C12">
        <f>IFERROR(INDEX(Calc!$N$2:$N$1001,MATCH(ROW()-1,Calc!$X$2:$X$1001,0)),"")</f>
        <v/>
      </c>
      <c r="D12" s="3">
        <f>IFERROR(INDEX(Calc!$O$2:$O$1001,MATCH(ROW()-1,Calc!$X$2:$X$1001,0)),"")</f>
        <v/>
      </c>
      <c r="E12" s="3">
        <f>IFERROR(INDEX(Calc!$P$2:$P$1001,MATCH(ROW()-1,Calc!$X$2:$X$1001,0)),"")</f>
        <v/>
      </c>
      <c r="F12" s="3">
        <f>IF(G12="","",E12-D12)</f>
        <v/>
      </c>
      <c r="G12">
        <f>IFERROR(INDEX(Calc!$S$2:$S$1001,MATCH(ROW()-1,Calc!$X$2:$X$1001,0)),"")</f>
        <v/>
      </c>
    </row>
    <row r="13">
      <c r="A13">
        <f>IFERROR(INDEX(Calc!$L$2:$L$1001,MATCH(ROW()-1,Calc!$X$2:$X$1001,0)),"")</f>
        <v/>
      </c>
      <c r="B13">
        <f>IFERROR(INDEX(Calc!$M$2:$M$1001,MATCH(ROW()-1,Calc!$X$2:$X$1001,0)),"")</f>
        <v/>
      </c>
      <c r="C13">
        <f>IFERROR(INDEX(Calc!$N$2:$N$1001,MATCH(ROW()-1,Calc!$X$2:$X$1001,0)),"")</f>
        <v/>
      </c>
      <c r="D13" s="3">
        <f>IFERROR(INDEX(Calc!$O$2:$O$1001,MATCH(ROW()-1,Calc!$X$2:$X$1001,0)),"")</f>
        <v/>
      </c>
      <c r="E13" s="3">
        <f>IFERROR(INDEX(Calc!$P$2:$P$1001,MATCH(ROW()-1,Calc!$X$2:$X$1001,0)),"")</f>
        <v/>
      </c>
      <c r="F13" s="3">
        <f>IF(G13="","",E13-D13)</f>
        <v/>
      </c>
      <c r="G13">
        <f>IFERROR(INDEX(Calc!$S$2:$S$1001,MATCH(ROW()-1,Calc!$X$2:$X$1001,0)),"")</f>
        <v/>
      </c>
    </row>
    <row r="14">
      <c r="A14">
        <f>IFERROR(INDEX(Calc!$L$2:$L$1001,MATCH(ROW()-1,Calc!$X$2:$X$1001,0)),"")</f>
        <v/>
      </c>
      <c r="B14">
        <f>IFERROR(INDEX(Calc!$M$2:$M$1001,MATCH(ROW()-1,Calc!$X$2:$X$1001,0)),"")</f>
        <v/>
      </c>
      <c r="C14">
        <f>IFERROR(INDEX(Calc!$N$2:$N$1001,MATCH(ROW()-1,Calc!$X$2:$X$1001,0)),"")</f>
        <v/>
      </c>
      <c r="D14" s="3">
        <f>IFERROR(INDEX(Calc!$O$2:$O$1001,MATCH(ROW()-1,Calc!$X$2:$X$1001,0)),"")</f>
        <v/>
      </c>
      <c r="E14" s="3">
        <f>IFERROR(INDEX(Calc!$P$2:$P$1001,MATCH(ROW()-1,Calc!$X$2:$X$1001,0)),"")</f>
        <v/>
      </c>
      <c r="F14" s="3">
        <f>IF(G14="","",E14-D14)</f>
        <v/>
      </c>
      <c r="G14">
        <f>IFERROR(INDEX(Calc!$S$2:$S$1001,MATCH(ROW()-1,Calc!$X$2:$X$1001,0)),"")</f>
        <v/>
      </c>
    </row>
    <row r="15">
      <c r="A15">
        <f>IFERROR(INDEX(Calc!$L$2:$L$1001,MATCH(ROW()-1,Calc!$X$2:$X$1001,0)),"")</f>
        <v/>
      </c>
      <c r="B15">
        <f>IFERROR(INDEX(Calc!$M$2:$M$1001,MATCH(ROW()-1,Calc!$X$2:$X$1001,0)),"")</f>
        <v/>
      </c>
      <c r="C15">
        <f>IFERROR(INDEX(Calc!$N$2:$N$1001,MATCH(ROW()-1,Calc!$X$2:$X$1001,0)),"")</f>
        <v/>
      </c>
      <c r="D15" s="3">
        <f>IFERROR(INDEX(Calc!$O$2:$O$1001,MATCH(ROW()-1,Calc!$X$2:$X$1001,0)),"")</f>
        <v/>
      </c>
      <c r="E15" s="3">
        <f>IFERROR(INDEX(Calc!$P$2:$P$1001,MATCH(ROW()-1,Calc!$X$2:$X$1001,0)),"")</f>
        <v/>
      </c>
      <c r="F15" s="3">
        <f>IF(G15="","",E15-D15)</f>
        <v/>
      </c>
      <c r="G15">
        <f>IFERROR(INDEX(Calc!$S$2:$S$1001,MATCH(ROW()-1,Calc!$X$2:$X$1001,0)),"")</f>
        <v/>
      </c>
    </row>
    <row r="16">
      <c r="A16">
        <f>IFERROR(INDEX(Calc!$L$2:$L$1001,MATCH(ROW()-1,Calc!$X$2:$X$1001,0)),"")</f>
        <v/>
      </c>
      <c r="B16">
        <f>IFERROR(INDEX(Calc!$M$2:$M$1001,MATCH(ROW()-1,Calc!$X$2:$X$1001,0)),"")</f>
        <v/>
      </c>
      <c r="C16">
        <f>IFERROR(INDEX(Calc!$N$2:$N$1001,MATCH(ROW()-1,Calc!$X$2:$X$1001,0)),"")</f>
        <v/>
      </c>
      <c r="D16" s="3">
        <f>IFERROR(INDEX(Calc!$O$2:$O$1001,MATCH(ROW()-1,Calc!$X$2:$X$1001,0)),"")</f>
        <v/>
      </c>
      <c r="E16" s="3">
        <f>IFERROR(INDEX(Calc!$P$2:$P$1001,MATCH(ROW()-1,Calc!$X$2:$X$1001,0)),"")</f>
        <v/>
      </c>
      <c r="F16" s="3">
        <f>IF(G16="","",E16-D16)</f>
        <v/>
      </c>
      <c r="G16">
        <f>IFERROR(INDEX(Calc!$S$2:$S$1001,MATCH(ROW()-1,Calc!$X$2:$X$1001,0)),"")</f>
        <v/>
      </c>
    </row>
    <row r="17">
      <c r="A17">
        <f>IFERROR(INDEX(Calc!$L$2:$L$1001,MATCH(ROW()-1,Calc!$X$2:$X$1001,0)),"")</f>
        <v/>
      </c>
      <c r="B17">
        <f>IFERROR(INDEX(Calc!$M$2:$M$1001,MATCH(ROW()-1,Calc!$X$2:$X$1001,0)),"")</f>
        <v/>
      </c>
      <c r="C17">
        <f>IFERROR(INDEX(Calc!$N$2:$N$1001,MATCH(ROW()-1,Calc!$X$2:$X$1001,0)),"")</f>
        <v/>
      </c>
      <c r="D17" s="3">
        <f>IFERROR(INDEX(Calc!$O$2:$O$1001,MATCH(ROW()-1,Calc!$X$2:$X$1001,0)),"")</f>
        <v/>
      </c>
      <c r="E17" s="3">
        <f>IFERROR(INDEX(Calc!$P$2:$P$1001,MATCH(ROW()-1,Calc!$X$2:$X$1001,0)),"")</f>
        <v/>
      </c>
      <c r="F17" s="3">
        <f>IF(G17="","",E17-D17)</f>
        <v/>
      </c>
      <c r="G17">
        <f>IFERROR(INDEX(Calc!$S$2:$S$1001,MATCH(ROW()-1,Calc!$X$2:$X$1001,0)),"")</f>
        <v/>
      </c>
    </row>
    <row r="18">
      <c r="A18">
        <f>IFERROR(INDEX(Calc!$L$2:$L$1001,MATCH(ROW()-1,Calc!$X$2:$X$1001,0)),"")</f>
        <v/>
      </c>
      <c r="B18">
        <f>IFERROR(INDEX(Calc!$M$2:$M$1001,MATCH(ROW()-1,Calc!$X$2:$X$1001,0)),"")</f>
        <v/>
      </c>
      <c r="C18">
        <f>IFERROR(INDEX(Calc!$N$2:$N$1001,MATCH(ROW()-1,Calc!$X$2:$X$1001,0)),"")</f>
        <v/>
      </c>
      <c r="D18" s="3">
        <f>IFERROR(INDEX(Calc!$O$2:$O$1001,MATCH(ROW()-1,Calc!$X$2:$X$1001,0)),"")</f>
        <v/>
      </c>
      <c r="E18" s="3">
        <f>IFERROR(INDEX(Calc!$P$2:$P$1001,MATCH(ROW()-1,Calc!$X$2:$X$1001,0)),"")</f>
        <v/>
      </c>
      <c r="F18" s="3">
        <f>IF(G18="","",E18-D18)</f>
        <v/>
      </c>
      <c r="G18">
        <f>IFERROR(INDEX(Calc!$S$2:$S$1001,MATCH(ROW()-1,Calc!$X$2:$X$1001,0)),"")</f>
        <v/>
      </c>
    </row>
    <row r="19">
      <c r="A19">
        <f>IFERROR(INDEX(Calc!$L$2:$L$1001,MATCH(ROW()-1,Calc!$X$2:$X$1001,0)),"")</f>
        <v/>
      </c>
      <c r="B19">
        <f>IFERROR(INDEX(Calc!$M$2:$M$1001,MATCH(ROW()-1,Calc!$X$2:$X$1001,0)),"")</f>
        <v/>
      </c>
      <c r="C19">
        <f>IFERROR(INDEX(Calc!$N$2:$N$1001,MATCH(ROW()-1,Calc!$X$2:$X$1001,0)),"")</f>
        <v/>
      </c>
      <c r="D19" s="3">
        <f>IFERROR(INDEX(Calc!$O$2:$O$1001,MATCH(ROW()-1,Calc!$X$2:$X$1001,0)),"")</f>
        <v/>
      </c>
      <c r="E19" s="3">
        <f>IFERROR(INDEX(Calc!$P$2:$P$1001,MATCH(ROW()-1,Calc!$X$2:$X$1001,0)),"")</f>
        <v/>
      </c>
      <c r="F19" s="3">
        <f>IF(G19="","",E19-D19)</f>
        <v/>
      </c>
      <c r="G19">
        <f>IFERROR(INDEX(Calc!$S$2:$S$1001,MATCH(ROW()-1,Calc!$X$2:$X$1001,0)),"")</f>
        <v/>
      </c>
    </row>
    <row r="20">
      <c r="A20">
        <f>IFERROR(INDEX(Calc!$L$2:$L$1001,MATCH(ROW()-1,Calc!$X$2:$X$1001,0)),"")</f>
        <v/>
      </c>
      <c r="B20">
        <f>IFERROR(INDEX(Calc!$M$2:$M$1001,MATCH(ROW()-1,Calc!$X$2:$X$1001,0)),"")</f>
        <v/>
      </c>
      <c r="C20">
        <f>IFERROR(INDEX(Calc!$N$2:$N$1001,MATCH(ROW()-1,Calc!$X$2:$X$1001,0)),"")</f>
        <v/>
      </c>
      <c r="D20" s="3">
        <f>IFERROR(INDEX(Calc!$O$2:$O$1001,MATCH(ROW()-1,Calc!$X$2:$X$1001,0)),"")</f>
        <v/>
      </c>
      <c r="E20" s="3">
        <f>IFERROR(INDEX(Calc!$P$2:$P$1001,MATCH(ROW()-1,Calc!$X$2:$X$1001,0)),"")</f>
        <v/>
      </c>
      <c r="F20" s="3">
        <f>IF(G20="","",E20-D20)</f>
        <v/>
      </c>
      <c r="G20">
        <f>IFERROR(INDEX(Calc!$S$2:$S$1001,MATCH(ROW()-1,Calc!$X$2:$X$1001,0)),"")</f>
        <v/>
      </c>
    </row>
    <row r="21">
      <c r="A21">
        <f>IFERROR(INDEX(Calc!$L$2:$L$1001,MATCH(ROW()-1,Calc!$X$2:$X$1001,0)),"")</f>
        <v/>
      </c>
      <c r="B21">
        <f>IFERROR(INDEX(Calc!$M$2:$M$1001,MATCH(ROW()-1,Calc!$X$2:$X$1001,0)),"")</f>
        <v/>
      </c>
      <c r="C21">
        <f>IFERROR(INDEX(Calc!$N$2:$N$1001,MATCH(ROW()-1,Calc!$X$2:$X$1001,0)),"")</f>
        <v/>
      </c>
      <c r="D21" s="3">
        <f>IFERROR(INDEX(Calc!$O$2:$O$1001,MATCH(ROW()-1,Calc!$X$2:$X$1001,0)),"")</f>
        <v/>
      </c>
      <c r="E21" s="3">
        <f>IFERROR(INDEX(Calc!$P$2:$P$1001,MATCH(ROW()-1,Calc!$X$2:$X$1001,0)),"")</f>
        <v/>
      </c>
      <c r="F21" s="3">
        <f>IF(G21="","",E21-D21)</f>
        <v/>
      </c>
      <c r="G21">
        <f>IFERROR(INDEX(Calc!$S$2:$S$1001,MATCH(ROW()-1,Calc!$X$2:$X$1001,0)),"")</f>
        <v/>
      </c>
    </row>
    <row r="22">
      <c r="A22">
        <f>IFERROR(INDEX(Calc!$L$2:$L$1001,MATCH(ROW()-1,Calc!$X$2:$X$1001,0)),"")</f>
        <v/>
      </c>
      <c r="B22">
        <f>IFERROR(INDEX(Calc!$M$2:$M$1001,MATCH(ROW()-1,Calc!$X$2:$X$1001,0)),"")</f>
        <v/>
      </c>
      <c r="C22">
        <f>IFERROR(INDEX(Calc!$N$2:$N$1001,MATCH(ROW()-1,Calc!$X$2:$X$1001,0)),"")</f>
        <v/>
      </c>
      <c r="D22" s="3">
        <f>IFERROR(INDEX(Calc!$O$2:$O$1001,MATCH(ROW()-1,Calc!$X$2:$X$1001,0)),"")</f>
        <v/>
      </c>
      <c r="E22" s="3">
        <f>IFERROR(INDEX(Calc!$P$2:$P$1001,MATCH(ROW()-1,Calc!$X$2:$X$1001,0)),"")</f>
        <v/>
      </c>
      <c r="F22" s="3">
        <f>IF(G22="","",E22-D22)</f>
        <v/>
      </c>
      <c r="G22">
        <f>IFERROR(INDEX(Calc!$S$2:$S$1001,MATCH(ROW()-1,Calc!$X$2:$X$1001,0)),"")</f>
        <v/>
      </c>
    </row>
    <row r="23">
      <c r="A23">
        <f>IFERROR(INDEX(Calc!$L$2:$L$1001,MATCH(ROW()-1,Calc!$X$2:$X$1001,0)),"")</f>
        <v/>
      </c>
      <c r="B23">
        <f>IFERROR(INDEX(Calc!$M$2:$M$1001,MATCH(ROW()-1,Calc!$X$2:$X$1001,0)),"")</f>
        <v/>
      </c>
      <c r="C23">
        <f>IFERROR(INDEX(Calc!$N$2:$N$1001,MATCH(ROW()-1,Calc!$X$2:$X$1001,0)),"")</f>
        <v/>
      </c>
      <c r="D23" s="3">
        <f>IFERROR(INDEX(Calc!$O$2:$O$1001,MATCH(ROW()-1,Calc!$X$2:$X$1001,0)),"")</f>
        <v/>
      </c>
      <c r="E23" s="3">
        <f>IFERROR(INDEX(Calc!$P$2:$P$1001,MATCH(ROW()-1,Calc!$X$2:$X$1001,0)),"")</f>
        <v/>
      </c>
      <c r="F23" s="3">
        <f>IF(G23="","",E23-D23)</f>
        <v/>
      </c>
      <c r="G23">
        <f>IFERROR(INDEX(Calc!$S$2:$S$1001,MATCH(ROW()-1,Calc!$X$2:$X$1001,0)),"")</f>
        <v/>
      </c>
    </row>
    <row r="24">
      <c r="A24">
        <f>IFERROR(INDEX(Calc!$L$2:$L$1001,MATCH(ROW()-1,Calc!$X$2:$X$1001,0)),"")</f>
        <v/>
      </c>
      <c r="B24">
        <f>IFERROR(INDEX(Calc!$M$2:$M$1001,MATCH(ROW()-1,Calc!$X$2:$X$1001,0)),"")</f>
        <v/>
      </c>
      <c r="C24">
        <f>IFERROR(INDEX(Calc!$N$2:$N$1001,MATCH(ROW()-1,Calc!$X$2:$X$1001,0)),"")</f>
        <v/>
      </c>
      <c r="D24" s="3">
        <f>IFERROR(INDEX(Calc!$O$2:$O$1001,MATCH(ROW()-1,Calc!$X$2:$X$1001,0)),"")</f>
        <v/>
      </c>
      <c r="E24" s="3">
        <f>IFERROR(INDEX(Calc!$P$2:$P$1001,MATCH(ROW()-1,Calc!$X$2:$X$1001,0)),"")</f>
        <v/>
      </c>
      <c r="F24" s="3">
        <f>IF(G24="","",E24-D24)</f>
        <v/>
      </c>
      <c r="G24">
        <f>IFERROR(INDEX(Calc!$S$2:$S$1001,MATCH(ROW()-1,Calc!$X$2:$X$1001,0)),"")</f>
        <v/>
      </c>
    </row>
    <row r="25">
      <c r="A25">
        <f>IFERROR(INDEX(Calc!$L$2:$L$1001,MATCH(ROW()-1,Calc!$X$2:$X$1001,0)),"")</f>
        <v/>
      </c>
      <c r="B25">
        <f>IFERROR(INDEX(Calc!$M$2:$M$1001,MATCH(ROW()-1,Calc!$X$2:$X$1001,0)),"")</f>
        <v/>
      </c>
      <c r="C25">
        <f>IFERROR(INDEX(Calc!$N$2:$N$1001,MATCH(ROW()-1,Calc!$X$2:$X$1001,0)),"")</f>
        <v/>
      </c>
      <c r="D25" s="3">
        <f>IFERROR(INDEX(Calc!$O$2:$O$1001,MATCH(ROW()-1,Calc!$X$2:$X$1001,0)),"")</f>
        <v/>
      </c>
      <c r="E25" s="3">
        <f>IFERROR(INDEX(Calc!$P$2:$P$1001,MATCH(ROW()-1,Calc!$X$2:$X$1001,0)),"")</f>
        <v/>
      </c>
      <c r="F25" s="3">
        <f>IF(G25="","",E25-D25)</f>
        <v/>
      </c>
      <c r="G25">
        <f>IFERROR(INDEX(Calc!$S$2:$S$1001,MATCH(ROW()-1,Calc!$X$2:$X$1001,0)),"")</f>
        <v/>
      </c>
    </row>
    <row r="26">
      <c r="A26">
        <f>IFERROR(INDEX(Calc!$L$2:$L$1001,MATCH(ROW()-1,Calc!$X$2:$X$1001,0)),"")</f>
        <v/>
      </c>
      <c r="B26">
        <f>IFERROR(INDEX(Calc!$M$2:$M$1001,MATCH(ROW()-1,Calc!$X$2:$X$1001,0)),"")</f>
        <v/>
      </c>
      <c r="C26">
        <f>IFERROR(INDEX(Calc!$N$2:$N$1001,MATCH(ROW()-1,Calc!$X$2:$X$1001,0)),"")</f>
        <v/>
      </c>
      <c r="D26" s="3">
        <f>IFERROR(INDEX(Calc!$O$2:$O$1001,MATCH(ROW()-1,Calc!$X$2:$X$1001,0)),"")</f>
        <v/>
      </c>
      <c r="E26" s="3">
        <f>IFERROR(INDEX(Calc!$P$2:$P$1001,MATCH(ROW()-1,Calc!$X$2:$X$1001,0)),"")</f>
        <v/>
      </c>
      <c r="F26" s="3">
        <f>IF(G26="","",E26-D26)</f>
        <v/>
      </c>
      <c r="G26">
        <f>IFERROR(INDEX(Calc!$S$2:$S$1001,MATCH(ROW()-1,Calc!$X$2:$X$1001,0)),"")</f>
        <v/>
      </c>
    </row>
    <row r="27">
      <c r="A27">
        <f>IFERROR(INDEX(Calc!$L$2:$L$1001,MATCH(ROW()-1,Calc!$X$2:$X$1001,0)),"")</f>
        <v/>
      </c>
      <c r="B27">
        <f>IFERROR(INDEX(Calc!$M$2:$M$1001,MATCH(ROW()-1,Calc!$X$2:$X$1001,0)),"")</f>
        <v/>
      </c>
      <c r="C27">
        <f>IFERROR(INDEX(Calc!$N$2:$N$1001,MATCH(ROW()-1,Calc!$X$2:$X$1001,0)),"")</f>
        <v/>
      </c>
      <c r="D27" s="3">
        <f>IFERROR(INDEX(Calc!$O$2:$O$1001,MATCH(ROW()-1,Calc!$X$2:$X$1001,0)),"")</f>
        <v/>
      </c>
      <c r="E27" s="3">
        <f>IFERROR(INDEX(Calc!$P$2:$P$1001,MATCH(ROW()-1,Calc!$X$2:$X$1001,0)),"")</f>
        <v/>
      </c>
      <c r="F27" s="3">
        <f>IF(G27="","",E27-D27)</f>
        <v/>
      </c>
      <c r="G27">
        <f>IFERROR(INDEX(Calc!$S$2:$S$1001,MATCH(ROW()-1,Calc!$X$2:$X$1001,0)),"")</f>
        <v/>
      </c>
    </row>
    <row r="28">
      <c r="A28">
        <f>IFERROR(INDEX(Calc!$L$2:$L$1001,MATCH(ROW()-1,Calc!$X$2:$X$1001,0)),"")</f>
        <v/>
      </c>
      <c r="B28">
        <f>IFERROR(INDEX(Calc!$M$2:$M$1001,MATCH(ROW()-1,Calc!$X$2:$X$1001,0)),"")</f>
        <v/>
      </c>
      <c r="C28">
        <f>IFERROR(INDEX(Calc!$N$2:$N$1001,MATCH(ROW()-1,Calc!$X$2:$X$1001,0)),"")</f>
        <v/>
      </c>
      <c r="D28" s="3">
        <f>IFERROR(INDEX(Calc!$O$2:$O$1001,MATCH(ROW()-1,Calc!$X$2:$X$1001,0)),"")</f>
        <v/>
      </c>
      <c r="E28" s="3">
        <f>IFERROR(INDEX(Calc!$P$2:$P$1001,MATCH(ROW()-1,Calc!$X$2:$X$1001,0)),"")</f>
        <v/>
      </c>
      <c r="F28" s="3">
        <f>IF(G28="","",E28-D28)</f>
        <v/>
      </c>
      <c r="G28">
        <f>IFERROR(INDEX(Calc!$S$2:$S$1001,MATCH(ROW()-1,Calc!$X$2:$X$1001,0)),"")</f>
        <v/>
      </c>
    </row>
    <row r="29">
      <c r="A29">
        <f>IFERROR(INDEX(Calc!$L$2:$L$1001,MATCH(ROW()-1,Calc!$X$2:$X$1001,0)),"")</f>
        <v/>
      </c>
      <c r="B29">
        <f>IFERROR(INDEX(Calc!$M$2:$M$1001,MATCH(ROW()-1,Calc!$X$2:$X$1001,0)),"")</f>
        <v/>
      </c>
      <c r="C29">
        <f>IFERROR(INDEX(Calc!$N$2:$N$1001,MATCH(ROW()-1,Calc!$X$2:$X$1001,0)),"")</f>
        <v/>
      </c>
      <c r="D29" s="3">
        <f>IFERROR(INDEX(Calc!$O$2:$O$1001,MATCH(ROW()-1,Calc!$X$2:$X$1001,0)),"")</f>
        <v/>
      </c>
      <c r="E29" s="3">
        <f>IFERROR(INDEX(Calc!$P$2:$P$1001,MATCH(ROW()-1,Calc!$X$2:$X$1001,0)),"")</f>
        <v/>
      </c>
      <c r="F29" s="3">
        <f>IF(G29="","",E29-D29)</f>
        <v/>
      </c>
      <c r="G29">
        <f>IFERROR(INDEX(Calc!$S$2:$S$1001,MATCH(ROW()-1,Calc!$X$2:$X$1001,0)),"")</f>
        <v/>
      </c>
    </row>
    <row r="30">
      <c r="A30">
        <f>IFERROR(INDEX(Calc!$L$2:$L$1001,MATCH(ROW()-1,Calc!$X$2:$X$1001,0)),"")</f>
        <v/>
      </c>
      <c r="B30">
        <f>IFERROR(INDEX(Calc!$M$2:$M$1001,MATCH(ROW()-1,Calc!$X$2:$X$1001,0)),"")</f>
        <v/>
      </c>
      <c r="C30">
        <f>IFERROR(INDEX(Calc!$N$2:$N$1001,MATCH(ROW()-1,Calc!$X$2:$X$1001,0)),"")</f>
        <v/>
      </c>
      <c r="D30" s="3">
        <f>IFERROR(INDEX(Calc!$O$2:$O$1001,MATCH(ROW()-1,Calc!$X$2:$X$1001,0)),"")</f>
        <v/>
      </c>
      <c r="E30" s="3">
        <f>IFERROR(INDEX(Calc!$P$2:$P$1001,MATCH(ROW()-1,Calc!$X$2:$X$1001,0)),"")</f>
        <v/>
      </c>
      <c r="F30" s="3">
        <f>IF(G30="","",E30-D30)</f>
        <v/>
      </c>
      <c r="G30">
        <f>IFERROR(INDEX(Calc!$S$2:$S$1001,MATCH(ROW()-1,Calc!$X$2:$X$1001,0)),"")</f>
        <v/>
      </c>
    </row>
    <row r="31">
      <c r="A31">
        <f>IFERROR(INDEX(Calc!$L$2:$L$1001,MATCH(ROW()-1,Calc!$X$2:$X$1001,0)),"")</f>
        <v/>
      </c>
      <c r="B31">
        <f>IFERROR(INDEX(Calc!$M$2:$M$1001,MATCH(ROW()-1,Calc!$X$2:$X$1001,0)),"")</f>
        <v/>
      </c>
      <c r="C31">
        <f>IFERROR(INDEX(Calc!$N$2:$N$1001,MATCH(ROW()-1,Calc!$X$2:$X$1001,0)),"")</f>
        <v/>
      </c>
      <c r="D31" s="3">
        <f>IFERROR(INDEX(Calc!$O$2:$O$1001,MATCH(ROW()-1,Calc!$X$2:$X$1001,0)),"")</f>
        <v/>
      </c>
      <c r="E31" s="3">
        <f>IFERROR(INDEX(Calc!$P$2:$P$1001,MATCH(ROW()-1,Calc!$X$2:$X$1001,0)),"")</f>
        <v/>
      </c>
      <c r="F31" s="3">
        <f>IF(G31="","",E31-D31)</f>
        <v/>
      </c>
      <c r="G31">
        <f>IFERROR(INDEX(Calc!$S$2:$S$1001,MATCH(ROW()-1,Calc!$X$2:$X$1001,0)),"")</f>
        <v/>
      </c>
    </row>
    <row r="32">
      <c r="A32">
        <f>IFERROR(INDEX(Calc!$L$2:$L$1001,MATCH(ROW()-1,Calc!$X$2:$X$1001,0)),"")</f>
        <v/>
      </c>
      <c r="B32">
        <f>IFERROR(INDEX(Calc!$M$2:$M$1001,MATCH(ROW()-1,Calc!$X$2:$X$1001,0)),"")</f>
        <v/>
      </c>
      <c r="C32">
        <f>IFERROR(INDEX(Calc!$N$2:$N$1001,MATCH(ROW()-1,Calc!$X$2:$X$1001,0)),"")</f>
        <v/>
      </c>
      <c r="D32" s="3">
        <f>IFERROR(INDEX(Calc!$O$2:$O$1001,MATCH(ROW()-1,Calc!$X$2:$X$1001,0)),"")</f>
        <v/>
      </c>
      <c r="E32" s="3">
        <f>IFERROR(INDEX(Calc!$P$2:$P$1001,MATCH(ROW()-1,Calc!$X$2:$X$1001,0)),"")</f>
        <v/>
      </c>
      <c r="F32" s="3">
        <f>IF(G32="","",E32-D32)</f>
        <v/>
      </c>
      <c r="G32">
        <f>IFERROR(INDEX(Calc!$S$2:$S$1001,MATCH(ROW()-1,Calc!$X$2:$X$1001,0)),"")</f>
        <v/>
      </c>
    </row>
    <row r="33">
      <c r="A33">
        <f>IFERROR(INDEX(Calc!$L$2:$L$1001,MATCH(ROW()-1,Calc!$X$2:$X$1001,0)),"")</f>
        <v/>
      </c>
      <c r="B33">
        <f>IFERROR(INDEX(Calc!$M$2:$M$1001,MATCH(ROW()-1,Calc!$X$2:$X$1001,0)),"")</f>
        <v/>
      </c>
      <c r="C33">
        <f>IFERROR(INDEX(Calc!$N$2:$N$1001,MATCH(ROW()-1,Calc!$X$2:$X$1001,0)),"")</f>
        <v/>
      </c>
      <c r="D33" s="3">
        <f>IFERROR(INDEX(Calc!$O$2:$O$1001,MATCH(ROW()-1,Calc!$X$2:$X$1001,0)),"")</f>
        <v/>
      </c>
      <c r="E33" s="3">
        <f>IFERROR(INDEX(Calc!$P$2:$P$1001,MATCH(ROW()-1,Calc!$X$2:$X$1001,0)),"")</f>
        <v/>
      </c>
      <c r="F33" s="3">
        <f>IF(G33="","",E33-D33)</f>
        <v/>
      </c>
      <c r="G33">
        <f>IFERROR(INDEX(Calc!$S$2:$S$1001,MATCH(ROW()-1,Calc!$X$2:$X$1001,0)),"")</f>
        <v/>
      </c>
    </row>
    <row r="34">
      <c r="A34">
        <f>IFERROR(INDEX(Calc!$L$2:$L$1001,MATCH(ROW()-1,Calc!$X$2:$X$1001,0)),"")</f>
        <v/>
      </c>
      <c r="B34">
        <f>IFERROR(INDEX(Calc!$M$2:$M$1001,MATCH(ROW()-1,Calc!$X$2:$X$1001,0)),"")</f>
        <v/>
      </c>
      <c r="C34">
        <f>IFERROR(INDEX(Calc!$N$2:$N$1001,MATCH(ROW()-1,Calc!$X$2:$X$1001,0)),"")</f>
        <v/>
      </c>
      <c r="D34" s="3">
        <f>IFERROR(INDEX(Calc!$O$2:$O$1001,MATCH(ROW()-1,Calc!$X$2:$X$1001,0)),"")</f>
        <v/>
      </c>
      <c r="E34" s="3">
        <f>IFERROR(INDEX(Calc!$P$2:$P$1001,MATCH(ROW()-1,Calc!$X$2:$X$1001,0)),"")</f>
        <v/>
      </c>
      <c r="F34" s="3">
        <f>IF(G34="","",E34-D34)</f>
        <v/>
      </c>
      <c r="G34">
        <f>IFERROR(INDEX(Calc!$S$2:$S$1001,MATCH(ROW()-1,Calc!$X$2:$X$1001,0)),"")</f>
        <v/>
      </c>
    </row>
    <row r="35">
      <c r="A35">
        <f>IFERROR(INDEX(Calc!$L$2:$L$1001,MATCH(ROW()-1,Calc!$X$2:$X$1001,0)),"")</f>
        <v/>
      </c>
      <c r="B35">
        <f>IFERROR(INDEX(Calc!$M$2:$M$1001,MATCH(ROW()-1,Calc!$X$2:$X$1001,0)),"")</f>
        <v/>
      </c>
      <c r="C35">
        <f>IFERROR(INDEX(Calc!$N$2:$N$1001,MATCH(ROW()-1,Calc!$X$2:$X$1001,0)),"")</f>
        <v/>
      </c>
      <c r="D35" s="3">
        <f>IFERROR(INDEX(Calc!$O$2:$O$1001,MATCH(ROW()-1,Calc!$X$2:$X$1001,0)),"")</f>
        <v/>
      </c>
      <c r="E35" s="3">
        <f>IFERROR(INDEX(Calc!$P$2:$P$1001,MATCH(ROW()-1,Calc!$X$2:$X$1001,0)),"")</f>
        <v/>
      </c>
      <c r="F35" s="3">
        <f>IF(G35="","",E35-D35)</f>
        <v/>
      </c>
      <c r="G35">
        <f>IFERROR(INDEX(Calc!$S$2:$S$1001,MATCH(ROW()-1,Calc!$X$2:$X$1001,0)),"")</f>
        <v/>
      </c>
    </row>
    <row r="36">
      <c r="A36">
        <f>IFERROR(INDEX(Calc!$L$2:$L$1001,MATCH(ROW()-1,Calc!$X$2:$X$1001,0)),"")</f>
        <v/>
      </c>
      <c r="B36">
        <f>IFERROR(INDEX(Calc!$M$2:$M$1001,MATCH(ROW()-1,Calc!$X$2:$X$1001,0)),"")</f>
        <v/>
      </c>
      <c r="C36">
        <f>IFERROR(INDEX(Calc!$N$2:$N$1001,MATCH(ROW()-1,Calc!$X$2:$X$1001,0)),"")</f>
        <v/>
      </c>
      <c r="D36" s="3">
        <f>IFERROR(INDEX(Calc!$O$2:$O$1001,MATCH(ROW()-1,Calc!$X$2:$X$1001,0)),"")</f>
        <v/>
      </c>
      <c r="E36" s="3">
        <f>IFERROR(INDEX(Calc!$P$2:$P$1001,MATCH(ROW()-1,Calc!$X$2:$X$1001,0)),"")</f>
        <v/>
      </c>
      <c r="F36" s="3">
        <f>IF(G36="","",E36-D36)</f>
        <v/>
      </c>
      <c r="G36">
        <f>IFERROR(INDEX(Calc!$S$2:$S$1001,MATCH(ROW()-1,Calc!$X$2:$X$1001,0)),"")</f>
        <v/>
      </c>
    </row>
    <row r="37">
      <c r="A37">
        <f>IFERROR(INDEX(Calc!$L$2:$L$1001,MATCH(ROW()-1,Calc!$X$2:$X$1001,0)),"")</f>
        <v/>
      </c>
      <c r="B37">
        <f>IFERROR(INDEX(Calc!$M$2:$M$1001,MATCH(ROW()-1,Calc!$X$2:$X$1001,0)),"")</f>
        <v/>
      </c>
      <c r="C37">
        <f>IFERROR(INDEX(Calc!$N$2:$N$1001,MATCH(ROW()-1,Calc!$X$2:$X$1001,0)),"")</f>
        <v/>
      </c>
      <c r="D37" s="3">
        <f>IFERROR(INDEX(Calc!$O$2:$O$1001,MATCH(ROW()-1,Calc!$X$2:$X$1001,0)),"")</f>
        <v/>
      </c>
      <c r="E37" s="3">
        <f>IFERROR(INDEX(Calc!$P$2:$P$1001,MATCH(ROW()-1,Calc!$X$2:$X$1001,0)),"")</f>
        <v/>
      </c>
      <c r="F37" s="3">
        <f>IF(G37="","",E37-D37)</f>
        <v/>
      </c>
      <c r="G37">
        <f>IFERROR(INDEX(Calc!$S$2:$S$1001,MATCH(ROW()-1,Calc!$X$2:$X$1001,0)),"")</f>
        <v/>
      </c>
    </row>
    <row r="38">
      <c r="A38">
        <f>IFERROR(INDEX(Calc!$L$2:$L$1001,MATCH(ROW()-1,Calc!$X$2:$X$1001,0)),"")</f>
        <v/>
      </c>
      <c r="B38">
        <f>IFERROR(INDEX(Calc!$M$2:$M$1001,MATCH(ROW()-1,Calc!$X$2:$X$1001,0)),"")</f>
        <v/>
      </c>
      <c r="C38">
        <f>IFERROR(INDEX(Calc!$N$2:$N$1001,MATCH(ROW()-1,Calc!$X$2:$X$1001,0)),"")</f>
        <v/>
      </c>
      <c r="D38" s="3">
        <f>IFERROR(INDEX(Calc!$O$2:$O$1001,MATCH(ROW()-1,Calc!$X$2:$X$1001,0)),"")</f>
        <v/>
      </c>
      <c r="E38" s="3">
        <f>IFERROR(INDEX(Calc!$P$2:$P$1001,MATCH(ROW()-1,Calc!$X$2:$X$1001,0)),"")</f>
        <v/>
      </c>
      <c r="F38" s="3">
        <f>IF(G38="","",E38-D38)</f>
        <v/>
      </c>
      <c r="G38">
        <f>IFERROR(INDEX(Calc!$S$2:$S$1001,MATCH(ROW()-1,Calc!$X$2:$X$1001,0)),"")</f>
        <v/>
      </c>
    </row>
    <row r="39">
      <c r="A39">
        <f>IFERROR(INDEX(Calc!$L$2:$L$1001,MATCH(ROW()-1,Calc!$X$2:$X$1001,0)),"")</f>
        <v/>
      </c>
      <c r="B39">
        <f>IFERROR(INDEX(Calc!$M$2:$M$1001,MATCH(ROW()-1,Calc!$X$2:$X$1001,0)),"")</f>
        <v/>
      </c>
      <c r="C39">
        <f>IFERROR(INDEX(Calc!$N$2:$N$1001,MATCH(ROW()-1,Calc!$X$2:$X$1001,0)),"")</f>
        <v/>
      </c>
      <c r="D39" s="3">
        <f>IFERROR(INDEX(Calc!$O$2:$O$1001,MATCH(ROW()-1,Calc!$X$2:$X$1001,0)),"")</f>
        <v/>
      </c>
      <c r="E39" s="3">
        <f>IFERROR(INDEX(Calc!$P$2:$P$1001,MATCH(ROW()-1,Calc!$X$2:$X$1001,0)),"")</f>
        <v/>
      </c>
      <c r="F39" s="3">
        <f>IF(G39="","",E39-D39)</f>
        <v/>
      </c>
      <c r="G39">
        <f>IFERROR(INDEX(Calc!$S$2:$S$1001,MATCH(ROW()-1,Calc!$X$2:$X$1001,0)),"")</f>
        <v/>
      </c>
    </row>
    <row r="40">
      <c r="A40">
        <f>IFERROR(INDEX(Calc!$L$2:$L$1001,MATCH(ROW()-1,Calc!$X$2:$X$1001,0)),"")</f>
        <v/>
      </c>
      <c r="B40">
        <f>IFERROR(INDEX(Calc!$M$2:$M$1001,MATCH(ROW()-1,Calc!$X$2:$X$1001,0)),"")</f>
        <v/>
      </c>
      <c r="C40">
        <f>IFERROR(INDEX(Calc!$N$2:$N$1001,MATCH(ROW()-1,Calc!$X$2:$X$1001,0)),"")</f>
        <v/>
      </c>
      <c r="D40" s="3">
        <f>IFERROR(INDEX(Calc!$O$2:$O$1001,MATCH(ROW()-1,Calc!$X$2:$X$1001,0)),"")</f>
        <v/>
      </c>
      <c r="E40" s="3">
        <f>IFERROR(INDEX(Calc!$P$2:$P$1001,MATCH(ROW()-1,Calc!$X$2:$X$1001,0)),"")</f>
        <v/>
      </c>
      <c r="F40" s="3">
        <f>IF(G40="","",E40-D40)</f>
        <v/>
      </c>
      <c r="G40">
        <f>IFERROR(INDEX(Calc!$S$2:$S$1001,MATCH(ROW()-1,Calc!$X$2:$X$1001,0)),"")</f>
        <v/>
      </c>
    </row>
    <row r="41">
      <c r="A41">
        <f>IFERROR(INDEX(Calc!$L$2:$L$1001,MATCH(ROW()-1,Calc!$X$2:$X$1001,0)),"")</f>
        <v/>
      </c>
      <c r="B41">
        <f>IFERROR(INDEX(Calc!$M$2:$M$1001,MATCH(ROW()-1,Calc!$X$2:$X$1001,0)),"")</f>
        <v/>
      </c>
      <c r="C41">
        <f>IFERROR(INDEX(Calc!$N$2:$N$1001,MATCH(ROW()-1,Calc!$X$2:$X$1001,0)),"")</f>
        <v/>
      </c>
      <c r="D41" s="3">
        <f>IFERROR(INDEX(Calc!$O$2:$O$1001,MATCH(ROW()-1,Calc!$X$2:$X$1001,0)),"")</f>
        <v/>
      </c>
      <c r="E41" s="3">
        <f>IFERROR(INDEX(Calc!$P$2:$P$1001,MATCH(ROW()-1,Calc!$X$2:$X$1001,0)),"")</f>
        <v/>
      </c>
      <c r="F41" s="3">
        <f>IF(G41="","",E41-D41)</f>
        <v/>
      </c>
      <c r="G41">
        <f>IFERROR(INDEX(Calc!$S$2:$S$1001,MATCH(ROW()-1,Calc!$X$2:$X$1001,0)),"")</f>
        <v/>
      </c>
    </row>
    <row r="42">
      <c r="A42">
        <f>IFERROR(INDEX(Calc!$L$2:$L$1001,MATCH(ROW()-1,Calc!$X$2:$X$1001,0)),"")</f>
        <v/>
      </c>
      <c r="B42">
        <f>IFERROR(INDEX(Calc!$M$2:$M$1001,MATCH(ROW()-1,Calc!$X$2:$X$1001,0)),"")</f>
        <v/>
      </c>
      <c r="C42">
        <f>IFERROR(INDEX(Calc!$N$2:$N$1001,MATCH(ROW()-1,Calc!$X$2:$X$1001,0)),"")</f>
        <v/>
      </c>
      <c r="D42" s="3">
        <f>IFERROR(INDEX(Calc!$O$2:$O$1001,MATCH(ROW()-1,Calc!$X$2:$X$1001,0)),"")</f>
        <v/>
      </c>
      <c r="E42" s="3">
        <f>IFERROR(INDEX(Calc!$P$2:$P$1001,MATCH(ROW()-1,Calc!$X$2:$X$1001,0)),"")</f>
        <v/>
      </c>
      <c r="F42" s="3">
        <f>IF(G42="","",E42-D42)</f>
        <v/>
      </c>
      <c r="G42">
        <f>IFERROR(INDEX(Calc!$S$2:$S$1001,MATCH(ROW()-1,Calc!$X$2:$X$1001,0)),"")</f>
        <v/>
      </c>
    </row>
    <row r="43">
      <c r="A43">
        <f>IFERROR(INDEX(Calc!$L$2:$L$1001,MATCH(ROW()-1,Calc!$X$2:$X$1001,0)),"")</f>
        <v/>
      </c>
      <c r="B43">
        <f>IFERROR(INDEX(Calc!$M$2:$M$1001,MATCH(ROW()-1,Calc!$X$2:$X$1001,0)),"")</f>
        <v/>
      </c>
      <c r="C43">
        <f>IFERROR(INDEX(Calc!$N$2:$N$1001,MATCH(ROW()-1,Calc!$X$2:$X$1001,0)),"")</f>
        <v/>
      </c>
      <c r="D43" s="3">
        <f>IFERROR(INDEX(Calc!$O$2:$O$1001,MATCH(ROW()-1,Calc!$X$2:$X$1001,0)),"")</f>
        <v/>
      </c>
      <c r="E43" s="3">
        <f>IFERROR(INDEX(Calc!$P$2:$P$1001,MATCH(ROW()-1,Calc!$X$2:$X$1001,0)),"")</f>
        <v/>
      </c>
      <c r="F43" s="3">
        <f>IF(G43="","",E43-D43)</f>
        <v/>
      </c>
      <c r="G43">
        <f>IFERROR(INDEX(Calc!$S$2:$S$1001,MATCH(ROW()-1,Calc!$X$2:$X$1001,0)),"")</f>
        <v/>
      </c>
    </row>
    <row r="44">
      <c r="A44">
        <f>IFERROR(INDEX(Calc!$L$2:$L$1001,MATCH(ROW()-1,Calc!$X$2:$X$1001,0)),"")</f>
        <v/>
      </c>
      <c r="B44">
        <f>IFERROR(INDEX(Calc!$M$2:$M$1001,MATCH(ROW()-1,Calc!$X$2:$X$1001,0)),"")</f>
        <v/>
      </c>
      <c r="C44">
        <f>IFERROR(INDEX(Calc!$N$2:$N$1001,MATCH(ROW()-1,Calc!$X$2:$X$1001,0)),"")</f>
        <v/>
      </c>
      <c r="D44" s="3">
        <f>IFERROR(INDEX(Calc!$O$2:$O$1001,MATCH(ROW()-1,Calc!$X$2:$X$1001,0)),"")</f>
        <v/>
      </c>
      <c r="E44" s="3">
        <f>IFERROR(INDEX(Calc!$P$2:$P$1001,MATCH(ROW()-1,Calc!$X$2:$X$1001,0)),"")</f>
        <v/>
      </c>
      <c r="F44" s="3">
        <f>IF(G44="","",E44-D44)</f>
        <v/>
      </c>
      <c r="G44">
        <f>IFERROR(INDEX(Calc!$S$2:$S$1001,MATCH(ROW()-1,Calc!$X$2:$X$1001,0)),"")</f>
        <v/>
      </c>
    </row>
    <row r="45">
      <c r="A45">
        <f>IFERROR(INDEX(Calc!$L$2:$L$1001,MATCH(ROW()-1,Calc!$X$2:$X$1001,0)),"")</f>
        <v/>
      </c>
      <c r="B45">
        <f>IFERROR(INDEX(Calc!$M$2:$M$1001,MATCH(ROW()-1,Calc!$X$2:$X$1001,0)),"")</f>
        <v/>
      </c>
      <c r="C45">
        <f>IFERROR(INDEX(Calc!$N$2:$N$1001,MATCH(ROW()-1,Calc!$X$2:$X$1001,0)),"")</f>
        <v/>
      </c>
      <c r="D45" s="3">
        <f>IFERROR(INDEX(Calc!$O$2:$O$1001,MATCH(ROW()-1,Calc!$X$2:$X$1001,0)),"")</f>
        <v/>
      </c>
      <c r="E45" s="3">
        <f>IFERROR(INDEX(Calc!$P$2:$P$1001,MATCH(ROW()-1,Calc!$X$2:$X$1001,0)),"")</f>
        <v/>
      </c>
      <c r="F45" s="3">
        <f>IF(G45="","",E45-D45)</f>
        <v/>
      </c>
      <c r="G45">
        <f>IFERROR(INDEX(Calc!$S$2:$S$1001,MATCH(ROW()-1,Calc!$X$2:$X$1001,0)),"")</f>
        <v/>
      </c>
    </row>
    <row r="46">
      <c r="A46">
        <f>IFERROR(INDEX(Calc!$L$2:$L$1001,MATCH(ROW()-1,Calc!$X$2:$X$1001,0)),"")</f>
        <v/>
      </c>
      <c r="B46">
        <f>IFERROR(INDEX(Calc!$M$2:$M$1001,MATCH(ROW()-1,Calc!$X$2:$X$1001,0)),"")</f>
        <v/>
      </c>
      <c r="C46">
        <f>IFERROR(INDEX(Calc!$N$2:$N$1001,MATCH(ROW()-1,Calc!$X$2:$X$1001,0)),"")</f>
        <v/>
      </c>
      <c r="D46" s="3">
        <f>IFERROR(INDEX(Calc!$O$2:$O$1001,MATCH(ROW()-1,Calc!$X$2:$X$1001,0)),"")</f>
        <v/>
      </c>
      <c r="E46" s="3">
        <f>IFERROR(INDEX(Calc!$P$2:$P$1001,MATCH(ROW()-1,Calc!$X$2:$X$1001,0)),"")</f>
        <v/>
      </c>
      <c r="F46" s="3">
        <f>IF(G46="","",E46-D46)</f>
        <v/>
      </c>
      <c r="G46">
        <f>IFERROR(INDEX(Calc!$S$2:$S$1001,MATCH(ROW()-1,Calc!$X$2:$X$1001,0)),"")</f>
        <v/>
      </c>
    </row>
    <row r="47">
      <c r="A47">
        <f>IFERROR(INDEX(Calc!$L$2:$L$1001,MATCH(ROW()-1,Calc!$X$2:$X$1001,0)),"")</f>
        <v/>
      </c>
      <c r="B47">
        <f>IFERROR(INDEX(Calc!$M$2:$M$1001,MATCH(ROW()-1,Calc!$X$2:$X$1001,0)),"")</f>
        <v/>
      </c>
      <c r="C47">
        <f>IFERROR(INDEX(Calc!$N$2:$N$1001,MATCH(ROW()-1,Calc!$X$2:$X$1001,0)),"")</f>
        <v/>
      </c>
      <c r="D47" s="3">
        <f>IFERROR(INDEX(Calc!$O$2:$O$1001,MATCH(ROW()-1,Calc!$X$2:$X$1001,0)),"")</f>
        <v/>
      </c>
      <c r="E47" s="3">
        <f>IFERROR(INDEX(Calc!$P$2:$P$1001,MATCH(ROW()-1,Calc!$X$2:$X$1001,0)),"")</f>
        <v/>
      </c>
      <c r="F47" s="3">
        <f>IF(G47="","",E47-D47)</f>
        <v/>
      </c>
      <c r="G47">
        <f>IFERROR(INDEX(Calc!$S$2:$S$1001,MATCH(ROW()-1,Calc!$X$2:$X$1001,0)),"")</f>
        <v/>
      </c>
    </row>
    <row r="48">
      <c r="A48">
        <f>IFERROR(INDEX(Calc!$L$2:$L$1001,MATCH(ROW()-1,Calc!$X$2:$X$1001,0)),"")</f>
        <v/>
      </c>
      <c r="B48">
        <f>IFERROR(INDEX(Calc!$M$2:$M$1001,MATCH(ROW()-1,Calc!$X$2:$X$1001,0)),"")</f>
        <v/>
      </c>
      <c r="C48">
        <f>IFERROR(INDEX(Calc!$N$2:$N$1001,MATCH(ROW()-1,Calc!$X$2:$X$1001,0)),"")</f>
        <v/>
      </c>
      <c r="D48" s="3">
        <f>IFERROR(INDEX(Calc!$O$2:$O$1001,MATCH(ROW()-1,Calc!$X$2:$X$1001,0)),"")</f>
        <v/>
      </c>
      <c r="E48" s="3">
        <f>IFERROR(INDEX(Calc!$P$2:$P$1001,MATCH(ROW()-1,Calc!$X$2:$X$1001,0)),"")</f>
        <v/>
      </c>
      <c r="F48" s="3">
        <f>IF(G48="","",E48-D48)</f>
        <v/>
      </c>
      <c r="G48">
        <f>IFERROR(INDEX(Calc!$S$2:$S$1001,MATCH(ROW()-1,Calc!$X$2:$X$1001,0)),"")</f>
        <v/>
      </c>
    </row>
    <row r="49">
      <c r="A49">
        <f>IFERROR(INDEX(Calc!$L$2:$L$1001,MATCH(ROW()-1,Calc!$X$2:$X$1001,0)),"")</f>
        <v/>
      </c>
      <c r="B49">
        <f>IFERROR(INDEX(Calc!$M$2:$M$1001,MATCH(ROW()-1,Calc!$X$2:$X$1001,0)),"")</f>
        <v/>
      </c>
      <c r="C49">
        <f>IFERROR(INDEX(Calc!$N$2:$N$1001,MATCH(ROW()-1,Calc!$X$2:$X$1001,0)),"")</f>
        <v/>
      </c>
      <c r="D49" s="3">
        <f>IFERROR(INDEX(Calc!$O$2:$O$1001,MATCH(ROW()-1,Calc!$X$2:$X$1001,0)),"")</f>
        <v/>
      </c>
      <c r="E49" s="3">
        <f>IFERROR(INDEX(Calc!$P$2:$P$1001,MATCH(ROW()-1,Calc!$X$2:$X$1001,0)),"")</f>
        <v/>
      </c>
      <c r="F49" s="3">
        <f>IF(G49="","",E49-D49)</f>
        <v/>
      </c>
      <c r="G49">
        <f>IFERROR(INDEX(Calc!$S$2:$S$1001,MATCH(ROW()-1,Calc!$X$2:$X$1001,0)),"")</f>
        <v/>
      </c>
    </row>
    <row r="50">
      <c r="A50">
        <f>IFERROR(INDEX(Calc!$L$2:$L$1001,MATCH(ROW()-1,Calc!$X$2:$X$1001,0)),"")</f>
        <v/>
      </c>
      <c r="B50">
        <f>IFERROR(INDEX(Calc!$M$2:$M$1001,MATCH(ROW()-1,Calc!$X$2:$X$1001,0)),"")</f>
        <v/>
      </c>
      <c r="C50">
        <f>IFERROR(INDEX(Calc!$N$2:$N$1001,MATCH(ROW()-1,Calc!$X$2:$X$1001,0)),"")</f>
        <v/>
      </c>
      <c r="D50" s="3">
        <f>IFERROR(INDEX(Calc!$O$2:$O$1001,MATCH(ROW()-1,Calc!$X$2:$X$1001,0)),"")</f>
        <v/>
      </c>
      <c r="E50" s="3">
        <f>IFERROR(INDEX(Calc!$P$2:$P$1001,MATCH(ROW()-1,Calc!$X$2:$X$1001,0)),"")</f>
        <v/>
      </c>
      <c r="F50" s="3">
        <f>IF(G50="","",E50-D50)</f>
        <v/>
      </c>
      <c r="G50">
        <f>IFERROR(INDEX(Calc!$S$2:$S$1001,MATCH(ROW()-1,Calc!$X$2:$X$1001,0)),"")</f>
        <v/>
      </c>
    </row>
    <row r="51">
      <c r="A51">
        <f>IFERROR(INDEX(Calc!$L$2:$L$1001,MATCH(ROW()-1,Calc!$X$2:$X$1001,0)),"")</f>
        <v/>
      </c>
      <c r="B51">
        <f>IFERROR(INDEX(Calc!$M$2:$M$1001,MATCH(ROW()-1,Calc!$X$2:$X$1001,0)),"")</f>
        <v/>
      </c>
      <c r="C51">
        <f>IFERROR(INDEX(Calc!$N$2:$N$1001,MATCH(ROW()-1,Calc!$X$2:$X$1001,0)),"")</f>
        <v/>
      </c>
      <c r="D51" s="3">
        <f>IFERROR(INDEX(Calc!$O$2:$O$1001,MATCH(ROW()-1,Calc!$X$2:$X$1001,0)),"")</f>
        <v/>
      </c>
      <c r="E51" s="3">
        <f>IFERROR(INDEX(Calc!$P$2:$P$1001,MATCH(ROW()-1,Calc!$X$2:$X$1001,0)),"")</f>
        <v/>
      </c>
      <c r="F51" s="3">
        <f>IF(G51="","",E51-D51)</f>
        <v/>
      </c>
      <c r="G51">
        <f>IFERROR(INDEX(Calc!$S$2:$S$1001,MATCH(ROW()-1,Calc!$X$2:$X$1001,0)),"")</f>
        <v/>
      </c>
    </row>
    <row r="52">
      <c r="A52">
        <f>IFERROR(INDEX(Calc!$L$2:$L$1001,MATCH(ROW()-1,Calc!$X$2:$X$1001,0)),"")</f>
        <v/>
      </c>
      <c r="B52">
        <f>IFERROR(INDEX(Calc!$M$2:$M$1001,MATCH(ROW()-1,Calc!$X$2:$X$1001,0)),"")</f>
        <v/>
      </c>
      <c r="C52">
        <f>IFERROR(INDEX(Calc!$N$2:$N$1001,MATCH(ROW()-1,Calc!$X$2:$X$1001,0)),"")</f>
        <v/>
      </c>
      <c r="D52" s="3">
        <f>IFERROR(INDEX(Calc!$O$2:$O$1001,MATCH(ROW()-1,Calc!$X$2:$X$1001,0)),"")</f>
        <v/>
      </c>
      <c r="E52" s="3">
        <f>IFERROR(INDEX(Calc!$P$2:$P$1001,MATCH(ROW()-1,Calc!$X$2:$X$1001,0)),"")</f>
        <v/>
      </c>
      <c r="F52" s="3">
        <f>IF(G52="","",E52-D52)</f>
        <v/>
      </c>
      <c r="G52">
        <f>IFERROR(INDEX(Calc!$S$2:$S$1001,MATCH(ROW()-1,Calc!$X$2:$X$1001,0)),"")</f>
        <v/>
      </c>
    </row>
    <row r="53">
      <c r="A53">
        <f>IFERROR(INDEX(Calc!$L$2:$L$1001,MATCH(ROW()-1,Calc!$X$2:$X$1001,0)),"")</f>
        <v/>
      </c>
      <c r="B53">
        <f>IFERROR(INDEX(Calc!$M$2:$M$1001,MATCH(ROW()-1,Calc!$X$2:$X$1001,0)),"")</f>
        <v/>
      </c>
      <c r="C53">
        <f>IFERROR(INDEX(Calc!$N$2:$N$1001,MATCH(ROW()-1,Calc!$X$2:$X$1001,0)),"")</f>
        <v/>
      </c>
      <c r="D53" s="3">
        <f>IFERROR(INDEX(Calc!$O$2:$O$1001,MATCH(ROW()-1,Calc!$X$2:$X$1001,0)),"")</f>
        <v/>
      </c>
      <c r="E53" s="3">
        <f>IFERROR(INDEX(Calc!$P$2:$P$1001,MATCH(ROW()-1,Calc!$X$2:$X$1001,0)),"")</f>
        <v/>
      </c>
      <c r="F53" s="3">
        <f>IF(G53="","",E53-D53)</f>
        <v/>
      </c>
      <c r="G53">
        <f>IFERROR(INDEX(Calc!$S$2:$S$1001,MATCH(ROW()-1,Calc!$X$2:$X$1001,0)),"")</f>
        <v/>
      </c>
    </row>
    <row r="54">
      <c r="A54">
        <f>IFERROR(INDEX(Calc!$L$2:$L$1001,MATCH(ROW()-1,Calc!$X$2:$X$1001,0)),"")</f>
        <v/>
      </c>
      <c r="B54">
        <f>IFERROR(INDEX(Calc!$M$2:$M$1001,MATCH(ROW()-1,Calc!$X$2:$X$1001,0)),"")</f>
        <v/>
      </c>
      <c r="C54">
        <f>IFERROR(INDEX(Calc!$N$2:$N$1001,MATCH(ROW()-1,Calc!$X$2:$X$1001,0)),"")</f>
        <v/>
      </c>
      <c r="D54" s="3">
        <f>IFERROR(INDEX(Calc!$O$2:$O$1001,MATCH(ROW()-1,Calc!$X$2:$X$1001,0)),"")</f>
        <v/>
      </c>
      <c r="E54" s="3">
        <f>IFERROR(INDEX(Calc!$P$2:$P$1001,MATCH(ROW()-1,Calc!$X$2:$X$1001,0)),"")</f>
        <v/>
      </c>
      <c r="F54" s="3">
        <f>IF(G54="","",E54-D54)</f>
        <v/>
      </c>
      <c r="G54">
        <f>IFERROR(INDEX(Calc!$S$2:$S$1001,MATCH(ROW()-1,Calc!$X$2:$X$1001,0)),"")</f>
        <v/>
      </c>
    </row>
    <row r="55">
      <c r="A55">
        <f>IFERROR(INDEX(Calc!$L$2:$L$1001,MATCH(ROW()-1,Calc!$X$2:$X$1001,0)),"")</f>
        <v/>
      </c>
      <c r="B55">
        <f>IFERROR(INDEX(Calc!$M$2:$M$1001,MATCH(ROW()-1,Calc!$X$2:$X$1001,0)),"")</f>
        <v/>
      </c>
      <c r="C55">
        <f>IFERROR(INDEX(Calc!$N$2:$N$1001,MATCH(ROW()-1,Calc!$X$2:$X$1001,0)),"")</f>
        <v/>
      </c>
      <c r="D55" s="3">
        <f>IFERROR(INDEX(Calc!$O$2:$O$1001,MATCH(ROW()-1,Calc!$X$2:$X$1001,0)),"")</f>
        <v/>
      </c>
      <c r="E55" s="3">
        <f>IFERROR(INDEX(Calc!$P$2:$P$1001,MATCH(ROW()-1,Calc!$X$2:$X$1001,0)),"")</f>
        <v/>
      </c>
      <c r="F55" s="3">
        <f>IF(G55="","",E55-D55)</f>
        <v/>
      </c>
      <c r="G55">
        <f>IFERROR(INDEX(Calc!$S$2:$S$1001,MATCH(ROW()-1,Calc!$X$2:$X$1001,0)),"")</f>
        <v/>
      </c>
    </row>
    <row r="56">
      <c r="A56">
        <f>IFERROR(INDEX(Calc!$L$2:$L$1001,MATCH(ROW()-1,Calc!$X$2:$X$1001,0)),"")</f>
        <v/>
      </c>
      <c r="B56">
        <f>IFERROR(INDEX(Calc!$M$2:$M$1001,MATCH(ROW()-1,Calc!$X$2:$X$1001,0)),"")</f>
        <v/>
      </c>
      <c r="C56">
        <f>IFERROR(INDEX(Calc!$N$2:$N$1001,MATCH(ROW()-1,Calc!$X$2:$X$1001,0)),"")</f>
        <v/>
      </c>
      <c r="D56" s="3">
        <f>IFERROR(INDEX(Calc!$O$2:$O$1001,MATCH(ROW()-1,Calc!$X$2:$X$1001,0)),"")</f>
        <v/>
      </c>
      <c r="E56" s="3">
        <f>IFERROR(INDEX(Calc!$P$2:$P$1001,MATCH(ROW()-1,Calc!$X$2:$X$1001,0)),"")</f>
        <v/>
      </c>
      <c r="F56" s="3">
        <f>IF(G56="","",E56-D56)</f>
        <v/>
      </c>
      <c r="G56">
        <f>IFERROR(INDEX(Calc!$S$2:$S$1001,MATCH(ROW()-1,Calc!$X$2:$X$1001,0)),"")</f>
        <v/>
      </c>
    </row>
    <row r="57">
      <c r="A57">
        <f>IFERROR(INDEX(Calc!$L$2:$L$1001,MATCH(ROW()-1,Calc!$X$2:$X$1001,0)),"")</f>
        <v/>
      </c>
      <c r="B57">
        <f>IFERROR(INDEX(Calc!$M$2:$M$1001,MATCH(ROW()-1,Calc!$X$2:$X$1001,0)),"")</f>
        <v/>
      </c>
      <c r="C57">
        <f>IFERROR(INDEX(Calc!$N$2:$N$1001,MATCH(ROW()-1,Calc!$X$2:$X$1001,0)),"")</f>
        <v/>
      </c>
      <c r="D57" s="3">
        <f>IFERROR(INDEX(Calc!$O$2:$O$1001,MATCH(ROW()-1,Calc!$X$2:$X$1001,0)),"")</f>
        <v/>
      </c>
      <c r="E57" s="3">
        <f>IFERROR(INDEX(Calc!$P$2:$P$1001,MATCH(ROW()-1,Calc!$X$2:$X$1001,0)),"")</f>
        <v/>
      </c>
      <c r="F57" s="3">
        <f>IF(G57="","",E57-D57)</f>
        <v/>
      </c>
      <c r="G57">
        <f>IFERROR(INDEX(Calc!$S$2:$S$1001,MATCH(ROW()-1,Calc!$X$2:$X$1001,0)),"")</f>
        <v/>
      </c>
    </row>
    <row r="58">
      <c r="A58">
        <f>IFERROR(INDEX(Calc!$L$2:$L$1001,MATCH(ROW()-1,Calc!$X$2:$X$1001,0)),"")</f>
        <v/>
      </c>
      <c r="B58">
        <f>IFERROR(INDEX(Calc!$M$2:$M$1001,MATCH(ROW()-1,Calc!$X$2:$X$1001,0)),"")</f>
        <v/>
      </c>
      <c r="C58">
        <f>IFERROR(INDEX(Calc!$N$2:$N$1001,MATCH(ROW()-1,Calc!$X$2:$X$1001,0)),"")</f>
        <v/>
      </c>
      <c r="D58" s="3">
        <f>IFERROR(INDEX(Calc!$O$2:$O$1001,MATCH(ROW()-1,Calc!$X$2:$X$1001,0)),"")</f>
        <v/>
      </c>
      <c r="E58" s="3">
        <f>IFERROR(INDEX(Calc!$P$2:$P$1001,MATCH(ROW()-1,Calc!$X$2:$X$1001,0)),"")</f>
        <v/>
      </c>
      <c r="F58" s="3">
        <f>IF(G58="","",E58-D58)</f>
        <v/>
      </c>
      <c r="G58">
        <f>IFERROR(INDEX(Calc!$S$2:$S$1001,MATCH(ROW()-1,Calc!$X$2:$X$1001,0)),"")</f>
        <v/>
      </c>
    </row>
    <row r="59">
      <c r="A59">
        <f>IFERROR(INDEX(Calc!$L$2:$L$1001,MATCH(ROW()-1,Calc!$X$2:$X$1001,0)),"")</f>
        <v/>
      </c>
      <c r="B59">
        <f>IFERROR(INDEX(Calc!$M$2:$M$1001,MATCH(ROW()-1,Calc!$X$2:$X$1001,0)),"")</f>
        <v/>
      </c>
      <c r="C59">
        <f>IFERROR(INDEX(Calc!$N$2:$N$1001,MATCH(ROW()-1,Calc!$X$2:$X$1001,0)),"")</f>
        <v/>
      </c>
      <c r="D59" s="3">
        <f>IFERROR(INDEX(Calc!$O$2:$O$1001,MATCH(ROW()-1,Calc!$X$2:$X$1001,0)),"")</f>
        <v/>
      </c>
      <c r="E59" s="3">
        <f>IFERROR(INDEX(Calc!$P$2:$P$1001,MATCH(ROW()-1,Calc!$X$2:$X$1001,0)),"")</f>
        <v/>
      </c>
      <c r="F59" s="3">
        <f>IF(G59="","",E59-D59)</f>
        <v/>
      </c>
      <c r="G59">
        <f>IFERROR(INDEX(Calc!$S$2:$S$1001,MATCH(ROW()-1,Calc!$X$2:$X$1001,0)),"")</f>
        <v/>
      </c>
    </row>
    <row r="60">
      <c r="A60">
        <f>IFERROR(INDEX(Calc!$L$2:$L$1001,MATCH(ROW()-1,Calc!$X$2:$X$1001,0)),"")</f>
        <v/>
      </c>
      <c r="B60">
        <f>IFERROR(INDEX(Calc!$M$2:$M$1001,MATCH(ROW()-1,Calc!$X$2:$X$1001,0)),"")</f>
        <v/>
      </c>
      <c r="C60">
        <f>IFERROR(INDEX(Calc!$N$2:$N$1001,MATCH(ROW()-1,Calc!$X$2:$X$1001,0)),"")</f>
        <v/>
      </c>
      <c r="D60" s="3">
        <f>IFERROR(INDEX(Calc!$O$2:$O$1001,MATCH(ROW()-1,Calc!$X$2:$X$1001,0)),"")</f>
        <v/>
      </c>
      <c r="E60" s="3">
        <f>IFERROR(INDEX(Calc!$P$2:$P$1001,MATCH(ROW()-1,Calc!$X$2:$X$1001,0)),"")</f>
        <v/>
      </c>
      <c r="F60" s="3">
        <f>IF(G60="","",E60-D60)</f>
        <v/>
      </c>
      <c r="G60">
        <f>IFERROR(INDEX(Calc!$S$2:$S$1001,MATCH(ROW()-1,Calc!$X$2:$X$1001,0)),"")</f>
        <v/>
      </c>
    </row>
    <row r="61">
      <c r="A61">
        <f>IFERROR(INDEX(Calc!$L$2:$L$1001,MATCH(ROW()-1,Calc!$X$2:$X$1001,0)),"")</f>
        <v/>
      </c>
      <c r="B61">
        <f>IFERROR(INDEX(Calc!$M$2:$M$1001,MATCH(ROW()-1,Calc!$X$2:$X$1001,0)),"")</f>
        <v/>
      </c>
      <c r="C61">
        <f>IFERROR(INDEX(Calc!$N$2:$N$1001,MATCH(ROW()-1,Calc!$X$2:$X$1001,0)),"")</f>
        <v/>
      </c>
      <c r="D61" s="3">
        <f>IFERROR(INDEX(Calc!$O$2:$O$1001,MATCH(ROW()-1,Calc!$X$2:$X$1001,0)),"")</f>
        <v/>
      </c>
      <c r="E61" s="3">
        <f>IFERROR(INDEX(Calc!$P$2:$P$1001,MATCH(ROW()-1,Calc!$X$2:$X$1001,0)),"")</f>
        <v/>
      </c>
      <c r="F61" s="3">
        <f>IF(G61="","",E61-D61)</f>
        <v/>
      </c>
      <c r="G61">
        <f>IFERROR(INDEX(Calc!$S$2:$S$1001,MATCH(ROW()-1,Calc!$X$2:$X$1001,0)),"")</f>
        <v/>
      </c>
    </row>
    <row r="62">
      <c r="A62">
        <f>IFERROR(INDEX(Calc!$L$2:$L$1001,MATCH(ROW()-1,Calc!$X$2:$X$1001,0)),"")</f>
        <v/>
      </c>
      <c r="B62">
        <f>IFERROR(INDEX(Calc!$M$2:$M$1001,MATCH(ROW()-1,Calc!$X$2:$X$1001,0)),"")</f>
        <v/>
      </c>
      <c r="C62">
        <f>IFERROR(INDEX(Calc!$N$2:$N$1001,MATCH(ROW()-1,Calc!$X$2:$X$1001,0)),"")</f>
        <v/>
      </c>
      <c r="D62" s="3">
        <f>IFERROR(INDEX(Calc!$O$2:$O$1001,MATCH(ROW()-1,Calc!$X$2:$X$1001,0)),"")</f>
        <v/>
      </c>
      <c r="E62" s="3">
        <f>IFERROR(INDEX(Calc!$P$2:$P$1001,MATCH(ROW()-1,Calc!$X$2:$X$1001,0)),"")</f>
        <v/>
      </c>
      <c r="F62" s="3">
        <f>IF(G62="","",E62-D62)</f>
        <v/>
      </c>
      <c r="G62">
        <f>IFERROR(INDEX(Calc!$S$2:$S$1001,MATCH(ROW()-1,Calc!$X$2:$X$1001,0)),"")</f>
        <v/>
      </c>
    </row>
    <row r="63">
      <c r="A63">
        <f>IFERROR(INDEX(Calc!$L$2:$L$1001,MATCH(ROW()-1,Calc!$X$2:$X$1001,0)),"")</f>
        <v/>
      </c>
      <c r="B63">
        <f>IFERROR(INDEX(Calc!$M$2:$M$1001,MATCH(ROW()-1,Calc!$X$2:$X$1001,0)),"")</f>
        <v/>
      </c>
      <c r="C63">
        <f>IFERROR(INDEX(Calc!$N$2:$N$1001,MATCH(ROW()-1,Calc!$X$2:$X$1001,0)),"")</f>
        <v/>
      </c>
      <c r="D63" s="3">
        <f>IFERROR(INDEX(Calc!$O$2:$O$1001,MATCH(ROW()-1,Calc!$X$2:$X$1001,0)),"")</f>
        <v/>
      </c>
      <c r="E63" s="3">
        <f>IFERROR(INDEX(Calc!$P$2:$P$1001,MATCH(ROW()-1,Calc!$X$2:$X$1001,0)),"")</f>
        <v/>
      </c>
      <c r="F63" s="3">
        <f>IF(G63="","",E63-D63)</f>
        <v/>
      </c>
      <c r="G63">
        <f>IFERROR(INDEX(Calc!$S$2:$S$1001,MATCH(ROW()-1,Calc!$X$2:$X$1001,0)),"")</f>
        <v/>
      </c>
    </row>
    <row r="64">
      <c r="A64">
        <f>IFERROR(INDEX(Calc!$L$2:$L$1001,MATCH(ROW()-1,Calc!$X$2:$X$1001,0)),"")</f>
        <v/>
      </c>
      <c r="B64">
        <f>IFERROR(INDEX(Calc!$M$2:$M$1001,MATCH(ROW()-1,Calc!$X$2:$X$1001,0)),"")</f>
        <v/>
      </c>
      <c r="C64">
        <f>IFERROR(INDEX(Calc!$N$2:$N$1001,MATCH(ROW()-1,Calc!$X$2:$X$1001,0)),"")</f>
        <v/>
      </c>
      <c r="D64" s="3">
        <f>IFERROR(INDEX(Calc!$O$2:$O$1001,MATCH(ROW()-1,Calc!$X$2:$X$1001,0)),"")</f>
        <v/>
      </c>
      <c r="E64" s="3">
        <f>IFERROR(INDEX(Calc!$P$2:$P$1001,MATCH(ROW()-1,Calc!$X$2:$X$1001,0)),"")</f>
        <v/>
      </c>
      <c r="F64" s="3">
        <f>IF(G64="","",E64-D64)</f>
        <v/>
      </c>
      <c r="G64">
        <f>IFERROR(INDEX(Calc!$S$2:$S$1001,MATCH(ROW()-1,Calc!$X$2:$X$1001,0)),"")</f>
        <v/>
      </c>
    </row>
    <row r="65">
      <c r="A65">
        <f>IFERROR(INDEX(Calc!$L$2:$L$1001,MATCH(ROW()-1,Calc!$X$2:$X$1001,0)),"")</f>
        <v/>
      </c>
      <c r="B65">
        <f>IFERROR(INDEX(Calc!$M$2:$M$1001,MATCH(ROW()-1,Calc!$X$2:$X$1001,0)),"")</f>
        <v/>
      </c>
      <c r="C65">
        <f>IFERROR(INDEX(Calc!$N$2:$N$1001,MATCH(ROW()-1,Calc!$X$2:$X$1001,0)),"")</f>
        <v/>
      </c>
      <c r="D65" s="3">
        <f>IFERROR(INDEX(Calc!$O$2:$O$1001,MATCH(ROW()-1,Calc!$X$2:$X$1001,0)),"")</f>
        <v/>
      </c>
      <c r="E65" s="3">
        <f>IFERROR(INDEX(Calc!$P$2:$P$1001,MATCH(ROW()-1,Calc!$X$2:$X$1001,0)),"")</f>
        <v/>
      </c>
      <c r="F65" s="3">
        <f>IF(G65="","",E65-D65)</f>
        <v/>
      </c>
      <c r="G65">
        <f>IFERROR(INDEX(Calc!$S$2:$S$1001,MATCH(ROW()-1,Calc!$X$2:$X$1001,0)),"")</f>
        <v/>
      </c>
    </row>
    <row r="66">
      <c r="A66">
        <f>IFERROR(INDEX(Calc!$L$2:$L$1001,MATCH(ROW()-1,Calc!$X$2:$X$1001,0)),"")</f>
        <v/>
      </c>
      <c r="B66">
        <f>IFERROR(INDEX(Calc!$M$2:$M$1001,MATCH(ROW()-1,Calc!$X$2:$X$1001,0)),"")</f>
        <v/>
      </c>
      <c r="C66">
        <f>IFERROR(INDEX(Calc!$N$2:$N$1001,MATCH(ROW()-1,Calc!$X$2:$X$1001,0)),"")</f>
        <v/>
      </c>
      <c r="D66" s="3">
        <f>IFERROR(INDEX(Calc!$O$2:$O$1001,MATCH(ROW()-1,Calc!$X$2:$X$1001,0)),"")</f>
        <v/>
      </c>
      <c r="E66" s="3">
        <f>IFERROR(INDEX(Calc!$P$2:$P$1001,MATCH(ROW()-1,Calc!$X$2:$X$1001,0)),"")</f>
        <v/>
      </c>
      <c r="F66" s="3">
        <f>IF(G66="","",E66-D66)</f>
        <v/>
      </c>
      <c r="G66">
        <f>IFERROR(INDEX(Calc!$S$2:$S$1001,MATCH(ROW()-1,Calc!$X$2:$X$1001,0)),"")</f>
        <v/>
      </c>
    </row>
    <row r="67">
      <c r="A67">
        <f>IFERROR(INDEX(Calc!$L$2:$L$1001,MATCH(ROW()-1,Calc!$X$2:$X$1001,0)),"")</f>
        <v/>
      </c>
      <c r="B67">
        <f>IFERROR(INDEX(Calc!$M$2:$M$1001,MATCH(ROW()-1,Calc!$X$2:$X$1001,0)),"")</f>
        <v/>
      </c>
      <c r="C67">
        <f>IFERROR(INDEX(Calc!$N$2:$N$1001,MATCH(ROW()-1,Calc!$X$2:$X$1001,0)),"")</f>
        <v/>
      </c>
      <c r="D67" s="3">
        <f>IFERROR(INDEX(Calc!$O$2:$O$1001,MATCH(ROW()-1,Calc!$X$2:$X$1001,0)),"")</f>
        <v/>
      </c>
      <c r="E67" s="3">
        <f>IFERROR(INDEX(Calc!$P$2:$P$1001,MATCH(ROW()-1,Calc!$X$2:$X$1001,0)),"")</f>
        <v/>
      </c>
      <c r="F67" s="3">
        <f>IF(G67="","",E67-D67)</f>
        <v/>
      </c>
      <c r="G67">
        <f>IFERROR(INDEX(Calc!$S$2:$S$1001,MATCH(ROW()-1,Calc!$X$2:$X$1001,0)),"")</f>
        <v/>
      </c>
    </row>
    <row r="68">
      <c r="A68">
        <f>IFERROR(INDEX(Calc!$L$2:$L$1001,MATCH(ROW()-1,Calc!$X$2:$X$1001,0)),"")</f>
        <v/>
      </c>
      <c r="B68">
        <f>IFERROR(INDEX(Calc!$M$2:$M$1001,MATCH(ROW()-1,Calc!$X$2:$X$1001,0)),"")</f>
        <v/>
      </c>
      <c r="C68">
        <f>IFERROR(INDEX(Calc!$N$2:$N$1001,MATCH(ROW()-1,Calc!$X$2:$X$1001,0)),"")</f>
        <v/>
      </c>
      <c r="D68" s="3">
        <f>IFERROR(INDEX(Calc!$O$2:$O$1001,MATCH(ROW()-1,Calc!$X$2:$X$1001,0)),"")</f>
        <v/>
      </c>
      <c r="E68" s="3">
        <f>IFERROR(INDEX(Calc!$P$2:$P$1001,MATCH(ROW()-1,Calc!$X$2:$X$1001,0)),"")</f>
        <v/>
      </c>
      <c r="F68" s="3">
        <f>IF(G68="","",E68-D68)</f>
        <v/>
      </c>
      <c r="G68">
        <f>IFERROR(INDEX(Calc!$S$2:$S$1001,MATCH(ROW()-1,Calc!$X$2:$X$1001,0)),"")</f>
        <v/>
      </c>
    </row>
    <row r="69">
      <c r="A69">
        <f>IFERROR(INDEX(Calc!$L$2:$L$1001,MATCH(ROW()-1,Calc!$X$2:$X$1001,0)),"")</f>
        <v/>
      </c>
      <c r="B69">
        <f>IFERROR(INDEX(Calc!$M$2:$M$1001,MATCH(ROW()-1,Calc!$X$2:$X$1001,0)),"")</f>
        <v/>
      </c>
      <c r="C69">
        <f>IFERROR(INDEX(Calc!$N$2:$N$1001,MATCH(ROW()-1,Calc!$X$2:$X$1001,0)),"")</f>
        <v/>
      </c>
      <c r="D69" s="3">
        <f>IFERROR(INDEX(Calc!$O$2:$O$1001,MATCH(ROW()-1,Calc!$X$2:$X$1001,0)),"")</f>
        <v/>
      </c>
      <c r="E69" s="3">
        <f>IFERROR(INDEX(Calc!$P$2:$P$1001,MATCH(ROW()-1,Calc!$X$2:$X$1001,0)),"")</f>
        <v/>
      </c>
      <c r="F69" s="3">
        <f>IF(G69="","",E69-D69)</f>
        <v/>
      </c>
      <c r="G69">
        <f>IFERROR(INDEX(Calc!$S$2:$S$1001,MATCH(ROW()-1,Calc!$X$2:$X$1001,0)),"")</f>
        <v/>
      </c>
    </row>
    <row r="70">
      <c r="A70">
        <f>IFERROR(INDEX(Calc!$L$2:$L$1001,MATCH(ROW()-1,Calc!$X$2:$X$1001,0)),"")</f>
        <v/>
      </c>
      <c r="B70">
        <f>IFERROR(INDEX(Calc!$M$2:$M$1001,MATCH(ROW()-1,Calc!$X$2:$X$1001,0)),"")</f>
        <v/>
      </c>
      <c r="C70">
        <f>IFERROR(INDEX(Calc!$N$2:$N$1001,MATCH(ROW()-1,Calc!$X$2:$X$1001,0)),"")</f>
        <v/>
      </c>
      <c r="D70" s="3">
        <f>IFERROR(INDEX(Calc!$O$2:$O$1001,MATCH(ROW()-1,Calc!$X$2:$X$1001,0)),"")</f>
        <v/>
      </c>
      <c r="E70" s="3">
        <f>IFERROR(INDEX(Calc!$P$2:$P$1001,MATCH(ROW()-1,Calc!$X$2:$X$1001,0)),"")</f>
        <v/>
      </c>
      <c r="F70" s="3">
        <f>IF(G70="","",E70-D70)</f>
        <v/>
      </c>
      <c r="G70">
        <f>IFERROR(INDEX(Calc!$S$2:$S$1001,MATCH(ROW()-1,Calc!$X$2:$X$1001,0)),"")</f>
        <v/>
      </c>
    </row>
    <row r="71">
      <c r="A71">
        <f>IFERROR(INDEX(Calc!$L$2:$L$1001,MATCH(ROW()-1,Calc!$X$2:$X$1001,0)),"")</f>
        <v/>
      </c>
      <c r="B71">
        <f>IFERROR(INDEX(Calc!$M$2:$M$1001,MATCH(ROW()-1,Calc!$X$2:$X$1001,0)),"")</f>
        <v/>
      </c>
      <c r="C71">
        <f>IFERROR(INDEX(Calc!$N$2:$N$1001,MATCH(ROW()-1,Calc!$X$2:$X$1001,0)),"")</f>
        <v/>
      </c>
      <c r="D71" s="3">
        <f>IFERROR(INDEX(Calc!$O$2:$O$1001,MATCH(ROW()-1,Calc!$X$2:$X$1001,0)),"")</f>
        <v/>
      </c>
      <c r="E71" s="3">
        <f>IFERROR(INDEX(Calc!$P$2:$P$1001,MATCH(ROW()-1,Calc!$X$2:$X$1001,0)),"")</f>
        <v/>
      </c>
      <c r="F71" s="3">
        <f>IF(G71="","",E71-D71)</f>
        <v/>
      </c>
      <c r="G71">
        <f>IFERROR(INDEX(Calc!$S$2:$S$1001,MATCH(ROW()-1,Calc!$X$2:$X$1001,0)),"")</f>
        <v/>
      </c>
    </row>
    <row r="72">
      <c r="A72">
        <f>IFERROR(INDEX(Calc!$L$2:$L$1001,MATCH(ROW()-1,Calc!$X$2:$X$1001,0)),"")</f>
        <v/>
      </c>
      <c r="B72">
        <f>IFERROR(INDEX(Calc!$M$2:$M$1001,MATCH(ROW()-1,Calc!$X$2:$X$1001,0)),"")</f>
        <v/>
      </c>
      <c r="C72">
        <f>IFERROR(INDEX(Calc!$N$2:$N$1001,MATCH(ROW()-1,Calc!$X$2:$X$1001,0)),"")</f>
        <v/>
      </c>
      <c r="D72" s="3">
        <f>IFERROR(INDEX(Calc!$O$2:$O$1001,MATCH(ROW()-1,Calc!$X$2:$X$1001,0)),"")</f>
        <v/>
      </c>
      <c r="E72" s="3">
        <f>IFERROR(INDEX(Calc!$P$2:$P$1001,MATCH(ROW()-1,Calc!$X$2:$X$1001,0)),"")</f>
        <v/>
      </c>
      <c r="F72" s="3">
        <f>IF(G72="","",E72-D72)</f>
        <v/>
      </c>
      <c r="G72">
        <f>IFERROR(INDEX(Calc!$S$2:$S$1001,MATCH(ROW()-1,Calc!$X$2:$X$1001,0)),"")</f>
        <v/>
      </c>
    </row>
    <row r="73">
      <c r="A73">
        <f>IFERROR(INDEX(Calc!$L$2:$L$1001,MATCH(ROW()-1,Calc!$X$2:$X$1001,0)),"")</f>
        <v/>
      </c>
      <c r="B73">
        <f>IFERROR(INDEX(Calc!$M$2:$M$1001,MATCH(ROW()-1,Calc!$X$2:$X$1001,0)),"")</f>
        <v/>
      </c>
      <c r="C73">
        <f>IFERROR(INDEX(Calc!$N$2:$N$1001,MATCH(ROW()-1,Calc!$X$2:$X$1001,0)),"")</f>
        <v/>
      </c>
      <c r="D73" s="3">
        <f>IFERROR(INDEX(Calc!$O$2:$O$1001,MATCH(ROW()-1,Calc!$X$2:$X$1001,0)),"")</f>
        <v/>
      </c>
      <c r="E73" s="3">
        <f>IFERROR(INDEX(Calc!$P$2:$P$1001,MATCH(ROW()-1,Calc!$X$2:$X$1001,0)),"")</f>
        <v/>
      </c>
      <c r="F73" s="3">
        <f>IF(G73="","",E73-D73)</f>
        <v/>
      </c>
      <c r="G73">
        <f>IFERROR(INDEX(Calc!$S$2:$S$1001,MATCH(ROW()-1,Calc!$X$2:$X$1001,0)),"")</f>
        <v/>
      </c>
    </row>
    <row r="74">
      <c r="A74">
        <f>IFERROR(INDEX(Calc!$L$2:$L$1001,MATCH(ROW()-1,Calc!$X$2:$X$1001,0)),"")</f>
        <v/>
      </c>
      <c r="B74">
        <f>IFERROR(INDEX(Calc!$M$2:$M$1001,MATCH(ROW()-1,Calc!$X$2:$X$1001,0)),"")</f>
        <v/>
      </c>
      <c r="C74">
        <f>IFERROR(INDEX(Calc!$N$2:$N$1001,MATCH(ROW()-1,Calc!$X$2:$X$1001,0)),"")</f>
        <v/>
      </c>
      <c r="D74" s="3">
        <f>IFERROR(INDEX(Calc!$O$2:$O$1001,MATCH(ROW()-1,Calc!$X$2:$X$1001,0)),"")</f>
        <v/>
      </c>
      <c r="E74" s="3">
        <f>IFERROR(INDEX(Calc!$P$2:$P$1001,MATCH(ROW()-1,Calc!$X$2:$X$1001,0)),"")</f>
        <v/>
      </c>
      <c r="F74" s="3">
        <f>IF(G74="","",E74-D74)</f>
        <v/>
      </c>
      <c r="G74">
        <f>IFERROR(INDEX(Calc!$S$2:$S$1001,MATCH(ROW()-1,Calc!$X$2:$X$1001,0)),"")</f>
        <v/>
      </c>
    </row>
    <row r="75">
      <c r="A75">
        <f>IFERROR(INDEX(Calc!$L$2:$L$1001,MATCH(ROW()-1,Calc!$X$2:$X$1001,0)),"")</f>
        <v/>
      </c>
      <c r="B75">
        <f>IFERROR(INDEX(Calc!$M$2:$M$1001,MATCH(ROW()-1,Calc!$X$2:$X$1001,0)),"")</f>
        <v/>
      </c>
      <c r="C75">
        <f>IFERROR(INDEX(Calc!$N$2:$N$1001,MATCH(ROW()-1,Calc!$X$2:$X$1001,0)),"")</f>
        <v/>
      </c>
      <c r="D75" s="3">
        <f>IFERROR(INDEX(Calc!$O$2:$O$1001,MATCH(ROW()-1,Calc!$X$2:$X$1001,0)),"")</f>
        <v/>
      </c>
      <c r="E75" s="3">
        <f>IFERROR(INDEX(Calc!$P$2:$P$1001,MATCH(ROW()-1,Calc!$X$2:$X$1001,0)),"")</f>
        <v/>
      </c>
      <c r="F75" s="3">
        <f>IF(G75="","",E75-D75)</f>
        <v/>
      </c>
      <c r="G75">
        <f>IFERROR(INDEX(Calc!$S$2:$S$1001,MATCH(ROW()-1,Calc!$X$2:$X$1001,0)),"")</f>
        <v/>
      </c>
    </row>
    <row r="76">
      <c r="A76">
        <f>IFERROR(INDEX(Calc!$L$2:$L$1001,MATCH(ROW()-1,Calc!$X$2:$X$1001,0)),"")</f>
        <v/>
      </c>
      <c r="B76">
        <f>IFERROR(INDEX(Calc!$M$2:$M$1001,MATCH(ROW()-1,Calc!$X$2:$X$1001,0)),"")</f>
        <v/>
      </c>
      <c r="C76">
        <f>IFERROR(INDEX(Calc!$N$2:$N$1001,MATCH(ROW()-1,Calc!$X$2:$X$1001,0)),"")</f>
        <v/>
      </c>
      <c r="D76" s="3">
        <f>IFERROR(INDEX(Calc!$O$2:$O$1001,MATCH(ROW()-1,Calc!$X$2:$X$1001,0)),"")</f>
        <v/>
      </c>
      <c r="E76" s="3">
        <f>IFERROR(INDEX(Calc!$P$2:$P$1001,MATCH(ROW()-1,Calc!$X$2:$X$1001,0)),"")</f>
        <v/>
      </c>
      <c r="F76" s="3">
        <f>IF(G76="","",E76-D76)</f>
        <v/>
      </c>
      <c r="G76">
        <f>IFERROR(INDEX(Calc!$S$2:$S$1001,MATCH(ROW()-1,Calc!$X$2:$X$1001,0)),"")</f>
        <v/>
      </c>
    </row>
    <row r="77">
      <c r="A77">
        <f>IFERROR(INDEX(Calc!$L$2:$L$1001,MATCH(ROW()-1,Calc!$X$2:$X$1001,0)),"")</f>
        <v/>
      </c>
      <c r="B77">
        <f>IFERROR(INDEX(Calc!$M$2:$M$1001,MATCH(ROW()-1,Calc!$X$2:$X$1001,0)),"")</f>
        <v/>
      </c>
      <c r="C77">
        <f>IFERROR(INDEX(Calc!$N$2:$N$1001,MATCH(ROW()-1,Calc!$X$2:$X$1001,0)),"")</f>
        <v/>
      </c>
      <c r="D77" s="3">
        <f>IFERROR(INDEX(Calc!$O$2:$O$1001,MATCH(ROW()-1,Calc!$X$2:$X$1001,0)),"")</f>
        <v/>
      </c>
      <c r="E77" s="3">
        <f>IFERROR(INDEX(Calc!$P$2:$P$1001,MATCH(ROW()-1,Calc!$X$2:$X$1001,0)),"")</f>
        <v/>
      </c>
      <c r="F77" s="3">
        <f>IF(G77="","",E77-D77)</f>
        <v/>
      </c>
      <c r="G77">
        <f>IFERROR(INDEX(Calc!$S$2:$S$1001,MATCH(ROW()-1,Calc!$X$2:$X$1001,0)),"")</f>
        <v/>
      </c>
    </row>
    <row r="78">
      <c r="A78">
        <f>IFERROR(INDEX(Calc!$L$2:$L$1001,MATCH(ROW()-1,Calc!$X$2:$X$1001,0)),"")</f>
        <v/>
      </c>
      <c r="B78">
        <f>IFERROR(INDEX(Calc!$M$2:$M$1001,MATCH(ROW()-1,Calc!$X$2:$X$1001,0)),"")</f>
        <v/>
      </c>
      <c r="C78">
        <f>IFERROR(INDEX(Calc!$N$2:$N$1001,MATCH(ROW()-1,Calc!$X$2:$X$1001,0)),"")</f>
        <v/>
      </c>
      <c r="D78" s="3">
        <f>IFERROR(INDEX(Calc!$O$2:$O$1001,MATCH(ROW()-1,Calc!$X$2:$X$1001,0)),"")</f>
        <v/>
      </c>
      <c r="E78" s="3">
        <f>IFERROR(INDEX(Calc!$P$2:$P$1001,MATCH(ROW()-1,Calc!$X$2:$X$1001,0)),"")</f>
        <v/>
      </c>
      <c r="F78" s="3">
        <f>IF(G78="","",E78-D78)</f>
        <v/>
      </c>
      <c r="G78">
        <f>IFERROR(INDEX(Calc!$S$2:$S$1001,MATCH(ROW()-1,Calc!$X$2:$X$1001,0)),"")</f>
        <v/>
      </c>
    </row>
    <row r="79">
      <c r="A79">
        <f>IFERROR(INDEX(Calc!$L$2:$L$1001,MATCH(ROW()-1,Calc!$X$2:$X$1001,0)),"")</f>
        <v/>
      </c>
      <c r="B79">
        <f>IFERROR(INDEX(Calc!$M$2:$M$1001,MATCH(ROW()-1,Calc!$X$2:$X$1001,0)),"")</f>
        <v/>
      </c>
      <c r="C79">
        <f>IFERROR(INDEX(Calc!$N$2:$N$1001,MATCH(ROW()-1,Calc!$X$2:$X$1001,0)),"")</f>
        <v/>
      </c>
      <c r="D79" s="3">
        <f>IFERROR(INDEX(Calc!$O$2:$O$1001,MATCH(ROW()-1,Calc!$X$2:$X$1001,0)),"")</f>
        <v/>
      </c>
      <c r="E79" s="3">
        <f>IFERROR(INDEX(Calc!$P$2:$P$1001,MATCH(ROW()-1,Calc!$X$2:$X$1001,0)),"")</f>
        <v/>
      </c>
      <c r="F79" s="3">
        <f>IF(G79="","",E79-D79)</f>
        <v/>
      </c>
      <c r="G79">
        <f>IFERROR(INDEX(Calc!$S$2:$S$1001,MATCH(ROW()-1,Calc!$X$2:$X$1001,0)),"")</f>
        <v/>
      </c>
    </row>
    <row r="80">
      <c r="A80">
        <f>IFERROR(INDEX(Calc!$L$2:$L$1001,MATCH(ROW()-1,Calc!$X$2:$X$1001,0)),"")</f>
        <v/>
      </c>
      <c r="B80">
        <f>IFERROR(INDEX(Calc!$M$2:$M$1001,MATCH(ROW()-1,Calc!$X$2:$X$1001,0)),"")</f>
        <v/>
      </c>
      <c r="C80">
        <f>IFERROR(INDEX(Calc!$N$2:$N$1001,MATCH(ROW()-1,Calc!$X$2:$X$1001,0)),"")</f>
        <v/>
      </c>
      <c r="D80" s="3">
        <f>IFERROR(INDEX(Calc!$O$2:$O$1001,MATCH(ROW()-1,Calc!$X$2:$X$1001,0)),"")</f>
        <v/>
      </c>
      <c r="E80" s="3">
        <f>IFERROR(INDEX(Calc!$P$2:$P$1001,MATCH(ROW()-1,Calc!$X$2:$X$1001,0)),"")</f>
        <v/>
      </c>
      <c r="F80" s="3">
        <f>IF(G80="","",E80-D80)</f>
        <v/>
      </c>
      <c r="G80">
        <f>IFERROR(INDEX(Calc!$S$2:$S$1001,MATCH(ROW()-1,Calc!$X$2:$X$1001,0)),"")</f>
        <v/>
      </c>
    </row>
    <row r="81">
      <c r="A81">
        <f>IFERROR(INDEX(Calc!$L$2:$L$1001,MATCH(ROW()-1,Calc!$X$2:$X$1001,0)),"")</f>
        <v/>
      </c>
      <c r="B81">
        <f>IFERROR(INDEX(Calc!$M$2:$M$1001,MATCH(ROW()-1,Calc!$X$2:$X$1001,0)),"")</f>
        <v/>
      </c>
      <c r="C81">
        <f>IFERROR(INDEX(Calc!$N$2:$N$1001,MATCH(ROW()-1,Calc!$X$2:$X$1001,0)),"")</f>
        <v/>
      </c>
      <c r="D81" s="3">
        <f>IFERROR(INDEX(Calc!$O$2:$O$1001,MATCH(ROW()-1,Calc!$X$2:$X$1001,0)),"")</f>
        <v/>
      </c>
      <c r="E81" s="3">
        <f>IFERROR(INDEX(Calc!$P$2:$P$1001,MATCH(ROW()-1,Calc!$X$2:$X$1001,0)),"")</f>
        <v/>
      </c>
      <c r="F81" s="3">
        <f>IF(G81="","",E81-D81)</f>
        <v/>
      </c>
      <c r="G81">
        <f>IFERROR(INDEX(Calc!$S$2:$S$1001,MATCH(ROW()-1,Calc!$X$2:$X$1001,0)),"")</f>
        <v/>
      </c>
    </row>
    <row r="82">
      <c r="A82">
        <f>IFERROR(INDEX(Calc!$L$2:$L$1001,MATCH(ROW()-1,Calc!$X$2:$X$1001,0)),"")</f>
        <v/>
      </c>
      <c r="B82">
        <f>IFERROR(INDEX(Calc!$M$2:$M$1001,MATCH(ROW()-1,Calc!$X$2:$X$1001,0)),"")</f>
        <v/>
      </c>
      <c r="C82">
        <f>IFERROR(INDEX(Calc!$N$2:$N$1001,MATCH(ROW()-1,Calc!$X$2:$X$1001,0)),"")</f>
        <v/>
      </c>
      <c r="D82" s="3">
        <f>IFERROR(INDEX(Calc!$O$2:$O$1001,MATCH(ROW()-1,Calc!$X$2:$X$1001,0)),"")</f>
        <v/>
      </c>
      <c r="E82" s="3">
        <f>IFERROR(INDEX(Calc!$P$2:$P$1001,MATCH(ROW()-1,Calc!$X$2:$X$1001,0)),"")</f>
        <v/>
      </c>
      <c r="F82" s="3">
        <f>IF(G82="","",E82-D82)</f>
        <v/>
      </c>
      <c r="G82">
        <f>IFERROR(INDEX(Calc!$S$2:$S$1001,MATCH(ROW()-1,Calc!$X$2:$X$1001,0)),"")</f>
        <v/>
      </c>
    </row>
    <row r="83">
      <c r="A83">
        <f>IFERROR(INDEX(Calc!$L$2:$L$1001,MATCH(ROW()-1,Calc!$X$2:$X$1001,0)),"")</f>
        <v/>
      </c>
      <c r="B83">
        <f>IFERROR(INDEX(Calc!$M$2:$M$1001,MATCH(ROW()-1,Calc!$X$2:$X$1001,0)),"")</f>
        <v/>
      </c>
      <c r="C83">
        <f>IFERROR(INDEX(Calc!$N$2:$N$1001,MATCH(ROW()-1,Calc!$X$2:$X$1001,0)),"")</f>
        <v/>
      </c>
      <c r="D83" s="3">
        <f>IFERROR(INDEX(Calc!$O$2:$O$1001,MATCH(ROW()-1,Calc!$X$2:$X$1001,0)),"")</f>
        <v/>
      </c>
      <c r="E83" s="3">
        <f>IFERROR(INDEX(Calc!$P$2:$P$1001,MATCH(ROW()-1,Calc!$X$2:$X$1001,0)),"")</f>
        <v/>
      </c>
      <c r="F83" s="3">
        <f>IF(G83="","",E83-D83)</f>
        <v/>
      </c>
      <c r="G83">
        <f>IFERROR(INDEX(Calc!$S$2:$S$1001,MATCH(ROW()-1,Calc!$X$2:$X$1001,0)),"")</f>
        <v/>
      </c>
    </row>
    <row r="84">
      <c r="A84">
        <f>IFERROR(INDEX(Calc!$L$2:$L$1001,MATCH(ROW()-1,Calc!$X$2:$X$1001,0)),"")</f>
        <v/>
      </c>
      <c r="B84">
        <f>IFERROR(INDEX(Calc!$M$2:$M$1001,MATCH(ROW()-1,Calc!$X$2:$X$1001,0)),"")</f>
        <v/>
      </c>
      <c r="C84">
        <f>IFERROR(INDEX(Calc!$N$2:$N$1001,MATCH(ROW()-1,Calc!$X$2:$X$1001,0)),"")</f>
        <v/>
      </c>
      <c r="D84" s="3">
        <f>IFERROR(INDEX(Calc!$O$2:$O$1001,MATCH(ROW()-1,Calc!$X$2:$X$1001,0)),"")</f>
        <v/>
      </c>
      <c r="E84" s="3">
        <f>IFERROR(INDEX(Calc!$P$2:$P$1001,MATCH(ROW()-1,Calc!$X$2:$X$1001,0)),"")</f>
        <v/>
      </c>
      <c r="F84" s="3">
        <f>IF(G84="","",E84-D84)</f>
        <v/>
      </c>
      <c r="G84">
        <f>IFERROR(INDEX(Calc!$S$2:$S$1001,MATCH(ROW()-1,Calc!$X$2:$X$1001,0)),"")</f>
        <v/>
      </c>
    </row>
    <row r="85">
      <c r="A85">
        <f>IFERROR(INDEX(Calc!$L$2:$L$1001,MATCH(ROW()-1,Calc!$X$2:$X$1001,0)),"")</f>
        <v/>
      </c>
      <c r="B85">
        <f>IFERROR(INDEX(Calc!$M$2:$M$1001,MATCH(ROW()-1,Calc!$X$2:$X$1001,0)),"")</f>
        <v/>
      </c>
      <c r="C85">
        <f>IFERROR(INDEX(Calc!$N$2:$N$1001,MATCH(ROW()-1,Calc!$X$2:$X$1001,0)),"")</f>
        <v/>
      </c>
      <c r="D85" s="3">
        <f>IFERROR(INDEX(Calc!$O$2:$O$1001,MATCH(ROW()-1,Calc!$X$2:$X$1001,0)),"")</f>
        <v/>
      </c>
      <c r="E85" s="3">
        <f>IFERROR(INDEX(Calc!$P$2:$P$1001,MATCH(ROW()-1,Calc!$X$2:$X$1001,0)),"")</f>
        <v/>
      </c>
      <c r="F85" s="3">
        <f>IF(G85="","",E85-D85)</f>
        <v/>
      </c>
      <c r="G85">
        <f>IFERROR(INDEX(Calc!$S$2:$S$1001,MATCH(ROW()-1,Calc!$X$2:$X$1001,0)),"")</f>
        <v/>
      </c>
    </row>
    <row r="86">
      <c r="A86">
        <f>IFERROR(INDEX(Calc!$L$2:$L$1001,MATCH(ROW()-1,Calc!$X$2:$X$1001,0)),"")</f>
        <v/>
      </c>
      <c r="B86">
        <f>IFERROR(INDEX(Calc!$M$2:$M$1001,MATCH(ROW()-1,Calc!$X$2:$X$1001,0)),"")</f>
        <v/>
      </c>
      <c r="C86">
        <f>IFERROR(INDEX(Calc!$N$2:$N$1001,MATCH(ROW()-1,Calc!$X$2:$X$1001,0)),"")</f>
        <v/>
      </c>
      <c r="D86" s="3">
        <f>IFERROR(INDEX(Calc!$O$2:$O$1001,MATCH(ROW()-1,Calc!$X$2:$X$1001,0)),"")</f>
        <v/>
      </c>
      <c r="E86" s="3">
        <f>IFERROR(INDEX(Calc!$P$2:$P$1001,MATCH(ROW()-1,Calc!$X$2:$X$1001,0)),"")</f>
        <v/>
      </c>
      <c r="F86" s="3">
        <f>IF(G86="","",E86-D86)</f>
        <v/>
      </c>
      <c r="G86">
        <f>IFERROR(INDEX(Calc!$S$2:$S$1001,MATCH(ROW()-1,Calc!$X$2:$X$1001,0)),"")</f>
        <v/>
      </c>
    </row>
    <row r="87">
      <c r="A87">
        <f>IFERROR(INDEX(Calc!$L$2:$L$1001,MATCH(ROW()-1,Calc!$X$2:$X$1001,0)),"")</f>
        <v/>
      </c>
      <c r="B87">
        <f>IFERROR(INDEX(Calc!$M$2:$M$1001,MATCH(ROW()-1,Calc!$X$2:$X$1001,0)),"")</f>
        <v/>
      </c>
      <c r="C87">
        <f>IFERROR(INDEX(Calc!$N$2:$N$1001,MATCH(ROW()-1,Calc!$X$2:$X$1001,0)),"")</f>
        <v/>
      </c>
      <c r="D87" s="3">
        <f>IFERROR(INDEX(Calc!$O$2:$O$1001,MATCH(ROW()-1,Calc!$X$2:$X$1001,0)),"")</f>
        <v/>
      </c>
      <c r="E87" s="3">
        <f>IFERROR(INDEX(Calc!$P$2:$P$1001,MATCH(ROW()-1,Calc!$X$2:$X$1001,0)),"")</f>
        <v/>
      </c>
      <c r="F87" s="3">
        <f>IF(G87="","",E87-D87)</f>
        <v/>
      </c>
      <c r="G87">
        <f>IFERROR(INDEX(Calc!$S$2:$S$1001,MATCH(ROW()-1,Calc!$X$2:$X$1001,0)),"")</f>
        <v/>
      </c>
    </row>
    <row r="88">
      <c r="A88">
        <f>IFERROR(INDEX(Calc!$L$2:$L$1001,MATCH(ROW()-1,Calc!$X$2:$X$1001,0)),"")</f>
        <v/>
      </c>
      <c r="B88">
        <f>IFERROR(INDEX(Calc!$M$2:$M$1001,MATCH(ROW()-1,Calc!$X$2:$X$1001,0)),"")</f>
        <v/>
      </c>
      <c r="C88">
        <f>IFERROR(INDEX(Calc!$N$2:$N$1001,MATCH(ROW()-1,Calc!$X$2:$X$1001,0)),"")</f>
        <v/>
      </c>
      <c r="D88" s="3">
        <f>IFERROR(INDEX(Calc!$O$2:$O$1001,MATCH(ROW()-1,Calc!$X$2:$X$1001,0)),"")</f>
        <v/>
      </c>
      <c r="E88" s="3">
        <f>IFERROR(INDEX(Calc!$P$2:$P$1001,MATCH(ROW()-1,Calc!$X$2:$X$1001,0)),"")</f>
        <v/>
      </c>
      <c r="F88" s="3">
        <f>IF(G88="","",E88-D88)</f>
        <v/>
      </c>
      <c r="G88">
        <f>IFERROR(INDEX(Calc!$S$2:$S$1001,MATCH(ROW()-1,Calc!$X$2:$X$1001,0)),"")</f>
        <v/>
      </c>
    </row>
    <row r="89">
      <c r="A89">
        <f>IFERROR(INDEX(Calc!$L$2:$L$1001,MATCH(ROW()-1,Calc!$X$2:$X$1001,0)),"")</f>
        <v/>
      </c>
      <c r="B89">
        <f>IFERROR(INDEX(Calc!$M$2:$M$1001,MATCH(ROW()-1,Calc!$X$2:$X$1001,0)),"")</f>
        <v/>
      </c>
      <c r="C89">
        <f>IFERROR(INDEX(Calc!$N$2:$N$1001,MATCH(ROW()-1,Calc!$X$2:$X$1001,0)),"")</f>
        <v/>
      </c>
      <c r="D89" s="3">
        <f>IFERROR(INDEX(Calc!$O$2:$O$1001,MATCH(ROW()-1,Calc!$X$2:$X$1001,0)),"")</f>
        <v/>
      </c>
      <c r="E89" s="3">
        <f>IFERROR(INDEX(Calc!$P$2:$P$1001,MATCH(ROW()-1,Calc!$X$2:$X$1001,0)),"")</f>
        <v/>
      </c>
      <c r="F89" s="3">
        <f>IF(G89="","",E89-D89)</f>
        <v/>
      </c>
      <c r="G89">
        <f>IFERROR(INDEX(Calc!$S$2:$S$1001,MATCH(ROW()-1,Calc!$X$2:$X$1001,0)),"")</f>
        <v/>
      </c>
    </row>
    <row r="90">
      <c r="A90">
        <f>IFERROR(INDEX(Calc!$L$2:$L$1001,MATCH(ROW()-1,Calc!$X$2:$X$1001,0)),"")</f>
        <v/>
      </c>
      <c r="B90">
        <f>IFERROR(INDEX(Calc!$M$2:$M$1001,MATCH(ROW()-1,Calc!$X$2:$X$1001,0)),"")</f>
        <v/>
      </c>
      <c r="C90">
        <f>IFERROR(INDEX(Calc!$N$2:$N$1001,MATCH(ROW()-1,Calc!$X$2:$X$1001,0)),"")</f>
        <v/>
      </c>
      <c r="D90" s="3">
        <f>IFERROR(INDEX(Calc!$O$2:$O$1001,MATCH(ROW()-1,Calc!$X$2:$X$1001,0)),"")</f>
        <v/>
      </c>
      <c r="E90" s="3">
        <f>IFERROR(INDEX(Calc!$P$2:$P$1001,MATCH(ROW()-1,Calc!$X$2:$X$1001,0)),"")</f>
        <v/>
      </c>
      <c r="F90" s="3">
        <f>IF(G90="","",E90-D90)</f>
        <v/>
      </c>
      <c r="G90">
        <f>IFERROR(INDEX(Calc!$S$2:$S$1001,MATCH(ROW()-1,Calc!$X$2:$X$1001,0)),"")</f>
        <v/>
      </c>
    </row>
    <row r="91">
      <c r="A91">
        <f>IFERROR(INDEX(Calc!$L$2:$L$1001,MATCH(ROW()-1,Calc!$X$2:$X$1001,0)),"")</f>
        <v/>
      </c>
      <c r="B91">
        <f>IFERROR(INDEX(Calc!$M$2:$M$1001,MATCH(ROW()-1,Calc!$X$2:$X$1001,0)),"")</f>
        <v/>
      </c>
      <c r="C91">
        <f>IFERROR(INDEX(Calc!$N$2:$N$1001,MATCH(ROW()-1,Calc!$X$2:$X$1001,0)),"")</f>
        <v/>
      </c>
      <c r="D91" s="3">
        <f>IFERROR(INDEX(Calc!$O$2:$O$1001,MATCH(ROW()-1,Calc!$X$2:$X$1001,0)),"")</f>
        <v/>
      </c>
      <c r="E91" s="3">
        <f>IFERROR(INDEX(Calc!$P$2:$P$1001,MATCH(ROW()-1,Calc!$X$2:$X$1001,0)),"")</f>
        <v/>
      </c>
      <c r="F91" s="3">
        <f>IF(G91="","",E91-D91)</f>
        <v/>
      </c>
      <c r="G91">
        <f>IFERROR(INDEX(Calc!$S$2:$S$1001,MATCH(ROW()-1,Calc!$X$2:$X$1001,0)),"")</f>
        <v/>
      </c>
    </row>
    <row r="92">
      <c r="A92">
        <f>IFERROR(INDEX(Calc!$L$2:$L$1001,MATCH(ROW()-1,Calc!$X$2:$X$1001,0)),"")</f>
        <v/>
      </c>
      <c r="B92">
        <f>IFERROR(INDEX(Calc!$M$2:$M$1001,MATCH(ROW()-1,Calc!$X$2:$X$1001,0)),"")</f>
        <v/>
      </c>
      <c r="C92">
        <f>IFERROR(INDEX(Calc!$N$2:$N$1001,MATCH(ROW()-1,Calc!$X$2:$X$1001,0)),"")</f>
        <v/>
      </c>
      <c r="D92" s="3">
        <f>IFERROR(INDEX(Calc!$O$2:$O$1001,MATCH(ROW()-1,Calc!$X$2:$X$1001,0)),"")</f>
        <v/>
      </c>
      <c r="E92" s="3">
        <f>IFERROR(INDEX(Calc!$P$2:$P$1001,MATCH(ROW()-1,Calc!$X$2:$X$1001,0)),"")</f>
        <v/>
      </c>
      <c r="F92" s="3">
        <f>IF(G92="","",E92-D92)</f>
        <v/>
      </c>
      <c r="G92">
        <f>IFERROR(INDEX(Calc!$S$2:$S$1001,MATCH(ROW()-1,Calc!$X$2:$X$1001,0)),"")</f>
        <v/>
      </c>
    </row>
    <row r="93">
      <c r="A93">
        <f>IFERROR(INDEX(Calc!$L$2:$L$1001,MATCH(ROW()-1,Calc!$X$2:$X$1001,0)),"")</f>
        <v/>
      </c>
      <c r="B93">
        <f>IFERROR(INDEX(Calc!$M$2:$M$1001,MATCH(ROW()-1,Calc!$X$2:$X$1001,0)),"")</f>
        <v/>
      </c>
      <c r="C93">
        <f>IFERROR(INDEX(Calc!$N$2:$N$1001,MATCH(ROW()-1,Calc!$X$2:$X$1001,0)),"")</f>
        <v/>
      </c>
      <c r="D93" s="3">
        <f>IFERROR(INDEX(Calc!$O$2:$O$1001,MATCH(ROW()-1,Calc!$X$2:$X$1001,0)),"")</f>
        <v/>
      </c>
      <c r="E93" s="3">
        <f>IFERROR(INDEX(Calc!$P$2:$P$1001,MATCH(ROW()-1,Calc!$X$2:$X$1001,0)),"")</f>
        <v/>
      </c>
      <c r="F93" s="3">
        <f>IF(G93="","",E93-D93)</f>
        <v/>
      </c>
      <c r="G93">
        <f>IFERROR(INDEX(Calc!$S$2:$S$1001,MATCH(ROW()-1,Calc!$X$2:$X$1001,0)),"")</f>
        <v/>
      </c>
    </row>
    <row r="94">
      <c r="A94">
        <f>IFERROR(INDEX(Calc!$L$2:$L$1001,MATCH(ROW()-1,Calc!$X$2:$X$1001,0)),"")</f>
        <v/>
      </c>
      <c r="B94">
        <f>IFERROR(INDEX(Calc!$M$2:$M$1001,MATCH(ROW()-1,Calc!$X$2:$X$1001,0)),"")</f>
        <v/>
      </c>
      <c r="C94">
        <f>IFERROR(INDEX(Calc!$N$2:$N$1001,MATCH(ROW()-1,Calc!$X$2:$X$1001,0)),"")</f>
        <v/>
      </c>
      <c r="D94" s="3">
        <f>IFERROR(INDEX(Calc!$O$2:$O$1001,MATCH(ROW()-1,Calc!$X$2:$X$1001,0)),"")</f>
        <v/>
      </c>
      <c r="E94" s="3">
        <f>IFERROR(INDEX(Calc!$P$2:$P$1001,MATCH(ROW()-1,Calc!$X$2:$X$1001,0)),"")</f>
        <v/>
      </c>
      <c r="F94" s="3">
        <f>IF(G94="","",E94-D94)</f>
        <v/>
      </c>
      <c r="G94">
        <f>IFERROR(INDEX(Calc!$S$2:$S$1001,MATCH(ROW()-1,Calc!$X$2:$X$1001,0)),"")</f>
        <v/>
      </c>
    </row>
    <row r="95">
      <c r="A95">
        <f>IFERROR(INDEX(Calc!$L$2:$L$1001,MATCH(ROW()-1,Calc!$X$2:$X$1001,0)),"")</f>
        <v/>
      </c>
      <c r="B95">
        <f>IFERROR(INDEX(Calc!$M$2:$M$1001,MATCH(ROW()-1,Calc!$X$2:$X$1001,0)),"")</f>
        <v/>
      </c>
      <c r="C95">
        <f>IFERROR(INDEX(Calc!$N$2:$N$1001,MATCH(ROW()-1,Calc!$X$2:$X$1001,0)),"")</f>
        <v/>
      </c>
      <c r="D95" s="3">
        <f>IFERROR(INDEX(Calc!$O$2:$O$1001,MATCH(ROW()-1,Calc!$X$2:$X$1001,0)),"")</f>
        <v/>
      </c>
      <c r="E95" s="3">
        <f>IFERROR(INDEX(Calc!$P$2:$P$1001,MATCH(ROW()-1,Calc!$X$2:$X$1001,0)),"")</f>
        <v/>
      </c>
      <c r="F95" s="3">
        <f>IF(G95="","",E95-D95)</f>
        <v/>
      </c>
      <c r="G95">
        <f>IFERROR(INDEX(Calc!$S$2:$S$1001,MATCH(ROW()-1,Calc!$X$2:$X$1001,0)),"")</f>
        <v/>
      </c>
    </row>
    <row r="96">
      <c r="A96">
        <f>IFERROR(INDEX(Calc!$L$2:$L$1001,MATCH(ROW()-1,Calc!$X$2:$X$1001,0)),"")</f>
        <v/>
      </c>
      <c r="B96">
        <f>IFERROR(INDEX(Calc!$M$2:$M$1001,MATCH(ROW()-1,Calc!$X$2:$X$1001,0)),"")</f>
        <v/>
      </c>
      <c r="C96">
        <f>IFERROR(INDEX(Calc!$N$2:$N$1001,MATCH(ROW()-1,Calc!$X$2:$X$1001,0)),"")</f>
        <v/>
      </c>
      <c r="D96" s="3">
        <f>IFERROR(INDEX(Calc!$O$2:$O$1001,MATCH(ROW()-1,Calc!$X$2:$X$1001,0)),"")</f>
        <v/>
      </c>
      <c r="E96" s="3">
        <f>IFERROR(INDEX(Calc!$P$2:$P$1001,MATCH(ROW()-1,Calc!$X$2:$X$1001,0)),"")</f>
        <v/>
      </c>
      <c r="F96" s="3">
        <f>IF(G96="","",E96-D96)</f>
        <v/>
      </c>
      <c r="G96">
        <f>IFERROR(INDEX(Calc!$S$2:$S$1001,MATCH(ROW()-1,Calc!$X$2:$X$1001,0)),"")</f>
        <v/>
      </c>
    </row>
    <row r="97">
      <c r="A97">
        <f>IFERROR(INDEX(Calc!$L$2:$L$1001,MATCH(ROW()-1,Calc!$X$2:$X$1001,0)),"")</f>
        <v/>
      </c>
      <c r="B97">
        <f>IFERROR(INDEX(Calc!$M$2:$M$1001,MATCH(ROW()-1,Calc!$X$2:$X$1001,0)),"")</f>
        <v/>
      </c>
      <c r="C97">
        <f>IFERROR(INDEX(Calc!$N$2:$N$1001,MATCH(ROW()-1,Calc!$X$2:$X$1001,0)),"")</f>
        <v/>
      </c>
      <c r="D97" s="3">
        <f>IFERROR(INDEX(Calc!$O$2:$O$1001,MATCH(ROW()-1,Calc!$X$2:$X$1001,0)),"")</f>
        <v/>
      </c>
      <c r="E97" s="3">
        <f>IFERROR(INDEX(Calc!$P$2:$P$1001,MATCH(ROW()-1,Calc!$X$2:$X$1001,0)),"")</f>
        <v/>
      </c>
      <c r="F97" s="3">
        <f>IF(G97="","",E97-D97)</f>
        <v/>
      </c>
      <c r="G97">
        <f>IFERROR(INDEX(Calc!$S$2:$S$1001,MATCH(ROW()-1,Calc!$X$2:$X$1001,0)),"")</f>
        <v/>
      </c>
    </row>
    <row r="98">
      <c r="A98">
        <f>IFERROR(INDEX(Calc!$L$2:$L$1001,MATCH(ROW()-1,Calc!$X$2:$X$1001,0)),"")</f>
        <v/>
      </c>
      <c r="B98">
        <f>IFERROR(INDEX(Calc!$M$2:$M$1001,MATCH(ROW()-1,Calc!$X$2:$X$1001,0)),"")</f>
        <v/>
      </c>
      <c r="C98">
        <f>IFERROR(INDEX(Calc!$N$2:$N$1001,MATCH(ROW()-1,Calc!$X$2:$X$1001,0)),"")</f>
        <v/>
      </c>
      <c r="D98" s="3">
        <f>IFERROR(INDEX(Calc!$O$2:$O$1001,MATCH(ROW()-1,Calc!$X$2:$X$1001,0)),"")</f>
        <v/>
      </c>
      <c r="E98" s="3">
        <f>IFERROR(INDEX(Calc!$P$2:$P$1001,MATCH(ROW()-1,Calc!$X$2:$X$1001,0)),"")</f>
        <v/>
      </c>
      <c r="F98" s="3">
        <f>IF(G98="","",E98-D98)</f>
        <v/>
      </c>
      <c r="G98">
        <f>IFERROR(INDEX(Calc!$S$2:$S$1001,MATCH(ROW()-1,Calc!$X$2:$X$1001,0)),"")</f>
        <v/>
      </c>
    </row>
    <row r="99">
      <c r="A99">
        <f>IFERROR(INDEX(Calc!$L$2:$L$1001,MATCH(ROW()-1,Calc!$X$2:$X$1001,0)),"")</f>
        <v/>
      </c>
      <c r="B99">
        <f>IFERROR(INDEX(Calc!$M$2:$M$1001,MATCH(ROW()-1,Calc!$X$2:$X$1001,0)),"")</f>
        <v/>
      </c>
      <c r="C99">
        <f>IFERROR(INDEX(Calc!$N$2:$N$1001,MATCH(ROW()-1,Calc!$X$2:$X$1001,0)),"")</f>
        <v/>
      </c>
      <c r="D99" s="3">
        <f>IFERROR(INDEX(Calc!$O$2:$O$1001,MATCH(ROW()-1,Calc!$X$2:$X$1001,0)),"")</f>
        <v/>
      </c>
      <c r="E99" s="3">
        <f>IFERROR(INDEX(Calc!$P$2:$P$1001,MATCH(ROW()-1,Calc!$X$2:$X$1001,0)),"")</f>
        <v/>
      </c>
      <c r="F99" s="3">
        <f>IF(G99="","",E99-D99)</f>
        <v/>
      </c>
      <c r="G99">
        <f>IFERROR(INDEX(Calc!$S$2:$S$1001,MATCH(ROW()-1,Calc!$X$2:$X$1001,0)),"")</f>
        <v/>
      </c>
    </row>
    <row r="100">
      <c r="A100">
        <f>IFERROR(INDEX(Calc!$L$2:$L$1001,MATCH(ROW()-1,Calc!$X$2:$X$1001,0)),"")</f>
        <v/>
      </c>
      <c r="B100">
        <f>IFERROR(INDEX(Calc!$M$2:$M$1001,MATCH(ROW()-1,Calc!$X$2:$X$1001,0)),"")</f>
        <v/>
      </c>
      <c r="C100">
        <f>IFERROR(INDEX(Calc!$N$2:$N$1001,MATCH(ROW()-1,Calc!$X$2:$X$1001,0)),"")</f>
        <v/>
      </c>
      <c r="D100" s="3">
        <f>IFERROR(INDEX(Calc!$O$2:$O$1001,MATCH(ROW()-1,Calc!$X$2:$X$1001,0)),"")</f>
        <v/>
      </c>
      <c r="E100" s="3">
        <f>IFERROR(INDEX(Calc!$P$2:$P$1001,MATCH(ROW()-1,Calc!$X$2:$X$1001,0)),"")</f>
        <v/>
      </c>
      <c r="F100" s="3">
        <f>IF(G100="","",E100-D100)</f>
        <v/>
      </c>
      <c r="G100">
        <f>IFERROR(INDEX(Calc!$S$2:$S$1001,MATCH(ROW()-1,Calc!$X$2:$X$1001,0)),"")</f>
        <v/>
      </c>
    </row>
    <row r="101">
      <c r="A101">
        <f>IFERROR(INDEX(Calc!$L$2:$L$1001,MATCH(ROW()-1,Calc!$X$2:$X$1001,0)),"")</f>
        <v/>
      </c>
      <c r="B101">
        <f>IFERROR(INDEX(Calc!$M$2:$M$1001,MATCH(ROW()-1,Calc!$X$2:$X$1001,0)),"")</f>
        <v/>
      </c>
      <c r="C101">
        <f>IFERROR(INDEX(Calc!$N$2:$N$1001,MATCH(ROW()-1,Calc!$X$2:$X$1001,0)),"")</f>
        <v/>
      </c>
      <c r="D101" s="3">
        <f>IFERROR(INDEX(Calc!$O$2:$O$1001,MATCH(ROW()-1,Calc!$X$2:$X$1001,0)),"")</f>
        <v/>
      </c>
      <c r="E101" s="3">
        <f>IFERROR(INDEX(Calc!$P$2:$P$1001,MATCH(ROW()-1,Calc!$X$2:$X$1001,0)),"")</f>
        <v/>
      </c>
      <c r="F101" s="3">
        <f>IF(G101="","",E101-D101)</f>
        <v/>
      </c>
      <c r="G101">
        <f>IFERROR(INDEX(Calc!$S$2:$S$1001,MATCH(ROW()-1,Calc!$X$2:$X$1001,0)),"")</f>
        <v/>
      </c>
    </row>
    <row r="102">
      <c r="A102">
        <f>IFERROR(INDEX(Calc!$L$2:$L$1001,MATCH(ROW()-1,Calc!$X$2:$X$1001,0)),"")</f>
        <v/>
      </c>
      <c r="B102">
        <f>IFERROR(INDEX(Calc!$M$2:$M$1001,MATCH(ROW()-1,Calc!$X$2:$X$1001,0)),"")</f>
        <v/>
      </c>
      <c r="C102">
        <f>IFERROR(INDEX(Calc!$N$2:$N$1001,MATCH(ROW()-1,Calc!$X$2:$X$1001,0)),"")</f>
        <v/>
      </c>
      <c r="D102" s="3">
        <f>IFERROR(INDEX(Calc!$O$2:$O$1001,MATCH(ROW()-1,Calc!$X$2:$X$1001,0)),"")</f>
        <v/>
      </c>
      <c r="E102" s="3">
        <f>IFERROR(INDEX(Calc!$P$2:$P$1001,MATCH(ROW()-1,Calc!$X$2:$X$1001,0)),"")</f>
        <v/>
      </c>
      <c r="F102" s="3">
        <f>IF(G102="","",E102-D102)</f>
        <v/>
      </c>
      <c r="G102">
        <f>IFERROR(INDEX(Calc!$S$2:$S$1001,MATCH(ROW()-1,Calc!$X$2:$X$1001,0)),"")</f>
        <v/>
      </c>
    </row>
    <row r="103">
      <c r="A103">
        <f>IFERROR(INDEX(Calc!$L$2:$L$1001,MATCH(ROW()-1,Calc!$X$2:$X$1001,0)),"")</f>
        <v/>
      </c>
      <c r="B103">
        <f>IFERROR(INDEX(Calc!$M$2:$M$1001,MATCH(ROW()-1,Calc!$X$2:$X$1001,0)),"")</f>
        <v/>
      </c>
      <c r="C103">
        <f>IFERROR(INDEX(Calc!$N$2:$N$1001,MATCH(ROW()-1,Calc!$X$2:$X$1001,0)),"")</f>
        <v/>
      </c>
      <c r="D103" s="3">
        <f>IFERROR(INDEX(Calc!$O$2:$O$1001,MATCH(ROW()-1,Calc!$X$2:$X$1001,0)),"")</f>
        <v/>
      </c>
      <c r="E103" s="3">
        <f>IFERROR(INDEX(Calc!$P$2:$P$1001,MATCH(ROW()-1,Calc!$X$2:$X$1001,0)),"")</f>
        <v/>
      </c>
      <c r="F103" s="3">
        <f>IF(G103="","",E103-D103)</f>
        <v/>
      </c>
      <c r="G103">
        <f>IFERROR(INDEX(Calc!$S$2:$S$1001,MATCH(ROW()-1,Calc!$X$2:$X$1001,0)),"")</f>
        <v/>
      </c>
    </row>
    <row r="104">
      <c r="A104">
        <f>IFERROR(INDEX(Calc!$L$2:$L$1001,MATCH(ROW()-1,Calc!$X$2:$X$1001,0)),"")</f>
        <v/>
      </c>
      <c r="B104">
        <f>IFERROR(INDEX(Calc!$M$2:$M$1001,MATCH(ROW()-1,Calc!$X$2:$X$1001,0)),"")</f>
        <v/>
      </c>
      <c r="C104">
        <f>IFERROR(INDEX(Calc!$N$2:$N$1001,MATCH(ROW()-1,Calc!$X$2:$X$1001,0)),"")</f>
        <v/>
      </c>
      <c r="D104" s="3">
        <f>IFERROR(INDEX(Calc!$O$2:$O$1001,MATCH(ROW()-1,Calc!$X$2:$X$1001,0)),"")</f>
        <v/>
      </c>
      <c r="E104" s="3">
        <f>IFERROR(INDEX(Calc!$P$2:$P$1001,MATCH(ROW()-1,Calc!$X$2:$X$1001,0)),"")</f>
        <v/>
      </c>
      <c r="F104" s="3">
        <f>IF(G104="","",E104-D104)</f>
        <v/>
      </c>
      <c r="G104">
        <f>IFERROR(INDEX(Calc!$S$2:$S$1001,MATCH(ROW()-1,Calc!$X$2:$X$1001,0)),"")</f>
        <v/>
      </c>
    </row>
    <row r="105">
      <c r="A105">
        <f>IFERROR(INDEX(Calc!$L$2:$L$1001,MATCH(ROW()-1,Calc!$X$2:$X$1001,0)),"")</f>
        <v/>
      </c>
      <c r="B105">
        <f>IFERROR(INDEX(Calc!$M$2:$M$1001,MATCH(ROW()-1,Calc!$X$2:$X$1001,0)),"")</f>
        <v/>
      </c>
      <c r="C105">
        <f>IFERROR(INDEX(Calc!$N$2:$N$1001,MATCH(ROW()-1,Calc!$X$2:$X$1001,0)),"")</f>
        <v/>
      </c>
      <c r="D105" s="3">
        <f>IFERROR(INDEX(Calc!$O$2:$O$1001,MATCH(ROW()-1,Calc!$X$2:$X$1001,0)),"")</f>
        <v/>
      </c>
      <c r="E105" s="3">
        <f>IFERROR(INDEX(Calc!$P$2:$P$1001,MATCH(ROW()-1,Calc!$X$2:$X$1001,0)),"")</f>
        <v/>
      </c>
      <c r="F105" s="3">
        <f>IF(G105="","",E105-D105)</f>
        <v/>
      </c>
      <c r="G105">
        <f>IFERROR(INDEX(Calc!$S$2:$S$1001,MATCH(ROW()-1,Calc!$X$2:$X$1001,0)),"")</f>
        <v/>
      </c>
    </row>
    <row r="106">
      <c r="A106">
        <f>IFERROR(INDEX(Calc!$L$2:$L$1001,MATCH(ROW()-1,Calc!$X$2:$X$1001,0)),"")</f>
        <v/>
      </c>
      <c r="B106">
        <f>IFERROR(INDEX(Calc!$M$2:$M$1001,MATCH(ROW()-1,Calc!$X$2:$X$1001,0)),"")</f>
        <v/>
      </c>
      <c r="C106">
        <f>IFERROR(INDEX(Calc!$N$2:$N$1001,MATCH(ROW()-1,Calc!$X$2:$X$1001,0)),"")</f>
        <v/>
      </c>
      <c r="D106" s="3">
        <f>IFERROR(INDEX(Calc!$O$2:$O$1001,MATCH(ROW()-1,Calc!$X$2:$X$1001,0)),"")</f>
        <v/>
      </c>
      <c r="E106" s="3">
        <f>IFERROR(INDEX(Calc!$P$2:$P$1001,MATCH(ROW()-1,Calc!$X$2:$X$1001,0)),"")</f>
        <v/>
      </c>
      <c r="F106" s="3">
        <f>IF(G106="","",E106-D106)</f>
        <v/>
      </c>
      <c r="G106">
        <f>IFERROR(INDEX(Calc!$S$2:$S$1001,MATCH(ROW()-1,Calc!$X$2:$X$1001,0)),"")</f>
        <v/>
      </c>
    </row>
    <row r="107">
      <c r="A107">
        <f>IFERROR(INDEX(Calc!$L$2:$L$1001,MATCH(ROW()-1,Calc!$X$2:$X$1001,0)),"")</f>
        <v/>
      </c>
      <c r="B107">
        <f>IFERROR(INDEX(Calc!$M$2:$M$1001,MATCH(ROW()-1,Calc!$X$2:$X$1001,0)),"")</f>
        <v/>
      </c>
      <c r="C107">
        <f>IFERROR(INDEX(Calc!$N$2:$N$1001,MATCH(ROW()-1,Calc!$X$2:$X$1001,0)),"")</f>
        <v/>
      </c>
      <c r="D107" s="3">
        <f>IFERROR(INDEX(Calc!$O$2:$O$1001,MATCH(ROW()-1,Calc!$X$2:$X$1001,0)),"")</f>
        <v/>
      </c>
      <c r="E107" s="3">
        <f>IFERROR(INDEX(Calc!$P$2:$P$1001,MATCH(ROW()-1,Calc!$X$2:$X$1001,0)),"")</f>
        <v/>
      </c>
      <c r="F107" s="3">
        <f>IF(G107="","",E107-D107)</f>
        <v/>
      </c>
      <c r="G107">
        <f>IFERROR(INDEX(Calc!$S$2:$S$1001,MATCH(ROW()-1,Calc!$X$2:$X$1001,0)),"")</f>
        <v/>
      </c>
    </row>
    <row r="108">
      <c r="A108">
        <f>IFERROR(INDEX(Calc!$L$2:$L$1001,MATCH(ROW()-1,Calc!$X$2:$X$1001,0)),"")</f>
        <v/>
      </c>
      <c r="B108">
        <f>IFERROR(INDEX(Calc!$M$2:$M$1001,MATCH(ROW()-1,Calc!$X$2:$X$1001,0)),"")</f>
        <v/>
      </c>
      <c r="C108">
        <f>IFERROR(INDEX(Calc!$N$2:$N$1001,MATCH(ROW()-1,Calc!$X$2:$X$1001,0)),"")</f>
        <v/>
      </c>
      <c r="D108" s="3">
        <f>IFERROR(INDEX(Calc!$O$2:$O$1001,MATCH(ROW()-1,Calc!$X$2:$X$1001,0)),"")</f>
        <v/>
      </c>
      <c r="E108" s="3">
        <f>IFERROR(INDEX(Calc!$P$2:$P$1001,MATCH(ROW()-1,Calc!$X$2:$X$1001,0)),"")</f>
        <v/>
      </c>
      <c r="F108" s="3">
        <f>IF(G108="","",E108-D108)</f>
        <v/>
      </c>
      <c r="G108">
        <f>IFERROR(INDEX(Calc!$S$2:$S$1001,MATCH(ROW()-1,Calc!$X$2:$X$1001,0)),"")</f>
        <v/>
      </c>
    </row>
    <row r="109">
      <c r="A109">
        <f>IFERROR(INDEX(Calc!$L$2:$L$1001,MATCH(ROW()-1,Calc!$X$2:$X$1001,0)),"")</f>
        <v/>
      </c>
      <c r="B109">
        <f>IFERROR(INDEX(Calc!$M$2:$M$1001,MATCH(ROW()-1,Calc!$X$2:$X$1001,0)),"")</f>
        <v/>
      </c>
      <c r="C109">
        <f>IFERROR(INDEX(Calc!$N$2:$N$1001,MATCH(ROW()-1,Calc!$X$2:$X$1001,0)),"")</f>
        <v/>
      </c>
      <c r="D109" s="3">
        <f>IFERROR(INDEX(Calc!$O$2:$O$1001,MATCH(ROW()-1,Calc!$X$2:$X$1001,0)),"")</f>
        <v/>
      </c>
      <c r="E109" s="3">
        <f>IFERROR(INDEX(Calc!$P$2:$P$1001,MATCH(ROW()-1,Calc!$X$2:$X$1001,0)),"")</f>
        <v/>
      </c>
      <c r="F109" s="3">
        <f>IF(G109="","",E109-D109)</f>
        <v/>
      </c>
      <c r="G109">
        <f>IFERROR(INDEX(Calc!$S$2:$S$1001,MATCH(ROW()-1,Calc!$X$2:$X$1001,0)),"")</f>
        <v/>
      </c>
    </row>
    <row r="110">
      <c r="A110">
        <f>IFERROR(INDEX(Calc!$L$2:$L$1001,MATCH(ROW()-1,Calc!$X$2:$X$1001,0)),"")</f>
        <v/>
      </c>
      <c r="B110">
        <f>IFERROR(INDEX(Calc!$M$2:$M$1001,MATCH(ROW()-1,Calc!$X$2:$X$1001,0)),"")</f>
        <v/>
      </c>
      <c r="C110">
        <f>IFERROR(INDEX(Calc!$N$2:$N$1001,MATCH(ROW()-1,Calc!$X$2:$X$1001,0)),"")</f>
        <v/>
      </c>
      <c r="D110" s="3">
        <f>IFERROR(INDEX(Calc!$O$2:$O$1001,MATCH(ROW()-1,Calc!$X$2:$X$1001,0)),"")</f>
        <v/>
      </c>
      <c r="E110" s="3">
        <f>IFERROR(INDEX(Calc!$P$2:$P$1001,MATCH(ROW()-1,Calc!$X$2:$X$1001,0)),"")</f>
        <v/>
      </c>
      <c r="F110" s="3">
        <f>IF(G110="","",E110-D110)</f>
        <v/>
      </c>
      <c r="G110">
        <f>IFERROR(INDEX(Calc!$S$2:$S$1001,MATCH(ROW()-1,Calc!$X$2:$X$1001,0)),"")</f>
        <v/>
      </c>
    </row>
    <row r="111">
      <c r="A111">
        <f>IFERROR(INDEX(Calc!$L$2:$L$1001,MATCH(ROW()-1,Calc!$X$2:$X$1001,0)),"")</f>
        <v/>
      </c>
      <c r="B111">
        <f>IFERROR(INDEX(Calc!$M$2:$M$1001,MATCH(ROW()-1,Calc!$X$2:$X$1001,0)),"")</f>
        <v/>
      </c>
      <c r="C111">
        <f>IFERROR(INDEX(Calc!$N$2:$N$1001,MATCH(ROW()-1,Calc!$X$2:$X$1001,0)),"")</f>
        <v/>
      </c>
      <c r="D111" s="3">
        <f>IFERROR(INDEX(Calc!$O$2:$O$1001,MATCH(ROW()-1,Calc!$X$2:$X$1001,0)),"")</f>
        <v/>
      </c>
      <c r="E111" s="3">
        <f>IFERROR(INDEX(Calc!$P$2:$P$1001,MATCH(ROW()-1,Calc!$X$2:$X$1001,0)),"")</f>
        <v/>
      </c>
      <c r="F111" s="3">
        <f>IF(G111="","",E111-D111)</f>
        <v/>
      </c>
      <c r="G111">
        <f>IFERROR(INDEX(Calc!$S$2:$S$1001,MATCH(ROW()-1,Calc!$X$2:$X$1001,0)),"")</f>
        <v/>
      </c>
    </row>
    <row r="112">
      <c r="A112">
        <f>IFERROR(INDEX(Calc!$L$2:$L$1001,MATCH(ROW()-1,Calc!$X$2:$X$1001,0)),"")</f>
        <v/>
      </c>
      <c r="B112">
        <f>IFERROR(INDEX(Calc!$M$2:$M$1001,MATCH(ROW()-1,Calc!$X$2:$X$1001,0)),"")</f>
        <v/>
      </c>
      <c r="C112">
        <f>IFERROR(INDEX(Calc!$N$2:$N$1001,MATCH(ROW()-1,Calc!$X$2:$X$1001,0)),"")</f>
        <v/>
      </c>
      <c r="D112" s="3">
        <f>IFERROR(INDEX(Calc!$O$2:$O$1001,MATCH(ROW()-1,Calc!$X$2:$X$1001,0)),"")</f>
        <v/>
      </c>
      <c r="E112" s="3">
        <f>IFERROR(INDEX(Calc!$P$2:$P$1001,MATCH(ROW()-1,Calc!$X$2:$X$1001,0)),"")</f>
        <v/>
      </c>
      <c r="F112" s="3">
        <f>IF(G112="","",E112-D112)</f>
        <v/>
      </c>
      <c r="G112">
        <f>IFERROR(INDEX(Calc!$S$2:$S$1001,MATCH(ROW()-1,Calc!$X$2:$X$1001,0)),"")</f>
        <v/>
      </c>
    </row>
    <row r="113">
      <c r="A113">
        <f>IFERROR(INDEX(Calc!$L$2:$L$1001,MATCH(ROW()-1,Calc!$X$2:$X$1001,0)),"")</f>
        <v/>
      </c>
      <c r="B113">
        <f>IFERROR(INDEX(Calc!$M$2:$M$1001,MATCH(ROW()-1,Calc!$X$2:$X$1001,0)),"")</f>
        <v/>
      </c>
      <c r="C113">
        <f>IFERROR(INDEX(Calc!$N$2:$N$1001,MATCH(ROW()-1,Calc!$X$2:$X$1001,0)),"")</f>
        <v/>
      </c>
      <c r="D113" s="3">
        <f>IFERROR(INDEX(Calc!$O$2:$O$1001,MATCH(ROW()-1,Calc!$X$2:$X$1001,0)),"")</f>
        <v/>
      </c>
      <c r="E113" s="3">
        <f>IFERROR(INDEX(Calc!$P$2:$P$1001,MATCH(ROW()-1,Calc!$X$2:$X$1001,0)),"")</f>
        <v/>
      </c>
      <c r="F113" s="3">
        <f>IF(G113="","",E113-D113)</f>
        <v/>
      </c>
      <c r="G113">
        <f>IFERROR(INDEX(Calc!$S$2:$S$1001,MATCH(ROW()-1,Calc!$X$2:$X$1001,0)),"")</f>
        <v/>
      </c>
    </row>
    <row r="114">
      <c r="A114">
        <f>IFERROR(INDEX(Calc!$L$2:$L$1001,MATCH(ROW()-1,Calc!$X$2:$X$1001,0)),"")</f>
        <v/>
      </c>
      <c r="B114">
        <f>IFERROR(INDEX(Calc!$M$2:$M$1001,MATCH(ROW()-1,Calc!$X$2:$X$1001,0)),"")</f>
        <v/>
      </c>
      <c r="C114">
        <f>IFERROR(INDEX(Calc!$N$2:$N$1001,MATCH(ROW()-1,Calc!$X$2:$X$1001,0)),"")</f>
        <v/>
      </c>
      <c r="D114" s="3">
        <f>IFERROR(INDEX(Calc!$O$2:$O$1001,MATCH(ROW()-1,Calc!$X$2:$X$1001,0)),"")</f>
        <v/>
      </c>
      <c r="E114" s="3">
        <f>IFERROR(INDEX(Calc!$P$2:$P$1001,MATCH(ROW()-1,Calc!$X$2:$X$1001,0)),"")</f>
        <v/>
      </c>
      <c r="F114" s="3">
        <f>IF(G114="","",E114-D114)</f>
        <v/>
      </c>
      <c r="G114">
        <f>IFERROR(INDEX(Calc!$S$2:$S$1001,MATCH(ROW()-1,Calc!$X$2:$X$1001,0)),"")</f>
        <v/>
      </c>
    </row>
    <row r="115">
      <c r="A115">
        <f>IFERROR(INDEX(Calc!$L$2:$L$1001,MATCH(ROW()-1,Calc!$X$2:$X$1001,0)),"")</f>
        <v/>
      </c>
      <c r="B115">
        <f>IFERROR(INDEX(Calc!$M$2:$M$1001,MATCH(ROW()-1,Calc!$X$2:$X$1001,0)),"")</f>
        <v/>
      </c>
      <c r="C115">
        <f>IFERROR(INDEX(Calc!$N$2:$N$1001,MATCH(ROW()-1,Calc!$X$2:$X$1001,0)),"")</f>
        <v/>
      </c>
      <c r="D115" s="3">
        <f>IFERROR(INDEX(Calc!$O$2:$O$1001,MATCH(ROW()-1,Calc!$X$2:$X$1001,0)),"")</f>
        <v/>
      </c>
      <c r="E115" s="3">
        <f>IFERROR(INDEX(Calc!$P$2:$P$1001,MATCH(ROW()-1,Calc!$X$2:$X$1001,0)),"")</f>
        <v/>
      </c>
      <c r="F115" s="3">
        <f>IF(G115="","",E115-D115)</f>
        <v/>
      </c>
      <c r="G115">
        <f>IFERROR(INDEX(Calc!$S$2:$S$1001,MATCH(ROW()-1,Calc!$X$2:$X$1001,0)),"")</f>
        <v/>
      </c>
    </row>
    <row r="116">
      <c r="A116">
        <f>IFERROR(INDEX(Calc!$L$2:$L$1001,MATCH(ROW()-1,Calc!$X$2:$X$1001,0)),"")</f>
        <v/>
      </c>
      <c r="B116">
        <f>IFERROR(INDEX(Calc!$M$2:$M$1001,MATCH(ROW()-1,Calc!$X$2:$X$1001,0)),"")</f>
        <v/>
      </c>
      <c r="C116">
        <f>IFERROR(INDEX(Calc!$N$2:$N$1001,MATCH(ROW()-1,Calc!$X$2:$X$1001,0)),"")</f>
        <v/>
      </c>
      <c r="D116" s="3">
        <f>IFERROR(INDEX(Calc!$O$2:$O$1001,MATCH(ROW()-1,Calc!$X$2:$X$1001,0)),"")</f>
        <v/>
      </c>
      <c r="E116" s="3">
        <f>IFERROR(INDEX(Calc!$P$2:$P$1001,MATCH(ROW()-1,Calc!$X$2:$X$1001,0)),"")</f>
        <v/>
      </c>
      <c r="F116" s="3">
        <f>IF(G116="","",E116-D116)</f>
        <v/>
      </c>
      <c r="G116">
        <f>IFERROR(INDEX(Calc!$S$2:$S$1001,MATCH(ROW()-1,Calc!$X$2:$X$1001,0)),"")</f>
        <v/>
      </c>
    </row>
    <row r="117">
      <c r="A117">
        <f>IFERROR(INDEX(Calc!$L$2:$L$1001,MATCH(ROW()-1,Calc!$X$2:$X$1001,0)),"")</f>
        <v/>
      </c>
      <c r="B117">
        <f>IFERROR(INDEX(Calc!$M$2:$M$1001,MATCH(ROW()-1,Calc!$X$2:$X$1001,0)),"")</f>
        <v/>
      </c>
      <c r="C117">
        <f>IFERROR(INDEX(Calc!$N$2:$N$1001,MATCH(ROW()-1,Calc!$X$2:$X$1001,0)),"")</f>
        <v/>
      </c>
      <c r="D117" s="3">
        <f>IFERROR(INDEX(Calc!$O$2:$O$1001,MATCH(ROW()-1,Calc!$X$2:$X$1001,0)),"")</f>
        <v/>
      </c>
      <c r="E117" s="3">
        <f>IFERROR(INDEX(Calc!$P$2:$P$1001,MATCH(ROW()-1,Calc!$X$2:$X$1001,0)),"")</f>
        <v/>
      </c>
      <c r="F117" s="3">
        <f>IF(G117="","",E117-D117)</f>
        <v/>
      </c>
      <c r="G117">
        <f>IFERROR(INDEX(Calc!$S$2:$S$1001,MATCH(ROW()-1,Calc!$X$2:$X$1001,0)),"")</f>
        <v/>
      </c>
    </row>
    <row r="118">
      <c r="A118">
        <f>IFERROR(INDEX(Calc!$L$2:$L$1001,MATCH(ROW()-1,Calc!$X$2:$X$1001,0)),"")</f>
        <v/>
      </c>
      <c r="B118">
        <f>IFERROR(INDEX(Calc!$M$2:$M$1001,MATCH(ROW()-1,Calc!$X$2:$X$1001,0)),"")</f>
        <v/>
      </c>
      <c r="C118">
        <f>IFERROR(INDEX(Calc!$N$2:$N$1001,MATCH(ROW()-1,Calc!$X$2:$X$1001,0)),"")</f>
        <v/>
      </c>
      <c r="D118" s="3">
        <f>IFERROR(INDEX(Calc!$O$2:$O$1001,MATCH(ROW()-1,Calc!$X$2:$X$1001,0)),"")</f>
        <v/>
      </c>
      <c r="E118" s="3">
        <f>IFERROR(INDEX(Calc!$P$2:$P$1001,MATCH(ROW()-1,Calc!$X$2:$X$1001,0)),"")</f>
        <v/>
      </c>
      <c r="F118" s="3">
        <f>IF(G118="","",E118-D118)</f>
        <v/>
      </c>
      <c r="G118">
        <f>IFERROR(INDEX(Calc!$S$2:$S$1001,MATCH(ROW()-1,Calc!$X$2:$X$1001,0)),"")</f>
        <v/>
      </c>
    </row>
    <row r="119">
      <c r="A119">
        <f>IFERROR(INDEX(Calc!$L$2:$L$1001,MATCH(ROW()-1,Calc!$X$2:$X$1001,0)),"")</f>
        <v/>
      </c>
      <c r="B119">
        <f>IFERROR(INDEX(Calc!$M$2:$M$1001,MATCH(ROW()-1,Calc!$X$2:$X$1001,0)),"")</f>
        <v/>
      </c>
      <c r="C119">
        <f>IFERROR(INDEX(Calc!$N$2:$N$1001,MATCH(ROW()-1,Calc!$X$2:$X$1001,0)),"")</f>
        <v/>
      </c>
      <c r="D119" s="3">
        <f>IFERROR(INDEX(Calc!$O$2:$O$1001,MATCH(ROW()-1,Calc!$X$2:$X$1001,0)),"")</f>
        <v/>
      </c>
      <c r="E119" s="3">
        <f>IFERROR(INDEX(Calc!$P$2:$P$1001,MATCH(ROW()-1,Calc!$X$2:$X$1001,0)),"")</f>
        <v/>
      </c>
      <c r="F119" s="3">
        <f>IF(G119="","",E119-D119)</f>
        <v/>
      </c>
      <c r="G119">
        <f>IFERROR(INDEX(Calc!$S$2:$S$1001,MATCH(ROW()-1,Calc!$X$2:$X$1001,0)),"")</f>
        <v/>
      </c>
    </row>
    <row r="120">
      <c r="A120">
        <f>IFERROR(INDEX(Calc!$L$2:$L$1001,MATCH(ROW()-1,Calc!$X$2:$X$1001,0)),"")</f>
        <v/>
      </c>
      <c r="B120">
        <f>IFERROR(INDEX(Calc!$M$2:$M$1001,MATCH(ROW()-1,Calc!$X$2:$X$1001,0)),"")</f>
        <v/>
      </c>
      <c r="C120">
        <f>IFERROR(INDEX(Calc!$N$2:$N$1001,MATCH(ROW()-1,Calc!$X$2:$X$1001,0)),"")</f>
        <v/>
      </c>
      <c r="D120" s="3">
        <f>IFERROR(INDEX(Calc!$O$2:$O$1001,MATCH(ROW()-1,Calc!$X$2:$X$1001,0)),"")</f>
        <v/>
      </c>
      <c r="E120" s="3">
        <f>IFERROR(INDEX(Calc!$P$2:$P$1001,MATCH(ROW()-1,Calc!$X$2:$X$1001,0)),"")</f>
        <v/>
      </c>
      <c r="F120" s="3">
        <f>IF(G120="","",E120-D120)</f>
        <v/>
      </c>
      <c r="G120">
        <f>IFERROR(INDEX(Calc!$S$2:$S$1001,MATCH(ROW()-1,Calc!$X$2:$X$1001,0)),"")</f>
        <v/>
      </c>
    </row>
    <row r="121">
      <c r="A121">
        <f>IFERROR(INDEX(Calc!$L$2:$L$1001,MATCH(ROW()-1,Calc!$X$2:$X$1001,0)),"")</f>
        <v/>
      </c>
      <c r="B121">
        <f>IFERROR(INDEX(Calc!$M$2:$M$1001,MATCH(ROW()-1,Calc!$X$2:$X$1001,0)),"")</f>
        <v/>
      </c>
      <c r="C121">
        <f>IFERROR(INDEX(Calc!$N$2:$N$1001,MATCH(ROW()-1,Calc!$X$2:$X$1001,0)),"")</f>
        <v/>
      </c>
      <c r="D121" s="3">
        <f>IFERROR(INDEX(Calc!$O$2:$O$1001,MATCH(ROW()-1,Calc!$X$2:$X$1001,0)),"")</f>
        <v/>
      </c>
      <c r="E121" s="3">
        <f>IFERROR(INDEX(Calc!$P$2:$P$1001,MATCH(ROW()-1,Calc!$X$2:$X$1001,0)),"")</f>
        <v/>
      </c>
      <c r="F121" s="3">
        <f>IF(G121="","",E121-D121)</f>
        <v/>
      </c>
      <c r="G121">
        <f>IFERROR(INDEX(Calc!$S$2:$S$1001,MATCH(ROW()-1,Calc!$X$2:$X$1001,0)),"")</f>
        <v/>
      </c>
    </row>
    <row r="122">
      <c r="A122">
        <f>IFERROR(INDEX(Calc!$L$2:$L$1001,MATCH(ROW()-1,Calc!$X$2:$X$1001,0)),"")</f>
        <v/>
      </c>
      <c r="B122">
        <f>IFERROR(INDEX(Calc!$M$2:$M$1001,MATCH(ROW()-1,Calc!$X$2:$X$1001,0)),"")</f>
        <v/>
      </c>
      <c r="C122">
        <f>IFERROR(INDEX(Calc!$N$2:$N$1001,MATCH(ROW()-1,Calc!$X$2:$X$1001,0)),"")</f>
        <v/>
      </c>
      <c r="D122" s="3">
        <f>IFERROR(INDEX(Calc!$O$2:$O$1001,MATCH(ROW()-1,Calc!$X$2:$X$1001,0)),"")</f>
        <v/>
      </c>
      <c r="E122" s="3">
        <f>IFERROR(INDEX(Calc!$P$2:$P$1001,MATCH(ROW()-1,Calc!$X$2:$X$1001,0)),"")</f>
        <v/>
      </c>
      <c r="F122" s="3">
        <f>IF(G122="","",E122-D122)</f>
        <v/>
      </c>
      <c r="G122">
        <f>IFERROR(INDEX(Calc!$S$2:$S$1001,MATCH(ROW()-1,Calc!$X$2:$X$1001,0)),"")</f>
        <v/>
      </c>
    </row>
    <row r="123">
      <c r="A123">
        <f>IFERROR(INDEX(Calc!$L$2:$L$1001,MATCH(ROW()-1,Calc!$X$2:$X$1001,0)),"")</f>
        <v/>
      </c>
      <c r="B123">
        <f>IFERROR(INDEX(Calc!$M$2:$M$1001,MATCH(ROW()-1,Calc!$X$2:$X$1001,0)),"")</f>
        <v/>
      </c>
      <c r="C123">
        <f>IFERROR(INDEX(Calc!$N$2:$N$1001,MATCH(ROW()-1,Calc!$X$2:$X$1001,0)),"")</f>
        <v/>
      </c>
      <c r="D123" s="3">
        <f>IFERROR(INDEX(Calc!$O$2:$O$1001,MATCH(ROW()-1,Calc!$X$2:$X$1001,0)),"")</f>
        <v/>
      </c>
      <c r="E123" s="3">
        <f>IFERROR(INDEX(Calc!$P$2:$P$1001,MATCH(ROW()-1,Calc!$X$2:$X$1001,0)),"")</f>
        <v/>
      </c>
      <c r="F123" s="3">
        <f>IF(G123="","",E123-D123)</f>
        <v/>
      </c>
      <c r="G123">
        <f>IFERROR(INDEX(Calc!$S$2:$S$1001,MATCH(ROW()-1,Calc!$X$2:$X$1001,0)),"")</f>
        <v/>
      </c>
    </row>
    <row r="124">
      <c r="A124">
        <f>IFERROR(INDEX(Calc!$L$2:$L$1001,MATCH(ROW()-1,Calc!$X$2:$X$1001,0)),"")</f>
        <v/>
      </c>
      <c r="B124">
        <f>IFERROR(INDEX(Calc!$M$2:$M$1001,MATCH(ROW()-1,Calc!$X$2:$X$1001,0)),"")</f>
        <v/>
      </c>
      <c r="C124">
        <f>IFERROR(INDEX(Calc!$N$2:$N$1001,MATCH(ROW()-1,Calc!$X$2:$X$1001,0)),"")</f>
        <v/>
      </c>
      <c r="D124" s="3">
        <f>IFERROR(INDEX(Calc!$O$2:$O$1001,MATCH(ROW()-1,Calc!$X$2:$X$1001,0)),"")</f>
        <v/>
      </c>
      <c r="E124" s="3">
        <f>IFERROR(INDEX(Calc!$P$2:$P$1001,MATCH(ROW()-1,Calc!$X$2:$X$1001,0)),"")</f>
        <v/>
      </c>
      <c r="F124" s="3">
        <f>IF(G124="","",E124-D124)</f>
        <v/>
      </c>
      <c r="G124">
        <f>IFERROR(INDEX(Calc!$S$2:$S$1001,MATCH(ROW()-1,Calc!$X$2:$X$1001,0)),"")</f>
        <v/>
      </c>
    </row>
    <row r="125">
      <c r="A125">
        <f>IFERROR(INDEX(Calc!$L$2:$L$1001,MATCH(ROW()-1,Calc!$X$2:$X$1001,0)),"")</f>
        <v/>
      </c>
      <c r="B125">
        <f>IFERROR(INDEX(Calc!$M$2:$M$1001,MATCH(ROW()-1,Calc!$X$2:$X$1001,0)),"")</f>
        <v/>
      </c>
      <c r="C125">
        <f>IFERROR(INDEX(Calc!$N$2:$N$1001,MATCH(ROW()-1,Calc!$X$2:$X$1001,0)),"")</f>
        <v/>
      </c>
      <c r="D125" s="3">
        <f>IFERROR(INDEX(Calc!$O$2:$O$1001,MATCH(ROW()-1,Calc!$X$2:$X$1001,0)),"")</f>
        <v/>
      </c>
      <c r="E125" s="3">
        <f>IFERROR(INDEX(Calc!$P$2:$P$1001,MATCH(ROW()-1,Calc!$X$2:$X$1001,0)),"")</f>
        <v/>
      </c>
      <c r="F125" s="3">
        <f>IF(G125="","",E125-D125)</f>
        <v/>
      </c>
      <c r="G125">
        <f>IFERROR(INDEX(Calc!$S$2:$S$1001,MATCH(ROW()-1,Calc!$X$2:$X$1001,0)),"")</f>
        <v/>
      </c>
    </row>
    <row r="126">
      <c r="A126">
        <f>IFERROR(INDEX(Calc!$L$2:$L$1001,MATCH(ROW()-1,Calc!$X$2:$X$1001,0)),"")</f>
        <v/>
      </c>
      <c r="B126">
        <f>IFERROR(INDEX(Calc!$M$2:$M$1001,MATCH(ROW()-1,Calc!$X$2:$X$1001,0)),"")</f>
        <v/>
      </c>
      <c r="C126">
        <f>IFERROR(INDEX(Calc!$N$2:$N$1001,MATCH(ROW()-1,Calc!$X$2:$X$1001,0)),"")</f>
        <v/>
      </c>
      <c r="D126" s="3">
        <f>IFERROR(INDEX(Calc!$O$2:$O$1001,MATCH(ROW()-1,Calc!$X$2:$X$1001,0)),"")</f>
        <v/>
      </c>
      <c r="E126" s="3">
        <f>IFERROR(INDEX(Calc!$P$2:$P$1001,MATCH(ROW()-1,Calc!$X$2:$X$1001,0)),"")</f>
        <v/>
      </c>
      <c r="F126" s="3">
        <f>IF(G126="","",E126-D126)</f>
        <v/>
      </c>
      <c r="G126">
        <f>IFERROR(INDEX(Calc!$S$2:$S$1001,MATCH(ROW()-1,Calc!$X$2:$X$1001,0)),"")</f>
        <v/>
      </c>
    </row>
    <row r="127">
      <c r="A127">
        <f>IFERROR(INDEX(Calc!$L$2:$L$1001,MATCH(ROW()-1,Calc!$X$2:$X$1001,0)),"")</f>
        <v/>
      </c>
      <c r="B127">
        <f>IFERROR(INDEX(Calc!$M$2:$M$1001,MATCH(ROW()-1,Calc!$X$2:$X$1001,0)),"")</f>
        <v/>
      </c>
      <c r="C127">
        <f>IFERROR(INDEX(Calc!$N$2:$N$1001,MATCH(ROW()-1,Calc!$X$2:$X$1001,0)),"")</f>
        <v/>
      </c>
      <c r="D127" s="3">
        <f>IFERROR(INDEX(Calc!$O$2:$O$1001,MATCH(ROW()-1,Calc!$X$2:$X$1001,0)),"")</f>
        <v/>
      </c>
      <c r="E127" s="3">
        <f>IFERROR(INDEX(Calc!$P$2:$P$1001,MATCH(ROW()-1,Calc!$X$2:$X$1001,0)),"")</f>
        <v/>
      </c>
      <c r="F127" s="3">
        <f>IF(G127="","",E127-D127)</f>
        <v/>
      </c>
      <c r="G127">
        <f>IFERROR(INDEX(Calc!$S$2:$S$1001,MATCH(ROW()-1,Calc!$X$2:$X$1001,0)),"")</f>
        <v/>
      </c>
    </row>
    <row r="128">
      <c r="A128">
        <f>IFERROR(INDEX(Calc!$L$2:$L$1001,MATCH(ROW()-1,Calc!$X$2:$X$1001,0)),"")</f>
        <v/>
      </c>
      <c r="B128">
        <f>IFERROR(INDEX(Calc!$M$2:$M$1001,MATCH(ROW()-1,Calc!$X$2:$X$1001,0)),"")</f>
        <v/>
      </c>
      <c r="C128">
        <f>IFERROR(INDEX(Calc!$N$2:$N$1001,MATCH(ROW()-1,Calc!$X$2:$X$1001,0)),"")</f>
        <v/>
      </c>
      <c r="D128" s="3">
        <f>IFERROR(INDEX(Calc!$O$2:$O$1001,MATCH(ROW()-1,Calc!$X$2:$X$1001,0)),"")</f>
        <v/>
      </c>
      <c r="E128" s="3">
        <f>IFERROR(INDEX(Calc!$P$2:$P$1001,MATCH(ROW()-1,Calc!$X$2:$X$1001,0)),"")</f>
        <v/>
      </c>
      <c r="F128" s="3">
        <f>IF(G128="","",E128-D128)</f>
        <v/>
      </c>
      <c r="G128">
        <f>IFERROR(INDEX(Calc!$S$2:$S$1001,MATCH(ROW()-1,Calc!$X$2:$X$1001,0)),"")</f>
        <v/>
      </c>
    </row>
    <row r="129">
      <c r="A129">
        <f>IFERROR(INDEX(Calc!$L$2:$L$1001,MATCH(ROW()-1,Calc!$X$2:$X$1001,0)),"")</f>
        <v/>
      </c>
      <c r="B129">
        <f>IFERROR(INDEX(Calc!$M$2:$M$1001,MATCH(ROW()-1,Calc!$X$2:$X$1001,0)),"")</f>
        <v/>
      </c>
      <c r="C129">
        <f>IFERROR(INDEX(Calc!$N$2:$N$1001,MATCH(ROW()-1,Calc!$X$2:$X$1001,0)),"")</f>
        <v/>
      </c>
      <c r="D129" s="3">
        <f>IFERROR(INDEX(Calc!$O$2:$O$1001,MATCH(ROW()-1,Calc!$X$2:$X$1001,0)),"")</f>
        <v/>
      </c>
      <c r="E129" s="3">
        <f>IFERROR(INDEX(Calc!$P$2:$P$1001,MATCH(ROW()-1,Calc!$X$2:$X$1001,0)),"")</f>
        <v/>
      </c>
      <c r="F129" s="3">
        <f>IF(G129="","",E129-D129)</f>
        <v/>
      </c>
      <c r="G129">
        <f>IFERROR(INDEX(Calc!$S$2:$S$1001,MATCH(ROW()-1,Calc!$X$2:$X$1001,0)),"")</f>
        <v/>
      </c>
    </row>
    <row r="130">
      <c r="A130">
        <f>IFERROR(INDEX(Calc!$L$2:$L$1001,MATCH(ROW()-1,Calc!$X$2:$X$1001,0)),"")</f>
        <v/>
      </c>
      <c r="B130">
        <f>IFERROR(INDEX(Calc!$M$2:$M$1001,MATCH(ROW()-1,Calc!$X$2:$X$1001,0)),"")</f>
        <v/>
      </c>
      <c r="C130">
        <f>IFERROR(INDEX(Calc!$N$2:$N$1001,MATCH(ROW()-1,Calc!$X$2:$X$1001,0)),"")</f>
        <v/>
      </c>
      <c r="D130" s="3">
        <f>IFERROR(INDEX(Calc!$O$2:$O$1001,MATCH(ROW()-1,Calc!$X$2:$X$1001,0)),"")</f>
        <v/>
      </c>
      <c r="E130" s="3">
        <f>IFERROR(INDEX(Calc!$P$2:$P$1001,MATCH(ROW()-1,Calc!$X$2:$X$1001,0)),"")</f>
        <v/>
      </c>
      <c r="F130" s="3">
        <f>IF(G130="","",E130-D130)</f>
        <v/>
      </c>
      <c r="G130">
        <f>IFERROR(INDEX(Calc!$S$2:$S$1001,MATCH(ROW()-1,Calc!$X$2:$X$1001,0)),"")</f>
        <v/>
      </c>
    </row>
    <row r="131">
      <c r="A131">
        <f>IFERROR(INDEX(Calc!$L$2:$L$1001,MATCH(ROW()-1,Calc!$X$2:$X$1001,0)),"")</f>
        <v/>
      </c>
      <c r="B131">
        <f>IFERROR(INDEX(Calc!$M$2:$M$1001,MATCH(ROW()-1,Calc!$X$2:$X$1001,0)),"")</f>
        <v/>
      </c>
      <c r="C131">
        <f>IFERROR(INDEX(Calc!$N$2:$N$1001,MATCH(ROW()-1,Calc!$X$2:$X$1001,0)),"")</f>
        <v/>
      </c>
      <c r="D131" s="3">
        <f>IFERROR(INDEX(Calc!$O$2:$O$1001,MATCH(ROW()-1,Calc!$X$2:$X$1001,0)),"")</f>
        <v/>
      </c>
      <c r="E131" s="3">
        <f>IFERROR(INDEX(Calc!$P$2:$P$1001,MATCH(ROW()-1,Calc!$X$2:$X$1001,0)),"")</f>
        <v/>
      </c>
      <c r="F131" s="3">
        <f>IF(G131="","",E131-D131)</f>
        <v/>
      </c>
      <c r="G131">
        <f>IFERROR(INDEX(Calc!$S$2:$S$1001,MATCH(ROW()-1,Calc!$X$2:$X$1001,0)),"")</f>
        <v/>
      </c>
    </row>
    <row r="132">
      <c r="A132">
        <f>IFERROR(INDEX(Calc!$L$2:$L$1001,MATCH(ROW()-1,Calc!$X$2:$X$1001,0)),"")</f>
        <v/>
      </c>
      <c r="B132">
        <f>IFERROR(INDEX(Calc!$M$2:$M$1001,MATCH(ROW()-1,Calc!$X$2:$X$1001,0)),"")</f>
        <v/>
      </c>
      <c r="C132">
        <f>IFERROR(INDEX(Calc!$N$2:$N$1001,MATCH(ROW()-1,Calc!$X$2:$X$1001,0)),"")</f>
        <v/>
      </c>
      <c r="D132" s="3">
        <f>IFERROR(INDEX(Calc!$O$2:$O$1001,MATCH(ROW()-1,Calc!$X$2:$X$1001,0)),"")</f>
        <v/>
      </c>
      <c r="E132" s="3">
        <f>IFERROR(INDEX(Calc!$P$2:$P$1001,MATCH(ROW()-1,Calc!$X$2:$X$1001,0)),"")</f>
        <v/>
      </c>
      <c r="F132" s="3">
        <f>IF(G132="","",E132-D132)</f>
        <v/>
      </c>
      <c r="G132">
        <f>IFERROR(INDEX(Calc!$S$2:$S$1001,MATCH(ROW()-1,Calc!$X$2:$X$1001,0)),"")</f>
        <v/>
      </c>
    </row>
    <row r="133">
      <c r="A133">
        <f>IFERROR(INDEX(Calc!$L$2:$L$1001,MATCH(ROW()-1,Calc!$X$2:$X$1001,0)),"")</f>
        <v/>
      </c>
      <c r="B133">
        <f>IFERROR(INDEX(Calc!$M$2:$M$1001,MATCH(ROW()-1,Calc!$X$2:$X$1001,0)),"")</f>
        <v/>
      </c>
      <c r="C133">
        <f>IFERROR(INDEX(Calc!$N$2:$N$1001,MATCH(ROW()-1,Calc!$X$2:$X$1001,0)),"")</f>
        <v/>
      </c>
      <c r="D133" s="3">
        <f>IFERROR(INDEX(Calc!$O$2:$O$1001,MATCH(ROW()-1,Calc!$X$2:$X$1001,0)),"")</f>
        <v/>
      </c>
      <c r="E133" s="3">
        <f>IFERROR(INDEX(Calc!$P$2:$P$1001,MATCH(ROW()-1,Calc!$X$2:$X$1001,0)),"")</f>
        <v/>
      </c>
      <c r="F133" s="3">
        <f>IF(G133="","",E133-D133)</f>
        <v/>
      </c>
      <c r="G133">
        <f>IFERROR(INDEX(Calc!$S$2:$S$1001,MATCH(ROW()-1,Calc!$X$2:$X$1001,0)),"")</f>
        <v/>
      </c>
    </row>
    <row r="134">
      <c r="A134">
        <f>IFERROR(INDEX(Calc!$L$2:$L$1001,MATCH(ROW()-1,Calc!$X$2:$X$1001,0)),"")</f>
        <v/>
      </c>
      <c r="B134">
        <f>IFERROR(INDEX(Calc!$M$2:$M$1001,MATCH(ROW()-1,Calc!$X$2:$X$1001,0)),"")</f>
        <v/>
      </c>
      <c r="C134">
        <f>IFERROR(INDEX(Calc!$N$2:$N$1001,MATCH(ROW()-1,Calc!$X$2:$X$1001,0)),"")</f>
        <v/>
      </c>
      <c r="D134" s="3">
        <f>IFERROR(INDEX(Calc!$O$2:$O$1001,MATCH(ROW()-1,Calc!$X$2:$X$1001,0)),"")</f>
        <v/>
      </c>
      <c r="E134" s="3">
        <f>IFERROR(INDEX(Calc!$P$2:$P$1001,MATCH(ROW()-1,Calc!$X$2:$X$1001,0)),"")</f>
        <v/>
      </c>
      <c r="F134" s="3">
        <f>IF(G134="","",E134-D134)</f>
        <v/>
      </c>
      <c r="G134">
        <f>IFERROR(INDEX(Calc!$S$2:$S$1001,MATCH(ROW()-1,Calc!$X$2:$X$1001,0)),"")</f>
        <v/>
      </c>
    </row>
    <row r="135">
      <c r="A135">
        <f>IFERROR(INDEX(Calc!$L$2:$L$1001,MATCH(ROW()-1,Calc!$X$2:$X$1001,0)),"")</f>
        <v/>
      </c>
      <c r="B135">
        <f>IFERROR(INDEX(Calc!$M$2:$M$1001,MATCH(ROW()-1,Calc!$X$2:$X$1001,0)),"")</f>
        <v/>
      </c>
      <c r="C135">
        <f>IFERROR(INDEX(Calc!$N$2:$N$1001,MATCH(ROW()-1,Calc!$X$2:$X$1001,0)),"")</f>
        <v/>
      </c>
      <c r="D135" s="3">
        <f>IFERROR(INDEX(Calc!$O$2:$O$1001,MATCH(ROW()-1,Calc!$X$2:$X$1001,0)),"")</f>
        <v/>
      </c>
      <c r="E135" s="3">
        <f>IFERROR(INDEX(Calc!$P$2:$P$1001,MATCH(ROW()-1,Calc!$X$2:$X$1001,0)),"")</f>
        <v/>
      </c>
      <c r="F135" s="3">
        <f>IF(G135="","",E135-D135)</f>
        <v/>
      </c>
      <c r="G135">
        <f>IFERROR(INDEX(Calc!$S$2:$S$1001,MATCH(ROW()-1,Calc!$X$2:$X$1001,0)),"")</f>
        <v/>
      </c>
    </row>
    <row r="136">
      <c r="A136">
        <f>IFERROR(INDEX(Calc!$L$2:$L$1001,MATCH(ROW()-1,Calc!$X$2:$X$1001,0)),"")</f>
        <v/>
      </c>
      <c r="B136">
        <f>IFERROR(INDEX(Calc!$M$2:$M$1001,MATCH(ROW()-1,Calc!$X$2:$X$1001,0)),"")</f>
        <v/>
      </c>
      <c r="C136">
        <f>IFERROR(INDEX(Calc!$N$2:$N$1001,MATCH(ROW()-1,Calc!$X$2:$X$1001,0)),"")</f>
        <v/>
      </c>
      <c r="D136" s="3">
        <f>IFERROR(INDEX(Calc!$O$2:$O$1001,MATCH(ROW()-1,Calc!$X$2:$X$1001,0)),"")</f>
        <v/>
      </c>
      <c r="E136" s="3">
        <f>IFERROR(INDEX(Calc!$P$2:$P$1001,MATCH(ROW()-1,Calc!$X$2:$X$1001,0)),"")</f>
        <v/>
      </c>
      <c r="F136" s="3">
        <f>IF(G136="","",E136-D136)</f>
        <v/>
      </c>
      <c r="G136">
        <f>IFERROR(INDEX(Calc!$S$2:$S$1001,MATCH(ROW()-1,Calc!$X$2:$X$1001,0)),"")</f>
        <v/>
      </c>
    </row>
    <row r="137">
      <c r="A137">
        <f>IFERROR(INDEX(Calc!$L$2:$L$1001,MATCH(ROW()-1,Calc!$X$2:$X$1001,0)),"")</f>
        <v/>
      </c>
      <c r="B137">
        <f>IFERROR(INDEX(Calc!$M$2:$M$1001,MATCH(ROW()-1,Calc!$X$2:$X$1001,0)),"")</f>
        <v/>
      </c>
      <c r="C137">
        <f>IFERROR(INDEX(Calc!$N$2:$N$1001,MATCH(ROW()-1,Calc!$X$2:$X$1001,0)),"")</f>
        <v/>
      </c>
      <c r="D137" s="3">
        <f>IFERROR(INDEX(Calc!$O$2:$O$1001,MATCH(ROW()-1,Calc!$X$2:$X$1001,0)),"")</f>
        <v/>
      </c>
      <c r="E137" s="3">
        <f>IFERROR(INDEX(Calc!$P$2:$P$1001,MATCH(ROW()-1,Calc!$X$2:$X$1001,0)),"")</f>
        <v/>
      </c>
      <c r="F137" s="3">
        <f>IF(G137="","",E137-D137)</f>
        <v/>
      </c>
      <c r="G137">
        <f>IFERROR(INDEX(Calc!$S$2:$S$1001,MATCH(ROW()-1,Calc!$X$2:$X$1001,0)),"")</f>
        <v/>
      </c>
    </row>
    <row r="138">
      <c r="A138">
        <f>IFERROR(INDEX(Calc!$L$2:$L$1001,MATCH(ROW()-1,Calc!$X$2:$X$1001,0)),"")</f>
        <v/>
      </c>
      <c r="B138">
        <f>IFERROR(INDEX(Calc!$M$2:$M$1001,MATCH(ROW()-1,Calc!$X$2:$X$1001,0)),"")</f>
        <v/>
      </c>
      <c r="C138">
        <f>IFERROR(INDEX(Calc!$N$2:$N$1001,MATCH(ROW()-1,Calc!$X$2:$X$1001,0)),"")</f>
        <v/>
      </c>
      <c r="D138" s="3">
        <f>IFERROR(INDEX(Calc!$O$2:$O$1001,MATCH(ROW()-1,Calc!$X$2:$X$1001,0)),"")</f>
        <v/>
      </c>
      <c r="E138" s="3">
        <f>IFERROR(INDEX(Calc!$P$2:$P$1001,MATCH(ROW()-1,Calc!$X$2:$X$1001,0)),"")</f>
        <v/>
      </c>
      <c r="F138" s="3">
        <f>IF(G138="","",E138-D138)</f>
        <v/>
      </c>
      <c r="G138">
        <f>IFERROR(INDEX(Calc!$S$2:$S$1001,MATCH(ROW()-1,Calc!$X$2:$X$1001,0)),"")</f>
        <v/>
      </c>
    </row>
    <row r="139">
      <c r="A139">
        <f>IFERROR(INDEX(Calc!$L$2:$L$1001,MATCH(ROW()-1,Calc!$X$2:$X$1001,0)),"")</f>
        <v/>
      </c>
      <c r="B139">
        <f>IFERROR(INDEX(Calc!$M$2:$M$1001,MATCH(ROW()-1,Calc!$X$2:$X$1001,0)),"")</f>
        <v/>
      </c>
      <c r="C139">
        <f>IFERROR(INDEX(Calc!$N$2:$N$1001,MATCH(ROW()-1,Calc!$X$2:$X$1001,0)),"")</f>
        <v/>
      </c>
      <c r="D139" s="3">
        <f>IFERROR(INDEX(Calc!$O$2:$O$1001,MATCH(ROW()-1,Calc!$X$2:$X$1001,0)),"")</f>
        <v/>
      </c>
      <c r="E139" s="3">
        <f>IFERROR(INDEX(Calc!$P$2:$P$1001,MATCH(ROW()-1,Calc!$X$2:$X$1001,0)),"")</f>
        <v/>
      </c>
      <c r="F139" s="3">
        <f>IF(G139="","",E139-D139)</f>
        <v/>
      </c>
      <c r="G139">
        <f>IFERROR(INDEX(Calc!$S$2:$S$1001,MATCH(ROW()-1,Calc!$X$2:$X$1001,0)),"")</f>
        <v/>
      </c>
    </row>
    <row r="140">
      <c r="A140">
        <f>IFERROR(INDEX(Calc!$L$2:$L$1001,MATCH(ROW()-1,Calc!$X$2:$X$1001,0)),"")</f>
        <v/>
      </c>
      <c r="B140">
        <f>IFERROR(INDEX(Calc!$M$2:$M$1001,MATCH(ROW()-1,Calc!$X$2:$X$1001,0)),"")</f>
        <v/>
      </c>
      <c r="C140">
        <f>IFERROR(INDEX(Calc!$N$2:$N$1001,MATCH(ROW()-1,Calc!$X$2:$X$1001,0)),"")</f>
        <v/>
      </c>
      <c r="D140" s="3">
        <f>IFERROR(INDEX(Calc!$O$2:$O$1001,MATCH(ROW()-1,Calc!$X$2:$X$1001,0)),"")</f>
        <v/>
      </c>
      <c r="E140" s="3">
        <f>IFERROR(INDEX(Calc!$P$2:$P$1001,MATCH(ROW()-1,Calc!$X$2:$X$1001,0)),"")</f>
        <v/>
      </c>
      <c r="F140" s="3">
        <f>IF(G140="","",E140-D140)</f>
        <v/>
      </c>
      <c r="G140">
        <f>IFERROR(INDEX(Calc!$S$2:$S$1001,MATCH(ROW()-1,Calc!$X$2:$X$1001,0)),"")</f>
        <v/>
      </c>
    </row>
    <row r="141">
      <c r="A141">
        <f>IFERROR(INDEX(Calc!$L$2:$L$1001,MATCH(ROW()-1,Calc!$X$2:$X$1001,0)),"")</f>
        <v/>
      </c>
      <c r="B141">
        <f>IFERROR(INDEX(Calc!$M$2:$M$1001,MATCH(ROW()-1,Calc!$X$2:$X$1001,0)),"")</f>
        <v/>
      </c>
      <c r="C141">
        <f>IFERROR(INDEX(Calc!$N$2:$N$1001,MATCH(ROW()-1,Calc!$X$2:$X$1001,0)),"")</f>
        <v/>
      </c>
      <c r="D141" s="3">
        <f>IFERROR(INDEX(Calc!$O$2:$O$1001,MATCH(ROW()-1,Calc!$X$2:$X$1001,0)),"")</f>
        <v/>
      </c>
      <c r="E141" s="3">
        <f>IFERROR(INDEX(Calc!$P$2:$P$1001,MATCH(ROW()-1,Calc!$X$2:$X$1001,0)),"")</f>
        <v/>
      </c>
      <c r="F141" s="3">
        <f>IF(G141="","",E141-D141)</f>
        <v/>
      </c>
      <c r="G141">
        <f>IFERROR(INDEX(Calc!$S$2:$S$1001,MATCH(ROW()-1,Calc!$X$2:$X$1001,0)),"")</f>
        <v/>
      </c>
    </row>
    <row r="142">
      <c r="A142">
        <f>IFERROR(INDEX(Calc!$L$2:$L$1001,MATCH(ROW()-1,Calc!$X$2:$X$1001,0)),"")</f>
        <v/>
      </c>
      <c r="B142">
        <f>IFERROR(INDEX(Calc!$M$2:$M$1001,MATCH(ROW()-1,Calc!$X$2:$X$1001,0)),"")</f>
        <v/>
      </c>
      <c r="C142">
        <f>IFERROR(INDEX(Calc!$N$2:$N$1001,MATCH(ROW()-1,Calc!$X$2:$X$1001,0)),"")</f>
        <v/>
      </c>
      <c r="D142" s="3">
        <f>IFERROR(INDEX(Calc!$O$2:$O$1001,MATCH(ROW()-1,Calc!$X$2:$X$1001,0)),"")</f>
        <v/>
      </c>
      <c r="E142" s="3">
        <f>IFERROR(INDEX(Calc!$P$2:$P$1001,MATCH(ROW()-1,Calc!$X$2:$X$1001,0)),"")</f>
        <v/>
      </c>
      <c r="F142" s="3">
        <f>IF(G142="","",E142-D142)</f>
        <v/>
      </c>
      <c r="G142">
        <f>IFERROR(INDEX(Calc!$S$2:$S$1001,MATCH(ROW()-1,Calc!$X$2:$X$1001,0)),"")</f>
        <v/>
      </c>
    </row>
    <row r="143">
      <c r="A143">
        <f>IFERROR(INDEX(Calc!$L$2:$L$1001,MATCH(ROW()-1,Calc!$X$2:$X$1001,0)),"")</f>
        <v/>
      </c>
      <c r="B143">
        <f>IFERROR(INDEX(Calc!$M$2:$M$1001,MATCH(ROW()-1,Calc!$X$2:$X$1001,0)),"")</f>
        <v/>
      </c>
      <c r="C143">
        <f>IFERROR(INDEX(Calc!$N$2:$N$1001,MATCH(ROW()-1,Calc!$X$2:$X$1001,0)),"")</f>
        <v/>
      </c>
      <c r="D143" s="3">
        <f>IFERROR(INDEX(Calc!$O$2:$O$1001,MATCH(ROW()-1,Calc!$X$2:$X$1001,0)),"")</f>
        <v/>
      </c>
      <c r="E143" s="3">
        <f>IFERROR(INDEX(Calc!$P$2:$P$1001,MATCH(ROW()-1,Calc!$X$2:$X$1001,0)),"")</f>
        <v/>
      </c>
      <c r="F143" s="3">
        <f>IF(G143="","",E143-D143)</f>
        <v/>
      </c>
      <c r="G143">
        <f>IFERROR(INDEX(Calc!$S$2:$S$1001,MATCH(ROW()-1,Calc!$X$2:$X$1001,0)),"")</f>
        <v/>
      </c>
    </row>
    <row r="144">
      <c r="A144">
        <f>IFERROR(INDEX(Calc!$L$2:$L$1001,MATCH(ROW()-1,Calc!$X$2:$X$1001,0)),"")</f>
        <v/>
      </c>
      <c r="B144">
        <f>IFERROR(INDEX(Calc!$M$2:$M$1001,MATCH(ROW()-1,Calc!$X$2:$X$1001,0)),"")</f>
        <v/>
      </c>
      <c r="C144">
        <f>IFERROR(INDEX(Calc!$N$2:$N$1001,MATCH(ROW()-1,Calc!$X$2:$X$1001,0)),"")</f>
        <v/>
      </c>
      <c r="D144" s="3">
        <f>IFERROR(INDEX(Calc!$O$2:$O$1001,MATCH(ROW()-1,Calc!$X$2:$X$1001,0)),"")</f>
        <v/>
      </c>
      <c r="E144" s="3">
        <f>IFERROR(INDEX(Calc!$P$2:$P$1001,MATCH(ROW()-1,Calc!$X$2:$X$1001,0)),"")</f>
        <v/>
      </c>
      <c r="F144" s="3">
        <f>IF(G144="","",E144-D144)</f>
        <v/>
      </c>
      <c r="G144">
        <f>IFERROR(INDEX(Calc!$S$2:$S$1001,MATCH(ROW()-1,Calc!$X$2:$X$1001,0)),"")</f>
        <v/>
      </c>
    </row>
    <row r="145">
      <c r="A145">
        <f>IFERROR(INDEX(Calc!$L$2:$L$1001,MATCH(ROW()-1,Calc!$X$2:$X$1001,0)),"")</f>
        <v/>
      </c>
      <c r="B145">
        <f>IFERROR(INDEX(Calc!$M$2:$M$1001,MATCH(ROW()-1,Calc!$X$2:$X$1001,0)),"")</f>
        <v/>
      </c>
      <c r="C145">
        <f>IFERROR(INDEX(Calc!$N$2:$N$1001,MATCH(ROW()-1,Calc!$X$2:$X$1001,0)),"")</f>
        <v/>
      </c>
      <c r="D145" s="3">
        <f>IFERROR(INDEX(Calc!$O$2:$O$1001,MATCH(ROW()-1,Calc!$X$2:$X$1001,0)),"")</f>
        <v/>
      </c>
      <c r="E145" s="3">
        <f>IFERROR(INDEX(Calc!$P$2:$P$1001,MATCH(ROW()-1,Calc!$X$2:$X$1001,0)),"")</f>
        <v/>
      </c>
      <c r="F145" s="3">
        <f>IF(G145="","",E145-D145)</f>
        <v/>
      </c>
      <c r="G145">
        <f>IFERROR(INDEX(Calc!$S$2:$S$1001,MATCH(ROW()-1,Calc!$X$2:$X$1001,0)),"")</f>
        <v/>
      </c>
    </row>
    <row r="146">
      <c r="A146">
        <f>IFERROR(INDEX(Calc!$L$2:$L$1001,MATCH(ROW()-1,Calc!$X$2:$X$1001,0)),"")</f>
        <v/>
      </c>
      <c r="B146">
        <f>IFERROR(INDEX(Calc!$M$2:$M$1001,MATCH(ROW()-1,Calc!$X$2:$X$1001,0)),"")</f>
        <v/>
      </c>
      <c r="C146">
        <f>IFERROR(INDEX(Calc!$N$2:$N$1001,MATCH(ROW()-1,Calc!$X$2:$X$1001,0)),"")</f>
        <v/>
      </c>
      <c r="D146" s="3">
        <f>IFERROR(INDEX(Calc!$O$2:$O$1001,MATCH(ROW()-1,Calc!$X$2:$X$1001,0)),"")</f>
        <v/>
      </c>
      <c r="E146" s="3">
        <f>IFERROR(INDEX(Calc!$P$2:$P$1001,MATCH(ROW()-1,Calc!$X$2:$X$1001,0)),"")</f>
        <v/>
      </c>
      <c r="F146" s="3">
        <f>IF(G146="","",E146-D146)</f>
        <v/>
      </c>
      <c r="G146">
        <f>IFERROR(INDEX(Calc!$S$2:$S$1001,MATCH(ROW()-1,Calc!$X$2:$X$1001,0)),"")</f>
        <v/>
      </c>
    </row>
    <row r="147">
      <c r="A147">
        <f>IFERROR(INDEX(Calc!$L$2:$L$1001,MATCH(ROW()-1,Calc!$X$2:$X$1001,0)),"")</f>
        <v/>
      </c>
      <c r="B147">
        <f>IFERROR(INDEX(Calc!$M$2:$M$1001,MATCH(ROW()-1,Calc!$X$2:$X$1001,0)),"")</f>
        <v/>
      </c>
      <c r="C147">
        <f>IFERROR(INDEX(Calc!$N$2:$N$1001,MATCH(ROW()-1,Calc!$X$2:$X$1001,0)),"")</f>
        <v/>
      </c>
      <c r="D147" s="3">
        <f>IFERROR(INDEX(Calc!$O$2:$O$1001,MATCH(ROW()-1,Calc!$X$2:$X$1001,0)),"")</f>
        <v/>
      </c>
      <c r="E147" s="3">
        <f>IFERROR(INDEX(Calc!$P$2:$P$1001,MATCH(ROW()-1,Calc!$X$2:$X$1001,0)),"")</f>
        <v/>
      </c>
      <c r="F147" s="3">
        <f>IF(G147="","",E147-D147)</f>
        <v/>
      </c>
      <c r="G147">
        <f>IFERROR(INDEX(Calc!$S$2:$S$1001,MATCH(ROW()-1,Calc!$X$2:$X$1001,0)),"")</f>
        <v/>
      </c>
    </row>
    <row r="148">
      <c r="A148">
        <f>IFERROR(INDEX(Calc!$L$2:$L$1001,MATCH(ROW()-1,Calc!$X$2:$X$1001,0)),"")</f>
        <v/>
      </c>
      <c r="B148">
        <f>IFERROR(INDEX(Calc!$M$2:$M$1001,MATCH(ROW()-1,Calc!$X$2:$X$1001,0)),"")</f>
        <v/>
      </c>
      <c r="C148">
        <f>IFERROR(INDEX(Calc!$N$2:$N$1001,MATCH(ROW()-1,Calc!$X$2:$X$1001,0)),"")</f>
        <v/>
      </c>
      <c r="D148" s="3">
        <f>IFERROR(INDEX(Calc!$O$2:$O$1001,MATCH(ROW()-1,Calc!$X$2:$X$1001,0)),"")</f>
        <v/>
      </c>
      <c r="E148" s="3">
        <f>IFERROR(INDEX(Calc!$P$2:$P$1001,MATCH(ROW()-1,Calc!$X$2:$X$1001,0)),"")</f>
        <v/>
      </c>
      <c r="F148" s="3">
        <f>IF(G148="","",E148-D148)</f>
        <v/>
      </c>
      <c r="G148">
        <f>IFERROR(INDEX(Calc!$S$2:$S$1001,MATCH(ROW()-1,Calc!$X$2:$X$1001,0)),"")</f>
        <v/>
      </c>
    </row>
    <row r="149">
      <c r="A149">
        <f>IFERROR(INDEX(Calc!$L$2:$L$1001,MATCH(ROW()-1,Calc!$X$2:$X$1001,0)),"")</f>
        <v/>
      </c>
      <c r="B149">
        <f>IFERROR(INDEX(Calc!$M$2:$M$1001,MATCH(ROW()-1,Calc!$X$2:$X$1001,0)),"")</f>
        <v/>
      </c>
      <c r="C149">
        <f>IFERROR(INDEX(Calc!$N$2:$N$1001,MATCH(ROW()-1,Calc!$X$2:$X$1001,0)),"")</f>
        <v/>
      </c>
      <c r="D149" s="3">
        <f>IFERROR(INDEX(Calc!$O$2:$O$1001,MATCH(ROW()-1,Calc!$X$2:$X$1001,0)),"")</f>
        <v/>
      </c>
      <c r="E149" s="3">
        <f>IFERROR(INDEX(Calc!$P$2:$P$1001,MATCH(ROW()-1,Calc!$X$2:$X$1001,0)),"")</f>
        <v/>
      </c>
      <c r="F149" s="3">
        <f>IF(G149="","",E149-D149)</f>
        <v/>
      </c>
      <c r="G149">
        <f>IFERROR(INDEX(Calc!$S$2:$S$1001,MATCH(ROW()-1,Calc!$X$2:$X$1001,0)),"")</f>
        <v/>
      </c>
    </row>
    <row r="150">
      <c r="A150">
        <f>IFERROR(INDEX(Calc!$L$2:$L$1001,MATCH(ROW()-1,Calc!$X$2:$X$1001,0)),"")</f>
        <v/>
      </c>
      <c r="B150">
        <f>IFERROR(INDEX(Calc!$M$2:$M$1001,MATCH(ROW()-1,Calc!$X$2:$X$1001,0)),"")</f>
        <v/>
      </c>
      <c r="C150">
        <f>IFERROR(INDEX(Calc!$N$2:$N$1001,MATCH(ROW()-1,Calc!$X$2:$X$1001,0)),"")</f>
        <v/>
      </c>
      <c r="D150" s="3">
        <f>IFERROR(INDEX(Calc!$O$2:$O$1001,MATCH(ROW()-1,Calc!$X$2:$X$1001,0)),"")</f>
        <v/>
      </c>
      <c r="E150" s="3">
        <f>IFERROR(INDEX(Calc!$P$2:$P$1001,MATCH(ROW()-1,Calc!$X$2:$X$1001,0)),"")</f>
        <v/>
      </c>
      <c r="F150" s="3">
        <f>IF(G150="","",E150-D150)</f>
        <v/>
      </c>
      <c r="G150">
        <f>IFERROR(INDEX(Calc!$S$2:$S$1001,MATCH(ROW()-1,Calc!$X$2:$X$1001,0)),"")</f>
        <v/>
      </c>
    </row>
    <row r="151">
      <c r="A151">
        <f>IFERROR(INDEX(Calc!$L$2:$L$1001,MATCH(ROW()-1,Calc!$X$2:$X$1001,0)),"")</f>
        <v/>
      </c>
      <c r="B151">
        <f>IFERROR(INDEX(Calc!$M$2:$M$1001,MATCH(ROW()-1,Calc!$X$2:$X$1001,0)),"")</f>
        <v/>
      </c>
      <c r="C151">
        <f>IFERROR(INDEX(Calc!$N$2:$N$1001,MATCH(ROW()-1,Calc!$X$2:$X$1001,0)),"")</f>
        <v/>
      </c>
      <c r="D151" s="3">
        <f>IFERROR(INDEX(Calc!$O$2:$O$1001,MATCH(ROW()-1,Calc!$X$2:$X$1001,0)),"")</f>
        <v/>
      </c>
      <c r="E151" s="3">
        <f>IFERROR(INDEX(Calc!$P$2:$P$1001,MATCH(ROW()-1,Calc!$X$2:$X$1001,0)),"")</f>
        <v/>
      </c>
      <c r="F151" s="3">
        <f>IF(G151="","",E151-D151)</f>
        <v/>
      </c>
      <c r="G151">
        <f>IFERROR(INDEX(Calc!$S$2:$S$1001,MATCH(ROW()-1,Calc!$X$2:$X$1001,0)),"")</f>
        <v/>
      </c>
    </row>
    <row r="152">
      <c r="A152">
        <f>IFERROR(INDEX(Calc!$L$2:$L$1001,MATCH(ROW()-1,Calc!$X$2:$X$1001,0)),"")</f>
        <v/>
      </c>
      <c r="B152">
        <f>IFERROR(INDEX(Calc!$M$2:$M$1001,MATCH(ROW()-1,Calc!$X$2:$X$1001,0)),"")</f>
        <v/>
      </c>
      <c r="C152">
        <f>IFERROR(INDEX(Calc!$N$2:$N$1001,MATCH(ROW()-1,Calc!$X$2:$X$1001,0)),"")</f>
        <v/>
      </c>
      <c r="D152" s="3">
        <f>IFERROR(INDEX(Calc!$O$2:$O$1001,MATCH(ROW()-1,Calc!$X$2:$X$1001,0)),"")</f>
        <v/>
      </c>
      <c r="E152" s="3">
        <f>IFERROR(INDEX(Calc!$P$2:$P$1001,MATCH(ROW()-1,Calc!$X$2:$X$1001,0)),"")</f>
        <v/>
      </c>
      <c r="F152" s="3">
        <f>IF(G152="","",E152-D152)</f>
        <v/>
      </c>
      <c r="G152">
        <f>IFERROR(INDEX(Calc!$S$2:$S$1001,MATCH(ROW()-1,Calc!$X$2:$X$1001,0)),"")</f>
        <v/>
      </c>
    </row>
    <row r="153">
      <c r="A153">
        <f>IFERROR(INDEX(Calc!$L$2:$L$1001,MATCH(ROW()-1,Calc!$X$2:$X$1001,0)),"")</f>
        <v/>
      </c>
      <c r="B153">
        <f>IFERROR(INDEX(Calc!$M$2:$M$1001,MATCH(ROW()-1,Calc!$X$2:$X$1001,0)),"")</f>
        <v/>
      </c>
      <c r="C153">
        <f>IFERROR(INDEX(Calc!$N$2:$N$1001,MATCH(ROW()-1,Calc!$X$2:$X$1001,0)),"")</f>
        <v/>
      </c>
      <c r="D153" s="3">
        <f>IFERROR(INDEX(Calc!$O$2:$O$1001,MATCH(ROW()-1,Calc!$X$2:$X$1001,0)),"")</f>
        <v/>
      </c>
      <c r="E153" s="3">
        <f>IFERROR(INDEX(Calc!$P$2:$P$1001,MATCH(ROW()-1,Calc!$X$2:$X$1001,0)),"")</f>
        <v/>
      </c>
      <c r="F153" s="3">
        <f>IF(G153="","",E153-D153)</f>
        <v/>
      </c>
      <c r="G153">
        <f>IFERROR(INDEX(Calc!$S$2:$S$1001,MATCH(ROW()-1,Calc!$X$2:$X$1001,0)),"")</f>
        <v/>
      </c>
    </row>
    <row r="154">
      <c r="A154">
        <f>IFERROR(INDEX(Calc!$L$2:$L$1001,MATCH(ROW()-1,Calc!$X$2:$X$1001,0)),"")</f>
        <v/>
      </c>
      <c r="B154">
        <f>IFERROR(INDEX(Calc!$M$2:$M$1001,MATCH(ROW()-1,Calc!$X$2:$X$1001,0)),"")</f>
        <v/>
      </c>
      <c r="C154">
        <f>IFERROR(INDEX(Calc!$N$2:$N$1001,MATCH(ROW()-1,Calc!$X$2:$X$1001,0)),"")</f>
        <v/>
      </c>
      <c r="D154" s="3">
        <f>IFERROR(INDEX(Calc!$O$2:$O$1001,MATCH(ROW()-1,Calc!$X$2:$X$1001,0)),"")</f>
        <v/>
      </c>
      <c r="E154" s="3">
        <f>IFERROR(INDEX(Calc!$P$2:$P$1001,MATCH(ROW()-1,Calc!$X$2:$X$1001,0)),"")</f>
        <v/>
      </c>
      <c r="F154" s="3">
        <f>IF(G154="","",E154-D154)</f>
        <v/>
      </c>
      <c r="G154">
        <f>IFERROR(INDEX(Calc!$S$2:$S$1001,MATCH(ROW()-1,Calc!$X$2:$X$1001,0)),"")</f>
        <v/>
      </c>
    </row>
    <row r="155">
      <c r="A155">
        <f>IFERROR(INDEX(Calc!$L$2:$L$1001,MATCH(ROW()-1,Calc!$X$2:$X$1001,0)),"")</f>
        <v/>
      </c>
      <c r="B155">
        <f>IFERROR(INDEX(Calc!$M$2:$M$1001,MATCH(ROW()-1,Calc!$X$2:$X$1001,0)),"")</f>
        <v/>
      </c>
      <c r="C155">
        <f>IFERROR(INDEX(Calc!$N$2:$N$1001,MATCH(ROW()-1,Calc!$X$2:$X$1001,0)),"")</f>
        <v/>
      </c>
      <c r="D155" s="3">
        <f>IFERROR(INDEX(Calc!$O$2:$O$1001,MATCH(ROW()-1,Calc!$X$2:$X$1001,0)),"")</f>
        <v/>
      </c>
      <c r="E155" s="3">
        <f>IFERROR(INDEX(Calc!$P$2:$P$1001,MATCH(ROW()-1,Calc!$X$2:$X$1001,0)),"")</f>
        <v/>
      </c>
      <c r="F155" s="3">
        <f>IF(G155="","",E155-D155)</f>
        <v/>
      </c>
      <c r="G155">
        <f>IFERROR(INDEX(Calc!$S$2:$S$1001,MATCH(ROW()-1,Calc!$X$2:$X$1001,0)),"")</f>
        <v/>
      </c>
    </row>
    <row r="156">
      <c r="A156">
        <f>IFERROR(INDEX(Calc!$L$2:$L$1001,MATCH(ROW()-1,Calc!$X$2:$X$1001,0)),"")</f>
        <v/>
      </c>
      <c r="B156">
        <f>IFERROR(INDEX(Calc!$M$2:$M$1001,MATCH(ROW()-1,Calc!$X$2:$X$1001,0)),"")</f>
        <v/>
      </c>
      <c r="C156">
        <f>IFERROR(INDEX(Calc!$N$2:$N$1001,MATCH(ROW()-1,Calc!$X$2:$X$1001,0)),"")</f>
        <v/>
      </c>
      <c r="D156" s="3">
        <f>IFERROR(INDEX(Calc!$O$2:$O$1001,MATCH(ROW()-1,Calc!$X$2:$X$1001,0)),"")</f>
        <v/>
      </c>
      <c r="E156" s="3">
        <f>IFERROR(INDEX(Calc!$P$2:$P$1001,MATCH(ROW()-1,Calc!$X$2:$X$1001,0)),"")</f>
        <v/>
      </c>
      <c r="F156" s="3">
        <f>IF(G156="","",E156-D156)</f>
        <v/>
      </c>
      <c r="G156">
        <f>IFERROR(INDEX(Calc!$S$2:$S$1001,MATCH(ROW()-1,Calc!$X$2:$X$1001,0)),"")</f>
        <v/>
      </c>
    </row>
    <row r="157">
      <c r="A157">
        <f>IFERROR(INDEX(Calc!$L$2:$L$1001,MATCH(ROW()-1,Calc!$X$2:$X$1001,0)),"")</f>
        <v/>
      </c>
      <c r="B157">
        <f>IFERROR(INDEX(Calc!$M$2:$M$1001,MATCH(ROW()-1,Calc!$X$2:$X$1001,0)),"")</f>
        <v/>
      </c>
      <c r="C157">
        <f>IFERROR(INDEX(Calc!$N$2:$N$1001,MATCH(ROW()-1,Calc!$X$2:$X$1001,0)),"")</f>
        <v/>
      </c>
      <c r="D157" s="3">
        <f>IFERROR(INDEX(Calc!$O$2:$O$1001,MATCH(ROW()-1,Calc!$X$2:$X$1001,0)),"")</f>
        <v/>
      </c>
      <c r="E157" s="3">
        <f>IFERROR(INDEX(Calc!$P$2:$P$1001,MATCH(ROW()-1,Calc!$X$2:$X$1001,0)),"")</f>
        <v/>
      </c>
      <c r="F157" s="3">
        <f>IF(G157="","",E157-D157)</f>
        <v/>
      </c>
      <c r="G157">
        <f>IFERROR(INDEX(Calc!$S$2:$S$1001,MATCH(ROW()-1,Calc!$X$2:$X$1001,0)),"")</f>
        <v/>
      </c>
    </row>
    <row r="158">
      <c r="A158">
        <f>IFERROR(INDEX(Calc!$L$2:$L$1001,MATCH(ROW()-1,Calc!$X$2:$X$1001,0)),"")</f>
        <v/>
      </c>
      <c r="B158">
        <f>IFERROR(INDEX(Calc!$M$2:$M$1001,MATCH(ROW()-1,Calc!$X$2:$X$1001,0)),"")</f>
        <v/>
      </c>
      <c r="C158">
        <f>IFERROR(INDEX(Calc!$N$2:$N$1001,MATCH(ROW()-1,Calc!$X$2:$X$1001,0)),"")</f>
        <v/>
      </c>
      <c r="D158" s="3">
        <f>IFERROR(INDEX(Calc!$O$2:$O$1001,MATCH(ROW()-1,Calc!$X$2:$X$1001,0)),"")</f>
        <v/>
      </c>
      <c r="E158" s="3">
        <f>IFERROR(INDEX(Calc!$P$2:$P$1001,MATCH(ROW()-1,Calc!$X$2:$X$1001,0)),"")</f>
        <v/>
      </c>
      <c r="F158" s="3">
        <f>IF(G158="","",E158-D158)</f>
        <v/>
      </c>
      <c r="G158">
        <f>IFERROR(INDEX(Calc!$S$2:$S$1001,MATCH(ROW()-1,Calc!$X$2:$X$1001,0)),"")</f>
        <v/>
      </c>
    </row>
    <row r="159">
      <c r="A159">
        <f>IFERROR(INDEX(Calc!$L$2:$L$1001,MATCH(ROW()-1,Calc!$X$2:$X$1001,0)),"")</f>
        <v/>
      </c>
      <c r="B159">
        <f>IFERROR(INDEX(Calc!$M$2:$M$1001,MATCH(ROW()-1,Calc!$X$2:$X$1001,0)),"")</f>
        <v/>
      </c>
      <c r="C159">
        <f>IFERROR(INDEX(Calc!$N$2:$N$1001,MATCH(ROW()-1,Calc!$X$2:$X$1001,0)),"")</f>
        <v/>
      </c>
      <c r="D159" s="3">
        <f>IFERROR(INDEX(Calc!$O$2:$O$1001,MATCH(ROW()-1,Calc!$X$2:$X$1001,0)),"")</f>
        <v/>
      </c>
      <c r="E159" s="3">
        <f>IFERROR(INDEX(Calc!$P$2:$P$1001,MATCH(ROW()-1,Calc!$X$2:$X$1001,0)),"")</f>
        <v/>
      </c>
      <c r="F159" s="3">
        <f>IF(G159="","",E159-D159)</f>
        <v/>
      </c>
      <c r="G159">
        <f>IFERROR(INDEX(Calc!$S$2:$S$1001,MATCH(ROW()-1,Calc!$X$2:$X$1001,0)),"")</f>
        <v/>
      </c>
    </row>
    <row r="160">
      <c r="A160">
        <f>IFERROR(INDEX(Calc!$L$2:$L$1001,MATCH(ROW()-1,Calc!$X$2:$X$1001,0)),"")</f>
        <v/>
      </c>
      <c r="B160">
        <f>IFERROR(INDEX(Calc!$M$2:$M$1001,MATCH(ROW()-1,Calc!$X$2:$X$1001,0)),"")</f>
        <v/>
      </c>
      <c r="C160">
        <f>IFERROR(INDEX(Calc!$N$2:$N$1001,MATCH(ROW()-1,Calc!$X$2:$X$1001,0)),"")</f>
        <v/>
      </c>
      <c r="D160" s="3">
        <f>IFERROR(INDEX(Calc!$O$2:$O$1001,MATCH(ROW()-1,Calc!$X$2:$X$1001,0)),"")</f>
        <v/>
      </c>
      <c r="E160" s="3">
        <f>IFERROR(INDEX(Calc!$P$2:$P$1001,MATCH(ROW()-1,Calc!$X$2:$X$1001,0)),"")</f>
        <v/>
      </c>
      <c r="F160" s="3">
        <f>IF(G160="","",E160-D160)</f>
        <v/>
      </c>
      <c r="G160">
        <f>IFERROR(INDEX(Calc!$S$2:$S$1001,MATCH(ROW()-1,Calc!$X$2:$X$1001,0)),"")</f>
        <v/>
      </c>
    </row>
    <row r="161">
      <c r="A161">
        <f>IFERROR(INDEX(Calc!$L$2:$L$1001,MATCH(ROW()-1,Calc!$X$2:$X$1001,0)),"")</f>
        <v/>
      </c>
      <c r="B161">
        <f>IFERROR(INDEX(Calc!$M$2:$M$1001,MATCH(ROW()-1,Calc!$X$2:$X$1001,0)),"")</f>
        <v/>
      </c>
      <c r="C161">
        <f>IFERROR(INDEX(Calc!$N$2:$N$1001,MATCH(ROW()-1,Calc!$X$2:$X$1001,0)),"")</f>
        <v/>
      </c>
      <c r="D161" s="3">
        <f>IFERROR(INDEX(Calc!$O$2:$O$1001,MATCH(ROW()-1,Calc!$X$2:$X$1001,0)),"")</f>
        <v/>
      </c>
      <c r="E161" s="3">
        <f>IFERROR(INDEX(Calc!$P$2:$P$1001,MATCH(ROW()-1,Calc!$X$2:$X$1001,0)),"")</f>
        <v/>
      </c>
      <c r="F161" s="3">
        <f>IF(G161="","",E161-D161)</f>
        <v/>
      </c>
      <c r="G161">
        <f>IFERROR(INDEX(Calc!$S$2:$S$1001,MATCH(ROW()-1,Calc!$X$2:$X$1001,0)),"")</f>
        <v/>
      </c>
    </row>
    <row r="162">
      <c r="A162">
        <f>IFERROR(INDEX(Calc!$L$2:$L$1001,MATCH(ROW()-1,Calc!$X$2:$X$1001,0)),"")</f>
        <v/>
      </c>
      <c r="B162">
        <f>IFERROR(INDEX(Calc!$M$2:$M$1001,MATCH(ROW()-1,Calc!$X$2:$X$1001,0)),"")</f>
        <v/>
      </c>
      <c r="C162">
        <f>IFERROR(INDEX(Calc!$N$2:$N$1001,MATCH(ROW()-1,Calc!$X$2:$X$1001,0)),"")</f>
        <v/>
      </c>
      <c r="D162" s="3">
        <f>IFERROR(INDEX(Calc!$O$2:$O$1001,MATCH(ROW()-1,Calc!$X$2:$X$1001,0)),"")</f>
        <v/>
      </c>
      <c r="E162" s="3">
        <f>IFERROR(INDEX(Calc!$P$2:$P$1001,MATCH(ROW()-1,Calc!$X$2:$X$1001,0)),"")</f>
        <v/>
      </c>
      <c r="F162" s="3">
        <f>IF(G162="","",E162-D162)</f>
        <v/>
      </c>
      <c r="G162">
        <f>IFERROR(INDEX(Calc!$S$2:$S$1001,MATCH(ROW()-1,Calc!$X$2:$X$1001,0)),"")</f>
        <v/>
      </c>
    </row>
    <row r="163">
      <c r="A163">
        <f>IFERROR(INDEX(Calc!$L$2:$L$1001,MATCH(ROW()-1,Calc!$X$2:$X$1001,0)),"")</f>
        <v/>
      </c>
      <c r="B163">
        <f>IFERROR(INDEX(Calc!$M$2:$M$1001,MATCH(ROW()-1,Calc!$X$2:$X$1001,0)),"")</f>
        <v/>
      </c>
      <c r="C163">
        <f>IFERROR(INDEX(Calc!$N$2:$N$1001,MATCH(ROW()-1,Calc!$X$2:$X$1001,0)),"")</f>
        <v/>
      </c>
      <c r="D163" s="3">
        <f>IFERROR(INDEX(Calc!$O$2:$O$1001,MATCH(ROW()-1,Calc!$X$2:$X$1001,0)),"")</f>
        <v/>
      </c>
      <c r="E163" s="3">
        <f>IFERROR(INDEX(Calc!$P$2:$P$1001,MATCH(ROW()-1,Calc!$X$2:$X$1001,0)),"")</f>
        <v/>
      </c>
      <c r="F163" s="3">
        <f>IF(G163="","",E163-D163)</f>
        <v/>
      </c>
      <c r="G163">
        <f>IFERROR(INDEX(Calc!$S$2:$S$1001,MATCH(ROW()-1,Calc!$X$2:$X$1001,0)),"")</f>
        <v/>
      </c>
    </row>
    <row r="164">
      <c r="A164">
        <f>IFERROR(INDEX(Calc!$L$2:$L$1001,MATCH(ROW()-1,Calc!$X$2:$X$1001,0)),"")</f>
        <v/>
      </c>
      <c r="B164">
        <f>IFERROR(INDEX(Calc!$M$2:$M$1001,MATCH(ROW()-1,Calc!$X$2:$X$1001,0)),"")</f>
        <v/>
      </c>
      <c r="C164">
        <f>IFERROR(INDEX(Calc!$N$2:$N$1001,MATCH(ROW()-1,Calc!$X$2:$X$1001,0)),"")</f>
        <v/>
      </c>
      <c r="D164" s="3">
        <f>IFERROR(INDEX(Calc!$O$2:$O$1001,MATCH(ROW()-1,Calc!$X$2:$X$1001,0)),"")</f>
        <v/>
      </c>
      <c r="E164" s="3">
        <f>IFERROR(INDEX(Calc!$P$2:$P$1001,MATCH(ROW()-1,Calc!$X$2:$X$1001,0)),"")</f>
        <v/>
      </c>
      <c r="F164" s="3">
        <f>IF(G164="","",E164-D164)</f>
        <v/>
      </c>
      <c r="G164">
        <f>IFERROR(INDEX(Calc!$S$2:$S$1001,MATCH(ROW()-1,Calc!$X$2:$X$1001,0)),"")</f>
        <v/>
      </c>
    </row>
    <row r="165">
      <c r="A165">
        <f>IFERROR(INDEX(Calc!$L$2:$L$1001,MATCH(ROW()-1,Calc!$X$2:$X$1001,0)),"")</f>
        <v/>
      </c>
      <c r="B165">
        <f>IFERROR(INDEX(Calc!$M$2:$M$1001,MATCH(ROW()-1,Calc!$X$2:$X$1001,0)),"")</f>
        <v/>
      </c>
      <c r="C165">
        <f>IFERROR(INDEX(Calc!$N$2:$N$1001,MATCH(ROW()-1,Calc!$X$2:$X$1001,0)),"")</f>
        <v/>
      </c>
      <c r="D165" s="3">
        <f>IFERROR(INDEX(Calc!$O$2:$O$1001,MATCH(ROW()-1,Calc!$X$2:$X$1001,0)),"")</f>
        <v/>
      </c>
      <c r="E165" s="3">
        <f>IFERROR(INDEX(Calc!$P$2:$P$1001,MATCH(ROW()-1,Calc!$X$2:$X$1001,0)),"")</f>
        <v/>
      </c>
      <c r="F165" s="3">
        <f>IF(G165="","",E165-D165)</f>
        <v/>
      </c>
      <c r="G165">
        <f>IFERROR(INDEX(Calc!$S$2:$S$1001,MATCH(ROW()-1,Calc!$X$2:$X$1001,0)),"")</f>
        <v/>
      </c>
    </row>
    <row r="166">
      <c r="A166">
        <f>IFERROR(INDEX(Calc!$L$2:$L$1001,MATCH(ROW()-1,Calc!$X$2:$X$1001,0)),"")</f>
        <v/>
      </c>
      <c r="B166">
        <f>IFERROR(INDEX(Calc!$M$2:$M$1001,MATCH(ROW()-1,Calc!$X$2:$X$1001,0)),"")</f>
        <v/>
      </c>
      <c r="C166">
        <f>IFERROR(INDEX(Calc!$N$2:$N$1001,MATCH(ROW()-1,Calc!$X$2:$X$1001,0)),"")</f>
        <v/>
      </c>
      <c r="D166" s="3">
        <f>IFERROR(INDEX(Calc!$O$2:$O$1001,MATCH(ROW()-1,Calc!$X$2:$X$1001,0)),"")</f>
        <v/>
      </c>
      <c r="E166" s="3">
        <f>IFERROR(INDEX(Calc!$P$2:$P$1001,MATCH(ROW()-1,Calc!$X$2:$X$1001,0)),"")</f>
        <v/>
      </c>
      <c r="F166" s="3">
        <f>IF(G166="","",E166-D166)</f>
        <v/>
      </c>
      <c r="G166">
        <f>IFERROR(INDEX(Calc!$S$2:$S$1001,MATCH(ROW()-1,Calc!$X$2:$X$1001,0)),"")</f>
        <v/>
      </c>
    </row>
    <row r="167">
      <c r="A167">
        <f>IFERROR(INDEX(Calc!$L$2:$L$1001,MATCH(ROW()-1,Calc!$X$2:$X$1001,0)),"")</f>
        <v/>
      </c>
      <c r="B167">
        <f>IFERROR(INDEX(Calc!$M$2:$M$1001,MATCH(ROW()-1,Calc!$X$2:$X$1001,0)),"")</f>
        <v/>
      </c>
      <c r="C167">
        <f>IFERROR(INDEX(Calc!$N$2:$N$1001,MATCH(ROW()-1,Calc!$X$2:$X$1001,0)),"")</f>
        <v/>
      </c>
      <c r="D167" s="3">
        <f>IFERROR(INDEX(Calc!$O$2:$O$1001,MATCH(ROW()-1,Calc!$X$2:$X$1001,0)),"")</f>
        <v/>
      </c>
      <c r="E167" s="3">
        <f>IFERROR(INDEX(Calc!$P$2:$P$1001,MATCH(ROW()-1,Calc!$X$2:$X$1001,0)),"")</f>
        <v/>
      </c>
      <c r="F167" s="3">
        <f>IF(G167="","",E167-D167)</f>
        <v/>
      </c>
      <c r="G167">
        <f>IFERROR(INDEX(Calc!$S$2:$S$1001,MATCH(ROW()-1,Calc!$X$2:$X$1001,0)),"")</f>
        <v/>
      </c>
    </row>
    <row r="168">
      <c r="A168">
        <f>IFERROR(INDEX(Calc!$L$2:$L$1001,MATCH(ROW()-1,Calc!$X$2:$X$1001,0)),"")</f>
        <v/>
      </c>
      <c r="B168">
        <f>IFERROR(INDEX(Calc!$M$2:$M$1001,MATCH(ROW()-1,Calc!$X$2:$X$1001,0)),"")</f>
        <v/>
      </c>
      <c r="C168">
        <f>IFERROR(INDEX(Calc!$N$2:$N$1001,MATCH(ROW()-1,Calc!$X$2:$X$1001,0)),"")</f>
        <v/>
      </c>
      <c r="D168" s="3">
        <f>IFERROR(INDEX(Calc!$O$2:$O$1001,MATCH(ROW()-1,Calc!$X$2:$X$1001,0)),"")</f>
        <v/>
      </c>
      <c r="E168" s="3">
        <f>IFERROR(INDEX(Calc!$P$2:$P$1001,MATCH(ROW()-1,Calc!$X$2:$X$1001,0)),"")</f>
        <v/>
      </c>
      <c r="F168" s="3">
        <f>IF(G168="","",E168-D168)</f>
        <v/>
      </c>
      <c r="G168">
        <f>IFERROR(INDEX(Calc!$S$2:$S$1001,MATCH(ROW()-1,Calc!$X$2:$X$1001,0)),"")</f>
        <v/>
      </c>
    </row>
    <row r="169">
      <c r="A169">
        <f>IFERROR(INDEX(Calc!$L$2:$L$1001,MATCH(ROW()-1,Calc!$X$2:$X$1001,0)),"")</f>
        <v/>
      </c>
      <c r="B169">
        <f>IFERROR(INDEX(Calc!$M$2:$M$1001,MATCH(ROW()-1,Calc!$X$2:$X$1001,0)),"")</f>
        <v/>
      </c>
      <c r="C169">
        <f>IFERROR(INDEX(Calc!$N$2:$N$1001,MATCH(ROW()-1,Calc!$X$2:$X$1001,0)),"")</f>
        <v/>
      </c>
      <c r="D169" s="3">
        <f>IFERROR(INDEX(Calc!$O$2:$O$1001,MATCH(ROW()-1,Calc!$X$2:$X$1001,0)),"")</f>
        <v/>
      </c>
      <c r="E169" s="3">
        <f>IFERROR(INDEX(Calc!$P$2:$P$1001,MATCH(ROW()-1,Calc!$X$2:$X$1001,0)),"")</f>
        <v/>
      </c>
      <c r="F169" s="3">
        <f>IF(G169="","",E169-D169)</f>
        <v/>
      </c>
      <c r="G169">
        <f>IFERROR(INDEX(Calc!$S$2:$S$1001,MATCH(ROW()-1,Calc!$X$2:$X$1001,0)),"")</f>
        <v/>
      </c>
    </row>
    <row r="170">
      <c r="A170">
        <f>IFERROR(INDEX(Calc!$L$2:$L$1001,MATCH(ROW()-1,Calc!$X$2:$X$1001,0)),"")</f>
        <v/>
      </c>
      <c r="B170">
        <f>IFERROR(INDEX(Calc!$M$2:$M$1001,MATCH(ROW()-1,Calc!$X$2:$X$1001,0)),"")</f>
        <v/>
      </c>
      <c r="C170">
        <f>IFERROR(INDEX(Calc!$N$2:$N$1001,MATCH(ROW()-1,Calc!$X$2:$X$1001,0)),"")</f>
        <v/>
      </c>
      <c r="D170" s="3">
        <f>IFERROR(INDEX(Calc!$O$2:$O$1001,MATCH(ROW()-1,Calc!$X$2:$X$1001,0)),"")</f>
        <v/>
      </c>
      <c r="E170" s="3">
        <f>IFERROR(INDEX(Calc!$P$2:$P$1001,MATCH(ROW()-1,Calc!$X$2:$X$1001,0)),"")</f>
        <v/>
      </c>
      <c r="F170" s="3">
        <f>IF(G170="","",E170-D170)</f>
        <v/>
      </c>
      <c r="G170">
        <f>IFERROR(INDEX(Calc!$S$2:$S$1001,MATCH(ROW()-1,Calc!$X$2:$X$1001,0)),"")</f>
        <v/>
      </c>
    </row>
    <row r="171">
      <c r="A171">
        <f>IFERROR(INDEX(Calc!$L$2:$L$1001,MATCH(ROW()-1,Calc!$X$2:$X$1001,0)),"")</f>
        <v/>
      </c>
      <c r="B171">
        <f>IFERROR(INDEX(Calc!$M$2:$M$1001,MATCH(ROW()-1,Calc!$X$2:$X$1001,0)),"")</f>
        <v/>
      </c>
      <c r="C171">
        <f>IFERROR(INDEX(Calc!$N$2:$N$1001,MATCH(ROW()-1,Calc!$X$2:$X$1001,0)),"")</f>
        <v/>
      </c>
      <c r="D171" s="3">
        <f>IFERROR(INDEX(Calc!$O$2:$O$1001,MATCH(ROW()-1,Calc!$X$2:$X$1001,0)),"")</f>
        <v/>
      </c>
      <c r="E171" s="3">
        <f>IFERROR(INDEX(Calc!$P$2:$P$1001,MATCH(ROW()-1,Calc!$X$2:$X$1001,0)),"")</f>
        <v/>
      </c>
      <c r="F171" s="3">
        <f>IF(G171="","",E171-D171)</f>
        <v/>
      </c>
      <c r="G171">
        <f>IFERROR(INDEX(Calc!$S$2:$S$1001,MATCH(ROW()-1,Calc!$X$2:$X$1001,0)),"")</f>
        <v/>
      </c>
    </row>
    <row r="172">
      <c r="A172">
        <f>IFERROR(INDEX(Calc!$L$2:$L$1001,MATCH(ROW()-1,Calc!$X$2:$X$1001,0)),"")</f>
        <v/>
      </c>
      <c r="B172">
        <f>IFERROR(INDEX(Calc!$M$2:$M$1001,MATCH(ROW()-1,Calc!$X$2:$X$1001,0)),"")</f>
        <v/>
      </c>
      <c r="C172">
        <f>IFERROR(INDEX(Calc!$N$2:$N$1001,MATCH(ROW()-1,Calc!$X$2:$X$1001,0)),"")</f>
        <v/>
      </c>
      <c r="D172" s="3">
        <f>IFERROR(INDEX(Calc!$O$2:$O$1001,MATCH(ROW()-1,Calc!$X$2:$X$1001,0)),"")</f>
        <v/>
      </c>
      <c r="E172" s="3">
        <f>IFERROR(INDEX(Calc!$P$2:$P$1001,MATCH(ROW()-1,Calc!$X$2:$X$1001,0)),"")</f>
        <v/>
      </c>
      <c r="F172" s="3">
        <f>IF(G172="","",E172-D172)</f>
        <v/>
      </c>
      <c r="G172">
        <f>IFERROR(INDEX(Calc!$S$2:$S$1001,MATCH(ROW()-1,Calc!$X$2:$X$1001,0)),"")</f>
        <v/>
      </c>
    </row>
    <row r="173">
      <c r="A173">
        <f>IFERROR(INDEX(Calc!$L$2:$L$1001,MATCH(ROW()-1,Calc!$X$2:$X$1001,0)),"")</f>
        <v/>
      </c>
      <c r="B173">
        <f>IFERROR(INDEX(Calc!$M$2:$M$1001,MATCH(ROW()-1,Calc!$X$2:$X$1001,0)),"")</f>
        <v/>
      </c>
      <c r="C173">
        <f>IFERROR(INDEX(Calc!$N$2:$N$1001,MATCH(ROW()-1,Calc!$X$2:$X$1001,0)),"")</f>
        <v/>
      </c>
      <c r="D173" s="3">
        <f>IFERROR(INDEX(Calc!$O$2:$O$1001,MATCH(ROW()-1,Calc!$X$2:$X$1001,0)),"")</f>
        <v/>
      </c>
      <c r="E173" s="3">
        <f>IFERROR(INDEX(Calc!$P$2:$P$1001,MATCH(ROW()-1,Calc!$X$2:$X$1001,0)),"")</f>
        <v/>
      </c>
      <c r="F173" s="3">
        <f>IF(G173="","",E173-D173)</f>
        <v/>
      </c>
      <c r="G173">
        <f>IFERROR(INDEX(Calc!$S$2:$S$1001,MATCH(ROW()-1,Calc!$X$2:$X$1001,0)),"")</f>
        <v/>
      </c>
    </row>
    <row r="174">
      <c r="A174">
        <f>IFERROR(INDEX(Calc!$L$2:$L$1001,MATCH(ROW()-1,Calc!$X$2:$X$1001,0)),"")</f>
        <v/>
      </c>
      <c r="B174">
        <f>IFERROR(INDEX(Calc!$M$2:$M$1001,MATCH(ROW()-1,Calc!$X$2:$X$1001,0)),"")</f>
        <v/>
      </c>
      <c r="C174">
        <f>IFERROR(INDEX(Calc!$N$2:$N$1001,MATCH(ROW()-1,Calc!$X$2:$X$1001,0)),"")</f>
        <v/>
      </c>
      <c r="D174" s="3">
        <f>IFERROR(INDEX(Calc!$O$2:$O$1001,MATCH(ROW()-1,Calc!$X$2:$X$1001,0)),"")</f>
        <v/>
      </c>
      <c r="E174" s="3">
        <f>IFERROR(INDEX(Calc!$P$2:$P$1001,MATCH(ROW()-1,Calc!$X$2:$X$1001,0)),"")</f>
        <v/>
      </c>
      <c r="F174" s="3">
        <f>IF(G174="","",E174-D174)</f>
        <v/>
      </c>
      <c r="G174">
        <f>IFERROR(INDEX(Calc!$S$2:$S$1001,MATCH(ROW()-1,Calc!$X$2:$X$1001,0)),"")</f>
        <v/>
      </c>
    </row>
    <row r="175">
      <c r="A175">
        <f>IFERROR(INDEX(Calc!$L$2:$L$1001,MATCH(ROW()-1,Calc!$X$2:$X$1001,0)),"")</f>
        <v/>
      </c>
      <c r="B175">
        <f>IFERROR(INDEX(Calc!$M$2:$M$1001,MATCH(ROW()-1,Calc!$X$2:$X$1001,0)),"")</f>
        <v/>
      </c>
      <c r="C175">
        <f>IFERROR(INDEX(Calc!$N$2:$N$1001,MATCH(ROW()-1,Calc!$X$2:$X$1001,0)),"")</f>
        <v/>
      </c>
      <c r="D175" s="3">
        <f>IFERROR(INDEX(Calc!$O$2:$O$1001,MATCH(ROW()-1,Calc!$X$2:$X$1001,0)),"")</f>
        <v/>
      </c>
      <c r="E175" s="3">
        <f>IFERROR(INDEX(Calc!$P$2:$P$1001,MATCH(ROW()-1,Calc!$X$2:$X$1001,0)),"")</f>
        <v/>
      </c>
      <c r="F175" s="3">
        <f>IF(G175="","",E175-D175)</f>
        <v/>
      </c>
      <c r="G175">
        <f>IFERROR(INDEX(Calc!$S$2:$S$1001,MATCH(ROW()-1,Calc!$X$2:$X$1001,0)),"")</f>
        <v/>
      </c>
    </row>
    <row r="176">
      <c r="A176">
        <f>IFERROR(INDEX(Calc!$L$2:$L$1001,MATCH(ROW()-1,Calc!$X$2:$X$1001,0)),"")</f>
        <v/>
      </c>
      <c r="B176">
        <f>IFERROR(INDEX(Calc!$M$2:$M$1001,MATCH(ROW()-1,Calc!$X$2:$X$1001,0)),"")</f>
        <v/>
      </c>
      <c r="C176">
        <f>IFERROR(INDEX(Calc!$N$2:$N$1001,MATCH(ROW()-1,Calc!$X$2:$X$1001,0)),"")</f>
        <v/>
      </c>
      <c r="D176" s="3">
        <f>IFERROR(INDEX(Calc!$O$2:$O$1001,MATCH(ROW()-1,Calc!$X$2:$X$1001,0)),"")</f>
        <v/>
      </c>
      <c r="E176" s="3">
        <f>IFERROR(INDEX(Calc!$P$2:$P$1001,MATCH(ROW()-1,Calc!$X$2:$X$1001,0)),"")</f>
        <v/>
      </c>
      <c r="F176" s="3">
        <f>IF(G176="","",E176-D176)</f>
        <v/>
      </c>
      <c r="G176">
        <f>IFERROR(INDEX(Calc!$S$2:$S$1001,MATCH(ROW()-1,Calc!$X$2:$X$1001,0)),"")</f>
        <v/>
      </c>
    </row>
    <row r="177">
      <c r="A177">
        <f>IFERROR(INDEX(Calc!$L$2:$L$1001,MATCH(ROW()-1,Calc!$X$2:$X$1001,0)),"")</f>
        <v/>
      </c>
      <c r="B177">
        <f>IFERROR(INDEX(Calc!$M$2:$M$1001,MATCH(ROW()-1,Calc!$X$2:$X$1001,0)),"")</f>
        <v/>
      </c>
      <c r="C177">
        <f>IFERROR(INDEX(Calc!$N$2:$N$1001,MATCH(ROW()-1,Calc!$X$2:$X$1001,0)),"")</f>
        <v/>
      </c>
      <c r="D177" s="3">
        <f>IFERROR(INDEX(Calc!$O$2:$O$1001,MATCH(ROW()-1,Calc!$X$2:$X$1001,0)),"")</f>
        <v/>
      </c>
      <c r="E177" s="3">
        <f>IFERROR(INDEX(Calc!$P$2:$P$1001,MATCH(ROW()-1,Calc!$X$2:$X$1001,0)),"")</f>
        <v/>
      </c>
      <c r="F177" s="3">
        <f>IF(G177="","",E177-D177)</f>
        <v/>
      </c>
      <c r="G177">
        <f>IFERROR(INDEX(Calc!$S$2:$S$1001,MATCH(ROW()-1,Calc!$X$2:$X$1001,0)),"")</f>
        <v/>
      </c>
    </row>
    <row r="178">
      <c r="A178">
        <f>IFERROR(INDEX(Calc!$L$2:$L$1001,MATCH(ROW()-1,Calc!$X$2:$X$1001,0)),"")</f>
        <v/>
      </c>
      <c r="B178">
        <f>IFERROR(INDEX(Calc!$M$2:$M$1001,MATCH(ROW()-1,Calc!$X$2:$X$1001,0)),"")</f>
        <v/>
      </c>
      <c r="C178">
        <f>IFERROR(INDEX(Calc!$N$2:$N$1001,MATCH(ROW()-1,Calc!$X$2:$X$1001,0)),"")</f>
        <v/>
      </c>
      <c r="D178" s="3">
        <f>IFERROR(INDEX(Calc!$O$2:$O$1001,MATCH(ROW()-1,Calc!$X$2:$X$1001,0)),"")</f>
        <v/>
      </c>
      <c r="E178" s="3">
        <f>IFERROR(INDEX(Calc!$P$2:$P$1001,MATCH(ROW()-1,Calc!$X$2:$X$1001,0)),"")</f>
        <v/>
      </c>
      <c r="F178" s="3">
        <f>IF(G178="","",E178-D178)</f>
        <v/>
      </c>
      <c r="G178">
        <f>IFERROR(INDEX(Calc!$S$2:$S$1001,MATCH(ROW()-1,Calc!$X$2:$X$1001,0)),"")</f>
        <v/>
      </c>
    </row>
    <row r="179">
      <c r="A179">
        <f>IFERROR(INDEX(Calc!$L$2:$L$1001,MATCH(ROW()-1,Calc!$X$2:$X$1001,0)),"")</f>
        <v/>
      </c>
      <c r="B179">
        <f>IFERROR(INDEX(Calc!$M$2:$M$1001,MATCH(ROW()-1,Calc!$X$2:$X$1001,0)),"")</f>
        <v/>
      </c>
      <c r="C179">
        <f>IFERROR(INDEX(Calc!$N$2:$N$1001,MATCH(ROW()-1,Calc!$X$2:$X$1001,0)),"")</f>
        <v/>
      </c>
      <c r="D179" s="3">
        <f>IFERROR(INDEX(Calc!$O$2:$O$1001,MATCH(ROW()-1,Calc!$X$2:$X$1001,0)),"")</f>
        <v/>
      </c>
      <c r="E179" s="3">
        <f>IFERROR(INDEX(Calc!$P$2:$P$1001,MATCH(ROW()-1,Calc!$X$2:$X$1001,0)),"")</f>
        <v/>
      </c>
      <c r="F179" s="3">
        <f>IF(G179="","",E179-D179)</f>
        <v/>
      </c>
      <c r="G179">
        <f>IFERROR(INDEX(Calc!$S$2:$S$1001,MATCH(ROW()-1,Calc!$X$2:$X$1001,0)),"")</f>
        <v/>
      </c>
    </row>
    <row r="180">
      <c r="A180">
        <f>IFERROR(INDEX(Calc!$L$2:$L$1001,MATCH(ROW()-1,Calc!$X$2:$X$1001,0)),"")</f>
        <v/>
      </c>
      <c r="B180">
        <f>IFERROR(INDEX(Calc!$M$2:$M$1001,MATCH(ROW()-1,Calc!$X$2:$X$1001,0)),"")</f>
        <v/>
      </c>
      <c r="C180">
        <f>IFERROR(INDEX(Calc!$N$2:$N$1001,MATCH(ROW()-1,Calc!$X$2:$X$1001,0)),"")</f>
        <v/>
      </c>
      <c r="D180" s="3">
        <f>IFERROR(INDEX(Calc!$O$2:$O$1001,MATCH(ROW()-1,Calc!$X$2:$X$1001,0)),"")</f>
        <v/>
      </c>
      <c r="E180" s="3">
        <f>IFERROR(INDEX(Calc!$P$2:$P$1001,MATCH(ROW()-1,Calc!$X$2:$X$1001,0)),"")</f>
        <v/>
      </c>
      <c r="F180" s="3">
        <f>IF(G180="","",E180-D180)</f>
        <v/>
      </c>
      <c r="G180">
        <f>IFERROR(INDEX(Calc!$S$2:$S$1001,MATCH(ROW()-1,Calc!$X$2:$X$1001,0)),"")</f>
        <v/>
      </c>
    </row>
    <row r="181">
      <c r="A181">
        <f>IFERROR(INDEX(Calc!$L$2:$L$1001,MATCH(ROW()-1,Calc!$X$2:$X$1001,0)),"")</f>
        <v/>
      </c>
      <c r="B181">
        <f>IFERROR(INDEX(Calc!$M$2:$M$1001,MATCH(ROW()-1,Calc!$X$2:$X$1001,0)),"")</f>
        <v/>
      </c>
      <c r="C181">
        <f>IFERROR(INDEX(Calc!$N$2:$N$1001,MATCH(ROW()-1,Calc!$X$2:$X$1001,0)),"")</f>
        <v/>
      </c>
      <c r="D181" s="3">
        <f>IFERROR(INDEX(Calc!$O$2:$O$1001,MATCH(ROW()-1,Calc!$X$2:$X$1001,0)),"")</f>
        <v/>
      </c>
      <c r="E181" s="3">
        <f>IFERROR(INDEX(Calc!$P$2:$P$1001,MATCH(ROW()-1,Calc!$X$2:$X$1001,0)),"")</f>
        <v/>
      </c>
      <c r="F181" s="3">
        <f>IF(G181="","",E181-D181)</f>
        <v/>
      </c>
      <c r="G181">
        <f>IFERROR(INDEX(Calc!$S$2:$S$1001,MATCH(ROW()-1,Calc!$X$2:$X$1001,0)),"")</f>
        <v/>
      </c>
    </row>
    <row r="182">
      <c r="A182">
        <f>IFERROR(INDEX(Calc!$L$2:$L$1001,MATCH(ROW()-1,Calc!$X$2:$X$1001,0)),"")</f>
        <v/>
      </c>
      <c r="B182">
        <f>IFERROR(INDEX(Calc!$M$2:$M$1001,MATCH(ROW()-1,Calc!$X$2:$X$1001,0)),"")</f>
        <v/>
      </c>
      <c r="C182">
        <f>IFERROR(INDEX(Calc!$N$2:$N$1001,MATCH(ROW()-1,Calc!$X$2:$X$1001,0)),"")</f>
        <v/>
      </c>
      <c r="D182" s="3">
        <f>IFERROR(INDEX(Calc!$O$2:$O$1001,MATCH(ROW()-1,Calc!$X$2:$X$1001,0)),"")</f>
        <v/>
      </c>
      <c r="E182" s="3">
        <f>IFERROR(INDEX(Calc!$P$2:$P$1001,MATCH(ROW()-1,Calc!$X$2:$X$1001,0)),"")</f>
        <v/>
      </c>
      <c r="F182" s="3">
        <f>IF(G182="","",E182-D182)</f>
        <v/>
      </c>
      <c r="G182">
        <f>IFERROR(INDEX(Calc!$S$2:$S$1001,MATCH(ROW()-1,Calc!$X$2:$X$1001,0)),"")</f>
        <v/>
      </c>
    </row>
    <row r="183">
      <c r="A183">
        <f>IFERROR(INDEX(Calc!$L$2:$L$1001,MATCH(ROW()-1,Calc!$X$2:$X$1001,0)),"")</f>
        <v/>
      </c>
      <c r="B183">
        <f>IFERROR(INDEX(Calc!$M$2:$M$1001,MATCH(ROW()-1,Calc!$X$2:$X$1001,0)),"")</f>
        <v/>
      </c>
      <c r="C183">
        <f>IFERROR(INDEX(Calc!$N$2:$N$1001,MATCH(ROW()-1,Calc!$X$2:$X$1001,0)),"")</f>
        <v/>
      </c>
      <c r="D183" s="3">
        <f>IFERROR(INDEX(Calc!$O$2:$O$1001,MATCH(ROW()-1,Calc!$X$2:$X$1001,0)),"")</f>
        <v/>
      </c>
      <c r="E183" s="3">
        <f>IFERROR(INDEX(Calc!$P$2:$P$1001,MATCH(ROW()-1,Calc!$X$2:$X$1001,0)),"")</f>
        <v/>
      </c>
      <c r="F183" s="3">
        <f>IF(G183="","",E183-D183)</f>
        <v/>
      </c>
      <c r="G183">
        <f>IFERROR(INDEX(Calc!$S$2:$S$1001,MATCH(ROW()-1,Calc!$X$2:$X$1001,0)),"")</f>
        <v/>
      </c>
    </row>
    <row r="184">
      <c r="A184">
        <f>IFERROR(INDEX(Calc!$L$2:$L$1001,MATCH(ROW()-1,Calc!$X$2:$X$1001,0)),"")</f>
        <v/>
      </c>
      <c r="B184">
        <f>IFERROR(INDEX(Calc!$M$2:$M$1001,MATCH(ROW()-1,Calc!$X$2:$X$1001,0)),"")</f>
        <v/>
      </c>
      <c r="C184">
        <f>IFERROR(INDEX(Calc!$N$2:$N$1001,MATCH(ROW()-1,Calc!$X$2:$X$1001,0)),"")</f>
        <v/>
      </c>
      <c r="D184" s="3">
        <f>IFERROR(INDEX(Calc!$O$2:$O$1001,MATCH(ROW()-1,Calc!$X$2:$X$1001,0)),"")</f>
        <v/>
      </c>
      <c r="E184" s="3">
        <f>IFERROR(INDEX(Calc!$P$2:$P$1001,MATCH(ROW()-1,Calc!$X$2:$X$1001,0)),"")</f>
        <v/>
      </c>
      <c r="F184" s="3">
        <f>IF(G184="","",E184-D184)</f>
        <v/>
      </c>
      <c r="G184">
        <f>IFERROR(INDEX(Calc!$S$2:$S$1001,MATCH(ROW()-1,Calc!$X$2:$X$1001,0)),"")</f>
        <v/>
      </c>
    </row>
    <row r="185">
      <c r="A185">
        <f>IFERROR(INDEX(Calc!$L$2:$L$1001,MATCH(ROW()-1,Calc!$X$2:$X$1001,0)),"")</f>
        <v/>
      </c>
      <c r="B185">
        <f>IFERROR(INDEX(Calc!$M$2:$M$1001,MATCH(ROW()-1,Calc!$X$2:$X$1001,0)),"")</f>
        <v/>
      </c>
      <c r="C185">
        <f>IFERROR(INDEX(Calc!$N$2:$N$1001,MATCH(ROW()-1,Calc!$X$2:$X$1001,0)),"")</f>
        <v/>
      </c>
      <c r="D185" s="3">
        <f>IFERROR(INDEX(Calc!$O$2:$O$1001,MATCH(ROW()-1,Calc!$X$2:$X$1001,0)),"")</f>
        <v/>
      </c>
      <c r="E185" s="3">
        <f>IFERROR(INDEX(Calc!$P$2:$P$1001,MATCH(ROW()-1,Calc!$X$2:$X$1001,0)),"")</f>
        <v/>
      </c>
      <c r="F185" s="3">
        <f>IF(G185="","",E185-D185)</f>
        <v/>
      </c>
      <c r="G185">
        <f>IFERROR(INDEX(Calc!$S$2:$S$1001,MATCH(ROW()-1,Calc!$X$2:$X$1001,0)),"")</f>
        <v/>
      </c>
    </row>
    <row r="186">
      <c r="A186">
        <f>IFERROR(INDEX(Calc!$L$2:$L$1001,MATCH(ROW()-1,Calc!$X$2:$X$1001,0)),"")</f>
        <v/>
      </c>
      <c r="B186">
        <f>IFERROR(INDEX(Calc!$M$2:$M$1001,MATCH(ROW()-1,Calc!$X$2:$X$1001,0)),"")</f>
        <v/>
      </c>
      <c r="C186">
        <f>IFERROR(INDEX(Calc!$N$2:$N$1001,MATCH(ROW()-1,Calc!$X$2:$X$1001,0)),"")</f>
        <v/>
      </c>
      <c r="D186" s="3">
        <f>IFERROR(INDEX(Calc!$O$2:$O$1001,MATCH(ROW()-1,Calc!$X$2:$X$1001,0)),"")</f>
        <v/>
      </c>
      <c r="E186" s="3">
        <f>IFERROR(INDEX(Calc!$P$2:$P$1001,MATCH(ROW()-1,Calc!$X$2:$X$1001,0)),"")</f>
        <v/>
      </c>
      <c r="F186" s="3">
        <f>IF(G186="","",E186-D186)</f>
        <v/>
      </c>
      <c r="G186">
        <f>IFERROR(INDEX(Calc!$S$2:$S$1001,MATCH(ROW()-1,Calc!$X$2:$X$1001,0)),"")</f>
        <v/>
      </c>
    </row>
    <row r="187">
      <c r="A187">
        <f>IFERROR(INDEX(Calc!$L$2:$L$1001,MATCH(ROW()-1,Calc!$X$2:$X$1001,0)),"")</f>
        <v/>
      </c>
      <c r="B187">
        <f>IFERROR(INDEX(Calc!$M$2:$M$1001,MATCH(ROW()-1,Calc!$X$2:$X$1001,0)),"")</f>
        <v/>
      </c>
      <c r="C187">
        <f>IFERROR(INDEX(Calc!$N$2:$N$1001,MATCH(ROW()-1,Calc!$X$2:$X$1001,0)),"")</f>
        <v/>
      </c>
      <c r="D187" s="3">
        <f>IFERROR(INDEX(Calc!$O$2:$O$1001,MATCH(ROW()-1,Calc!$X$2:$X$1001,0)),"")</f>
        <v/>
      </c>
      <c r="E187" s="3">
        <f>IFERROR(INDEX(Calc!$P$2:$P$1001,MATCH(ROW()-1,Calc!$X$2:$X$1001,0)),"")</f>
        <v/>
      </c>
      <c r="F187" s="3">
        <f>IF(G187="","",E187-D187)</f>
        <v/>
      </c>
      <c r="G187">
        <f>IFERROR(INDEX(Calc!$S$2:$S$1001,MATCH(ROW()-1,Calc!$X$2:$X$1001,0)),"")</f>
        <v/>
      </c>
    </row>
    <row r="188">
      <c r="A188">
        <f>IFERROR(INDEX(Calc!$L$2:$L$1001,MATCH(ROW()-1,Calc!$X$2:$X$1001,0)),"")</f>
        <v/>
      </c>
      <c r="B188">
        <f>IFERROR(INDEX(Calc!$M$2:$M$1001,MATCH(ROW()-1,Calc!$X$2:$X$1001,0)),"")</f>
        <v/>
      </c>
      <c r="C188">
        <f>IFERROR(INDEX(Calc!$N$2:$N$1001,MATCH(ROW()-1,Calc!$X$2:$X$1001,0)),"")</f>
        <v/>
      </c>
      <c r="D188" s="3">
        <f>IFERROR(INDEX(Calc!$O$2:$O$1001,MATCH(ROW()-1,Calc!$X$2:$X$1001,0)),"")</f>
        <v/>
      </c>
      <c r="E188" s="3">
        <f>IFERROR(INDEX(Calc!$P$2:$P$1001,MATCH(ROW()-1,Calc!$X$2:$X$1001,0)),"")</f>
        <v/>
      </c>
      <c r="F188" s="3">
        <f>IF(G188="","",E188-D188)</f>
        <v/>
      </c>
      <c r="G188">
        <f>IFERROR(INDEX(Calc!$S$2:$S$1001,MATCH(ROW()-1,Calc!$X$2:$X$1001,0)),"")</f>
        <v/>
      </c>
    </row>
    <row r="189">
      <c r="A189">
        <f>IFERROR(INDEX(Calc!$L$2:$L$1001,MATCH(ROW()-1,Calc!$X$2:$X$1001,0)),"")</f>
        <v/>
      </c>
      <c r="B189">
        <f>IFERROR(INDEX(Calc!$M$2:$M$1001,MATCH(ROW()-1,Calc!$X$2:$X$1001,0)),"")</f>
        <v/>
      </c>
      <c r="C189">
        <f>IFERROR(INDEX(Calc!$N$2:$N$1001,MATCH(ROW()-1,Calc!$X$2:$X$1001,0)),"")</f>
        <v/>
      </c>
      <c r="D189" s="3">
        <f>IFERROR(INDEX(Calc!$O$2:$O$1001,MATCH(ROW()-1,Calc!$X$2:$X$1001,0)),"")</f>
        <v/>
      </c>
      <c r="E189" s="3">
        <f>IFERROR(INDEX(Calc!$P$2:$P$1001,MATCH(ROW()-1,Calc!$X$2:$X$1001,0)),"")</f>
        <v/>
      </c>
      <c r="F189" s="3">
        <f>IF(G189="","",E189-D189)</f>
        <v/>
      </c>
      <c r="G189">
        <f>IFERROR(INDEX(Calc!$S$2:$S$1001,MATCH(ROW()-1,Calc!$X$2:$X$1001,0)),"")</f>
        <v/>
      </c>
    </row>
    <row r="190">
      <c r="A190">
        <f>IFERROR(INDEX(Calc!$L$2:$L$1001,MATCH(ROW()-1,Calc!$X$2:$X$1001,0)),"")</f>
        <v/>
      </c>
      <c r="B190">
        <f>IFERROR(INDEX(Calc!$M$2:$M$1001,MATCH(ROW()-1,Calc!$X$2:$X$1001,0)),"")</f>
        <v/>
      </c>
      <c r="C190">
        <f>IFERROR(INDEX(Calc!$N$2:$N$1001,MATCH(ROW()-1,Calc!$X$2:$X$1001,0)),"")</f>
        <v/>
      </c>
      <c r="D190" s="3">
        <f>IFERROR(INDEX(Calc!$O$2:$O$1001,MATCH(ROW()-1,Calc!$X$2:$X$1001,0)),"")</f>
        <v/>
      </c>
      <c r="E190" s="3">
        <f>IFERROR(INDEX(Calc!$P$2:$P$1001,MATCH(ROW()-1,Calc!$X$2:$X$1001,0)),"")</f>
        <v/>
      </c>
      <c r="F190" s="3">
        <f>IF(G190="","",E190-D190)</f>
        <v/>
      </c>
      <c r="G190">
        <f>IFERROR(INDEX(Calc!$S$2:$S$1001,MATCH(ROW()-1,Calc!$X$2:$X$1001,0)),"")</f>
        <v/>
      </c>
    </row>
    <row r="191">
      <c r="A191">
        <f>IFERROR(INDEX(Calc!$L$2:$L$1001,MATCH(ROW()-1,Calc!$X$2:$X$1001,0)),"")</f>
        <v/>
      </c>
      <c r="B191">
        <f>IFERROR(INDEX(Calc!$M$2:$M$1001,MATCH(ROW()-1,Calc!$X$2:$X$1001,0)),"")</f>
        <v/>
      </c>
      <c r="C191">
        <f>IFERROR(INDEX(Calc!$N$2:$N$1001,MATCH(ROW()-1,Calc!$X$2:$X$1001,0)),"")</f>
        <v/>
      </c>
      <c r="D191" s="3">
        <f>IFERROR(INDEX(Calc!$O$2:$O$1001,MATCH(ROW()-1,Calc!$X$2:$X$1001,0)),"")</f>
        <v/>
      </c>
      <c r="E191" s="3">
        <f>IFERROR(INDEX(Calc!$P$2:$P$1001,MATCH(ROW()-1,Calc!$X$2:$X$1001,0)),"")</f>
        <v/>
      </c>
      <c r="F191" s="3">
        <f>IF(G191="","",E191-D191)</f>
        <v/>
      </c>
      <c r="G191">
        <f>IFERROR(INDEX(Calc!$S$2:$S$1001,MATCH(ROW()-1,Calc!$X$2:$X$1001,0)),"")</f>
        <v/>
      </c>
    </row>
    <row r="192">
      <c r="A192">
        <f>IFERROR(INDEX(Calc!$L$2:$L$1001,MATCH(ROW()-1,Calc!$X$2:$X$1001,0)),"")</f>
        <v/>
      </c>
      <c r="B192">
        <f>IFERROR(INDEX(Calc!$M$2:$M$1001,MATCH(ROW()-1,Calc!$X$2:$X$1001,0)),"")</f>
        <v/>
      </c>
      <c r="C192">
        <f>IFERROR(INDEX(Calc!$N$2:$N$1001,MATCH(ROW()-1,Calc!$X$2:$X$1001,0)),"")</f>
        <v/>
      </c>
      <c r="D192" s="3">
        <f>IFERROR(INDEX(Calc!$O$2:$O$1001,MATCH(ROW()-1,Calc!$X$2:$X$1001,0)),"")</f>
        <v/>
      </c>
      <c r="E192" s="3">
        <f>IFERROR(INDEX(Calc!$P$2:$P$1001,MATCH(ROW()-1,Calc!$X$2:$X$1001,0)),"")</f>
        <v/>
      </c>
      <c r="F192" s="3">
        <f>IF(G192="","",E192-D192)</f>
        <v/>
      </c>
      <c r="G192">
        <f>IFERROR(INDEX(Calc!$S$2:$S$1001,MATCH(ROW()-1,Calc!$X$2:$X$1001,0)),"")</f>
        <v/>
      </c>
    </row>
    <row r="193">
      <c r="A193">
        <f>IFERROR(INDEX(Calc!$L$2:$L$1001,MATCH(ROW()-1,Calc!$X$2:$X$1001,0)),"")</f>
        <v/>
      </c>
      <c r="B193">
        <f>IFERROR(INDEX(Calc!$M$2:$M$1001,MATCH(ROW()-1,Calc!$X$2:$X$1001,0)),"")</f>
        <v/>
      </c>
      <c r="C193">
        <f>IFERROR(INDEX(Calc!$N$2:$N$1001,MATCH(ROW()-1,Calc!$X$2:$X$1001,0)),"")</f>
        <v/>
      </c>
      <c r="D193" s="3">
        <f>IFERROR(INDEX(Calc!$O$2:$O$1001,MATCH(ROW()-1,Calc!$X$2:$X$1001,0)),"")</f>
        <v/>
      </c>
      <c r="E193" s="3">
        <f>IFERROR(INDEX(Calc!$P$2:$P$1001,MATCH(ROW()-1,Calc!$X$2:$X$1001,0)),"")</f>
        <v/>
      </c>
      <c r="F193" s="3">
        <f>IF(G193="","",E193-D193)</f>
        <v/>
      </c>
      <c r="G193">
        <f>IFERROR(INDEX(Calc!$S$2:$S$1001,MATCH(ROW()-1,Calc!$X$2:$X$1001,0)),"")</f>
        <v/>
      </c>
    </row>
    <row r="194">
      <c r="A194">
        <f>IFERROR(INDEX(Calc!$L$2:$L$1001,MATCH(ROW()-1,Calc!$X$2:$X$1001,0)),"")</f>
        <v/>
      </c>
      <c r="B194">
        <f>IFERROR(INDEX(Calc!$M$2:$M$1001,MATCH(ROW()-1,Calc!$X$2:$X$1001,0)),"")</f>
        <v/>
      </c>
      <c r="C194">
        <f>IFERROR(INDEX(Calc!$N$2:$N$1001,MATCH(ROW()-1,Calc!$X$2:$X$1001,0)),"")</f>
        <v/>
      </c>
      <c r="D194" s="3">
        <f>IFERROR(INDEX(Calc!$O$2:$O$1001,MATCH(ROW()-1,Calc!$X$2:$X$1001,0)),"")</f>
        <v/>
      </c>
      <c r="E194" s="3">
        <f>IFERROR(INDEX(Calc!$P$2:$P$1001,MATCH(ROW()-1,Calc!$X$2:$X$1001,0)),"")</f>
        <v/>
      </c>
      <c r="F194" s="3">
        <f>IF(G194="","",E194-D194)</f>
        <v/>
      </c>
      <c r="G194">
        <f>IFERROR(INDEX(Calc!$S$2:$S$1001,MATCH(ROW()-1,Calc!$X$2:$X$1001,0)),"")</f>
        <v/>
      </c>
    </row>
    <row r="195">
      <c r="A195">
        <f>IFERROR(INDEX(Calc!$L$2:$L$1001,MATCH(ROW()-1,Calc!$X$2:$X$1001,0)),"")</f>
        <v/>
      </c>
      <c r="B195">
        <f>IFERROR(INDEX(Calc!$M$2:$M$1001,MATCH(ROW()-1,Calc!$X$2:$X$1001,0)),"")</f>
        <v/>
      </c>
      <c r="C195">
        <f>IFERROR(INDEX(Calc!$N$2:$N$1001,MATCH(ROW()-1,Calc!$X$2:$X$1001,0)),"")</f>
        <v/>
      </c>
      <c r="D195" s="3">
        <f>IFERROR(INDEX(Calc!$O$2:$O$1001,MATCH(ROW()-1,Calc!$X$2:$X$1001,0)),"")</f>
        <v/>
      </c>
      <c r="E195" s="3">
        <f>IFERROR(INDEX(Calc!$P$2:$P$1001,MATCH(ROW()-1,Calc!$X$2:$X$1001,0)),"")</f>
        <v/>
      </c>
      <c r="F195" s="3">
        <f>IF(G195="","",E195-D195)</f>
        <v/>
      </c>
      <c r="G195">
        <f>IFERROR(INDEX(Calc!$S$2:$S$1001,MATCH(ROW()-1,Calc!$X$2:$X$1001,0)),"")</f>
        <v/>
      </c>
    </row>
    <row r="196">
      <c r="A196">
        <f>IFERROR(INDEX(Calc!$L$2:$L$1001,MATCH(ROW()-1,Calc!$X$2:$X$1001,0)),"")</f>
        <v/>
      </c>
      <c r="B196">
        <f>IFERROR(INDEX(Calc!$M$2:$M$1001,MATCH(ROW()-1,Calc!$X$2:$X$1001,0)),"")</f>
        <v/>
      </c>
      <c r="C196">
        <f>IFERROR(INDEX(Calc!$N$2:$N$1001,MATCH(ROW()-1,Calc!$X$2:$X$1001,0)),"")</f>
        <v/>
      </c>
      <c r="D196" s="3">
        <f>IFERROR(INDEX(Calc!$O$2:$O$1001,MATCH(ROW()-1,Calc!$X$2:$X$1001,0)),"")</f>
        <v/>
      </c>
      <c r="E196" s="3">
        <f>IFERROR(INDEX(Calc!$P$2:$P$1001,MATCH(ROW()-1,Calc!$X$2:$X$1001,0)),"")</f>
        <v/>
      </c>
      <c r="F196" s="3">
        <f>IF(G196="","",E196-D196)</f>
        <v/>
      </c>
      <c r="G196">
        <f>IFERROR(INDEX(Calc!$S$2:$S$1001,MATCH(ROW()-1,Calc!$X$2:$X$1001,0)),"")</f>
        <v/>
      </c>
    </row>
    <row r="197">
      <c r="A197">
        <f>IFERROR(INDEX(Calc!$L$2:$L$1001,MATCH(ROW()-1,Calc!$X$2:$X$1001,0)),"")</f>
        <v/>
      </c>
      <c r="B197">
        <f>IFERROR(INDEX(Calc!$M$2:$M$1001,MATCH(ROW()-1,Calc!$X$2:$X$1001,0)),"")</f>
        <v/>
      </c>
      <c r="C197">
        <f>IFERROR(INDEX(Calc!$N$2:$N$1001,MATCH(ROW()-1,Calc!$X$2:$X$1001,0)),"")</f>
        <v/>
      </c>
      <c r="D197" s="3">
        <f>IFERROR(INDEX(Calc!$O$2:$O$1001,MATCH(ROW()-1,Calc!$X$2:$X$1001,0)),"")</f>
        <v/>
      </c>
      <c r="E197" s="3">
        <f>IFERROR(INDEX(Calc!$P$2:$P$1001,MATCH(ROW()-1,Calc!$X$2:$X$1001,0)),"")</f>
        <v/>
      </c>
      <c r="F197" s="3">
        <f>IF(G197="","",E197-D197)</f>
        <v/>
      </c>
      <c r="G197">
        <f>IFERROR(INDEX(Calc!$S$2:$S$1001,MATCH(ROW()-1,Calc!$X$2:$X$1001,0)),"")</f>
        <v/>
      </c>
    </row>
    <row r="198">
      <c r="A198">
        <f>IFERROR(INDEX(Calc!$L$2:$L$1001,MATCH(ROW()-1,Calc!$X$2:$X$1001,0)),"")</f>
        <v/>
      </c>
      <c r="B198">
        <f>IFERROR(INDEX(Calc!$M$2:$M$1001,MATCH(ROW()-1,Calc!$X$2:$X$1001,0)),"")</f>
        <v/>
      </c>
      <c r="C198">
        <f>IFERROR(INDEX(Calc!$N$2:$N$1001,MATCH(ROW()-1,Calc!$X$2:$X$1001,0)),"")</f>
        <v/>
      </c>
      <c r="D198" s="3">
        <f>IFERROR(INDEX(Calc!$O$2:$O$1001,MATCH(ROW()-1,Calc!$X$2:$X$1001,0)),"")</f>
        <v/>
      </c>
      <c r="E198" s="3">
        <f>IFERROR(INDEX(Calc!$P$2:$P$1001,MATCH(ROW()-1,Calc!$X$2:$X$1001,0)),"")</f>
        <v/>
      </c>
      <c r="F198" s="3">
        <f>IF(G198="","",E198-D198)</f>
        <v/>
      </c>
      <c r="G198">
        <f>IFERROR(INDEX(Calc!$S$2:$S$1001,MATCH(ROW()-1,Calc!$X$2:$X$1001,0)),"")</f>
        <v/>
      </c>
    </row>
    <row r="199">
      <c r="A199">
        <f>IFERROR(INDEX(Calc!$L$2:$L$1001,MATCH(ROW()-1,Calc!$X$2:$X$1001,0)),"")</f>
        <v/>
      </c>
      <c r="B199">
        <f>IFERROR(INDEX(Calc!$M$2:$M$1001,MATCH(ROW()-1,Calc!$X$2:$X$1001,0)),"")</f>
        <v/>
      </c>
      <c r="C199">
        <f>IFERROR(INDEX(Calc!$N$2:$N$1001,MATCH(ROW()-1,Calc!$X$2:$X$1001,0)),"")</f>
        <v/>
      </c>
      <c r="D199" s="3">
        <f>IFERROR(INDEX(Calc!$O$2:$O$1001,MATCH(ROW()-1,Calc!$X$2:$X$1001,0)),"")</f>
        <v/>
      </c>
      <c r="E199" s="3">
        <f>IFERROR(INDEX(Calc!$P$2:$P$1001,MATCH(ROW()-1,Calc!$X$2:$X$1001,0)),"")</f>
        <v/>
      </c>
      <c r="F199" s="3">
        <f>IF(G199="","",E199-D199)</f>
        <v/>
      </c>
      <c r="G199">
        <f>IFERROR(INDEX(Calc!$S$2:$S$1001,MATCH(ROW()-1,Calc!$X$2:$X$1001,0)),"")</f>
        <v/>
      </c>
    </row>
    <row r="200">
      <c r="A200">
        <f>IFERROR(INDEX(Calc!$L$2:$L$1001,MATCH(ROW()-1,Calc!$X$2:$X$1001,0)),"")</f>
        <v/>
      </c>
      <c r="B200">
        <f>IFERROR(INDEX(Calc!$M$2:$M$1001,MATCH(ROW()-1,Calc!$X$2:$X$1001,0)),"")</f>
        <v/>
      </c>
      <c r="C200">
        <f>IFERROR(INDEX(Calc!$N$2:$N$1001,MATCH(ROW()-1,Calc!$X$2:$X$1001,0)),"")</f>
        <v/>
      </c>
      <c r="D200" s="3">
        <f>IFERROR(INDEX(Calc!$O$2:$O$1001,MATCH(ROW()-1,Calc!$X$2:$X$1001,0)),"")</f>
        <v/>
      </c>
      <c r="E200" s="3">
        <f>IFERROR(INDEX(Calc!$P$2:$P$1001,MATCH(ROW()-1,Calc!$X$2:$X$1001,0)),"")</f>
        <v/>
      </c>
      <c r="F200" s="3">
        <f>IF(G200="","",E200-D200)</f>
        <v/>
      </c>
      <c r="G200">
        <f>IFERROR(INDEX(Calc!$S$2:$S$1001,MATCH(ROW()-1,Calc!$X$2:$X$1001,0)),"")</f>
        <v/>
      </c>
    </row>
    <row r="201">
      <c r="A201">
        <f>IFERROR(INDEX(Calc!$L$2:$L$1001,MATCH(ROW()-1,Calc!$X$2:$X$1001,0)),"")</f>
        <v/>
      </c>
      <c r="B201">
        <f>IFERROR(INDEX(Calc!$M$2:$M$1001,MATCH(ROW()-1,Calc!$X$2:$X$1001,0)),"")</f>
        <v/>
      </c>
      <c r="C201">
        <f>IFERROR(INDEX(Calc!$N$2:$N$1001,MATCH(ROW()-1,Calc!$X$2:$X$1001,0)),"")</f>
        <v/>
      </c>
      <c r="D201" s="3">
        <f>IFERROR(INDEX(Calc!$O$2:$O$1001,MATCH(ROW()-1,Calc!$X$2:$X$1001,0)),"")</f>
        <v/>
      </c>
      <c r="E201" s="3">
        <f>IFERROR(INDEX(Calc!$P$2:$P$1001,MATCH(ROW()-1,Calc!$X$2:$X$1001,0)),"")</f>
        <v/>
      </c>
      <c r="F201" s="3">
        <f>IF(G201="","",E201-D201)</f>
        <v/>
      </c>
      <c r="G201">
        <f>IFERROR(INDEX(Calc!$S$2:$S$1001,MATCH(ROW()-1,Calc!$X$2:$X$1001,0)),"")</f>
        <v/>
      </c>
    </row>
    <row r="202">
      <c r="A202">
        <f>IFERROR(INDEX(Calc!$L$2:$L$1001,MATCH(ROW()-1,Calc!$X$2:$X$1001,0)),"")</f>
        <v/>
      </c>
      <c r="B202">
        <f>IFERROR(INDEX(Calc!$M$2:$M$1001,MATCH(ROW()-1,Calc!$X$2:$X$1001,0)),"")</f>
        <v/>
      </c>
      <c r="C202">
        <f>IFERROR(INDEX(Calc!$N$2:$N$1001,MATCH(ROW()-1,Calc!$X$2:$X$1001,0)),"")</f>
        <v/>
      </c>
      <c r="D202" s="3">
        <f>IFERROR(INDEX(Calc!$O$2:$O$1001,MATCH(ROW()-1,Calc!$X$2:$X$1001,0)),"")</f>
        <v/>
      </c>
      <c r="E202" s="3">
        <f>IFERROR(INDEX(Calc!$P$2:$P$1001,MATCH(ROW()-1,Calc!$X$2:$X$1001,0)),"")</f>
        <v/>
      </c>
      <c r="F202" s="3">
        <f>IF(G202="","",E202-D202)</f>
        <v/>
      </c>
      <c r="G202">
        <f>IFERROR(INDEX(Calc!$S$2:$S$1001,MATCH(ROW()-1,Calc!$X$2:$X$1001,0)),"")</f>
        <v/>
      </c>
    </row>
    <row r="203">
      <c r="A203">
        <f>IFERROR(INDEX(Calc!$L$2:$L$1001,MATCH(ROW()-1,Calc!$X$2:$X$1001,0)),"")</f>
        <v/>
      </c>
      <c r="B203">
        <f>IFERROR(INDEX(Calc!$M$2:$M$1001,MATCH(ROW()-1,Calc!$X$2:$X$1001,0)),"")</f>
        <v/>
      </c>
      <c r="C203">
        <f>IFERROR(INDEX(Calc!$N$2:$N$1001,MATCH(ROW()-1,Calc!$X$2:$X$1001,0)),"")</f>
        <v/>
      </c>
      <c r="D203" s="3">
        <f>IFERROR(INDEX(Calc!$O$2:$O$1001,MATCH(ROW()-1,Calc!$X$2:$X$1001,0)),"")</f>
        <v/>
      </c>
      <c r="E203" s="3">
        <f>IFERROR(INDEX(Calc!$P$2:$P$1001,MATCH(ROW()-1,Calc!$X$2:$X$1001,0)),"")</f>
        <v/>
      </c>
      <c r="F203" s="3">
        <f>IF(G203="","",E203-D203)</f>
        <v/>
      </c>
      <c r="G203">
        <f>IFERROR(INDEX(Calc!$S$2:$S$1001,MATCH(ROW()-1,Calc!$X$2:$X$1001,0)),"")</f>
        <v/>
      </c>
    </row>
    <row r="204">
      <c r="A204">
        <f>IFERROR(INDEX(Calc!$L$2:$L$1001,MATCH(ROW()-1,Calc!$X$2:$X$1001,0)),"")</f>
        <v/>
      </c>
      <c r="B204">
        <f>IFERROR(INDEX(Calc!$M$2:$M$1001,MATCH(ROW()-1,Calc!$X$2:$X$1001,0)),"")</f>
        <v/>
      </c>
      <c r="C204">
        <f>IFERROR(INDEX(Calc!$N$2:$N$1001,MATCH(ROW()-1,Calc!$X$2:$X$1001,0)),"")</f>
        <v/>
      </c>
      <c r="D204" s="3">
        <f>IFERROR(INDEX(Calc!$O$2:$O$1001,MATCH(ROW()-1,Calc!$X$2:$X$1001,0)),"")</f>
        <v/>
      </c>
      <c r="E204" s="3">
        <f>IFERROR(INDEX(Calc!$P$2:$P$1001,MATCH(ROW()-1,Calc!$X$2:$X$1001,0)),"")</f>
        <v/>
      </c>
      <c r="F204" s="3">
        <f>IF(G204="","",E204-D204)</f>
        <v/>
      </c>
      <c r="G204">
        <f>IFERROR(INDEX(Calc!$S$2:$S$1001,MATCH(ROW()-1,Calc!$X$2:$X$1001,0)),"")</f>
        <v/>
      </c>
    </row>
    <row r="205">
      <c r="A205">
        <f>IFERROR(INDEX(Calc!$L$2:$L$1001,MATCH(ROW()-1,Calc!$X$2:$X$1001,0)),"")</f>
        <v/>
      </c>
      <c r="B205">
        <f>IFERROR(INDEX(Calc!$M$2:$M$1001,MATCH(ROW()-1,Calc!$X$2:$X$1001,0)),"")</f>
        <v/>
      </c>
      <c r="C205">
        <f>IFERROR(INDEX(Calc!$N$2:$N$1001,MATCH(ROW()-1,Calc!$X$2:$X$1001,0)),"")</f>
        <v/>
      </c>
      <c r="D205" s="3">
        <f>IFERROR(INDEX(Calc!$O$2:$O$1001,MATCH(ROW()-1,Calc!$X$2:$X$1001,0)),"")</f>
        <v/>
      </c>
      <c r="E205" s="3">
        <f>IFERROR(INDEX(Calc!$P$2:$P$1001,MATCH(ROW()-1,Calc!$X$2:$X$1001,0)),"")</f>
        <v/>
      </c>
      <c r="F205" s="3">
        <f>IF(G205="","",E205-D205)</f>
        <v/>
      </c>
      <c r="G205">
        <f>IFERROR(INDEX(Calc!$S$2:$S$1001,MATCH(ROW()-1,Calc!$X$2:$X$1001,0)),"")</f>
        <v/>
      </c>
    </row>
    <row r="206">
      <c r="A206">
        <f>IFERROR(INDEX(Calc!$L$2:$L$1001,MATCH(ROW()-1,Calc!$X$2:$X$1001,0)),"")</f>
        <v/>
      </c>
      <c r="B206">
        <f>IFERROR(INDEX(Calc!$M$2:$M$1001,MATCH(ROW()-1,Calc!$X$2:$X$1001,0)),"")</f>
        <v/>
      </c>
      <c r="C206">
        <f>IFERROR(INDEX(Calc!$N$2:$N$1001,MATCH(ROW()-1,Calc!$X$2:$X$1001,0)),"")</f>
        <v/>
      </c>
      <c r="D206" s="3">
        <f>IFERROR(INDEX(Calc!$O$2:$O$1001,MATCH(ROW()-1,Calc!$X$2:$X$1001,0)),"")</f>
        <v/>
      </c>
      <c r="E206" s="3">
        <f>IFERROR(INDEX(Calc!$P$2:$P$1001,MATCH(ROW()-1,Calc!$X$2:$X$1001,0)),"")</f>
        <v/>
      </c>
      <c r="F206" s="3">
        <f>IF(G206="","",E206-D206)</f>
        <v/>
      </c>
      <c r="G206">
        <f>IFERROR(INDEX(Calc!$S$2:$S$1001,MATCH(ROW()-1,Calc!$X$2:$X$1001,0)),"")</f>
        <v/>
      </c>
    </row>
    <row r="207">
      <c r="A207">
        <f>IFERROR(INDEX(Calc!$L$2:$L$1001,MATCH(ROW()-1,Calc!$X$2:$X$1001,0)),"")</f>
        <v/>
      </c>
      <c r="B207">
        <f>IFERROR(INDEX(Calc!$M$2:$M$1001,MATCH(ROW()-1,Calc!$X$2:$X$1001,0)),"")</f>
        <v/>
      </c>
      <c r="C207">
        <f>IFERROR(INDEX(Calc!$N$2:$N$1001,MATCH(ROW()-1,Calc!$X$2:$X$1001,0)),"")</f>
        <v/>
      </c>
      <c r="D207" s="3">
        <f>IFERROR(INDEX(Calc!$O$2:$O$1001,MATCH(ROW()-1,Calc!$X$2:$X$1001,0)),"")</f>
        <v/>
      </c>
      <c r="E207" s="3">
        <f>IFERROR(INDEX(Calc!$P$2:$P$1001,MATCH(ROW()-1,Calc!$X$2:$X$1001,0)),"")</f>
        <v/>
      </c>
      <c r="F207" s="3">
        <f>IF(G207="","",E207-D207)</f>
        <v/>
      </c>
      <c r="G207">
        <f>IFERROR(INDEX(Calc!$S$2:$S$1001,MATCH(ROW()-1,Calc!$X$2:$X$1001,0)),"")</f>
        <v/>
      </c>
    </row>
    <row r="208">
      <c r="A208">
        <f>IFERROR(INDEX(Calc!$L$2:$L$1001,MATCH(ROW()-1,Calc!$X$2:$X$1001,0)),"")</f>
        <v/>
      </c>
      <c r="B208">
        <f>IFERROR(INDEX(Calc!$M$2:$M$1001,MATCH(ROW()-1,Calc!$X$2:$X$1001,0)),"")</f>
        <v/>
      </c>
      <c r="C208">
        <f>IFERROR(INDEX(Calc!$N$2:$N$1001,MATCH(ROW()-1,Calc!$X$2:$X$1001,0)),"")</f>
        <v/>
      </c>
      <c r="D208" s="3">
        <f>IFERROR(INDEX(Calc!$O$2:$O$1001,MATCH(ROW()-1,Calc!$X$2:$X$1001,0)),"")</f>
        <v/>
      </c>
      <c r="E208" s="3">
        <f>IFERROR(INDEX(Calc!$P$2:$P$1001,MATCH(ROW()-1,Calc!$X$2:$X$1001,0)),"")</f>
        <v/>
      </c>
      <c r="F208" s="3">
        <f>IF(G208="","",E208-D208)</f>
        <v/>
      </c>
      <c r="G208">
        <f>IFERROR(INDEX(Calc!$S$2:$S$1001,MATCH(ROW()-1,Calc!$X$2:$X$1001,0)),"")</f>
        <v/>
      </c>
    </row>
    <row r="209">
      <c r="A209">
        <f>IFERROR(INDEX(Calc!$L$2:$L$1001,MATCH(ROW()-1,Calc!$X$2:$X$1001,0)),"")</f>
        <v/>
      </c>
      <c r="B209">
        <f>IFERROR(INDEX(Calc!$M$2:$M$1001,MATCH(ROW()-1,Calc!$X$2:$X$1001,0)),"")</f>
        <v/>
      </c>
      <c r="C209">
        <f>IFERROR(INDEX(Calc!$N$2:$N$1001,MATCH(ROW()-1,Calc!$X$2:$X$1001,0)),"")</f>
        <v/>
      </c>
      <c r="D209" s="3">
        <f>IFERROR(INDEX(Calc!$O$2:$O$1001,MATCH(ROW()-1,Calc!$X$2:$X$1001,0)),"")</f>
        <v/>
      </c>
      <c r="E209" s="3">
        <f>IFERROR(INDEX(Calc!$P$2:$P$1001,MATCH(ROW()-1,Calc!$X$2:$X$1001,0)),"")</f>
        <v/>
      </c>
      <c r="F209" s="3">
        <f>IF(G209="","",E209-D209)</f>
        <v/>
      </c>
      <c r="G209">
        <f>IFERROR(INDEX(Calc!$S$2:$S$1001,MATCH(ROW()-1,Calc!$X$2:$X$1001,0)),"")</f>
        <v/>
      </c>
    </row>
    <row r="210">
      <c r="A210">
        <f>IFERROR(INDEX(Calc!$L$2:$L$1001,MATCH(ROW()-1,Calc!$X$2:$X$1001,0)),"")</f>
        <v/>
      </c>
      <c r="B210">
        <f>IFERROR(INDEX(Calc!$M$2:$M$1001,MATCH(ROW()-1,Calc!$X$2:$X$1001,0)),"")</f>
        <v/>
      </c>
      <c r="C210">
        <f>IFERROR(INDEX(Calc!$N$2:$N$1001,MATCH(ROW()-1,Calc!$X$2:$X$1001,0)),"")</f>
        <v/>
      </c>
      <c r="D210" s="3">
        <f>IFERROR(INDEX(Calc!$O$2:$O$1001,MATCH(ROW()-1,Calc!$X$2:$X$1001,0)),"")</f>
        <v/>
      </c>
      <c r="E210" s="3">
        <f>IFERROR(INDEX(Calc!$P$2:$P$1001,MATCH(ROW()-1,Calc!$X$2:$X$1001,0)),"")</f>
        <v/>
      </c>
      <c r="F210" s="3">
        <f>IF(G210="","",E210-D210)</f>
        <v/>
      </c>
      <c r="G210">
        <f>IFERROR(INDEX(Calc!$S$2:$S$1001,MATCH(ROW()-1,Calc!$X$2:$X$1001,0)),"")</f>
        <v/>
      </c>
    </row>
    <row r="211">
      <c r="A211">
        <f>IFERROR(INDEX(Calc!$L$2:$L$1001,MATCH(ROW()-1,Calc!$X$2:$X$1001,0)),"")</f>
        <v/>
      </c>
      <c r="B211">
        <f>IFERROR(INDEX(Calc!$M$2:$M$1001,MATCH(ROW()-1,Calc!$X$2:$X$1001,0)),"")</f>
        <v/>
      </c>
      <c r="C211">
        <f>IFERROR(INDEX(Calc!$N$2:$N$1001,MATCH(ROW()-1,Calc!$X$2:$X$1001,0)),"")</f>
        <v/>
      </c>
      <c r="D211" s="3">
        <f>IFERROR(INDEX(Calc!$O$2:$O$1001,MATCH(ROW()-1,Calc!$X$2:$X$1001,0)),"")</f>
        <v/>
      </c>
      <c r="E211" s="3">
        <f>IFERROR(INDEX(Calc!$P$2:$P$1001,MATCH(ROW()-1,Calc!$X$2:$X$1001,0)),"")</f>
        <v/>
      </c>
      <c r="F211" s="3">
        <f>IF(G211="","",E211-D211)</f>
        <v/>
      </c>
      <c r="G211">
        <f>IFERROR(INDEX(Calc!$S$2:$S$1001,MATCH(ROW()-1,Calc!$X$2:$X$1001,0)),"")</f>
        <v/>
      </c>
    </row>
    <row r="212">
      <c r="A212">
        <f>IFERROR(INDEX(Calc!$L$2:$L$1001,MATCH(ROW()-1,Calc!$X$2:$X$1001,0)),"")</f>
        <v/>
      </c>
      <c r="B212">
        <f>IFERROR(INDEX(Calc!$M$2:$M$1001,MATCH(ROW()-1,Calc!$X$2:$X$1001,0)),"")</f>
        <v/>
      </c>
      <c r="C212">
        <f>IFERROR(INDEX(Calc!$N$2:$N$1001,MATCH(ROW()-1,Calc!$X$2:$X$1001,0)),"")</f>
        <v/>
      </c>
      <c r="D212" s="3">
        <f>IFERROR(INDEX(Calc!$O$2:$O$1001,MATCH(ROW()-1,Calc!$X$2:$X$1001,0)),"")</f>
        <v/>
      </c>
      <c r="E212" s="3">
        <f>IFERROR(INDEX(Calc!$P$2:$P$1001,MATCH(ROW()-1,Calc!$X$2:$X$1001,0)),"")</f>
        <v/>
      </c>
      <c r="F212" s="3">
        <f>IF(G212="","",E212-D212)</f>
        <v/>
      </c>
      <c r="G212">
        <f>IFERROR(INDEX(Calc!$S$2:$S$1001,MATCH(ROW()-1,Calc!$X$2:$X$1001,0)),"")</f>
        <v/>
      </c>
    </row>
    <row r="213">
      <c r="A213">
        <f>IFERROR(INDEX(Calc!$L$2:$L$1001,MATCH(ROW()-1,Calc!$X$2:$X$1001,0)),"")</f>
        <v/>
      </c>
      <c r="B213">
        <f>IFERROR(INDEX(Calc!$M$2:$M$1001,MATCH(ROW()-1,Calc!$X$2:$X$1001,0)),"")</f>
        <v/>
      </c>
      <c r="C213">
        <f>IFERROR(INDEX(Calc!$N$2:$N$1001,MATCH(ROW()-1,Calc!$X$2:$X$1001,0)),"")</f>
        <v/>
      </c>
      <c r="D213" s="3">
        <f>IFERROR(INDEX(Calc!$O$2:$O$1001,MATCH(ROW()-1,Calc!$X$2:$X$1001,0)),"")</f>
        <v/>
      </c>
      <c r="E213" s="3">
        <f>IFERROR(INDEX(Calc!$P$2:$P$1001,MATCH(ROW()-1,Calc!$X$2:$X$1001,0)),"")</f>
        <v/>
      </c>
      <c r="F213" s="3">
        <f>IF(G213="","",E213-D213)</f>
        <v/>
      </c>
      <c r="G213">
        <f>IFERROR(INDEX(Calc!$S$2:$S$1001,MATCH(ROW()-1,Calc!$X$2:$X$1001,0)),"")</f>
        <v/>
      </c>
    </row>
    <row r="214">
      <c r="A214">
        <f>IFERROR(INDEX(Calc!$L$2:$L$1001,MATCH(ROW()-1,Calc!$X$2:$X$1001,0)),"")</f>
        <v/>
      </c>
      <c r="B214">
        <f>IFERROR(INDEX(Calc!$M$2:$M$1001,MATCH(ROW()-1,Calc!$X$2:$X$1001,0)),"")</f>
        <v/>
      </c>
      <c r="C214">
        <f>IFERROR(INDEX(Calc!$N$2:$N$1001,MATCH(ROW()-1,Calc!$X$2:$X$1001,0)),"")</f>
        <v/>
      </c>
      <c r="D214" s="3">
        <f>IFERROR(INDEX(Calc!$O$2:$O$1001,MATCH(ROW()-1,Calc!$X$2:$X$1001,0)),"")</f>
        <v/>
      </c>
      <c r="E214" s="3">
        <f>IFERROR(INDEX(Calc!$P$2:$P$1001,MATCH(ROW()-1,Calc!$X$2:$X$1001,0)),"")</f>
        <v/>
      </c>
      <c r="F214" s="3">
        <f>IF(G214="","",E214-D214)</f>
        <v/>
      </c>
      <c r="G214">
        <f>IFERROR(INDEX(Calc!$S$2:$S$1001,MATCH(ROW()-1,Calc!$X$2:$X$1001,0)),"")</f>
        <v/>
      </c>
    </row>
    <row r="215">
      <c r="A215">
        <f>IFERROR(INDEX(Calc!$L$2:$L$1001,MATCH(ROW()-1,Calc!$X$2:$X$1001,0)),"")</f>
        <v/>
      </c>
      <c r="B215">
        <f>IFERROR(INDEX(Calc!$M$2:$M$1001,MATCH(ROW()-1,Calc!$X$2:$X$1001,0)),"")</f>
        <v/>
      </c>
      <c r="C215">
        <f>IFERROR(INDEX(Calc!$N$2:$N$1001,MATCH(ROW()-1,Calc!$X$2:$X$1001,0)),"")</f>
        <v/>
      </c>
      <c r="D215" s="3">
        <f>IFERROR(INDEX(Calc!$O$2:$O$1001,MATCH(ROW()-1,Calc!$X$2:$X$1001,0)),"")</f>
        <v/>
      </c>
      <c r="E215" s="3">
        <f>IFERROR(INDEX(Calc!$P$2:$P$1001,MATCH(ROW()-1,Calc!$X$2:$X$1001,0)),"")</f>
        <v/>
      </c>
      <c r="F215" s="3">
        <f>IF(G215="","",E215-D215)</f>
        <v/>
      </c>
      <c r="G215">
        <f>IFERROR(INDEX(Calc!$S$2:$S$1001,MATCH(ROW()-1,Calc!$X$2:$X$1001,0)),"")</f>
        <v/>
      </c>
    </row>
    <row r="216">
      <c r="A216">
        <f>IFERROR(INDEX(Calc!$L$2:$L$1001,MATCH(ROW()-1,Calc!$X$2:$X$1001,0)),"")</f>
        <v/>
      </c>
      <c r="B216">
        <f>IFERROR(INDEX(Calc!$M$2:$M$1001,MATCH(ROW()-1,Calc!$X$2:$X$1001,0)),"")</f>
        <v/>
      </c>
      <c r="C216">
        <f>IFERROR(INDEX(Calc!$N$2:$N$1001,MATCH(ROW()-1,Calc!$X$2:$X$1001,0)),"")</f>
        <v/>
      </c>
      <c r="D216" s="3">
        <f>IFERROR(INDEX(Calc!$O$2:$O$1001,MATCH(ROW()-1,Calc!$X$2:$X$1001,0)),"")</f>
        <v/>
      </c>
      <c r="E216" s="3">
        <f>IFERROR(INDEX(Calc!$P$2:$P$1001,MATCH(ROW()-1,Calc!$X$2:$X$1001,0)),"")</f>
        <v/>
      </c>
      <c r="F216" s="3">
        <f>IF(G216="","",E216-D216)</f>
        <v/>
      </c>
      <c r="G216">
        <f>IFERROR(INDEX(Calc!$S$2:$S$1001,MATCH(ROW()-1,Calc!$X$2:$X$1001,0)),"")</f>
        <v/>
      </c>
    </row>
    <row r="217">
      <c r="A217">
        <f>IFERROR(INDEX(Calc!$L$2:$L$1001,MATCH(ROW()-1,Calc!$X$2:$X$1001,0)),"")</f>
        <v/>
      </c>
      <c r="B217">
        <f>IFERROR(INDEX(Calc!$M$2:$M$1001,MATCH(ROW()-1,Calc!$X$2:$X$1001,0)),"")</f>
        <v/>
      </c>
      <c r="C217">
        <f>IFERROR(INDEX(Calc!$N$2:$N$1001,MATCH(ROW()-1,Calc!$X$2:$X$1001,0)),"")</f>
        <v/>
      </c>
      <c r="D217" s="3">
        <f>IFERROR(INDEX(Calc!$O$2:$O$1001,MATCH(ROW()-1,Calc!$X$2:$X$1001,0)),"")</f>
        <v/>
      </c>
      <c r="E217" s="3">
        <f>IFERROR(INDEX(Calc!$P$2:$P$1001,MATCH(ROW()-1,Calc!$X$2:$X$1001,0)),"")</f>
        <v/>
      </c>
      <c r="F217" s="3">
        <f>IF(G217="","",E217-D217)</f>
        <v/>
      </c>
      <c r="G217">
        <f>IFERROR(INDEX(Calc!$S$2:$S$1001,MATCH(ROW()-1,Calc!$X$2:$X$1001,0)),"")</f>
        <v/>
      </c>
    </row>
    <row r="218">
      <c r="A218">
        <f>IFERROR(INDEX(Calc!$L$2:$L$1001,MATCH(ROW()-1,Calc!$X$2:$X$1001,0)),"")</f>
        <v/>
      </c>
      <c r="B218">
        <f>IFERROR(INDEX(Calc!$M$2:$M$1001,MATCH(ROW()-1,Calc!$X$2:$X$1001,0)),"")</f>
        <v/>
      </c>
      <c r="C218">
        <f>IFERROR(INDEX(Calc!$N$2:$N$1001,MATCH(ROW()-1,Calc!$X$2:$X$1001,0)),"")</f>
        <v/>
      </c>
      <c r="D218" s="3">
        <f>IFERROR(INDEX(Calc!$O$2:$O$1001,MATCH(ROW()-1,Calc!$X$2:$X$1001,0)),"")</f>
        <v/>
      </c>
      <c r="E218" s="3">
        <f>IFERROR(INDEX(Calc!$P$2:$P$1001,MATCH(ROW()-1,Calc!$X$2:$X$1001,0)),"")</f>
        <v/>
      </c>
      <c r="F218" s="3">
        <f>IF(G218="","",E218-D218)</f>
        <v/>
      </c>
      <c r="G218">
        <f>IFERROR(INDEX(Calc!$S$2:$S$1001,MATCH(ROW()-1,Calc!$X$2:$X$1001,0)),"")</f>
        <v/>
      </c>
    </row>
    <row r="219">
      <c r="A219">
        <f>IFERROR(INDEX(Calc!$L$2:$L$1001,MATCH(ROW()-1,Calc!$X$2:$X$1001,0)),"")</f>
        <v/>
      </c>
      <c r="B219">
        <f>IFERROR(INDEX(Calc!$M$2:$M$1001,MATCH(ROW()-1,Calc!$X$2:$X$1001,0)),"")</f>
        <v/>
      </c>
      <c r="C219">
        <f>IFERROR(INDEX(Calc!$N$2:$N$1001,MATCH(ROW()-1,Calc!$X$2:$X$1001,0)),"")</f>
        <v/>
      </c>
      <c r="D219" s="3">
        <f>IFERROR(INDEX(Calc!$O$2:$O$1001,MATCH(ROW()-1,Calc!$X$2:$X$1001,0)),"")</f>
        <v/>
      </c>
      <c r="E219" s="3">
        <f>IFERROR(INDEX(Calc!$P$2:$P$1001,MATCH(ROW()-1,Calc!$X$2:$X$1001,0)),"")</f>
        <v/>
      </c>
      <c r="F219" s="3">
        <f>IF(G219="","",E219-D219)</f>
        <v/>
      </c>
      <c r="G219">
        <f>IFERROR(INDEX(Calc!$S$2:$S$1001,MATCH(ROW()-1,Calc!$X$2:$X$1001,0)),"")</f>
        <v/>
      </c>
    </row>
    <row r="220">
      <c r="A220">
        <f>IFERROR(INDEX(Calc!$L$2:$L$1001,MATCH(ROW()-1,Calc!$X$2:$X$1001,0)),"")</f>
        <v/>
      </c>
      <c r="B220">
        <f>IFERROR(INDEX(Calc!$M$2:$M$1001,MATCH(ROW()-1,Calc!$X$2:$X$1001,0)),"")</f>
        <v/>
      </c>
      <c r="C220">
        <f>IFERROR(INDEX(Calc!$N$2:$N$1001,MATCH(ROW()-1,Calc!$X$2:$X$1001,0)),"")</f>
        <v/>
      </c>
      <c r="D220" s="3">
        <f>IFERROR(INDEX(Calc!$O$2:$O$1001,MATCH(ROW()-1,Calc!$X$2:$X$1001,0)),"")</f>
        <v/>
      </c>
      <c r="E220" s="3">
        <f>IFERROR(INDEX(Calc!$P$2:$P$1001,MATCH(ROW()-1,Calc!$X$2:$X$1001,0)),"")</f>
        <v/>
      </c>
      <c r="F220" s="3">
        <f>IF(G220="","",E220-D220)</f>
        <v/>
      </c>
      <c r="G220">
        <f>IFERROR(INDEX(Calc!$S$2:$S$1001,MATCH(ROW()-1,Calc!$X$2:$X$1001,0)),"")</f>
        <v/>
      </c>
    </row>
    <row r="221">
      <c r="A221">
        <f>IFERROR(INDEX(Calc!$L$2:$L$1001,MATCH(ROW()-1,Calc!$X$2:$X$1001,0)),"")</f>
        <v/>
      </c>
      <c r="B221">
        <f>IFERROR(INDEX(Calc!$M$2:$M$1001,MATCH(ROW()-1,Calc!$X$2:$X$1001,0)),"")</f>
        <v/>
      </c>
      <c r="C221">
        <f>IFERROR(INDEX(Calc!$N$2:$N$1001,MATCH(ROW()-1,Calc!$X$2:$X$1001,0)),"")</f>
        <v/>
      </c>
      <c r="D221" s="3">
        <f>IFERROR(INDEX(Calc!$O$2:$O$1001,MATCH(ROW()-1,Calc!$X$2:$X$1001,0)),"")</f>
        <v/>
      </c>
      <c r="E221" s="3">
        <f>IFERROR(INDEX(Calc!$P$2:$P$1001,MATCH(ROW()-1,Calc!$X$2:$X$1001,0)),"")</f>
        <v/>
      </c>
      <c r="F221" s="3">
        <f>IF(G221="","",E221-D221)</f>
        <v/>
      </c>
      <c r="G221">
        <f>IFERROR(INDEX(Calc!$S$2:$S$1001,MATCH(ROW()-1,Calc!$X$2:$X$1001,0)),"")</f>
        <v/>
      </c>
    </row>
    <row r="222">
      <c r="A222">
        <f>IFERROR(INDEX(Calc!$L$2:$L$1001,MATCH(ROW()-1,Calc!$X$2:$X$1001,0)),"")</f>
        <v/>
      </c>
      <c r="B222">
        <f>IFERROR(INDEX(Calc!$M$2:$M$1001,MATCH(ROW()-1,Calc!$X$2:$X$1001,0)),"")</f>
        <v/>
      </c>
      <c r="C222">
        <f>IFERROR(INDEX(Calc!$N$2:$N$1001,MATCH(ROW()-1,Calc!$X$2:$X$1001,0)),"")</f>
        <v/>
      </c>
      <c r="D222" s="3">
        <f>IFERROR(INDEX(Calc!$O$2:$O$1001,MATCH(ROW()-1,Calc!$X$2:$X$1001,0)),"")</f>
        <v/>
      </c>
      <c r="E222" s="3">
        <f>IFERROR(INDEX(Calc!$P$2:$P$1001,MATCH(ROW()-1,Calc!$X$2:$X$1001,0)),"")</f>
        <v/>
      </c>
      <c r="F222" s="3">
        <f>IF(G222="","",E222-D222)</f>
        <v/>
      </c>
      <c r="G222">
        <f>IFERROR(INDEX(Calc!$S$2:$S$1001,MATCH(ROW()-1,Calc!$X$2:$X$1001,0)),"")</f>
        <v/>
      </c>
    </row>
    <row r="223">
      <c r="A223">
        <f>IFERROR(INDEX(Calc!$L$2:$L$1001,MATCH(ROW()-1,Calc!$X$2:$X$1001,0)),"")</f>
        <v/>
      </c>
      <c r="B223">
        <f>IFERROR(INDEX(Calc!$M$2:$M$1001,MATCH(ROW()-1,Calc!$X$2:$X$1001,0)),"")</f>
        <v/>
      </c>
      <c r="C223">
        <f>IFERROR(INDEX(Calc!$N$2:$N$1001,MATCH(ROW()-1,Calc!$X$2:$X$1001,0)),"")</f>
        <v/>
      </c>
      <c r="D223" s="3">
        <f>IFERROR(INDEX(Calc!$O$2:$O$1001,MATCH(ROW()-1,Calc!$X$2:$X$1001,0)),"")</f>
        <v/>
      </c>
      <c r="E223" s="3">
        <f>IFERROR(INDEX(Calc!$P$2:$P$1001,MATCH(ROW()-1,Calc!$X$2:$X$1001,0)),"")</f>
        <v/>
      </c>
      <c r="F223" s="3">
        <f>IF(G223="","",E223-D223)</f>
        <v/>
      </c>
      <c r="G223">
        <f>IFERROR(INDEX(Calc!$S$2:$S$1001,MATCH(ROW()-1,Calc!$X$2:$X$1001,0)),"")</f>
        <v/>
      </c>
    </row>
    <row r="224">
      <c r="A224">
        <f>IFERROR(INDEX(Calc!$L$2:$L$1001,MATCH(ROW()-1,Calc!$X$2:$X$1001,0)),"")</f>
        <v/>
      </c>
      <c r="B224">
        <f>IFERROR(INDEX(Calc!$M$2:$M$1001,MATCH(ROW()-1,Calc!$X$2:$X$1001,0)),"")</f>
        <v/>
      </c>
      <c r="C224">
        <f>IFERROR(INDEX(Calc!$N$2:$N$1001,MATCH(ROW()-1,Calc!$X$2:$X$1001,0)),"")</f>
        <v/>
      </c>
      <c r="D224" s="3">
        <f>IFERROR(INDEX(Calc!$O$2:$O$1001,MATCH(ROW()-1,Calc!$X$2:$X$1001,0)),"")</f>
        <v/>
      </c>
      <c r="E224" s="3">
        <f>IFERROR(INDEX(Calc!$P$2:$P$1001,MATCH(ROW()-1,Calc!$X$2:$X$1001,0)),"")</f>
        <v/>
      </c>
      <c r="F224" s="3">
        <f>IF(G224="","",E224-D224)</f>
        <v/>
      </c>
      <c r="G224">
        <f>IFERROR(INDEX(Calc!$S$2:$S$1001,MATCH(ROW()-1,Calc!$X$2:$X$1001,0)),"")</f>
        <v/>
      </c>
    </row>
    <row r="225">
      <c r="A225">
        <f>IFERROR(INDEX(Calc!$L$2:$L$1001,MATCH(ROW()-1,Calc!$X$2:$X$1001,0)),"")</f>
        <v/>
      </c>
      <c r="B225">
        <f>IFERROR(INDEX(Calc!$M$2:$M$1001,MATCH(ROW()-1,Calc!$X$2:$X$1001,0)),"")</f>
        <v/>
      </c>
      <c r="C225">
        <f>IFERROR(INDEX(Calc!$N$2:$N$1001,MATCH(ROW()-1,Calc!$X$2:$X$1001,0)),"")</f>
        <v/>
      </c>
      <c r="D225" s="3">
        <f>IFERROR(INDEX(Calc!$O$2:$O$1001,MATCH(ROW()-1,Calc!$X$2:$X$1001,0)),"")</f>
        <v/>
      </c>
      <c r="E225" s="3">
        <f>IFERROR(INDEX(Calc!$P$2:$P$1001,MATCH(ROW()-1,Calc!$X$2:$X$1001,0)),"")</f>
        <v/>
      </c>
      <c r="F225" s="3">
        <f>IF(G225="","",E225-D225)</f>
        <v/>
      </c>
      <c r="G225">
        <f>IFERROR(INDEX(Calc!$S$2:$S$1001,MATCH(ROW()-1,Calc!$X$2:$X$1001,0)),"")</f>
        <v/>
      </c>
    </row>
    <row r="226">
      <c r="A226">
        <f>IFERROR(INDEX(Calc!$L$2:$L$1001,MATCH(ROW()-1,Calc!$X$2:$X$1001,0)),"")</f>
        <v/>
      </c>
      <c r="B226">
        <f>IFERROR(INDEX(Calc!$M$2:$M$1001,MATCH(ROW()-1,Calc!$X$2:$X$1001,0)),"")</f>
        <v/>
      </c>
      <c r="C226">
        <f>IFERROR(INDEX(Calc!$N$2:$N$1001,MATCH(ROW()-1,Calc!$X$2:$X$1001,0)),"")</f>
        <v/>
      </c>
      <c r="D226" s="3">
        <f>IFERROR(INDEX(Calc!$O$2:$O$1001,MATCH(ROW()-1,Calc!$X$2:$X$1001,0)),"")</f>
        <v/>
      </c>
      <c r="E226" s="3">
        <f>IFERROR(INDEX(Calc!$P$2:$P$1001,MATCH(ROW()-1,Calc!$X$2:$X$1001,0)),"")</f>
        <v/>
      </c>
      <c r="F226" s="3">
        <f>IF(G226="","",E226-D226)</f>
        <v/>
      </c>
      <c r="G226">
        <f>IFERROR(INDEX(Calc!$S$2:$S$1001,MATCH(ROW()-1,Calc!$X$2:$X$1001,0)),"")</f>
        <v/>
      </c>
    </row>
    <row r="227">
      <c r="A227">
        <f>IFERROR(INDEX(Calc!$L$2:$L$1001,MATCH(ROW()-1,Calc!$X$2:$X$1001,0)),"")</f>
        <v/>
      </c>
      <c r="B227">
        <f>IFERROR(INDEX(Calc!$M$2:$M$1001,MATCH(ROW()-1,Calc!$X$2:$X$1001,0)),"")</f>
        <v/>
      </c>
      <c r="C227">
        <f>IFERROR(INDEX(Calc!$N$2:$N$1001,MATCH(ROW()-1,Calc!$X$2:$X$1001,0)),"")</f>
        <v/>
      </c>
      <c r="D227" s="3">
        <f>IFERROR(INDEX(Calc!$O$2:$O$1001,MATCH(ROW()-1,Calc!$X$2:$X$1001,0)),"")</f>
        <v/>
      </c>
      <c r="E227" s="3">
        <f>IFERROR(INDEX(Calc!$P$2:$P$1001,MATCH(ROW()-1,Calc!$X$2:$X$1001,0)),"")</f>
        <v/>
      </c>
      <c r="F227" s="3">
        <f>IF(G227="","",E227-D227)</f>
        <v/>
      </c>
      <c r="G227">
        <f>IFERROR(INDEX(Calc!$S$2:$S$1001,MATCH(ROW()-1,Calc!$X$2:$X$1001,0)),"")</f>
        <v/>
      </c>
    </row>
    <row r="228">
      <c r="A228">
        <f>IFERROR(INDEX(Calc!$L$2:$L$1001,MATCH(ROW()-1,Calc!$X$2:$X$1001,0)),"")</f>
        <v/>
      </c>
      <c r="B228">
        <f>IFERROR(INDEX(Calc!$M$2:$M$1001,MATCH(ROW()-1,Calc!$X$2:$X$1001,0)),"")</f>
        <v/>
      </c>
      <c r="C228">
        <f>IFERROR(INDEX(Calc!$N$2:$N$1001,MATCH(ROW()-1,Calc!$X$2:$X$1001,0)),"")</f>
        <v/>
      </c>
      <c r="D228" s="3">
        <f>IFERROR(INDEX(Calc!$O$2:$O$1001,MATCH(ROW()-1,Calc!$X$2:$X$1001,0)),"")</f>
        <v/>
      </c>
      <c r="E228" s="3">
        <f>IFERROR(INDEX(Calc!$P$2:$P$1001,MATCH(ROW()-1,Calc!$X$2:$X$1001,0)),"")</f>
        <v/>
      </c>
      <c r="F228" s="3">
        <f>IF(G228="","",E228-D228)</f>
        <v/>
      </c>
      <c r="G228">
        <f>IFERROR(INDEX(Calc!$S$2:$S$1001,MATCH(ROW()-1,Calc!$X$2:$X$1001,0)),"")</f>
        <v/>
      </c>
    </row>
    <row r="229">
      <c r="A229">
        <f>IFERROR(INDEX(Calc!$L$2:$L$1001,MATCH(ROW()-1,Calc!$X$2:$X$1001,0)),"")</f>
        <v/>
      </c>
      <c r="B229">
        <f>IFERROR(INDEX(Calc!$M$2:$M$1001,MATCH(ROW()-1,Calc!$X$2:$X$1001,0)),"")</f>
        <v/>
      </c>
      <c r="C229">
        <f>IFERROR(INDEX(Calc!$N$2:$N$1001,MATCH(ROW()-1,Calc!$X$2:$X$1001,0)),"")</f>
        <v/>
      </c>
      <c r="D229" s="3">
        <f>IFERROR(INDEX(Calc!$O$2:$O$1001,MATCH(ROW()-1,Calc!$X$2:$X$1001,0)),"")</f>
        <v/>
      </c>
      <c r="E229" s="3">
        <f>IFERROR(INDEX(Calc!$P$2:$P$1001,MATCH(ROW()-1,Calc!$X$2:$X$1001,0)),"")</f>
        <v/>
      </c>
      <c r="F229" s="3">
        <f>IF(G229="","",E229-D229)</f>
        <v/>
      </c>
      <c r="G229">
        <f>IFERROR(INDEX(Calc!$S$2:$S$1001,MATCH(ROW()-1,Calc!$X$2:$X$1001,0)),"")</f>
        <v/>
      </c>
    </row>
    <row r="230">
      <c r="A230">
        <f>IFERROR(INDEX(Calc!$L$2:$L$1001,MATCH(ROW()-1,Calc!$X$2:$X$1001,0)),"")</f>
        <v/>
      </c>
      <c r="B230">
        <f>IFERROR(INDEX(Calc!$M$2:$M$1001,MATCH(ROW()-1,Calc!$X$2:$X$1001,0)),"")</f>
        <v/>
      </c>
      <c r="C230">
        <f>IFERROR(INDEX(Calc!$N$2:$N$1001,MATCH(ROW()-1,Calc!$X$2:$X$1001,0)),"")</f>
        <v/>
      </c>
      <c r="D230" s="3">
        <f>IFERROR(INDEX(Calc!$O$2:$O$1001,MATCH(ROW()-1,Calc!$X$2:$X$1001,0)),"")</f>
        <v/>
      </c>
      <c r="E230" s="3">
        <f>IFERROR(INDEX(Calc!$P$2:$P$1001,MATCH(ROW()-1,Calc!$X$2:$X$1001,0)),"")</f>
        <v/>
      </c>
      <c r="F230" s="3">
        <f>IF(G230="","",E230-D230)</f>
        <v/>
      </c>
      <c r="G230">
        <f>IFERROR(INDEX(Calc!$S$2:$S$1001,MATCH(ROW()-1,Calc!$X$2:$X$1001,0)),"")</f>
        <v/>
      </c>
    </row>
    <row r="231">
      <c r="A231">
        <f>IFERROR(INDEX(Calc!$L$2:$L$1001,MATCH(ROW()-1,Calc!$X$2:$X$1001,0)),"")</f>
        <v/>
      </c>
      <c r="B231">
        <f>IFERROR(INDEX(Calc!$M$2:$M$1001,MATCH(ROW()-1,Calc!$X$2:$X$1001,0)),"")</f>
        <v/>
      </c>
      <c r="C231">
        <f>IFERROR(INDEX(Calc!$N$2:$N$1001,MATCH(ROW()-1,Calc!$X$2:$X$1001,0)),"")</f>
        <v/>
      </c>
      <c r="D231" s="3">
        <f>IFERROR(INDEX(Calc!$O$2:$O$1001,MATCH(ROW()-1,Calc!$X$2:$X$1001,0)),"")</f>
        <v/>
      </c>
      <c r="E231" s="3">
        <f>IFERROR(INDEX(Calc!$P$2:$P$1001,MATCH(ROW()-1,Calc!$X$2:$X$1001,0)),"")</f>
        <v/>
      </c>
      <c r="F231" s="3">
        <f>IF(G231="","",E231-D231)</f>
        <v/>
      </c>
      <c r="G231">
        <f>IFERROR(INDEX(Calc!$S$2:$S$1001,MATCH(ROW()-1,Calc!$X$2:$X$1001,0)),"")</f>
        <v/>
      </c>
    </row>
    <row r="232">
      <c r="A232">
        <f>IFERROR(INDEX(Calc!$L$2:$L$1001,MATCH(ROW()-1,Calc!$X$2:$X$1001,0)),"")</f>
        <v/>
      </c>
      <c r="B232">
        <f>IFERROR(INDEX(Calc!$M$2:$M$1001,MATCH(ROW()-1,Calc!$X$2:$X$1001,0)),"")</f>
        <v/>
      </c>
      <c r="C232">
        <f>IFERROR(INDEX(Calc!$N$2:$N$1001,MATCH(ROW()-1,Calc!$X$2:$X$1001,0)),"")</f>
        <v/>
      </c>
      <c r="D232" s="3">
        <f>IFERROR(INDEX(Calc!$O$2:$O$1001,MATCH(ROW()-1,Calc!$X$2:$X$1001,0)),"")</f>
        <v/>
      </c>
      <c r="E232" s="3">
        <f>IFERROR(INDEX(Calc!$P$2:$P$1001,MATCH(ROW()-1,Calc!$X$2:$X$1001,0)),"")</f>
        <v/>
      </c>
      <c r="F232" s="3">
        <f>IF(G232="","",E232-D232)</f>
        <v/>
      </c>
      <c r="G232">
        <f>IFERROR(INDEX(Calc!$S$2:$S$1001,MATCH(ROW()-1,Calc!$X$2:$X$1001,0)),"")</f>
        <v/>
      </c>
    </row>
    <row r="233">
      <c r="A233">
        <f>IFERROR(INDEX(Calc!$L$2:$L$1001,MATCH(ROW()-1,Calc!$X$2:$X$1001,0)),"")</f>
        <v/>
      </c>
      <c r="B233">
        <f>IFERROR(INDEX(Calc!$M$2:$M$1001,MATCH(ROW()-1,Calc!$X$2:$X$1001,0)),"")</f>
        <v/>
      </c>
      <c r="C233">
        <f>IFERROR(INDEX(Calc!$N$2:$N$1001,MATCH(ROW()-1,Calc!$X$2:$X$1001,0)),"")</f>
        <v/>
      </c>
      <c r="D233" s="3">
        <f>IFERROR(INDEX(Calc!$O$2:$O$1001,MATCH(ROW()-1,Calc!$X$2:$X$1001,0)),"")</f>
        <v/>
      </c>
      <c r="E233" s="3">
        <f>IFERROR(INDEX(Calc!$P$2:$P$1001,MATCH(ROW()-1,Calc!$X$2:$X$1001,0)),"")</f>
        <v/>
      </c>
      <c r="F233" s="3">
        <f>IF(G233="","",E233-D233)</f>
        <v/>
      </c>
      <c r="G233">
        <f>IFERROR(INDEX(Calc!$S$2:$S$1001,MATCH(ROW()-1,Calc!$X$2:$X$1001,0)),"")</f>
        <v/>
      </c>
    </row>
    <row r="234">
      <c r="A234">
        <f>IFERROR(INDEX(Calc!$L$2:$L$1001,MATCH(ROW()-1,Calc!$X$2:$X$1001,0)),"")</f>
        <v/>
      </c>
      <c r="B234">
        <f>IFERROR(INDEX(Calc!$M$2:$M$1001,MATCH(ROW()-1,Calc!$X$2:$X$1001,0)),"")</f>
        <v/>
      </c>
      <c r="C234">
        <f>IFERROR(INDEX(Calc!$N$2:$N$1001,MATCH(ROW()-1,Calc!$X$2:$X$1001,0)),"")</f>
        <v/>
      </c>
      <c r="D234" s="3">
        <f>IFERROR(INDEX(Calc!$O$2:$O$1001,MATCH(ROW()-1,Calc!$X$2:$X$1001,0)),"")</f>
        <v/>
      </c>
      <c r="E234" s="3">
        <f>IFERROR(INDEX(Calc!$P$2:$P$1001,MATCH(ROW()-1,Calc!$X$2:$X$1001,0)),"")</f>
        <v/>
      </c>
      <c r="F234" s="3">
        <f>IF(G234="","",E234-D234)</f>
        <v/>
      </c>
      <c r="G234">
        <f>IFERROR(INDEX(Calc!$S$2:$S$1001,MATCH(ROW()-1,Calc!$X$2:$X$1001,0)),"")</f>
        <v/>
      </c>
    </row>
    <row r="235">
      <c r="A235">
        <f>IFERROR(INDEX(Calc!$L$2:$L$1001,MATCH(ROW()-1,Calc!$X$2:$X$1001,0)),"")</f>
        <v/>
      </c>
      <c r="B235">
        <f>IFERROR(INDEX(Calc!$M$2:$M$1001,MATCH(ROW()-1,Calc!$X$2:$X$1001,0)),"")</f>
        <v/>
      </c>
      <c r="C235">
        <f>IFERROR(INDEX(Calc!$N$2:$N$1001,MATCH(ROW()-1,Calc!$X$2:$X$1001,0)),"")</f>
        <v/>
      </c>
      <c r="D235" s="3">
        <f>IFERROR(INDEX(Calc!$O$2:$O$1001,MATCH(ROW()-1,Calc!$X$2:$X$1001,0)),"")</f>
        <v/>
      </c>
      <c r="E235" s="3">
        <f>IFERROR(INDEX(Calc!$P$2:$P$1001,MATCH(ROW()-1,Calc!$X$2:$X$1001,0)),"")</f>
        <v/>
      </c>
      <c r="F235" s="3">
        <f>IF(G235="","",E235-D235)</f>
        <v/>
      </c>
      <c r="G235">
        <f>IFERROR(INDEX(Calc!$S$2:$S$1001,MATCH(ROW()-1,Calc!$X$2:$X$1001,0)),"")</f>
        <v/>
      </c>
    </row>
    <row r="236">
      <c r="A236">
        <f>IFERROR(INDEX(Calc!$L$2:$L$1001,MATCH(ROW()-1,Calc!$X$2:$X$1001,0)),"")</f>
        <v/>
      </c>
      <c r="B236">
        <f>IFERROR(INDEX(Calc!$M$2:$M$1001,MATCH(ROW()-1,Calc!$X$2:$X$1001,0)),"")</f>
        <v/>
      </c>
      <c r="C236">
        <f>IFERROR(INDEX(Calc!$N$2:$N$1001,MATCH(ROW()-1,Calc!$X$2:$X$1001,0)),"")</f>
        <v/>
      </c>
      <c r="D236" s="3">
        <f>IFERROR(INDEX(Calc!$O$2:$O$1001,MATCH(ROW()-1,Calc!$X$2:$X$1001,0)),"")</f>
        <v/>
      </c>
      <c r="E236" s="3">
        <f>IFERROR(INDEX(Calc!$P$2:$P$1001,MATCH(ROW()-1,Calc!$X$2:$X$1001,0)),"")</f>
        <v/>
      </c>
      <c r="F236" s="3">
        <f>IF(G236="","",E236-D236)</f>
        <v/>
      </c>
      <c r="G236">
        <f>IFERROR(INDEX(Calc!$S$2:$S$1001,MATCH(ROW()-1,Calc!$X$2:$X$1001,0)),"")</f>
        <v/>
      </c>
    </row>
    <row r="237">
      <c r="A237">
        <f>IFERROR(INDEX(Calc!$L$2:$L$1001,MATCH(ROW()-1,Calc!$X$2:$X$1001,0)),"")</f>
        <v/>
      </c>
      <c r="B237">
        <f>IFERROR(INDEX(Calc!$M$2:$M$1001,MATCH(ROW()-1,Calc!$X$2:$X$1001,0)),"")</f>
        <v/>
      </c>
      <c r="C237">
        <f>IFERROR(INDEX(Calc!$N$2:$N$1001,MATCH(ROW()-1,Calc!$X$2:$X$1001,0)),"")</f>
        <v/>
      </c>
      <c r="D237" s="3">
        <f>IFERROR(INDEX(Calc!$O$2:$O$1001,MATCH(ROW()-1,Calc!$X$2:$X$1001,0)),"")</f>
        <v/>
      </c>
      <c r="E237" s="3">
        <f>IFERROR(INDEX(Calc!$P$2:$P$1001,MATCH(ROW()-1,Calc!$X$2:$X$1001,0)),"")</f>
        <v/>
      </c>
      <c r="F237" s="3">
        <f>IF(G237="","",E237-D237)</f>
        <v/>
      </c>
      <c r="G237">
        <f>IFERROR(INDEX(Calc!$S$2:$S$1001,MATCH(ROW()-1,Calc!$X$2:$X$1001,0)),"")</f>
        <v/>
      </c>
    </row>
    <row r="238">
      <c r="A238">
        <f>IFERROR(INDEX(Calc!$L$2:$L$1001,MATCH(ROW()-1,Calc!$X$2:$X$1001,0)),"")</f>
        <v/>
      </c>
      <c r="B238">
        <f>IFERROR(INDEX(Calc!$M$2:$M$1001,MATCH(ROW()-1,Calc!$X$2:$X$1001,0)),"")</f>
        <v/>
      </c>
      <c r="C238">
        <f>IFERROR(INDEX(Calc!$N$2:$N$1001,MATCH(ROW()-1,Calc!$X$2:$X$1001,0)),"")</f>
        <v/>
      </c>
      <c r="D238" s="3">
        <f>IFERROR(INDEX(Calc!$O$2:$O$1001,MATCH(ROW()-1,Calc!$X$2:$X$1001,0)),"")</f>
        <v/>
      </c>
      <c r="E238" s="3">
        <f>IFERROR(INDEX(Calc!$P$2:$P$1001,MATCH(ROW()-1,Calc!$X$2:$X$1001,0)),"")</f>
        <v/>
      </c>
      <c r="F238" s="3">
        <f>IF(G238="","",E238-D238)</f>
        <v/>
      </c>
      <c r="G238">
        <f>IFERROR(INDEX(Calc!$S$2:$S$1001,MATCH(ROW()-1,Calc!$X$2:$X$1001,0)),"")</f>
        <v/>
      </c>
    </row>
    <row r="239">
      <c r="A239">
        <f>IFERROR(INDEX(Calc!$L$2:$L$1001,MATCH(ROW()-1,Calc!$X$2:$X$1001,0)),"")</f>
        <v/>
      </c>
      <c r="B239">
        <f>IFERROR(INDEX(Calc!$M$2:$M$1001,MATCH(ROW()-1,Calc!$X$2:$X$1001,0)),"")</f>
        <v/>
      </c>
      <c r="C239">
        <f>IFERROR(INDEX(Calc!$N$2:$N$1001,MATCH(ROW()-1,Calc!$X$2:$X$1001,0)),"")</f>
        <v/>
      </c>
      <c r="D239" s="3">
        <f>IFERROR(INDEX(Calc!$O$2:$O$1001,MATCH(ROW()-1,Calc!$X$2:$X$1001,0)),"")</f>
        <v/>
      </c>
      <c r="E239" s="3">
        <f>IFERROR(INDEX(Calc!$P$2:$P$1001,MATCH(ROW()-1,Calc!$X$2:$X$1001,0)),"")</f>
        <v/>
      </c>
      <c r="F239" s="3">
        <f>IF(G239="","",E239-D239)</f>
        <v/>
      </c>
      <c r="G239">
        <f>IFERROR(INDEX(Calc!$S$2:$S$1001,MATCH(ROW()-1,Calc!$X$2:$X$1001,0)),"")</f>
        <v/>
      </c>
    </row>
    <row r="240">
      <c r="A240">
        <f>IFERROR(INDEX(Calc!$L$2:$L$1001,MATCH(ROW()-1,Calc!$X$2:$X$1001,0)),"")</f>
        <v/>
      </c>
      <c r="B240">
        <f>IFERROR(INDEX(Calc!$M$2:$M$1001,MATCH(ROW()-1,Calc!$X$2:$X$1001,0)),"")</f>
        <v/>
      </c>
      <c r="C240">
        <f>IFERROR(INDEX(Calc!$N$2:$N$1001,MATCH(ROW()-1,Calc!$X$2:$X$1001,0)),"")</f>
        <v/>
      </c>
      <c r="D240" s="3">
        <f>IFERROR(INDEX(Calc!$O$2:$O$1001,MATCH(ROW()-1,Calc!$X$2:$X$1001,0)),"")</f>
        <v/>
      </c>
      <c r="E240" s="3">
        <f>IFERROR(INDEX(Calc!$P$2:$P$1001,MATCH(ROW()-1,Calc!$X$2:$X$1001,0)),"")</f>
        <v/>
      </c>
      <c r="F240" s="3">
        <f>IF(G240="","",E240-D240)</f>
        <v/>
      </c>
      <c r="G240">
        <f>IFERROR(INDEX(Calc!$S$2:$S$1001,MATCH(ROW()-1,Calc!$X$2:$X$1001,0)),"")</f>
        <v/>
      </c>
    </row>
    <row r="241">
      <c r="A241">
        <f>IFERROR(INDEX(Calc!$L$2:$L$1001,MATCH(ROW()-1,Calc!$X$2:$X$1001,0)),"")</f>
        <v/>
      </c>
      <c r="B241">
        <f>IFERROR(INDEX(Calc!$M$2:$M$1001,MATCH(ROW()-1,Calc!$X$2:$X$1001,0)),"")</f>
        <v/>
      </c>
      <c r="C241">
        <f>IFERROR(INDEX(Calc!$N$2:$N$1001,MATCH(ROW()-1,Calc!$X$2:$X$1001,0)),"")</f>
        <v/>
      </c>
      <c r="D241" s="3">
        <f>IFERROR(INDEX(Calc!$O$2:$O$1001,MATCH(ROW()-1,Calc!$X$2:$X$1001,0)),"")</f>
        <v/>
      </c>
      <c r="E241" s="3">
        <f>IFERROR(INDEX(Calc!$P$2:$P$1001,MATCH(ROW()-1,Calc!$X$2:$X$1001,0)),"")</f>
        <v/>
      </c>
      <c r="F241" s="3">
        <f>IF(G241="","",E241-D241)</f>
        <v/>
      </c>
      <c r="G241">
        <f>IFERROR(INDEX(Calc!$S$2:$S$1001,MATCH(ROW()-1,Calc!$X$2:$X$1001,0)),"")</f>
        <v/>
      </c>
    </row>
    <row r="242">
      <c r="A242">
        <f>IFERROR(INDEX(Calc!$L$2:$L$1001,MATCH(ROW()-1,Calc!$X$2:$X$1001,0)),"")</f>
        <v/>
      </c>
      <c r="B242">
        <f>IFERROR(INDEX(Calc!$M$2:$M$1001,MATCH(ROW()-1,Calc!$X$2:$X$1001,0)),"")</f>
        <v/>
      </c>
      <c r="C242">
        <f>IFERROR(INDEX(Calc!$N$2:$N$1001,MATCH(ROW()-1,Calc!$X$2:$X$1001,0)),"")</f>
        <v/>
      </c>
      <c r="D242" s="3">
        <f>IFERROR(INDEX(Calc!$O$2:$O$1001,MATCH(ROW()-1,Calc!$X$2:$X$1001,0)),"")</f>
        <v/>
      </c>
      <c r="E242" s="3">
        <f>IFERROR(INDEX(Calc!$P$2:$P$1001,MATCH(ROW()-1,Calc!$X$2:$X$1001,0)),"")</f>
        <v/>
      </c>
      <c r="F242" s="3">
        <f>IF(G242="","",E242-D242)</f>
        <v/>
      </c>
      <c r="G242">
        <f>IFERROR(INDEX(Calc!$S$2:$S$1001,MATCH(ROW()-1,Calc!$X$2:$X$1001,0)),"")</f>
        <v/>
      </c>
    </row>
    <row r="243">
      <c r="A243">
        <f>IFERROR(INDEX(Calc!$L$2:$L$1001,MATCH(ROW()-1,Calc!$X$2:$X$1001,0)),"")</f>
        <v/>
      </c>
      <c r="B243">
        <f>IFERROR(INDEX(Calc!$M$2:$M$1001,MATCH(ROW()-1,Calc!$X$2:$X$1001,0)),"")</f>
        <v/>
      </c>
      <c r="C243">
        <f>IFERROR(INDEX(Calc!$N$2:$N$1001,MATCH(ROW()-1,Calc!$X$2:$X$1001,0)),"")</f>
        <v/>
      </c>
      <c r="D243" s="3">
        <f>IFERROR(INDEX(Calc!$O$2:$O$1001,MATCH(ROW()-1,Calc!$X$2:$X$1001,0)),"")</f>
        <v/>
      </c>
      <c r="E243" s="3">
        <f>IFERROR(INDEX(Calc!$P$2:$P$1001,MATCH(ROW()-1,Calc!$X$2:$X$1001,0)),"")</f>
        <v/>
      </c>
      <c r="F243" s="3">
        <f>IF(G243="","",E243-D243)</f>
        <v/>
      </c>
      <c r="G243">
        <f>IFERROR(INDEX(Calc!$S$2:$S$1001,MATCH(ROW()-1,Calc!$X$2:$X$1001,0)),"")</f>
        <v/>
      </c>
    </row>
    <row r="244">
      <c r="A244">
        <f>IFERROR(INDEX(Calc!$L$2:$L$1001,MATCH(ROW()-1,Calc!$X$2:$X$1001,0)),"")</f>
        <v/>
      </c>
      <c r="B244">
        <f>IFERROR(INDEX(Calc!$M$2:$M$1001,MATCH(ROW()-1,Calc!$X$2:$X$1001,0)),"")</f>
        <v/>
      </c>
      <c r="C244">
        <f>IFERROR(INDEX(Calc!$N$2:$N$1001,MATCH(ROW()-1,Calc!$X$2:$X$1001,0)),"")</f>
        <v/>
      </c>
      <c r="D244" s="3">
        <f>IFERROR(INDEX(Calc!$O$2:$O$1001,MATCH(ROW()-1,Calc!$X$2:$X$1001,0)),"")</f>
        <v/>
      </c>
      <c r="E244" s="3">
        <f>IFERROR(INDEX(Calc!$P$2:$P$1001,MATCH(ROW()-1,Calc!$X$2:$X$1001,0)),"")</f>
        <v/>
      </c>
      <c r="F244" s="3">
        <f>IF(G244="","",E244-D244)</f>
        <v/>
      </c>
      <c r="G244">
        <f>IFERROR(INDEX(Calc!$S$2:$S$1001,MATCH(ROW()-1,Calc!$X$2:$X$1001,0)),"")</f>
        <v/>
      </c>
    </row>
    <row r="245">
      <c r="A245">
        <f>IFERROR(INDEX(Calc!$L$2:$L$1001,MATCH(ROW()-1,Calc!$X$2:$X$1001,0)),"")</f>
        <v/>
      </c>
      <c r="B245">
        <f>IFERROR(INDEX(Calc!$M$2:$M$1001,MATCH(ROW()-1,Calc!$X$2:$X$1001,0)),"")</f>
        <v/>
      </c>
      <c r="C245">
        <f>IFERROR(INDEX(Calc!$N$2:$N$1001,MATCH(ROW()-1,Calc!$X$2:$X$1001,0)),"")</f>
        <v/>
      </c>
      <c r="D245" s="3">
        <f>IFERROR(INDEX(Calc!$O$2:$O$1001,MATCH(ROW()-1,Calc!$X$2:$X$1001,0)),"")</f>
        <v/>
      </c>
      <c r="E245" s="3">
        <f>IFERROR(INDEX(Calc!$P$2:$P$1001,MATCH(ROW()-1,Calc!$X$2:$X$1001,0)),"")</f>
        <v/>
      </c>
      <c r="F245" s="3">
        <f>IF(G245="","",E245-D245)</f>
        <v/>
      </c>
      <c r="G245">
        <f>IFERROR(INDEX(Calc!$S$2:$S$1001,MATCH(ROW()-1,Calc!$X$2:$X$1001,0)),"")</f>
        <v/>
      </c>
    </row>
    <row r="246">
      <c r="A246">
        <f>IFERROR(INDEX(Calc!$L$2:$L$1001,MATCH(ROW()-1,Calc!$X$2:$X$1001,0)),"")</f>
        <v/>
      </c>
      <c r="B246">
        <f>IFERROR(INDEX(Calc!$M$2:$M$1001,MATCH(ROW()-1,Calc!$X$2:$X$1001,0)),"")</f>
        <v/>
      </c>
      <c r="C246">
        <f>IFERROR(INDEX(Calc!$N$2:$N$1001,MATCH(ROW()-1,Calc!$X$2:$X$1001,0)),"")</f>
        <v/>
      </c>
      <c r="D246" s="3">
        <f>IFERROR(INDEX(Calc!$O$2:$O$1001,MATCH(ROW()-1,Calc!$X$2:$X$1001,0)),"")</f>
        <v/>
      </c>
      <c r="E246" s="3">
        <f>IFERROR(INDEX(Calc!$P$2:$P$1001,MATCH(ROW()-1,Calc!$X$2:$X$1001,0)),"")</f>
        <v/>
      </c>
      <c r="F246" s="3">
        <f>IF(G246="","",E246-D246)</f>
        <v/>
      </c>
      <c r="G246">
        <f>IFERROR(INDEX(Calc!$S$2:$S$1001,MATCH(ROW()-1,Calc!$X$2:$X$1001,0)),"")</f>
        <v/>
      </c>
    </row>
    <row r="247">
      <c r="A247">
        <f>IFERROR(INDEX(Calc!$L$2:$L$1001,MATCH(ROW()-1,Calc!$X$2:$X$1001,0)),"")</f>
        <v/>
      </c>
      <c r="B247">
        <f>IFERROR(INDEX(Calc!$M$2:$M$1001,MATCH(ROW()-1,Calc!$X$2:$X$1001,0)),"")</f>
        <v/>
      </c>
      <c r="C247">
        <f>IFERROR(INDEX(Calc!$N$2:$N$1001,MATCH(ROW()-1,Calc!$X$2:$X$1001,0)),"")</f>
        <v/>
      </c>
      <c r="D247" s="3">
        <f>IFERROR(INDEX(Calc!$O$2:$O$1001,MATCH(ROW()-1,Calc!$X$2:$X$1001,0)),"")</f>
        <v/>
      </c>
      <c r="E247" s="3">
        <f>IFERROR(INDEX(Calc!$P$2:$P$1001,MATCH(ROW()-1,Calc!$X$2:$X$1001,0)),"")</f>
        <v/>
      </c>
      <c r="F247" s="3">
        <f>IF(G247="","",E247-D247)</f>
        <v/>
      </c>
      <c r="G247">
        <f>IFERROR(INDEX(Calc!$S$2:$S$1001,MATCH(ROW()-1,Calc!$X$2:$X$1001,0)),"")</f>
        <v/>
      </c>
    </row>
    <row r="248">
      <c r="A248">
        <f>IFERROR(INDEX(Calc!$L$2:$L$1001,MATCH(ROW()-1,Calc!$X$2:$X$1001,0)),"")</f>
        <v/>
      </c>
      <c r="B248">
        <f>IFERROR(INDEX(Calc!$M$2:$M$1001,MATCH(ROW()-1,Calc!$X$2:$X$1001,0)),"")</f>
        <v/>
      </c>
      <c r="C248">
        <f>IFERROR(INDEX(Calc!$N$2:$N$1001,MATCH(ROW()-1,Calc!$X$2:$X$1001,0)),"")</f>
        <v/>
      </c>
      <c r="D248" s="3">
        <f>IFERROR(INDEX(Calc!$O$2:$O$1001,MATCH(ROW()-1,Calc!$X$2:$X$1001,0)),"")</f>
        <v/>
      </c>
      <c r="E248" s="3">
        <f>IFERROR(INDEX(Calc!$P$2:$P$1001,MATCH(ROW()-1,Calc!$X$2:$X$1001,0)),"")</f>
        <v/>
      </c>
      <c r="F248" s="3">
        <f>IF(G248="","",E248-D248)</f>
        <v/>
      </c>
      <c r="G248">
        <f>IFERROR(INDEX(Calc!$S$2:$S$1001,MATCH(ROW()-1,Calc!$X$2:$X$1001,0)),"")</f>
        <v/>
      </c>
    </row>
    <row r="249">
      <c r="A249">
        <f>IFERROR(INDEX(Calc!$L$2:$L$1001,MATCH(ROW()-1,Calc!$X$2:$X$1001,0)),"")</f>
        <v/>
      </c>
      <c r="B249">
        <f>IFERROR(INDEX(Calc!$M$2:$M$1001,MATCH(ROW()-1,Calc!$X$2:$X$1001,0)),"")</f>
        <v/>
      </c>
      <c r="C249">
        <f>IFERROR(INDEX(Calc!$N$2:$N$1001,MATCH(ROW()-1,Calc!$X$2:$X$1001,0)),"")</f>
        <v/>
      </c>
      <c r="D249" s="3">
        <f>IFERROR(INDEX(Calc!$O$2:$O$1001,MATCH(ROW()-1,Calc!$X$2:$X$1001,0)),"")</f>
        <v/>
      </c>
      <c r="E249" s="3">
        <f>IFERROR(INDEX(Calc!$P$2:$P$1001,MATCH(ROW()-1,Calc!$X$2:$X$1001,0)),"")</f>
        <v/>
      </c>
      <c r="F249" s="3">
        <f>IF(G249="","",E249-D249)</f>
        <v/>
      </c>
      <c r="G249">
        <f>IFERROR(INDEX(Calc!$S$2:$S$1001,MATCH(ROW()-1,Calc!$X$2:$X$1001,0)),"")</f>
        <v/>
      </c>
    </row>
    <row r="250">
      <c r="A250">
        <f>IFERROR(INDEX(Calc!$L$2:$L$1001,MATCH(ROW()-1,Calc!$X$2:$X$1001,0)),"")</f>
        <v/>
      </c>
      <c r="B250">
        <f>IFERROR(INDEX(Calc!$M$2:$M$1001,MATCH(ROW()-1,Calc!$X$2:$X$1001,0)),"")</f>
        <v/>
      </c>
      <c r="C250">
        <f>IFERROR(INDEX(Calc!$N$2:$N$1001,MATCH(ROW()-1,Calc!$X$2:$X$1001,0)),"")</f>
        <v/>
      </c>
      <c r="D250" s="3">
        <f>IFERROR(INDEX(Calc!$O$2:$O$1001,MATCH(ROW()-1,Calc!$X$2:$X$1001,0)),"")</f>
        <v/>
      </c>
      <c r="E250" s="3">
        <f>IFERROR(INDEX(Calc!$P$2:$P$1001,MATCH(ROW()-1,Calc!$X$2:$X$1001,0)),"")</f>
        <v/>
      </c>
      <c r="F250" s="3">
        <f>IF(G250="","",E250-D250)</f>
        <v/>
      </c>
      <c r="G250">
        <f>IFERROR(INDEX(Calc!$S$2:$S$1001,MATCH(ROW()-1,Calc!$X$2:$X$1001,0)),"")</f>
        <v/>
      </c>
    </row>
    <row r="251">
      <c r="A251">
        <f>IFERROR(INDEX(Calc!$L$2:$L$1001,MATCH(ROW()-1,Calc!$X$2:$X$1001,0)),"")</f>
        <v/>
      </c>
      <c r="B251">
        <f>IFERROR(INDEX(Calc!$M$2:$M$1001,MATCH(ROW()-1,Calc!$X$2:$X$1001,0)),"")</f>
        <v/>
      </c>
      <c r="C251">
        <f>IFERROR(INDEX(Calc!$N$2:$N$1001,MATCH(ROW()-1,Calc!$X$2:$X$1001,0)),"")</f>
        <v/>
      </c>
      <c r="D251" s="3">
        <f>IFERROR(INDEX(Calc!$O$2:$O$1001,MATCH(ROW()-1,Calc!$X$2:$X$1001,0)),"")</f>
        <v/>
      </c>
      <c r="E251" s="3">
        <f>IFERROR(INDEX(Calc!$P$2:$P$1001,MATCH(ROW()-1,Calc!$X$2:$X$1001,0)),"")</f>
        <v/>
      </c>
      <c r="F251" s="3">
        <f>IF(G251="","",E251-D251)</f>
        <v/>
      </c>
      <c r="G251">
        <f>IFERROR(INDEX(Calc!$S$2:$S$1001,MATCH(ROW()-1,Calc!$X$2:$X$1001,0)),"")</f>
        <v/>
      </c>
    </row>
    <row r="252">
      <c r="A252">
        <f>IFERROR(INDEX(Calc!$L$2:$L$1001,MATCH(ROW()-1,Calc!$X$2:$X$1001,0)),"")</f>
        <v/>
      </c>
      <c r="B252">
        <f>IFERROR(INDEX(Calc!$M$2:$M$1001,MATCH(ROW()-1,Calc!$X$2:$X$1001,0)),"")</f>
        <v/>
      </c>
      <c r="C252">
        <f>IFERROR(INDEX(Calc!$N$2:$N$1001,MATCH(ROW()-1,Calc!$X$2:$X$1001,0)),"")</f>
        <v/>
      </c>
      <c r="D252" s="3">
        <f>IFERROR(INDEX(Calc!$O$2:$O$1001,MATCH(ROW()-1,Calc!$X$2:$X$1001,0)),"")</f>
        <v/>
      </c>
      <c r="E252" s="3">
        <f>IFERROR(INDEX(Calc!$P$2:$P$1001,MATCH(ROW()-1,Calc!$X$2:$X$1001,0)),"")</f>
        <v/>
      </c>
      <c r="F252" s="3">
        <f>IF(G252="","",E252-D252)</f>
        <v/>
      </c>
      <c r="G252">
        <f>IFERROR(INDEX(Calc!$S$2:$S$1001,MATCH(ROW()-1,Calc!$X$2:$X$1001,0)),"")</f>
        <v/>
      </c>
    </row>
    <row r="253">
      <c r="A253">
        <f>IFERROR(INDEX(Calc!$L$2:$L$1001,MATCH(ROW()-1,Calc!$X$2:$X$1001,0)),"")</f>
        <v/>
      </c>
      <c r="B253">
        <f>IFERROR(INDEX(Calc!$M$2:$M$1001,MATCH(ROW()-1,Calc!$X$2:$X$1001,0)),"")</f>
        <v/>
      </c>
      <c r="C253">
        <f>IFERROR(INDEX(Calc!$N$2:$N$1001,MATCH(ROW()-1,Calc!$X$2:$X$1001,0)),"")</f>
        <v/>
      </c>
      <c r="D253" s="3">
        <f>IFERROR(INDEX(Calc!$O$2:$O$1001,MATCH(ROW()-1,Calc!$X$2:$X$1001,0)),"")</f>
        <v/>
      </c>
      <c r="E253" s="3">
        <f>IFERROR(INDEX(Calc!$P$2:$P$1001,MATCH(ROW()-1,Calc!$X$2:$X$1001,0)),"")</f>
        <v/>
      </c>
      <c r="F253" s="3">
        <f>IF(G253="","",E253-D253)</f>
        <v/>
      </c>
      <c r="G253">
        <f>IFERROR(INDEX(Calc!$S$2:$S$1001,MATCH(ROW()-1,Calc!$X$2:$X$1001,0)),"")</f>
        <v/>
      </c>
    </row>
    <row r="254">
      <c r="A254">
        <f>IFERROR(INDEX(Calc!$L$2:$L$1001,MATCH(ROW()-1,Calc!$X$2:$X$1001,0)),"")</f>
        <v/>
      </c>
      <c r="B254">
        <f>IFERROR(INDEX(Calc!$M$2:$M$1001,MATCH(ROW()-1,Calc!$X$2:$X$1001,0)),"")</f>
        <v/>
      </c>
      <c r="C254">
        <f>IFERROR(INDEX(Calc!$N$2:$N$1001,MATCH(ROW()-1,Calc!$X$2:$X$1001,0)),"")</f>
        <v/>
      </c>
      <c r="D254" s="3">
        <f>IFERROR(INDEX(Calc!$O$2:$O$1001,MATCH(ROW()-1,Calc!$X$2:$X$1001,0)),"")</f>
        <v/>
      </c>
      <c r="E254" s="3">
        <f>IFERROR(INDEX(Calc!$P$2:$P$1001,MATCH(ROW()-1,Calc!$X$2:$X$1001,0)),"")</f>
        <v/>
      </c>
      <c r="F254" s="3">
        <f>IF(G254="","",E254-D254)</f>
        <v/>
      </c>
      <c r="G254">
        <f>IFERROR(INDEX(Calc!$S$2:$S$1001,MATCH(ROW()-1,Calc!$X$2:$X$1001,0)),"")</f>
        <v/>
      </c>
    </row>
    <row r="255">
      <c r="A255">
        <f>IFERROR(INDEX(Calc!$L$2:$L$1001,MATCH(ROW()-1,Calc!$X$2:$X$1001,0)),"")</f>
        <v/>
      </c>
      <c r="B255">
        <f>IFERROR(INDEX(Calc!$M$2:$M$1001,MATCH(ROW()-1,Calc!$X$2:$X$1001,0)),"")</f>
        <v/>
      </c>
      <c r="C255">
        <f>IFERROR(INDEX(Calc!$N$2:$N$1001,MATCH(ROW()-1,Calc!$X$2:$X$1001,0)),"")</f>
        <v/>
      </c>
      <c r="D255" s="3">
        <f>IFERROR(INDEX(Calc!$O$2:$O$1001,MATCH(ROW()-1,Calc!$X$2:$X$1001,0)),"")</f>
        <v/>
      </c>
      <c r="E255" s="3">
        <f>IFERROR(INDEX(Calc!$P$2:$P$1001,MATCH(ROW()-1,Calc!$X$2:$X$1001,0)),"")</f>
        <v/>
      </c>
      <c r="F255" s="3">
        <f>IF(G255="","",E255-D255)</f>
        <v/>
      </c>
      <c r="G255">
        <f>IFERROR(INDEX(Calc!$S$2:$S$1001,MATCH(ROW()-1,Calc!$X$2:$X$1001,0)),"")</f>
        <v/>
      </c>
    </row>
    <row r="256">
      <c r="A256">
        <f>IFERROR(INDEX(Calc!$L$2:$L$1001,MATCH(ROW()-1,Calc!$X$2:$X$1001,0)),"")</f>
        <v/>
      </c>
      <c r="B256">
        <f>IFERROR(INDEX(Calc!$M$2:$M$1001,MATCH(ROW()-1,Calc!$X$2:$X$1001,0)),"")</f>
        <v/>
      </c>
      <c r="C256">
        <f>IFERROR(INDEX(Calc!$N$2:$N$1001,MATCH(ROW()-1,Calc!$X$2:$X$1001,0)),"")</f>
        <v/>
      </c>
      <c r="D256" s="3">
        <f>IFERROR(INDEX(Calc!$O$2:$O$1001,MATCH(ROW()-1,Calc!$X$2:$X$1001,0)),"")</f>
        <v/>
      </c>
      <c r="E256" s="3">
        <f>IFERROR(INDEX(Calc!$P$2:$P$1001,MATCH(ROW()-1,Calc!$X$2:$X$1001,0)),"")</f>
        <v/>
      </c>
      <c r="F256" s="3">
        <f>IF(G256="","",E256-D256)</f>
        <v/>
      </c>
      <c r="G256">
        <f>IFERROR(INDEX(Calc!$S$2:$S$1001,MATCH(ROW()-1,Calc!$X$2:$X$1001,0)),"")</f>
        <v/>
      </c>
    </row>
    <row r="257">
      <c r="A257">
        <f>IFERROR(INDEX(Calc!$L$2:$L$1001,MATCH(ROW()-1,Calc!$X$2:$X$1001,0)),"")</f>
        <v/>
      </c>
      <c r="B257">
        <f>IFERROR(INDEX(Calc!$M$2:$M$1001,MATCH(ROW()-1,Calc!$X$2:$X$1001,0)),"")</f>
        <v/>
      </c>
      <c r="C257">
        <f>IFERROR(INDEX(Calc!$N$2:$N$1001,MATCH(ROW()-1,Calc!$X$2:$X$1001,0)),"")</f>
        <v/>
      </c>
      <c r="D257" s="3">
        <f>IFERROR(INDEX(Calc!$O$2:$O$1001,MATCH(ROW()-1,Calc!$X$2:$X$1001,0)),"")</f>
        <v/>
      </c>
      <c r="E257" s="3">
        <f>IFERROR(INDEX(Calc!$P$2:$P$1001,MATCH(ROW()-1,Calc!$X$2:$X$1001,0)),"")</f>
        <v/>
      </c>
      <c r="F257" s="3">
        <f>IF(G257="","",E257-D257)</f>
        <v/>
      </c>
      <c r="G257">
        <f>IFERROR(INDEX(Calc!$S$2:$S$1001,MATCH(ROW()-1,Calc!$X$2:$X$1001,0)),"")</f>
        <v/>
      </c>
    </row>
    <row r="258">
      <c r="A258">
        <f>IFERROR(INDEX(Calc!$L$2:$L$1001,MATCH(ROW()-1,Calc!$X$2:$X$1001,0)),"")</f>
        <v/>
      </c>
      <c r="B258">
        <f>IFERROR(INDEX(Calc!$M$2:$M$1001,MATCH(ROW()-1,Calc!$X$2:$X$1001,0)),"")</f>
        <v/>
      </c>
      <c r="C258">
        <f>IFERROR(INDEX(Calc!$N$2:$N$1001,MATCH(ROW()-1,Calc!$X$2:$X$1001,0)),"")</f>
        <v/>
      </c>
      <c r="D258" s="3">
        <f>IFERROR(INDEX(Calc!$O$2:$O$1001,MATCH(ROW()-1,Calc!$X$2:$X$1001,0)),"")</f>
        <v/>
      </c>
      <c r="E258" s="3">
        <f>IFERROR(INDEX(Calc!$P$2:$P$1001,MATCH(ROW()-1,Calc!$X$2:$X$1001,0)),"")</f>
        <v/>
      </c>
      <c r="F258" s="3">
        <f>IF(G258="","",E258-D258)</f>
        <v/>
      </c>
      <c r="G258">
        <f>IFERROR(INDEX(Calc!$S$2:$S$1001,MATCH(ROW()-1,Calc!$X$2:$X$1001,0)),"")</f>
        <v/>
      </c>
    </row>
    <row r="259">
      <c r="A259">
        <f>IFERROR(INDEX(Calc!$L$2:$L$1001,MATCH(ROW()-1,Calc!$X$2:$X$1001,0)),"")</f>
        <v/>
      </c>
      <c r="B259">
        <f>IFERROR(INDEX(Calc!$M$2:$M$1001,MATCH(ROW()-1,Calc!$X$2:$X$1001,0)),"")</f>
        <v/>
      </c>
      <c r="C259">
        <f>IFERROR(INDEX(Calc!$N$2:$N$1001,MATCH(ROW()-1,Calc!$X$2:$X$1001,0)),"")</f>
        <v/>
      </c>
      <c r="D259" s="3">
        <f>IFERROR(INDEX(Calc!$O$2:$O$1001,MATCH(ROW()-1,Calc!$X$2:$X$1001,0)),"")</f>
        <v/>
      </c>
      <c r="E259" s="3">
        <f>IFERROR(INDEX(Calc!$P$2:$P$1001,MATCH(ROW()-1,Calc!$X$2:$X$1001,0)),"")</f>
        <v/>
      </c>
      <c r="F259" s="3">
        <f>IF(G259="","",E259-D259)</f>
        <v/>
      </c>
      <c r="G259">
        <f>IFERROR(INDEX(Calc!$S$2:$S$1001,MATCH(ROW()-1,Calc!$X$2:$X$1001,0)),"")</f>
        <v/>
      </c>
    </row>
    <row r="260">
      <c r="A260">
        <f>IFERROR(INDEX(Calc!$L$2:$L$1001,MATCH(ROW()-1,Calc!$X$2:$X$1001,0)),"")</f>
        <v/>
      </c>
      <c r="B260">
        <f>IFERROR(INDEX(Calc!$M$2:$M$1001,MATCH(ROW()-1,Calc!$X$2:$X$1001,0)),"")</f>
        <v/>
      </c>
      <c r="C260">
        <f>IFERROR(INDEX(Calc!$N$2:$N$1001,MATCH(ROW()-1,Calc!$X$2:$X$1001,0)),"")</f>
        <v/>
      </c>
      <c r="D260" s="3">
        <f>IFERROR(INDEX(Calc!$O$2:$O$1001,MATCH(ROW()-1,Calc!$X$2:$X$1001,0)),"")</f>
        <v/>
      </c>
      <c r="E260" s="3">
        <f>IFERROR(INDEX(Calc!$P$2:$P$1001,MATCH(ROW()-1,Calc!$X$2:$X$1001,0)),"")</f>
        <v/>
      </c>
      <c r="F260" s="3">
        <f>IF(G260="","",E260-D260)</f>
        <v/>
      </c>
      <c r="G260">
        <f>IFERROR(INDEX(Calc!$S$2:$S$1001,MATCH(ROW()-1,Calc!$X$2:$X$1001,0)),"")</f>
        <v/>
      </c>
    </row>
    <row r="261">
      <c r="A261">
        <f>IFERROR(INDEX(Calc!$L$2:$L$1001,MATCH(ROW()-1,Calc!$X$2:$X$1001,0)),"")</f>
        <v/>
      </c>
      <c r="B261">
        <f>IFERROR(INDEX(Calc!$M$2:$M$1001,MATCH(ROW()-1,Calc!$X$2:$X$1001,0)),"")</f>
        <v/>
      </c>
      <c r="C261">
        <f>IFERROR(INDEX(Calc!$N$2:$N$1001,MATCH(ROW()-1,Calc!$X$2:$X$1001,0)),"")</f>
        <v/>
      </c>
      <c r="D261" s="3">
        <f>IFERROR(INDEX(Calc!$O$2:$O$1001,MATCH(ROW()-1,Calc!$X$2:$X$1001,0)),"")</f>
        <v/>
      </c>
      <c r="E261" s="3">
        <f>IFERROR(INDEX(Calc!$P$2:$P$1001,MATCH(ROW()-1,Calc!$X$2:$X$1001,0)),"")</f>
        <v/>
      </c>
      <c r="F261" s="3">
        <f>IF(G261="","",E261-D261)</f>
        <v/>
      </c>
      <c r="G261">
        <f>IFERROR(INDEX(Calc!$S$2:$S$1001,MATCH(ROW()-1,Calc!$X$2:$X$1001,0)),"")</f>
        <v/>
      </c>
    </row>
    <row r="262">
      <c r="A262">
        <f>IFERROR(INDEX(Calc!$L$2:$L$1001,MATCH(ROW()-1,Calc!$X$2:$X$1001,0)),"")</f>
        <v/>
      </c>
      <c r="B262">
        <f>IFERROR(INDEX(Calc!$M$2:$M$1001,MATCH(ROW()-1,Calc!$X$2:$X$1001,0)),"")</f>
        <v/>
      </c>
      <c r="C262">
        <f>IFERROR(INDEX(Calc!$N$2:$N$1001,MATCH(ROW()-1,Calc!$X$2:$X$1001,0)),"")</f>
        <v/>
      </c>
      <c r="D262" s="3">
        <f>IFERROR(INDEX(Calc!$O$2:$O$1001,MATCH(ROW()-1,Calc!$X$2:$X$1001,0)),"")</f>
        <v/>
      </c>
      <c r="E262" s="3">
        <f>IFERROR(INDEX(Calc!$P$2:$P$1001,MATCH(ROW()-1,Calc!$X$2:$X$1001,0)),"")</f>
        <v/>
      </c>
      <c r="F262" s="3">
        <f>IF(G262="","",E262-D262)</f>
        <v/>
      </c>
      <c r="G262">
        <f>IFERROR(INDEX(Calc!$S$2:$S$1001,MATCH(ROW()-1,Calc!$X$2:$X$1001,0)),"")</f>
        <v/>
      </c>
    </row>
    <row r="263">
      <c r="A263">
        <f>IFERROR(INDEX(Calc!$L$2:$L$1001,MATCH(ROW()-1,Calc!$X$2:$X$1001,0)),"")</f>
        <v/>
      </c>
      <c r="B263">
        <f>IFERROR(INDEX(Calc!$M$2:$M$1001,MATCH(ROW()-1,Calc!$X$2:$X$1001,0)),"")</f>
        <v/>
      </c>
      <c r="C263">
        <f>IFERROR(INDEX(Calc!$N$2:$N$1001,MATCH(ROW()-1,Calc!$X$2:$X$1001,0)),"")</f>
        <v/>
      </c>
      <c r="D263" s="3">
        <f>IFERROR(INDEX(Calc!$O$2:$O$1001,MATCH(ROW()-1,Calc!$X$2:$X$1001,0)),"")</f>
        <v/>
      </c>
      <c r="E263" s="3">
        <f>IFERROR(INDEX(Calc!$P$2:$P$1001,MATCH(ROW()-1,Calc!$X$2:$X$1001,0)),"")</f>
        <v/>
      </c>
      <c r="F263" s="3">
        <f>IF(G263="","",E263-D263)</f>
        <v/>
      </c>
      <c r="G263">
        <f>IFERROR(INDEX(Calc!$S$2:$S$1001,MATCH(ROW()-1,Calc!$X$2:$X$1001,0)),"")</f>
        <v/>
      </c>
    </row>
    <row r="264">
      <c r="A264">
        <f>IFERROR(INDEX(Calc!$L$2:$L$1001,MATCH(ROW()-1,Calc!$X$2:$X$1001,0)),"")</f>
        <v/>
      </c>
      <c r="B264">
        <f>IFERROR(INDEX(Calc!$M$2:$M$1001,MATCH(ROW()-1,Calc!$X$2:$X$1001,0)),"")</f>
        <v/>
      </c>
      <c r="C264">
        <f>IFERROR(INDEX(Calc!$N$2:$N$1001,MATCH(ROW()-1,Calc!$X$2:$X$1001,0)),"")</f>
        <v/>
      </c>
      <c r="D264" s="3">
        <f>IFERROR(INDEX(Calc!$O$2:$O$1001,MATCH(ROW()-1,Calc!$X$2:$X$1001,0)),"")</f>
        <v/>
      </c>
      <c r="E264" s="3">
        <f>IFERROR(INDEX(Calc!$P$2:$P$1001,MATCH(ROW()-1,Calc!$X$2:$X$1001,0)),"")</f>
        <v/>
      </c>
      <c r="F264" s="3">
        <f>IF(G264="","",E264-D264)</f>
        <v/>
      </c>
      <c r="G264">
        <f>IFERROR(INDEX(Calc!$S$2:$S$1001,MATCH(ROW()-1,Calc!$X$2:$X$1001,0)),"")</f>
        <v/>
      </c>
    </row>
    <row r="265">
      <c r="A265">
        <f>IFERROR(INDEX(Calc!$L$2:$L$1001,MATCH(ROW()-1,Calc!$X$2:$X$1001,0)),"")</f>
        <v/>
      </c>
      <c r="B265">
        <f>IFERROR(INDEX(Calc!$M$2:$M$1001,MATCH(ROW()-1,Calc!$X$2:$X$1001,0)),"")</f>
        <v/>
      </c>
      <c r="C265">
        <f>IFERROR(INDEX(Calc!$N$2:$N$1001,MATCH(ROW()-1,Calc!$X$2:$X$1001,0)),"")</f>
        <v/>
      </c>
      <c r="D265" s="3">
        <f>IFERROR(INDEX(Calc!$O$2:$O$1001,MATCH(ROW()-1,Calc!$X$2:$X$1001,0)),"")</f>
        <v/>
      </c>
      <c r="E265" s="3">
        <f>IFERROR(INDEX(Calc!$P$2:$P$1001,MATCH(ROW()-1,Calc!$X$2:$X$1001,0)),"")</f>
        <v/>
      </c>
      <c r="F265" s="3">
        <f>IF(G265="","",E265-D265)</f>
        <v/>
      </c>
      <c r="G265">
        <f>IFERROR(INDEX(Calc!$S$2:$S$1001,MATCH(ROW()-1,Calc!$X$2:$X$1001,0)),"")</f>
        <v/>
      </c>
    </row>
    <row r="266">
      <c r="A266">
        <f>IFERROR(INDEX(Calc!$L$2:$L$1001,MATCH(ROW()-1,Calc!$X$2:$X$1001,0)),"")</f>
        <v/>
      </c>
      <c r="B266">
        <f>IFERROR(INDEX(Calc!$M$2:$M$1001,MATCH(ROW()-1,Calc!$X$2:$X$1001,0)),"")</f>
        <v/>
      </c>
      <c r="C266">
        <f>IFERROR(INDEX(Calc!$N$2:$N$1001,MATCH(ROW()-1,Calc!$X$2:$X$1001,0)),"")</f>
        <v/>
      </c>
      <c r="D266" s="3">
        <f>IFERROR(INDEX(Calc!$O$2:$O$1001,MATCH(ROW()-1,Calc!$X$2:$X$1001,0)),"")</f>
        <v/>
      </c>
      <c r="E266" s="3">
        <f>IFERROR(INDEX(Calc!$P$2:$P$1001,MATCH(ROW()-1,Calc!$X$2:$X$1001,0)),"")</f>
        <v/>
      </c>
      <c r="F266" s="3">
        <f>IF(G266="","",E266-D266)</f>
        <v/>
      </c>
      <c r="G266">
        <f>IFERROR(INDEX(Calc!$S$2:$S$1001,MATCH(ROW()-1,Calc!$X$2:$X$1001,0)),"")</f>
        <v/>
      </c>
    </row>
    <row r="267">
      <c r="A267">
        <f>IFERROR(INDEX(Calc!$L$2:$L$1001,MATCH(ROW()-1,Calc!$X$2:$X$1001,0)),"")</f>
        <v/>
      </c>
      <c r="B267">
        <f>IFERROR(INDEX(Calc!$M$2:$M$1001,MATCH(ROW()-1,Calc!$X$2:$X$1001,0)),"")</f>
        <v/>
      </c>
      <c r="C267">
        <f>IFERROR(INDEX(Calc!$N$2:$N$1001,MATCH(ROW()-1,Calc!$X$2:$X$1001,0)),"")</f>
        <v/>
      </c>
      <c r="D267" s="3">
        <f>IFERROR(INDEX(Calc!$O$2:$O$1001,MATCH(ROW()-1,Calc!$X$2:$X$1001,0)),"")</f>
        <v/>
      </c>
      <c r="E267" s="3">
        <f>IFERROR(INDEX(Calc!$P$2:$P$1001,MATCH(ROW()-1,Calc!$X$2:$X$1001,0)),"")</f>
        <v/>
      </c>
      <c r="F267" s="3">
        <f>IF(G267="","",E267-D267)</f>
        <v/>
      </c>
      <c r="G267">
        <f>IFERROR(INDEX(Calc!$S$2:$S$1001,MATCH(ROW()-1,Calc!$X$2:$X$1001,0)),"")</f>
        <v/>
      </c>
    </row>
    <row r="268">
      <c r="A268">
        <f>IFERROR(INDEX(Calc!$L$2:$L$1001,MATCH(ROW()-1,Calc!$X$2:$X$1001,0)),"")</f>
        <v/>
      </c>
      <c r="B268">
        <f>IFERROR(INDEX(Calc!$M$2:$M$1001,MATCH(ROW()-1,Calc!$X$2:$X$1001,0)),"")</f>
        <v/>
      </c>
      <c r="C268">
        <f>IFERROR(INDEX(Calc!$N$2:$N$1001,MATCH(ROW()-1,Calc!$X$2:$X$1001,0)),"")</f>
        <v/>
      </c>
      <c r="D268" s="3">
        <f>IFERROR(INDEX(Calc!$O$2:$O$1001,MATCH(ROW()-1,Calc!$X$2:$X$1001,0)),"")</f>
        <v/>
      </c>
      <c r="E268" s="3">
        <f>IFERROR(INDEX(Calc!$P$2:$P$1001,MATCH(ROW()-1,Calc!$X$2:$X$1001,0)),"")</f>
        <v/>
      </c>
      <c r="F268" s="3">
        <f>IF(G268="","",E268-D268)</f>
        <v/>
      </c>
      <c r="G268">
        <f>IFERROR(INDEX(Calc!$S$2:$S$1001,MATCH(ROW()-1,Calc!$X$2:$X$1001,0)),"")</f>
        <v/>
      </c>
    </row>
    <row r="269">
      <c r="A269">
        <f>IFERROR(INDEX(Calc!$L$2:$L$1001,MATCH(ROW()-1,Calc!$X$2:$X$1001,0)),"")</f>
        <v/>
      </c>
      <c r="B269">
        <f>IFERROR(INDEX(Calc!$M$2:$M$1001,MATCH(ROW()-1,Calc!$X$2:$X$1001,0)),"")</f>
        <v/>
      </c>
      <c r="C269">
        <f>IFERROR(INDEX(Calc!$N$2:$N$1001,MATCH(ROW()-1,Calc!$X$2:$X$1001,0)),"")</f>
        <v/>
      </c>
      <c r="D269" s="3">
        <f>IFERROR(INDEX(Calc!$O$2:$O$1001,MATCH(ROW()-1,Calc!$X$2:$X$1001,0)),"")</f>
        <v/>
      </c>
      <c r="E269" s="3">
        <f>IFERROR(INDEX(Calc!$P$2:$P$1001,MATCH(ROW()-1,Calc!$X$2:$X$1001,0)),"")</f>
        <v/>
      </c>
      <c r="F269" s="3">
        <f>IF(G269="","",E269-D269)</f>
        <v/>
      </c>
      <c r="G269">
        <f>IFERROR(INDEX(Calc!$S$2:$S$1001,MATCH(ROW()-1,Calc!$X$2:$X$1001,0)),"")</f>
        <v/>
      </c>
    </row>
    <row r="270">
      <c r="A270">
        <f>IFERROR(INDEX(Calc!$L$2:$L$1001,MATCH(ROW()-1,Calc!$X$2:$X$1001,0)),"")</f>
        <v/>
      </c>
      <c r="B270">
        <f>IFERROR(INDEX(Calc!$M$2:$M$1001,MATCH(ROW()-1,Calc!$X$2:$X$1001,0)),"")</f>
        <v/>
      </c>
      <c r="C270">
        <f>IFERROR(INDEX(Calc!$N$2:$N$1001,MATCH(ROW()-1,Calc!$X$2:$X$1001,0)),"")</f>
        <v/>
      </c>
      <c r="D270" s="3">
        <f>IFERROR(INDEX(Calc!$O$2:$O$1001,MATCH(ROW()-1,Calc!$X$2:$X$1001,0)),"")</f>
        <v/>
      </c>
      <c r="E270" s="3">
        <f>IFERROR(INDEX(Calc!$P$2:$P$1001,MATCH(ROW()-1,Calc!$X$2:$X$1001,0)),"")</f>
        <v/>
      </c>
      <c r="F270" s="3">
        <f>IF(G270="","",E270-D270)</f>
        <v/>
      </c>
      <c r="G270">
        <f>IFERROR(INDEX(Calc!$S$2:$S$1001,MATCH(ROW()-1,Calc!$X$2:$X$1001,0)),"")</f>
        <v/>
      </c>
    </row>
    <row r="271">
      <c r="A271">
        <f>IFERROR(INDEX(Calc!$L$2:$L$1001,MATCH(ROW()-1,Calc!$X$2:$X$1001,0)),"")</f>
        <v/>
      </c>
      <c r="B271">
        <f>IFERROR(INDEX(Calc!$M$2:$M$1001,MATCH(ROW()-1,Calc!$X$2:$X$1001,0)),"")</f>
        <v/>
      </c>
      <c r="C271">
        <f>IFERROR(INDEX(Calc!$N$2:$N$1001,MATCH(ROW()-1,Calc!$X$2:$X$1001,0)),"")</f>
        <v/>
      </c>
      <c r="D271" s="3">
        <f>IFERROR(INDEX(Calc!$O$2:$O$1001,MATCH(ROW()-1,Calc!$X$2:$X$1001,0)),"")</f>
        <v/>
      </c>
      <c r="E271" s="3">
        <f>IFERROR(INDEX(Calc!$P$2:$P$1001,MATCH(ROW()-1,Calc!$X$2:$X$1001,0)),"")</f>
        <v/>
      </c>
      <c r="F271" s="3">
        <f>IF(G271="","",E271-D271)</f>
        <v/>
      </c>
      <c r="G271">
        <f>IFERROR(INDEX(Calc!$S$2:$S$1001,MATCH(ROW()-1,Calc!$X$2:$X$1001,0)),"")</f>
        <v/>
      </c>
    </row>
    <row r="272">
      <c r="A272">
        <f>IFERROR(INDEX(Calc!$L$2:$L$1001,MATCH(ROW()-1,Calc!$X$2:$X$1001,0)),"")</f>
        <v/>
      </c>
      <c r="B272">
        <f>IFERROR(INDEX(Calc!$M$2:$M$1001,MATCH(ROW()-1,Calc!$X$2:$X$1001,0)),"")</f>
        <v/>
      </c>
      <c r="C272">
        <f>IFERROR(INDEX(Calc!$N$2:$N$1001,MATCH(ROW()-1,Calc!$X$2:$X$1001,0)),"")</f>
        <v/>
      </c>
      <c r="D272" s="3">
        <f>IFERROR(INDEX(Calc!$O$2:$O$1001,MATCH(ROW()-1,Calc!$X$2:$X$1001,0)),"")</f>
        <v/>
      </c>
      <c r="E272" s="3">
        <f>IFERROR(INDEX(Calc!$P$2:$P$1001,MATCH(ROW()-1,Calc!$X$2:$X$1001,0)),"")</f>
        <v/>
      </c>
      <c r="F272" s="3">
        <f>IF(G272="","",E272-D272)</f>
        <v/>
      </c>
      <c r="G272">
        <f>IFERROR(INDEX(Calc!$S$2:$S$1001,MATCH(ROW()-1,Calc!$X$2:$X$1001,0)),"")</f>
        <v/>
      </c>
    </row>
    <row r="273">
      <c r="A273">
        <f>IFERROR(INDEX(Calc!$L$2:$L$1001,MATCH(ROW()-1,Calc!$X$2:$X$1001,0)),"")</f>
        <v/>
      </c>
      <c r="B273">
        <f>IFERROR(INDEX(Calc!$M$2:$M$1001,MATCH(ROW()-1,Calc!$X$2:$X$1001,0)),"")</f>
        <v/>
      </c>
      <c r="C273">
        <f>IFERROR(INDEX(Calc!$N$2:$N$1001,MATCH(ROW()-1,Calc!$X$2:$X$1001,0)),"")</f>
        <v/>
      </c>
      <c r="D273" s="3">
        <f>IFERROR(INDEX(Calc!$O$2:$O$1001,MATCH(ROW()-1,Calc!$X$2:$X$1001,0)),"")</f>
        <v/>
      </c>
      <c r="E273" s="3">
        <f>IFERROR(INDEX(Calc!$P$2:$P$1001,MATCH(ROW()-1,Calc!$X$2:$X$1001,0)),"")</f>
        <v/>
      </c>
      <c r="F273" s="3">
        <f>IF(G273="","",E273-D273)</f>
        <v/>
      </c>
      <c r="G273">
        <f>IFERROR(INDEX(Calc!$S$2:$S$1001,MATCH(ROW()-1,Calc!$X$2:$X$1001,0)),"")</f>
        <v/>
      </c>
    </row>
    <row r="274">
      <c r="A274">
        <f>IFERROR(INDEX(Calc!$L$2:$L$1001,MATCH(ROW()-1,Calc!$X$2:$X$1001,0)),"")</f>
        <v/>
      </c>
      <c r="B274">
        <f>IFERROR(INDEX(Calc!$M$2:$M$1001,MATCH(ROW()-1,Calc!$X$2:$X$1001,0)),"")</f>
        <v/>
      </c>
      <c r="C274">
        <f>IFERROR(INDEX(Calc!$N$2:$N$1001,MATCH(ROW()-1,Calc!$X$2:$X$1001,0)),"")</f>
        <v/>
      </c>
      <c r="D274" s="3">
        <f>IFERROR(INDEX(Calc!$O$2:$O$1001,MATCH(ROW()-1,Calc!$X$2:$X$1001,0)),"")</f>
        <v/>
      </c>
      <c r="E274" s="3">
        <f>IFERROR(INDEX(Calc!$P$2:$P$1001,MATCH(ROW()-1,Calc!$X$2:$X$1001,0)),"")</f>
        <v/>
      </c>
      <c r="F274" s="3">
        <f>IF(G274="","",E274-D274)</f>
        <v/>
      </c>
      <c r="G274">
        <f>IFERROR(INDEX(Calc!$S$2:$S$1001,MATCH(ROW()-1,Calc!$X$2:$X$1001,0)),"")</f>
        <v/>
      </c>
    </row>
    <row r="275">
      <c r="A275">
        <f>IFERROR(INDEX(Calc!$L$2:$L$1001,MATCH(ROW()-1,Calc!$X$2:$X$1001,0)),"")</f>
        <v/>
      </c>
      <c r="B275">
        <f>IFERROR(INDEX(Calc!$M$2:$M$1001,MATCH(ROW()-1,Calc!$X$2:$X$1001,0)),"")</f>
        <v/>
      </c>
      <c r="C275">
        <f>IFERROR(INDEX(Calc!$N$2:$N$1001,MATCH(ROW()-1,Calc!$X$2:$X$1001,0)),"")</f>
        <v/>
      </c>
      <c r="D275" s="3">
        <f>IFERROR(INDEX(Calc!$O$2:$O$1001,MATCH(ROW()-1,Calc!$X$2:$X$1001,0)),"")</f>
        <v/>
      </c>
      <c r="E275" s="3">
        <f>IFERROR(INDEX(Calc!$P$2:$P$1001,MATCH(ROW()-1,Calc!$X$2:$X$1001,0)),"")</f>
        <v/>
      </c>
      <c r="F275" s="3">
        <f>IF(G275="","",E275-D275)</f>
        <v/>
      </c>
      <c r="G275">
        <f>IFERROR(INDEX(Calc!$S$2:$S$1001,MATCH(ROW()-1,Calc!$X$2:$X$1001,0)),"")</f>
        <v/>
      </c>
    </row>
    <row r="276">
      <c r="A276">
        <f>IFERROR(INDEX(Calc!$L$2:$L$1001,MATCH(ROW()-1,Calc!$X$2:$X$1001,0)),"")</f>
        <v/>
      </c>
      <c r="B276">
        <f>IFERROR(INDEX(Calc!$M$2:$M$1001,MATCH(ROW()-1,Calc!$X$2:$X$1001,0)),"")</f>
        <v/>
      </c>
      <c r="C276">
        <f>IFERROR(INDEX(Calc!$N$2:$N$1001,MATCH(ROW()-1,Calc!$X$2:$X$1001,0)),"")</f>
        <v/>
      </c>
      <c r="D276" s="3">
        <f>IFERROR(INDEX(Calc!$O$2:$O$1001,MATCH(ROW()-1,Calc!$X$2:$X$1001,0)),"")</f>
        <v/>
      </c>
      <c r="E276" s="3">
        <f>IFERROR(INDEX(Calc!$P$2:$P$1001,MATCH(ROW()-1,Calc!$X$2:$X$1001,0)),"")</f>
        <v/>
      </c>
      <c r="F276" s="3">
        <f>IF(G276="","",E276-D276)</f>
        <v/>
      </c>
      <c r="G276">
        <f>IFERROR(INDEX(Calc!$S$2:$S$1001,MATCH(ROW()-1,Calc!$X$2:$X$1001,0)),"")</f>
        <v/>
      </c>
    </row>
    <row r="277">
      <c r="A277">
        <f>IFERROR(INDEX(Calc!$L$2:$L$1001,MATCH(ROW()-1,Calc!$X$2:$X$1001,0)),"")</f>
        <v/>
      </c>
      <c r="B277">
        <f>IFERROR(INDEX(Calc!$M$2:$M$1001,MATCH(ROW()-1,Calc!$X$2:$X$1001,0)),"")</f>
        <v/>
      </c>
      <c r="C277">
        <f>IFERROR(INDEX(Calc!$N$2:$N$1001,MATCH(ROW()-1,Calc!$X$2:$X$1001,0)),"")</f>
        <v/>
      </c>
      <c r="D277" s="3">
        <f>IFERROR(INDEX(Calc!$O$2:$O$1001,MATCH(ROW()-1,Calc!$X$2:$X$1001,0)),"")</f>
        <v/>
      </c>
      <c r="E277" s="3">
        <f>IFERROR(INDEX(Calc!$P$2:$P$1001,MATCH(ROW()-1,Calc!$X$2:$X$1001,0)),"")</f>
        <v/>
      </c>
      <c r="F277" s="3">
        <f>IF(G277="","",E277-D277)</f>
        <v/>
      </c>
      <c r="G277">
        <f>IFERROR(INDEX(Calc!$S$2:$S$1001,MATCH(ROW()-1,Calc!$X$2:$X$1001,0)),"")</f>
        <v/>
      </c>
    </row>
    <row r="278">
      <c r="A278">
        <f>IFERROR(INDEX(Calc!$L$2:$L$1001,MATCH(ROW()-1,Calc!$X$2:$X$1001,0)),"")</f>
        <v/>
      </c>
      <c r="B278">
        <f>IFERROR(INDEX(Calc!$M$2:$M$1001,MATCH(ROW()-1,Calc!$X$2:$X$1001,0)),"")</f>
        <v/>
      </c>
      <c r="C278">
        <f>IFERROR(INDEX(Calc!$N$2:$N$1001,MATCH(ROW()-1,Calc!$X$2:$X$1001,0)),"")</f>
        <v/>
      </c>
      <c r="D278" s="3">
        <f>IFERROR(INDEX(Calc!$O$2:$O$1001,MATCH(ROW()-1,Calc!$X$2:$X$1001,0)),"")</f>
        <v/>
      </c>
      <c r="E278" s="3">
        <f>IFERROR(INDEX(Calc!$P$2:$P$1001,MATCH(ROW()-1,Calc!$X$2:$X$1001,0)),"")</f>
        <v/>
      </c>
      <c r="F278" s="3">
        <f>IF(G278="","",E278-D278)</f>
        <v/>
      </c>
      <c r="G278">
        <f>IFERROR(INDEX(Calc!$S$2:$S$1001,MATCH(ROW()-1,Calc!$X$2:$X$1001,0)),"")</f>
        <v/>
      </c>
    </row>
    <row r="279">
      <c r="A279">
        <f>IFERROR(INDEX(Calc!$L$2:$L$1001,MATCH(ROW()-1,Calc!$X$2:$X$1001,0)),"")</f>
        <v/>
      </c>
      <c r="B279">
        <f>IFERROR(INDEX(Calc!$M$2:$M$1001,MATCH(ROW()-1,Calc!$X$2:$X$1001,0)),"")</f>
        <v/>
      </c>
      <c r="C279">
        <f>IFERROR(INDEX(Calc!$N$2:$N$1001,MATCH(ROW()-1,Calc!$X$2:$X$1001,0)),"")</f>
        <v/>
      </c>
      <c r="D279" s="3">
        <f>IFERROR(INDEX(Calc!$O$2:$O$1001,MATCH(ROW()-1,Calc!$X$2:$X$1001,0)),"")</f>
        <v/>
      </c>
      <c r="E279" s="3">
        <f>IFERROR(INDEX(Calc!$P$2:$P$1001,MATCH(ROW()-1,Calc!$X$2:$X$1001,0)),"")</f>
        <v/>
      </c>
      <c r="F279" s="3">
        <f>IF(G279="","",E279-D279)</f>
        <v/>
      </c>
      <c r="G279">
        <f>IFERROR(INDEX(Calc!$S$2:$S$1001,MATCH(ROW()-1,Calc!$X$2:$X$1001,0)),"")</f>
        <v/>
      </c>
    </row>
    <row r="280">
      <c r="A280">
        <f>IFERROR(INDEX(Calc!$L$2:$L$1001,MATCH(ROW()-1,Calc!$X$2:$X$1001,0)),"")</f>
        <v/>
      </c>
      <c r="B280">
        <f>IFERROR(INDEX(Calc!$M$2:$M$1001,MATCH(ROW()-1,Calc!$X$2:$X$1001,0)),"")</f>
        <v/>
      </c>
      <c r="C280">
        <f>IFERROR(INDEX(Calc!$N$2:$N$1001,MATCH(ROW()-1,Calc!$X$2:$X$1001,0)),"")</f>
        <v/>
      </c>
      <c r="D280" s="3">
        <f>IFERROR(INDEX(Calc!$O$2:$O$1001,MATCH(ROW()-1,Calc!$X$2:$X$1001,0)),"")</f>
        <v/>
      </c>
      <c r="E280" s="3">
        <f>IFERROR(INDEX(Calc!$P$2:$P$1001,MATCH(ROW()-1,Calc!$X$2:$X$1001,0)),"")</f>
        <v/>
      </c>
      <c r="F280" s="3">
        <f>IF(G280="","",E280-D280)</f>
        <v/>
      </c>
      <c r="G280">
        <f>IFERROR(INDEX(Calc!$S$2:$S$1001,MATCH(ROW()-1,Calc!$X$2:$X$1001,0)),"")</f>
        <v/>
      </c>
    </row>
    <row r="281">
      <c r="A281">
        <f>IFERROR(INDEX(Calc!$L$2:$L$1001,MATCH(ROW()-1,Calc!$X$2:$X$1001,0)),"")</f>
        <v/>
      </c>
      <c r="B281">
        <f>IFERROR(INDEX(Calc!$M$2:$M$1001,MATCH(ROW()-1,Calc!$X$2:$X$1001,0)),"")</f>
        <v/>
      </c>
      <c r="C281">
        <f>IFERROR(INDEX(Calc!$N$2:$N$1001,MATCH(ROW()-1,Calc!$X$2:$X$1001,0)),"")</f>
        <v/>
      </c>
      <c r="D281" s="3">
        <f>IFERROR(INDEX(Calc!$O$2:$O$1001,MATCH(ROW()-1,Calc!$X$2:$X$1001,0)),"")</f>
        <v/>
      </c>
      <c r="E281" s="3">
        <f>IFERROR(INDEX(Calc!$P$2:$P$1001,MATCH(ROW()-1,Calc!$X$2:$X$1001,0)),"")</f>
        <v/>
      </c>
      <c r="F281" s="3">
        <f>IF(G281="","",E281-D281)</f>
        <v/>
      </c>
      <c r="G281">
        <f>IFERROR(INDEX(Calc!$S$2:$S$1001,MATCH(ROW()-1,Calc!$X$2:$X$1001,0)),"")</f>
        <v/>
      </c>
    </row>
    <row r="282">
      <c r="A282">
        <f>IFERROR(INDEX(Calc!$L$2:$L$1001,MATCH(ROW()-1,Calc!$X$2:$X$1001,0)),"")</f>
        <v/>
      </c>
      <c r="B282">
        <f>IFERROR(INDEX(Calc!$M$2:$M$1001,MATCH(ROW()-1,Calc!$X$2:$X$1001,0)),"")</f>
        <v/>
      </c>
      <c r="C282">
        <f>IFERROR(INDEX(Calc!$N$2:$N$1001,MATCH(ROW()-1,Calc!$X$2:$X$1001,0)),"")</f>
        <v/>
      </c>
      <c r="D282" s="3">
        <f>IFERROR(INDEX(Calc!$O$2:$O$1001,MATCH(ROW()-1,Calc!$X$2:$X$1001,0)),"")</f>
        <v/>
      </c>
      <c r="E282" s="3">
        <f>IFERROR(INDEX(Calc!$P$2:$P$1001,MATCH(ROW()-1,Calc!$X$2:$X$1001,0)),"")</f>
        <v/>
      </c>
      <c r="F282" s="3">
        <f>IF(G282="","",E282-D282)</f>
        <v/>
      </c>
      <c r="G282">
        <f>IFERROR(INDEX(Calc!$S$2:$S$1001,MATCH(ROW()-1,Calc!$X$2:$X$1001,0)),"")</f>
        <v/>
      </c>
    </row>
    <row r="283">
      <c r="A283">
        <f>IFERROR(INDEX(Calc!$L$2:$L$1001,MATCH(ROW()-1,Calc!$X$2:$X$1001,0)),"")</f>
        <v/>
      </c>
      <c r="B283">
        <f>IFERROR(INDEX(Calc!$M$2:$M$1001,MATCH(ROW()-1,Calc!$X$2:$X$1001,0)),"")</f>
        <v/>
      </c>
      <c r="C283">
        <f>IFERROR(INDEX(Calc!$N$2:$N$1001,MATCH(ROW()-1,Calc!$X$2:$X$1001,0)),"")</f>
        <v/>
      </c>
      <c r="D283" s="3">
        <f>IFERROR(INDEX(Calc!$O$2:$O$1001,MATCH(ROW()-1,Calc!$X$2:$X$1001,0)),"")</f>
        <v/>
      </c>
      <c r="E283" s="3">
        <f>IFERROR(INDEX(Calc!$P$2:$P$1001,MATCH(ROW()-1,Calc!$X$2:$X$1001,0)),"")</f>
        <v/>
      </c>
      <c r="F283" s="3">
        <f>IF(G283="","",E283-D283)</f>
        <v/>
      </c>
      <c r="G283">
        <f>IFERROR(INDEX(Calc!$S$2:$S$1001,MATCH(ROW()-1,Calc!$X$2:$X$1001,0)),"")</f>
        <v/>
      </c>
    </row>
    <row r="284">
      <c r="A284">
        <f>IFERROR(INDEX(Calc!$L$2:$L$1001,MATCH(ROW()-1,Calc!$X$2:$X$1001,0)),"")</f>
        <v/>
      </c>
      <c r="B284">
        <f>IFERROR(INDEX(Calc!$M$2:$M$1001,MATCH(ROW()-1,Calc!$X$2:$X$1001,0)),"")</f>
        <v/>
      </c>
      <c r="C284">
        <f>IFERROR(INDEX(Calc!$N$2:$N$1001,MATCH(ROW()-1,Calc!$X$2:$X$1001,0)),"")</f>
        <v/>
      </c>
      <c r="D284" s="3">
        <f>IFERROR(INDEX(Calc!$O$2:$O$1001,MATCH(ROW()-1,Calc!$X$2:$X$1001,0)),"")</f>
        <v/>
      </c>
      <c r="E284" s="3">
        <f>IFERROR(INDEX(Calc!$P$2:$P$1001,MATCH(ROW()-1,Calc!$X$2:$X$1001,0)),"")</f>
        <v/>
      </c>
      <c r="F284" s="3">
        <f>IF(G284="","",E284-D284)</f>
        <v/>
      </c>
      <c r="G284">
        <f>IFERROR(INDEX(Calc!$S$2:$S$1001,MATCH(ROW()-1,Calc!$X$2:$X$1001,0)),"")</f>
        <v/>
      </c>
    </row>
    <row r="285">
      <c r="A285">
        <f>IFERROR(INDEX(Calc!$L$2:$L$1001,MATCH(ROW()-1,Calc!$X$2:$X$1001,0)),"")</f>
        <v/>
      </c>
      <c r="B285">
        <f>IFERROR(INDEX(Calc!$M$2:$M$1001,MATCH(ROW()-1,Calc!$X$2:$X$1001,0)),"")</f>
        <v/>
      </c>
      <c r="C285">
        <f>IFERROR(INDEX(Calc!$N$2:$N$1001,MATCH(ROW()-1,Calc!$X$2:$X$1001,0)),"")</f>
        <v/>
      </c>
      <c r="D285" s="3">
        <f>IFERROR(INDEX(Calc!$O$2:$O$1001,MATCH(ROW()-1,Calc!$X$2:$X$1001,0)),"")</f>
        <v/>
      </c>
      <c r="E285" s="3">
        <f>IFERROR(INDEX(Calc!$P$2:$P$1001,MATCH(ROW()-1,Calc!$X$2:$X$1001,0)),"")</f>
        <v/>
      </c>
      <c r="F285" s="3">
        <f>IF(G285="","",E285-D285)</f>
        <v/>
      </c>
      <c r="G285">
        <f>IFERROR(INDEX(Calc!$S$2:$S$1001,MATCH(ROW()-1,Calc!$X$2:$X$1001,0)),"")</f>
        <v/>
      </c>
    </row>
    <row r="286">
      <c r="A286">
        <f>IFERROR(INDEX(Calc!$L$2:$L$1001,MATCH(ROW()-1,Calc!$X$2:$X$1001,0)),"")</f>
        <v/>
      </c>
      <c r="B286">
        <f>IFERROR(INDEX(Calc!$M$2:$M$1001,MATCH(ROW()-1,Calc!$X$2:$X$1001,0)),"")</f>
        <v/>
      </c>
      <c r="C286">
        <f>IFERROR(INDEX(Calc!$N$2:$N$1001,MATCH(ROW()-1,Calc!$X$2:$X$1001,0)),"")</f>
        <v/>
      </c>
      <c r="D286" s="3">
        <f>IFERROR(INDEX(Calc!$O$2:$O$1001,MATCH(ROW()-1,Calc!$X$2:$X$1001,0)),"")</f>
        <v/>
      </c>
      <c r="E286" s="3">
        <f>IFERROR(INDEX(Calc!$P$2:$P$1001,MATCH(ROW()-1,Calc!$X$2:$X$1001,0)),"")</f>
        <v/>
      </c>
      <c r="F286" s="3">
        <f>IF(G286="","",E286-D286)</f>
        <v/>
      </c>
      <c r="G286">
        <f>IFERROR(INDEX(Calc!$S$2:$S$1001,MATCH(ROW()-1,Calc!$X$2:$X$1001,0)),"")</f>
        <v/>
      </c>
    </row>
    <row r="287">
      <c r="A287">
        <f>IFERROR(INDEX(Calc!$L$2:$L$1001,MATCH(ROW()-1,Calc!$X$2:$X$1001,0)),"")</f>
        <v/>
      </c>
      <c r="B287">
        <f>IFERROR(INDEX(Calc!$M$2:$M$1001,MATCH(ROW()-1,Calc!$X$2:$X$1001,0)),"")</f>
        <v/>
      </c>
      <c r="C287">
        <f>IFERROR(INDEX(Calc!$N$2:$N$1001,MATCH(ROW()-1,Calc!$X$2:$X$1001,0)),"")</f>
        <v/>
      </c>
      <c r="D287" s="3">
        <f>IFERROR(INDEX(Calc!$O$2:$O$1001,MATCH(ROW()-1,Calc!$X$2:$X$1001,0)),"")</f>
        <v/>
      </c>
      <c r="E287" s="3">
        <f>IFERROR(INDEX(Calc!$P$2:$P$1001,MATCH(ROW()-1,Calc!$X$2:$X$1001,0)),"")</f>
        <v/>
      </c>
      <c r="F287" s="3">
        <f>IF(G287="","",E287-D287)</f>
        <v/>
      </c>
      <c r="G287">
        <f>IFERROR(INDEX(Calc!$S$2:$S$1001,MATCH(ROW()-1,Calc!$X$2:$X$1001,0)),"")</f>
        <v/>
      </c>
    </row>
    <row r="288">
      <c r="A288">
        <f>IFERROR(INDEX(Calc!$L$2:$L$1001,MATCH(ROW()-1,Calc!$X$2:$X$1001,0)),"")</f>
        <v/>
      </c>
      <c r="B288">
        <f>IFERROR(INDEX(Calc!$M$2:$M$1001,MATCH(ROW()-1,Calc!$X$2:$X$1001,0)),"")</f>
        <v/>
      </c>
      <c r="C288">
        <f>IFERROR(INDEX(Calc!$N$2:$N$1001,MATCH(ROW()-1,Calc!$X$2:$X$1001,0)),"")</f>
        <v/>
      </c>
      <c r="D288" s="3">
        <f>IFERROR(INDEX(Calc!$O$2:$O$1001,MATCH(ROW()-1,Calc!$X$2:$X$1001,0)),"")</f>
        <v/>
      </c>
      <c r="E288" s="3">
        <f>IFERROR(INDEX(Calc!$P$2:$P$1001,MATCH(ROW()-1,Calc!$X$2:$X$1001,0)),"")</f>
        <v/>
      </c>
      <c r="F288" s="3">
        <f>IF(G288="","",E288-D288)</f>
        <v/>
      </c>
      <c r="G288">
        <f>IFERROR(INDEX(Calc!$S$2:$S$1001,MATCH(ROW()-1,Calc!$X$2:$X$1001,0)),"")</f>
        <v/>
      </c>
    </row>
    <row r="289">
      <c r="A289">
        <f>IFERROR(INDEX(Calc!$L$2:$L$1001,MATCH(ROW()-1,Calc!$X$2:$X$1001,0)),"")</f>
        <v/>
      </c>
      <c r="B289">
        <f>IFERROR(INDEX(Calc!$M$2:$M$1001,MATCH(ROW()-1,Calc!$X$2:$X$1001,0)),"")</f>
        <v/>
      </c>
      <c r="C289">
        <f>IFERROR(INDEX(Calc!$N$2:$N$1001,MATCH(ROW()-1,Calc!$X$2:$X$1001,0)),"")</f>
        <v/>
      </c>
      <c r="D289" s="3">
        <f>IFERROR(INDEX(Calc!$O$2:$O$1001,MATCH(ROW()-1,Calc!$X$2:$X$1001,0)),"")</f>
        <v/>
      </c>
      <c r="E289" s="3">
        <f>IFERROR(INDEX(Calc!$P$2:$P$1001,MATCH(ROW()-1,Calc!$X$2:$X$1001,0)),"")</f>
        <v/>
      </c>
      <c r="F289" s="3">
        <f>IF(G289="","",E289-D289)</f>
        <v/>
      </c>
      <c r="G289">
        <f>IFERROR(INDEX(Calc!$S$2:$S$1001,MATCH(ROW()-1,Calc!$X$2:$X$1001,0)),"")</f>
        <v/>
      </c>
    </row>
    <row r="290">
      <c r="A290">
        <f>IFERROR(INDEX(Calc!$L$2:$L$1001,MATCH(ROW()-1,Calc!$X$2:$X$1001,0)),"")</f>
        <v/>
      </c>
      <c r="B290">
        <f>IFERROR(INDEX(Calc!$M$2:$M$1001,MATCH(ROW()-1,Calc!$X$2:$X$1001,0)),"")</f>
        <v/>
      </c>
      <c r="C290">
        <f>IFERROR(INDEX(Calc!$N$2:$N$1001,MATCH(ROW()-1,Calc!$X$2:$X$1001,0)),"")</f>
        <v/>
      </c>
      <c r="D290" s="3">
        <f>IFERROR(INDEX(Calc!$O$2:$O$1001,MATCH(ROW()-1,Calc!$X$2:$X$1001,0)),"")</f>
        <v/>
      </c>
      <c r="E290" s="3">
        <f>IFERROR(INDEX(Calc!$P$2:$P$1001,MATCH(ROW()-1,Calc!$X$2:$X$1001,0)),"")</f>
        <v/>
      </c>
      <c r="F290" s="3">
        <f>IF(G290="","",E290-D290)</f>
        <v/>
      </c>
      <c r="G290">
        <f>IFERROR(INDEX(Calc!$S$2:$S$1001,MATCH(ROW()-1,Calc!$X$2:$X$1001,0)),"")</f>
        <v/>
      </c>
    </row>
    <row r="291">
      <c r="A291">
        <f>IFERROR(INDEX(Calc!$L$2:$L$1001,MATCH(ROW()-1,Calc!$X$2:$X$1001,0)),"")</f>
        <v/>
      </c>
      <c r="B291">
        <f>IFERROR(INDEX(Calc!$M$2:$M$1001,MATCH(ROW()-1,Calc!$X$2:$X$1001,0)),"")</f>
        <v/>
      </c>
      <c r="C291">
        <f>IFERROR(INDEX(Calc!$N$2:$N$1001,MATCH(ROW()-1,Calc!$X$2:$X$1001,0)),"")</f>
        <v/>
      </c>
      <c r="D291" s="3">
        <f>IFERROR(INDEX(Calc!$O$2:$O$1001,MATCH(ROW()-1,Calc!$X$2:$X$1001,0)),"")</f>
        <v/>
      </c>
      <c r="E291" s="3">
        <f>IFERROR(INDEX(Calc!$P$2:$P$1001,MATCH(ROW()-1,Calc!$X$2:$X$1001,0)),"")</f>
        <v/>
      </c>
      <c r="F291" s="3">
        <f>IF(G291="","",E291-D291)</f>
        <v/>
      </c>
      <c r="G291">
        <f>IFERROR(INDEX(Calc!$S$2:$S$1001,MATCH(ROW()-1,Calc!$X$2:$X$1001,0)),"")</f>
        <v/>
      </c>
    </row>
    <row r="292">
      <c r="A292">
        <f>IFERROR(INDEX(Calc!$L$2:$L$1001,MATCH(ROW()-1,Calc!$X$2:$X$1001,0)),"")</f>
        <v/>
      </c>
      <c r="B292">
        <f>IFERROR(INDEX(Calc!$M$2:$M$1001,MATCH(ROW()-1,Calc!$X$2:$X$1001,0)),"")</f>
        <v/>
      </c>
      <c r="C292">
        <f>IFERROR(INDEX(Calc!$N$2:$N$1001,MATCH(ROW()-1,Calc!$X$2:$X$1001,0)),"")</f>
        <v/>
      </c>
      <c r="D292" s="3">
        <f>IFERROR(INDEX(Calc!$O$2:$O$1001,MATCH(ROW()-1,Calc!$X$2:$X$1001,0)),"")</f>
        <v/>
      </c>
      <c r="E292" s="3">
        <f>IFERROR(INDEX(Calc!$P$2:$P$1001,MATCH(ROW()-1,Calc!$X$2:$X$1001,0)),"")</f>
        <v/>
      </c>
      <c r="F292" s="3">
        <f>IF(G292="","",E292-D292)</f>
        <v/>
      </c>
      <c r="G292">
        <f>IFERROR(INDEX(Calc!$S$2:$S$1001,MATCH(ROW()-1,Calc!$X$2:$X$1001,0)),"")</f>
        <v/>
      </c>
    </row>
    <row r="293">
      <c r="A293">
        <f>IFERROR(INDEX(Calc!$L$2:$L$1001,MATCH(ROW()-1,Calc!$X$2:$X$1001,0)),"")</f>
        <v/>
      </c>
      <c r="B293">
        <f>IFERROR(INDEX(Calc!$M$2:$M$1001,MATCH(ROW()-1,Calc!$X$2:$X$1001,0)),"")</f>
        <v/>
      </c>
      <c r="C293">
        <f>IFERROR(INDEX(Calc!$N$2:$N$1001,MATCH(ROW()-1,Calc!$X$2:$X$1001,0)),"")</f>
        <v/>
      </c>
      <c r="D293" s="3">
        <f>IFERROR(INDEX(Calc!$O$2:$O$1001,MATCH(ROW()-1,Calc!$X$2:$X$1001,0)),"")</f>
        <v/>
      </c>
      <c r="E293" s="3">
        <f>IFERROR(INDEX(Calc!$P$2:$P$1001,MATCH(ROW()-1,Calc!$X$2:$X$1001,0)),"")</f>
        <v/>
      </c>
      <c r="F293" s="3">
        <f>IF(G293="","",E293-D293)</f>
        <v/>
      </c>
      <c r="G293">
        <f>IFERROR(INDEX(Calc!$S$2:$S$1001,MATCH(ROW()-1,Calc!$X$2:$X$1001,0)),"")</f>
        <v/>
      </c>
    </row>
    <row r="294">
      <c r="A294">
        <f>IFERROR(INDEX(Calc!$L$2:$L$1001,MATCH(ROW()-1,Calc!$X$2:$X$1001,0)),"")</f>
        <v/>
      </c>
      <c r="B294">
        <f>IFERROR(INDEX(Calc!$M$2:$M$1001,MATCH(ROW()-1,Calc!$X$2:$X$1001,0)),"")</f>
        <v/>
      </c>
      <c r="C294">
        <f>IFERROR(INDEX(Calc!$N$2:$N$1001,MATCH(ROW()-1,Calc!$X$2:$X$1001,0)),"")</f>
        <v/>
      </c>
      <c r="D294" s="3">
        <f>IFERROR(INDEX(Calc!$O$2:$O$1001,MATCH(ROW()-1,Calc!$X$2:$X$1001,0)),"")</f>
        <v/>
      </c>
      <c r="E294" s="3">
        <f>IFERROR(INDEX(Calc!$P$2:$P$1001,MATCH(ROW()-1,Calc!$X$2:$X$1001,0)),"")</f>
        <v/>
      </c>
      <c r="F294" s="3">
        <f>IF(G294="","",E294-D294)</f>
        <v/>
      </c>
      <c r="G294">
        <f>IFERROR(INDEX(Calc!$S$2:$S$1001,MATCH(ROW()-1,Calc!$X$2:$X$1001,0)),"")</f>
        <v/>
      </c>
    </row>
    <row r="295">
      <c r="A295">
        <f>IFERROR(INDEX(Calc!$L$2:$L$1001,MATCH(ROW()-1,Calc!$X$2:$X$1001,0)),"")</f>
        <v/>
      </c>
      <c r="B295">
        <f>IFERROR(INDEX(Calc!$M$2:$M$1001,MATCH(ROW()-1,Calc!$X$2:$X$1001,0)),"")</f>
        <v/>
      </c>
      <c r="C295">
        <f>IFERROR(INDEX(Calc!$N$2:$N$1001,MATCH(ROW()-1,Calc!$X$2:$X$1001,0)),"")</f>
        <v/>
      </c>
      <c r="D295" s="3">
        <f>IFERROR(INDEX(Calc!$O$2:$O$1001,MATCH(ROW()-1,Calc!$X$2:$X$1001,0)),"")</f>
        <v/>
      </c>
      <c r="E295" s="3">
        <f>IFERROR(INDEX(Calc!$P$2:$P$1001,MATCH(ROW()-1,Calc!$X$2:$X$1001,0)),"")</f>
        <v/>
      </c>
      <c r="F295" s="3">
        <f>IF(G295="","",E295-D295)</f>
        <v/>
      </c>
      <c r="G295">
        <f>IFERROR(INDEX(Calc!$S$2:$S$1001,MATCH(ROW()-1,Calc!$X$2:$X$1001,0)),"")</f>
        <v/>
      </c>
    </row>
    <row r="296">
      <c r="A296">
        <f>IFERROR(INDEX(Calc!$L$2:$L$1001,MATCH(ROW()-1,Calc!$X$2:$X$1001,0)),"")</f>
        <v/>
      </c>
      <c r="B296">
        <f>IFERROR(INDEX(Calc!$M$2:$M$1001,MATCH(ROW()-1,Calc!$X$2:$X$1001,0)),"")</f>
        <v/>
      </c>
      <c r="C296">
        <f>IFERROR(INDEX(Calc!$N$2:$N$1001,MATCH(ROW()-1,Calc!$X$2:$X$1001,0)),"")</f>
        <v/>
      </c>
      <c r="D296" s="3">
        <f>IFERROR(INDEX(Calc!$O$2:$O$1001,MATCH(ROW()-1,Calc!$X$2:$X$1001,0)),"")</f>
        <v/>
      </c>
      <c r="E296" s="3">
        <f>IFERROR(INDEX(Calc!$P$2:$P$1001,MATCH(ROW()-1,Calc!$X$2:$X$1001,0)),"")</f>
        <v/>
      </c>
      <c r="F296" s="3">
        <f>IF(G296="","",E296-D296)</f>
        <v/>
      </c>
      <c r="G296">
        <f>IFERROR(INDEX(Calc!$S$2:$S$1001,MATCH(ROW()-1,Calc!$X$2:$X$1001,0)),"")</f>
        <v/>
      </c>
    </row>
    <row r="297">
      <c r="A297">
        <f>IFERROR(INDEX(Calc!$L$2:$L$1001,MATCH(ROW()-1,Calc!$X$2:$X$1001,0)),"")</f>
        <v/>
      </c>
      <c r="B297">
        <f>IFERROR(INDEX(Calc!$M$2:$M$1001,MATCH(ROW()-1,Calc!$X$2:$X$1001,0)),"")</f>
        <v/>
      </c>
      <c r="C297">
        <f>IFERROR(INDEX(Calc!$N$2:$N$1001,MATCH(ROW()-1,Calc!$X$2:$X$1001,0)),"")</f>
        <v/>
      </c>
      <c r="D297" s="3">
        <f>IFERROR(INDEX(Calc!$O$2:$O$1001,MATCH(ROW()-1,Calc!$X$2:$X$1001,0)),"")</f>
        <v/>
      </c>
      <c r="E297" s="3">
        <f>IFERROR(INDEX(Calc!$P$2:$P$1001,MATCH(ROW()-1,Calc!$X$2:$X$1001,0)),"")</f>
        <v/>
      </c>
      <c r="F297" s="3">
        <f>IF(G297="","",E297-D297)</f>
        <v/>
      </c>
      <c r="G297">
        <f>IFERROR(INDEX(Calc!$S$2:$S$1001,MATCH(ROW()-1,Calc!$X$2:$X$1001,0)),"")</f>
        <v/>
      </c>
    </row>
    <row r="298">
      <c r="A298">
        <f>IFERROR(INDEX(Calc!$L$2:$L$1001,MATCH(ROW()-1,Calc!$X$2:$X$1001,0)),"")</f>
        <v/>
      </c>
      <c r="B298">
        <f>IFERROR(INDEX(Calc!$M$2:$M$1001,MATCH(ROW()-1,Calc!$X$2:$X$1001,0)),"")</f>
        <v/>
      </c>
      <c r="C298">
        <f>IFERROR(INDEX(Calc!$N$2:$N$1001,MATCH(ROW()-1,Calc!$X$2:$X$1001,0)),"")</f>
        <v/>
      </c>
      <c r="D298" s="3">
        <f>IFERROR(INDEX(Calc!$O$2:$O$1001,MATCH(ROW()-1,Calc!$X$2:$X$1001,0)),"")</f>
        <v/>
      </c>
      <c r="E298" s="3">
        <f>IFERROR(INDEX(Calc!$P$2:$P$1001,MATCH(ROW()-1,Calc!$X$2:$X$1001,0)),"")</f>
        <v/>
      </c>
      <c r="F298" s="3">
        <f>IF(G298="","",E298-D298)</f>
        <v/>
      </c>
      <c r="G298">
        <f>IFERROR(INDEX(Calc!$S$2:$S$1001,MATCH(ROW()-1,Calc!$X$2:$X$1001,0)),"")</f>
        <v/>
      </c>
    </row>
    <row r="299">
      <c r="A299">
        <f>IFERROR(INDEX(Calc!$L$2:$L$1001,MATCH(ROW()-1,Calc!$X$2:$X$1001,0)),"")</f>
        <v/>
      </c>
      <c r="B299">
        <f>IFERROR(INDEX(Calc!$M$2:$M$1001,MATCH(ROW()-1,Calc!$X$2:$X$1001,0)),"")</f>
        <v/>
      </c>
      <c r="C299">
        <f>IFERROR(INDEX(Calc!$N$2:$N$1001,MATCH(ROW()-1,Calc!$X$2:$X$1001,0)),"")</f>
        <v/>
      </c>
      <c r="D299" s="3">
        <f>IFERROR(INDEX(Calc!$O$2:$O$1001,MATCH(ROW()-1,Calc!$X$2:$X$1001,0)),"")</f>
        <v/>
      </c>
      <c r="E299" s="3">
        <f>IFERROR(INDEX(Calc!$P$2:$P$1001,MATCH(ROW()-1,Calc!$X$2:$X$1001,0)),"")</f>
        <v/>
      </c>
      <c r="F299" s="3">
        <f>IF(G299="","",E299-D299)</f>
        <v/>
      </c>
      <c r="G299">
        <f>IFERROR(INDEX(Calc!$S$2:$S$1001,MATCH(ROW()-1,Calc!$X$2:$X$1001,0)),"")</f>
        <v/>
      </c>
    </row>
    <row r="300">
      <c r="A300">
        <f>IFERROR(INDEX(Calc!$L$2:$L$1001,MATCH(ROW()-1,Calc!$X$2:$X$1001,0)),"")</f>
        <v/>
      </c>
      <c r="B300">
        <f>IFERROR(INDEX(Calc!$M$2:$M$1001,MATCH(ROW()-1,Calc!$X$2:$X$1001,0)),"")</f>
        <v/>
      </c>
      <c r="C300">
        <f>IFERROR(INDEX(Calc!$N$2:$N$1001,MATCH(ROW()-1,Calc!$X$2:$X$1001,0)),"")</f>
        <v/>
      </c>
      <c r="D300" s="3">
        <f>IFERROR(INDEX(Calc!$O$2:$O$1001,MATCH(ROW()-1,Calc!$X$2:$X$1001,0)),"")</f>
        <v/>
      </c>
      <c r="E300" s="3">
        <f>IFERROR(INDEX(Calc!$P$2:$P$1001,MATCH(ROW()-1,Calc!$X$2:$X$1001,0)),"")</f>
        <v/>
      </c>
      <c r="F300" s="3">
        <f>IF(G300="","",E300-D300)</f>
        <v/>
      </c>
      <c r="G300">
        <f>IFERROR(INDEX(Calc!$S$2:$S$1001,MATCH(ROW()-1,Calc!$X$2:$X$1001,0)),"")</f>
        <v/>
      </c>
    </row>
    <row r="301">
      <c r="A301">
        <f>IFERROR(INDEX(Calc!$L$2:$L$1001,MATCH(ROW()-1,Calc!$X$2:$X$1001,0)),"")</f>
        <v/>
      </c>
      <c r="B301">
        <f>IFERROR(INDEX(Calc!$M$2:$M$1001,MATCH(ROW()-1,Calc!$X$2:$X$1001,0)),"")</f>
        <v/>
      </c>
      <c r="C301">
        <f>IFERROR(INDEX(Calc!$N$2:$N$1001,MATCH(ROW()-1,Calc!$X$2:$X$1001,0)),"")</f>
        <v/>
      </c>
      <c r="D301" s="3">
        <f>IFERROR(INDEX(Calc!$O$2:$O$1001,MATCH(ROW()-1,Calc!$X$2:$X$1001,0)),"")</f>
        <v/>
      </c>
      <c r="E301" s="3">
        <f>IFERROR(INDEX(Calc!$P$2:$P$1001,MATCH(ROW()-1,Calc!$X$2:$X$1001,0)),"")</f>
        <v/>
      </c>
      <c r="F301" s="3">
        <f>IF(G301="","",E301-D301)</f>
        <v/>
      </c>
      <c r="G301">
        <f>IFERROR(INDEX(Calc!$S$2:$S$1001,MATCH(ROW()-1,Calc!$X$2:$X$1001,0)),"")</f>
        <v/>
      </c>
    </row>
    <row r="302">
      <c r="A302">
        <f>IFERROR(INDEX(Calc!$L$2:$L$1001,MATCH(ROW()-1,Calc!$X$2:$X$1001,0)),"")</f>
        <v/>
      </c>
      <c r="B302">
        <f>IFERROR(INDEX(Calc!$M$2:$M$1001,MATCH(ROW()-1,Calc!$X$2:$X$1001,0)),"")</f>
        <v/>
      </c>
      <c r="C302">
        <f>IFERROR(INDEX(Calc!$N$2:$N$1001,MATCH(ROW()-1,Calc!$X$2:$X$1001,0)),"")</f>
        <v/>
      </c>
      <c r="D302" s="3">
        <f>IFERROR(INDEX(Calc!$O$2:$O$1001,MATCH(ROW()-1,Calc!$X$2:$X$1001,0)),"")</f>
        <v/>
      </c>
      <c r="E302" s="3">
        <f>IFERROR(INDEX(Calc!$P$2:$P$1001,MATCH(ROW()-1,Calc!$X$2:$X$1001,0)),"")</f>
        <v/>
      </c>
      <c r="F302" s="3">
        <f>IF(G302="","",E302-D302)</f>
        <v/>
      </c>
      <c r="G302">
        <f>IFERROR(INDEX(Calc!$S$2:$S$1001,MATCH(ROW()-1,Calc!$X$2:$X$1001,0)),"")</f>
        <v/>
      </c>
    </row>
    <row r="303">
      <c r="A303">
        <f>IFERROR(INDEX(Calc!$L$2:$L$1001,MATCH(ROW()-1,Calc!$X$2:$X$1001,0)),"")</f>
        <v/>
      </c>
      <c r="B303">
        <f>IFERROR(INDEX(Calc!$M$2:$M$1001,MATCH(ROW()-1,Calc!$X$2:$X$1001,0)),"")</f>
        <v/>
      </c>
      <c r="C303">
        <f>IFERROR(INDEX(Calc!$N$2:$N$1001,MATCH(ROW()-1,Calc!$X$2:$X$1001,0)),"")</f>
        <v/>
      </c>
      <c r="D303" s="3">
        <f>IFERROR(INDEX(Calc!$O$2:$O$1001,MATCH(ROW()-1,Calc!$X$2:$X$1001,0)),"")</f>
        <v/>
      </c>
      <c r="E303" s="3">
        <f>IFERROR(INDEX(Calc!$P$2:$P$1001,MATCH(ROW()-1,Calc!$X$2:$X$1001,0)),"")</f>
        <v/>
      </c>
      <c r="F303" s="3">
        <f>IF(G303="","",E303-D303)</f>
        <v/>
      </c>
      <c r="G303">
        <f>IFERROR(INDEX(Calc!$S$2:$S$1001,MATCH(ROW()-1,Calc!$X$2:$X$1001,0)),"")</f>
        <v/>
      </c>
    </row>
    <row r="304">
      <c r="A304">
        <f>IFERROR(INDEX(Calc!$L$2:$L$1001,MATCH(ROW()-1,Calc!$X$2:$X$1001,0)),"")</f>
        <v/>
      </c>
      <c r="B304">
        <f>IFERROR(INDEX(Calc!$M$2:$M$1001,MATCH(ROW()-1,Calc!$X$2:$X$1001,0)),"")</f>
        <v/>
      </c>
      <c r="C304">
        <f>IFERROR(INDEX(Calc!$N$2:$N$1001,MATCH(ROW()-1,Calc!$X$2:$X$1001,0)),"")</f>
        <v/>
      </c>
      <c r="D304" s="3">
        <f>IFERROR(INDEX(Calc!$O$2:$O$1001,MATCH(ROW()-1,Calc!$X$2:$X$1001,0)),"")</f>
        <v/>
      </c>
      <c r="E304" s="3">
        <f>IFERROR(INDEX(Calc!$P$2:$P$1001,MATCH(ROW()-1,Calc!$X$2:$X$1001,0)),"")</f>
        <v/>
      </c>
      <c r="F304" s="3">
        <f>IF(G304="","",E304-D304)</f>
        <v/>
      </c>
      <c r="G304">
        <f>IFERROR(INDEX(Calc!$S$2:$S$1001,MATCH(ROW()-1,Calc!$X$2:$X$1001,0)),"")</f>
        <v/>
      </c>
    </row>
    <row r="305">
      <c r="A305">
        <f>IFERROR(INDEX(Calc!$L$2:$L$1001,MATCH(ROW()-1,Calc!$X$2:$X$1001,0)),"")</f>
        <v/>
      </c>
      <c r="B305">
        <f>IFERROR(INDEX(Calc!$M$2:$M$1001,MATCH(ROW()-1,Calc!$X$2:$X$1001,0)),"")</f>
        <v/>
      </c>
      <c r="C305">
        <f>IFERROR(INDEX(Calc!$N$2:$N$1001,MATCH(ROW()-1,Calc!$X$2:$X$1001,0)),"")</f>
        <v/>
      </c>
      <c r="D305" s="3">
        <f>IFERROR(INDEX(Calc!$O$2:$O$1001,MATCH(ROW()-1,Calc!$X$2:$X$1001,0)),"")</f>
        <v/>
      </c>
      <c r="E305" s="3">
        <f>IFERROR(INDEX(Calc!$P$2:$P$1001,MATCH(ROW()-1,Calc!$X$2:$X$1001,0)),"")</f>
        <v/>
      </c>
      <c r="F305" s="3">
        <f>IF(G305="","",E305-D305)</f>
        <v/>
      </c>
      <c r="G305">
        <f>IFERROR(INDEX(Calc!$S$2:$S$1001,MATCH(ROW()-1,Calc!$X$2:$X$1001,0)),"")</f>
        <v/>
      </c>
    </row>
    <row r="306">
      <c r="A306">
        <f>IFERROR(INDEX(Calc!$L$2:$L$1001,MATCH(ROW()-1,Calc!$X$2:$X$1001,0)),"")</f>
        <v/>
      </c>
      <c r="B306">
        <f>IFERROR(INDEX(Calc!$M$2:$M$1001,MATCH(ROW()-1,Calc!$X$2:$X$1001,0)),"")</f>
        <v/>
      </c>
      <c r="C306">
        <f>IFERROR(INDEX(Calc!$N$2:$N$1001,MATCH(ROW()-1,Calc!$X$2:$X$1001,0)),"")</f>
        <v/>
      </c>
      <c r="D306" s="3">
        <f>IFERROR(INDEX(Calc!$O$2:$O$1001,MATCH(ROW()-1,Calc!$X$2:$X$1001,0)),"")</f>
        <v/>
      </c>
      <c r="E306" s="3">
        <f>IFERROR(INDEX(Calc!$P$2:$P$1001,MATCH(ROW()-1,Calc!$X$2:$X$1001,0)),"")</f>
        <v/>
      </c>
      <c r="F306" s="3">
        <f>IF(G306="","",E306-D306)</f>
        <v/>
      </c>
      <c r="G306">
        <f>IFERROR(INDEX(Calc!$S$2:$S$1001,MATCH(ROW()-1,Calc!$X$2:$X$1001,0)),"")</f>
        <v/>
      </c>
    </row>
    <row r="307">
      <c r="A307">
        <f>IFERROR(INDEX(Calc!$L$2:$L$1001,MATCH(ROW()-1,Calc!$X$2:$X$1001,0)),"")</f>
        <v/>
      </c>
      <c r="B307">
        <f>IFERROR(INDEX(Calc!$M$2:$M$1001,MATCH(ROW()-1,Calc!$X$2:$X$1001,0)),"")</f>
        <v/>
      </c>
      <c r="C307">
        <f>IFERROR(INDEX(Calc!$N$2:$N$1001,MATCH(ROW()-1,Calc!$X$2:$X$1001,0)),"")</f>
        <v/>
      </c>
      <c r="D307" s="3">
        <f>IFERROR(INDEX(Calc!$O$2:$O$1001,MATCH(ROW()-1,Calc!$X$2:$X$1001,0)),"")</f>
        <v/>
      </c>
      <c r="E307" s="3">
        <f>IFERROR(INDEX(Calc!$P$2:$P$1001,MATCH(ROW()-1,Calc!$X$2:$X$1001,0)),"")</f>
        <v/>
      </c>
      <c r="F307" s="3">
        <f>IF(G307="","",E307-D307)</f>
        <v/>
      </c>
      <c r="G307">
        <f>IFERROR(INDEX(Calc!$S$2:$S$1001,MATCH(ROW()-1,Calc!$X$2:$X$1001,0)),"")</f>
        <v/>
      </c>
    </row>
    <row r="308">
      <c r="A308">
        <f>IFERROR(INDEX(Calc!$L$2:$L$1001,MATCH(ROW()-1,Calc!$X$2:$X$1001,0)),"")</f>
        <v/>
      </c>
      <c r="B308">
        <f>IFERROR(INDEX(Calc!$M$2:$M$1001,MATCH(ROW()-1,Calc!$X$2:$X$1001,0)),"")</f>
        <v/>
      </c>
      <c r="C308">
        <f>IFERROR(INDEX(Calc!$N$2:$N$1001,MATCH(ROW()-1,Calc!$X$2:$X$1001,0)),"")</f>
        <v/>
      </c>
      <c r="D308" s="3">
        <f>IFERROR(INDEX(Calc!$O$2:$O$1001,MATCH(ROW()-1,Calc!$X$2:$X$1001,0)),"")</f>
        <v/>
      </c>
      <c r="E308" s="3">
        <f>IFERROR(INDEX(Calc!$P$2:$P$1001,MATCH(ROW()-1,Calc!$X$2:$X$1001,0)),"")</f>
        <v/>
      </c>
      <c r="F308" s="3">
        <f>IF(G308="","",E308-D308)</f>
        <v/>
      </c>
      <c r="G308">
        <f>IFERROR(INDEX(Calc!$S$2:$S$1001,MATCH(ROW()-1,Calc!$X$2:$X$1001,0)),"")</f>
        <v/>
      </c>
    </row>
    <row r="309">
      <c r="A309">
        <f>IFERROR(INDEX(Calc!$L$2:$L$1001,MATCH(ROW()-1,Calc!$X$2:$X$1001,0)),"")</f>
        <v/>
      </c>
      <c r="B309">
        <f>IFERROR(INDEX(Calc!$M$2:$M$1001,MATCH(ROW()-1,Calc!$X$2:$X$1001,0)),"")</f>
        <v/>
      </c>
      <c r="C309">
        <f>IFERROR(INDEX(Calc!$N$2:$N$1001,MATCH(ROW()-1,Calc!$X$2:$X$1001,0)),"")</f>
        <v/>
      </c>
      <c r="D309" s="3">
        <f>IFERROR(INDEX(Calc!$O$2:$O$1001,MATCH(ROW()-1,Calc!$X$2:$X$1001,0)),"")</f>
        <v/>
      </c>
      <c r="E309" s="3">
        <f>IFERROR(INDEX(Calc!$P$2:$P$1001,MATCH(ROW()-1,Calc!$X$2:$X$1001,0)),"")</f>
        <v/>
      </c>
      <c r="F309" s="3">
        <f>IF(G309="","",E309-D309)</f>
        <v/>
      </c>
      <c r="G309">
        <f>IFERROR(INDEX(Calc!$S$2:$S$1001,MATCH(ROW()-1,Calc!$X$2:$X$1001,0)),"")</f>
        <v/>
      </c>
    </row>
    <row r="310">
      <c r="A310">
        <f>IFERROR(INDEX(Calc!$L$2:$L$1001,MATCH(ROW()-1,Calc!$X$2:$X$1001,0)),"")</f>
        <v/>
      </c>
      <c r="B310">
        <f>IFERROR(INDEX(Calc!$M$2:$M$1001,MATCH(ROW()-1,Calc!$X$2:$X$1001,0)),"")</f>
        <v/>
      </c>
      <c r="C310">
        <f>IFERROR(INDEX(Calc!$N$2:$N$1001,MATCH(ROW()-1,Calc!$X$2:$X$1001,0)),"")</f>
        <v/>
      </c>
      <c r="D310" s="3">
        <f>IFERROR(INDEX(Calc!$O$2:$O$1001,MATCH(ROW()-1,Calc!$X$2:$X$1001,0)),"")</f>
        <v/>
      </c>
      <c r="E310" s="3">
        <f>IFERROR(INDEX(Calc!$P$2:$P$1001,MATCH(ROW()-1,Calc!$X$2:$X$1001,0)),"")</f>
        <v/>
      </c>
      <c r="F310" s="3">
        <f>IF(G310="","",E310-D310)</f>
        <v/>
      </c>
      <c r="G310">
        <f>IFERROR(INDEX(Calc!$S$2:$S$1001,MATCH(ROW()-1,Calc!$X$2:$X$1001,0)),"")</f>
        <v/>
      </c>
    </row>
    <row r="311">
      <c r="A311">
        <f>IFERROR(INDEX(Calc!$L$2:$L$1001,MATCH(ROW()-1,Calc!$X$2:$X$1001,0)),"")</f>
        <v/>
      </c>
      <c r="B311">
        <f>IFERROR(INDEX(Calc!$M$2:$M$1001,MATCH(ROW()-1,Calc!$X$2:$X$1001,0)),"")</f>
        <v/>
      </c>
      <c r="C311">
        <f>IFERROR(INDEX(Calc!$N$2:$N$1001,MATCH(ROW()-1,Calc!$X$2:$X$1001,0)),"")</f>
        <v/>
      </c>
      <c r="D311" s="3">
        <f>IFERROR(INDEX(Calc!$O$2:$O$1001,MATCH(ROW()-1,Calc!$X$2:$X$1001,0)),"")</f>
        <v/>
      </c>
      <c r="E311" s="3">
        <f>IFERROR(INDEX(Calc!$P$2:$P$1001,MATCH(ROW()-1,Calc!$X$2:$X$1001,0)),"")</f>
        <v/>
      </c>
      <c r="F311" s="3">
        <f>IF(G311="","",E311-D311)</f>
        <v/>
      </c>
      <c r="G311">
        <f>IFERROR(INDEX(Calc!$S$2:$S$1001,MATCH(ROW()-1,Calc!$X$2:$X$1001,0)),"")</f>
        <v/>
      </c>
    </row>
    <row r="312">
      <c r="A312">
        <f>IFERROR(INDEX(Calc!$L$2:$L$1001,MATCH(ROW()-1,Calc!$X$2:$X$1001,0)),"")</f>
        <v/>
      </c>
      <c r="B312">
        <f>IFERROR(INDEX(Calc!$M$2:$M$1001,MATCH(ROW()-1,Calc!$X$2:$X$1001,0)),"")</f>
        <v/>
      </c>
      <c r="C312">
        <f>IFERROR(INDEX(Calc!$N$2:$N$1001,MATCH(ROW()-1,Calc!$X$2:$X$1001,0)),"")</f>
        <v/>
      </c>
      <c r="D312" s="3">
        <f>IFERROR(INDEX(Calc!$O$2:$O$1001,MATCH(ROW()-1,Calc!$X$2:$X$1001,0)),"")</f>
        <v/>
      </c>
      <c r="E312" s="3">
        <f>IFERROR(INDEX(Calc!$P$2:$P$1001,MATCH(ROW()-1,Calc!$X$2:$X$1001,0)),"")</f>
        <v/>
      </c>
      <c r="F312" s="3">
        <f>IF(G312="","",E312-D312)</f>
        <v/>
      </c>
      <c r="G312">
        <f>IFERROR(INDEX(Calc!$S$2:$S$1001,MATCH(ROW()-1,Calc!$X$2:$X$1001,0)),"")</f>
        <v/>
      </c>
    </row>
    <row r="313">
      <c r="A313">
        <f>IFERROR(INDEX(Calc!$L$2:$L$1001,MATCH(ROW()-1,Calc!$X$2:$X$1001,0)),"")</f>
        <v/>
      </c>
      <c r="B313">
        <f>IFERROR(INDEX(Calc!$M$2:$M$1001,MATCH(ROW()-1,Calc!$X$2:$X$1001,0)),"")</f>
        <v/>
      </c>
      <c r="C313">
        <f>IFERROR(INDEX(Calc!$N$2:$N$1001,MATCH(ROW()-1,Calc!$X$2:$X$1001,0)),"")</f>
        <v/>
      </c>
      <c r="D313" s="3">
        <f>IFERROR(INDEX(Calc!$O$2:$O$1001,MATCH(ROW()-1,Calc!$X$2:$X$1001,0)),"")</f>
        <v/>
      </c>
      <c r="E313" s="3">
        <f>IFERROR(INDEX(Calc!$P$2:$P$1001,MATCH(ROW()-1,Calc!$X$2:$X$1001,0)),"")</f>
        <v/>
      </c>
      <c r="F313" s="3">
        <f>IF(G313="","",E313-D313)</f>
        <v/>
      </c>
      <c r="G313">
        <f>IFERROR(INDEX(Calc!$S$2:$S$1001,MATCH(ROW()-1,Calc!$X$2:$X$1001,0)),"")</f>
        <v/>
      </c>
    </row>
    <row r="314">
      <c r="A314">
        <f>IFERROR(INDEX(Calc!$L$2:$L$1001,MATCH(ROW()-1,Calc!$X$2:$X$1001,0)),"")</f>
        <v/>
      </c>
      <c r="B314">
        <f>IFERROR(INDEX(Calc!$M$2:$M$1001,MATCH(ROW()-1,Calc!$X$2:$X$1001,0)),"")</f>
        <v/>
      </c>
      <c r="C314">
        <f>IFERROR(INDEX(Calc!$N$2:$N$1001,MATCH(ROW()-1,Calc!$X$2:$X$1001,0)),"")</f>
        <v/>
      </c>
      <c r="D314" s="3">
        <f>IFERROR(INDEX(Calc!$O$2:$O$1001,MATCH(ROW()-1,Calc!$X$2:$X$1001,0)),"")</f>
        <v/>
      </c>
      <c r="E314" s="3">
        <f>IFERROR(INDEX(Calc!$P$2:$P$1001,MATCH(ROW()-1,Calc!$X$2:$X$1001,0)),"")</f>
        <v/>
      </c>
      <c r="F314" s="3">
        <f>IF(G314="","",E314-D314)</f>
        <v/>
      </c>
      <c r="G314">
        <f>IFERROR(INDEX(Calc!$S$2:$S$1001,MATCH(ROW()-1,Calc!$X$2:$X$1001,0)),"")</f>
        <v/>
      </c>
    </row>
    <row r="315">
      <c r="A315">
        <f>IFERROR(INDEX(Calc!$L$2:$L$1001,MATCH(ROW()-1,Calc!$X$2:$X$1001,0)),"")</f>
        <v/>
      </c>
      <c r="B315">
        <f>IFERROR(INDEX(Calc!$M$2:$M$1001,MATCH(ROW()-1,Calc!$X$2:$X$1001,0)),"")</f>
        <v/>
      </c>
      <c r="C315">
        <f>IFERROR(INDEX(Calc!$N$2:$N$1001,MATCH(ROW()-1,Calc!$X$2:$X$1001,0)),"")</f>
        <v/>
      </c>
      <c r="D315" s="3">
        <f>IFERROR(INDEX(Calc!$O$2:$O$1001,MATCH(ROW()-1,Calc!$X$2:$X$1001,0)),"")</f>
        <v/>
      </c>
      <c r="E315" s="3">
        <f>IFERROR(INDEX(Calc!$P$2:$P$1001,MATCH(ROW()-1,Calc!$X$2:$X$1001,0)),"")</f>
        <v/>
      </c>
      <c r="F315" s="3">
        <f>IF(G315="","",E315-D315)</f>
        <v/>
      </c>
      <c r="G315">
        <f>IFERROR(INDEX(Calc!$S$2:$S$1001,MATCH(ROW()-1,Calc!$X$2:$X$1001,0)),"")</f>
        <v/>
      </c>
    </row>
    <row r="316">
      <c r="A316">
        <f>IFERROR(INDEX(Calc!$L$2:$L$1001,MATCH(ROW()-1,Calc!$X$2:$X$1001,0)),"")</f>
        <v/>
      </c>
      <c r="B316">
        <f>IFERROR(INDEX(Calc!$M$2:$M$1001,MATCH(ROW()-1,Calc!$X$2:$X$1001,0)),"")</f>
        <v/>
      </c>
      <c r="C316">
        <f>IFERROR(INDEX(Calc!$N$2:$N$1001,MATCH(ROW()-1,Calc!$X$2:$X$1001,0)),"")</f>
        <v/>
      </c>
      <c r="D316" s="3">
        <f>IFERROR(INDEX(Calc!$O$2:$O$1001,MATCH(ROW()-1,Calc!$X$2:$X$1001,0)),"")</f>
        <v/>
      </c>
      <c r="E316" s="3">
        <f>IFERROR(INDEX(Calc!$P$2:$P$1001,MATCH(ROW()-1,Calc!$X$2:$X$1001,0)),"")</f>
        <v/>
      </c>
      <c r="F316" s="3">
        <f>IF(G316="","",E316-D316)</f>
        <v/>
      </c>
      <c r="G316">
        <f>IFERROR(INDEX(Calc!$S$2:$S$1001,MATCH(ROW()-1,Calc!$X$2:$X$1001,0)),"")</f>
        <v/>
      </c>
    </row>
    <row r="317">
      <c r="A317">
        <f>IFERROR(INDEX(Calc!$L$2:$L$1001,MATCH(ROW()-1,Calc!$X$2:$X$1001,0)),"")</f>
        <v/>
      </c>
      <c r="B317">
        <f>IFERROR(INDEX(Calc!$M$2:$M$1001,MATCH(ROW()-1,Calc!$X$2:$X$1001,0)),"")</f>
        <v/>
      </c>
      <c r="C317">
        <f>IFERROR(INDEX(Calc!$N$2:$N$1001,MATCH(ROW()-1,Calc!$X$2:$X$1001,0)),"")</f>
        <v/>
      </c>
      <c r="D317" s="3">
        <f>IFERROR(INDEX(Calc!$O$2:$O$1001,MATCH(ROW()-1,Calc!$X$2:$X$1001,0)),"")</f>
        <v/>
      </c>
      <c r="E317" s="3">
        <f>IFERROR(INDEX(Calc!$P$2:$P$1001,MATCH(ROW()-1,Calc!$X$2:$X$1001,0)),"")</f>
        <v/>
      </c>
      <c r="F317" s="3">
        <f>IF(G317="","",E317-D317)</f>
        <v/>
      </c>
      <c r="G317">
        <f>IFERROR(INDEX(Calc!$S$2:$S$1001,MATCH(ROW()-1,Calc!$X$2:$X$1001,0)),"")</f>
        <v/>
      </c>
    </row>
    <row r="318">
      <c r="A318">
        <f>IFERROR(INDEX(Calc!$L$2:$L$1001,MATCH(ROW()-1,Calc!$X$2:$X$1001,0)),"")</f>
        <v/>
      </c>
      <c r="B318">
        <f>IFERROR(INDEX(Calc!$M$2:$M$1001,MATCH(ROW()-1,Calc!$X$2:$X$1001,0)),"")</f>
        <v/>
      </c>
      <c r="C318">
        <f>IFERROR(INDEX(Calc!$N$2:$N$1001,MATCH(ROW()-1,Calc!$X$2:$X$1001,0)),"")</f>
        <v/>
      </c>
      <c r="D318" s="3">
        <f>IFERROR(INDEX(Calc!$O$2:$O$1001,MATCH(ROW()-1,Calc!$X$2:$X$1001,0)),"")</f>
        <v/>
      </c>
      <c r="E318" s="3">
        <f>IFERROR(INDEX(Calc!$P$2:$P$1001,MATCH(ROW()-1,Calc!$X$2:$X$1001,0)),"")</f>
        <v/>
      </c>
      <c r="F318" s="3">
        <f>IF(G318="","",E318-D318)</f>
        <v/>
      </c>
      <c r="G318">
        <f>IFERROR(INDEX(Calc!$S$2:$S$1001,MATCH(ROW()-1,Calc!$X$2:$X$1001,0)),"")</f>
        <v/>
      </c>
    </row>
    <row r="319">
      <c r="A319">
        <f>IFERROR(INDEX(Calc!$L$2:$L$1001,MATCH(ROW()-1,Calc!$X$2:$X$1001,0)),"")</f>
        <v/>
      </c>
      <c r="B319">
        <f>IFERROR(INDEX(Calc!$M$2:$M$1001,MATCH(ROW()-1,Calc!$X$2:$X$1001,0)),"")</f>
        <v/>
      </c>
      <c r="C319">
        <f>IFERROR(INDEX(Calc!$N$2:$N$1001,MATCH(ROW()-1,Calc!$X$2:$X$1001,0)),"")</f>
        <v/>
      </c>
      <c r="D319" s="3">
        <f>IFERROR(INDEX(Calc!$O$2:$O$1001,MATCH(ROW()-1,Calc!$X$2:$X$1001,0)),"")</f>
        <v/>
      </c>
      <c r="E319" s="3">
        <f>IFERROR(INDEX(Calc!$P$2:$P$1001,MATCH(ROW()-1,Calc!$X$2:$X$1001,0)),"")</f>
        <v/>
      </c>
      <c r="F319" s="3">
        <f>IF(G319="","",E319-D319)</f>
        <v/>
      </c>
      <c r="G319">
        <f>IFERROR(INDEX(Calc!$S$2:$S$1001,MATCH(ROW()-1,Calc!$X$2:$X$1001,0)),"")</f>
        <v/>
      </c>
    </row>
    <row r="320">
      <c r="A320">
        <f>IFERROR(INDEX(Calc!$L$2:$L$1001,MATCH(ROW()-1,Calc!$X$2:$X$1001,0)),"")</f>
        <v/>
      </c>
      <c r="B320">
        <f>IFERROR(INDEX(Calc!$M$2:$M$1001,MATCH(ROW()-1,Calc!$X$2:$X$1001,0)),"")</f>
        <v/>
      </c>
      <c r="C320">
        <f>IFERROR(INDEX(Calc!$N$2:$N$1001,MATCH(ROW()-1,Calc!$X$2:$X$1001,0)),"")</f>
        <v/>
      </c>
      <c r="D320" s="3">
        <f>IFERROR(INDEX(Calc!$O$2:$O$1001,MATCH(ROW()-1,Calc!$X$2:$X$1001,0)),"")</f>
        <v/>
      </c>
      <c r="E320" s="3">
        <f>IFERROR(INDEX(Calc!$P$2:$P$1001,MATCH(ROW()-1,Calc!$X$2:$X$1001,0)),"")</f>
        <v/>
      </c>
      <c r="F320" s="3">
        <f>IF(G320="","",E320-D320)</f>
        <v/>
      </c>
      <c r="G320">
        <f>IFERROR(INDEX(Calc!$S$2:$S$1001,MATCH(ROW()-1,Calc!$X$2:$X$1001,0)),"")</f>
        <v/>
      </c>
    </row>
    <row r="321">
      <c r="A321">
        <f>IFERROR(INDEX(Calc!$L$2:$L$1001,MATCH(ROW()-1,Calc!$X$2:$X$1001,0)),"")</f>
        <v/>
      </c>
      <c r="B321">
        <f>IFERROR(INDEX(Calc!$M$2:$M$1001,MATCH(ROW()-1,Calc!$X$2:$X$1001,0)),"")</f>
        <v/>
      </c>
      <c r="C321">
        <f>IFERROR(INDEX(Calc!$N$2:$N$1001,MATCH(ROW()-1,Calc!$X$2:$X$1001,0)),"")</f>
        <v/>
      </c>
      <c r="D321" s="3">
        <f>IFERROR(INDEX(Calc!$O$2:$O$1001,MATCH(ROW()-1,Calc!$X$2:$X$1001,0)),"")</f>
        <v/>
      </c>
      <c r="E321" s="3">
        <f>IFERROR(INDEX(Calc!$P$2:$P$1001,MATCH(ROW()-1,Calc!$X$2:$X$1001,0)),"")</f>
        <v/>
      </c>
      <c r="F321" s="3">
        <f>IF(G321="","",E321-D321)</f>
        <v/>
      </c>
      <c r="G321">
        <f>IFERROR(INDEX(Calc!$S$2:$S$1001,MATCH(ROW()-1,Calc!$X$2:$X$1001,0)),"")</f>
        <v/>
      </c>
    </row>
    <row r="322">
      <c r="A322">
        <f>IFERROR(INDEX(Calc!$L$2:$L$1001,MATCH(ROW()-1,Calc!$X$2:$X$1001,0)),"")</f>
        <v/>
      </c>
      <c r="B322">
        <f>IFERROR(INDEX(Calc!$M$2:$M$1001,MATCH(ROW()-1,Calc!$X$2:$X$1001,0)),"")</f>
        <v/>
      </c>
      <c r="C322">
        <f>IFERROR(INDEX(Calc!$N$2:$N$1001,MATCH(ROW()-1,Calc!$X$2:$X$1001,0)),"")</f>
        <v/>
      </c>
      <c r="D322" s="3">
        <f>IFERROR(INDEX(Calc!$O$2:$O$1001,MATCH(ROW()-1,Calc!$X$2:$X$1001,0)),"")</f>
        <v/>
      </c>
      <c r="E322" s="3">
        <f>IFERROR(INDEX(Calc!$P$2:$P$1001,MATCH(ROW()-1,Calc!$X$2:$X$1001,0)),"")</f>
        <v/>
      </c>
      <c r="F322" s="3">
        <f>IF(G322="","",E322-D322)</f>
        <v/>
      </c>
      <c r="G322">
        <f>IFERROR(INDEX(Calc!$S$2:$S$1001,MATCH(ROW()-1,Calc!$X$2:$X$1001,0)),"")</f>
        <v/>
      </c>
    </row>
    <row r="323">
      <c r="A323">
        <f>IFERROR(INDEX(Calc!$L$2:$L$1001,MATCH(ROW()-1,Calc!$X$2:$X$1001,0)),"")</f>
        <v/>
      </c>
      <c r="B323">
        <f>IFERROR(INDEX(Calc!$M$2:$M$1001,MATCH(ROW()-1,Calc!$X$2:$X$1001,0)),"")</f>
        <v/>
      </c>
      <c r="C323">
        <f>IFERROR(INDEX(Calc!$N$2:$N$1001,MATCH(ROW()-1,Calc!$X$2:$X$1001,0)),"")</f>
        <v/>
      </c>
      <c r="D323" s="3">
        <f>IFERROR(INDEX(Calc!$O$2:$O$1001,MATCH(ROW()-1,Calc!$X$2:$X$1001,0)),"")</f>
        <v/>
      </c>
      <c r="E323" s="3">
        <f>IFERROR(INDEX(Calc!$P$2:$P$1001,MATCH(ROW()-1,Calc!$X$2:$X$1001,0)),"")</f>
        <v/>
      </c>
      <c r="F323" s="3">
        <f>IF(G323="","",E323-D323)</f>
        <v/>
      </c>
      <c r="G323">
        <f>IFERROR(INDEX(Calc!$S$2:$S$1001,MATCH(ROW()-1,Calc!$X$2:$X$1001,0)),"")</f>
        <v/>
      </c>
    </row>
    <row r="324">
      <c r="A324">
        <f>IFERROR(INDEX(Calc!$L$2:$L$1001,MATCH(ROW()-1,Calc!$X$2:$X$1001,0)),"")</f>
        <v/>
      </c>
      <c r="B324">
        <f>IFERROR(INDEX(Calc!$M$2:$M$1001,MATCH(ROW()-1,Calc!$X$2:$X$1001,0)),"")</f>
        <v/>
      </c>
      <c r="C324">
        <f>IFERROR(INDEX(Calc!$N$2:$N$1001,MATCH(ROW()-1,Calc!$X$2:$X$1001,0)),"")</f>
        <v/>
      </c>
      <c r="D324" s="3">
        <f>IFERROR(INDEX(Calc!$O$2:$O$1001,MATCH(ROW()-1,Calc!$X$2:$X$1001,0)),"")</f>
        <v/>
      </c>
      <c r="E324" s="3">
        <f>IFERROR(INDEX(Calc!$P$2:$P$1001,MATCH(ROW()-1,Calc!$X$2:$X$1001,0)),"")</f>
        <v/>
      </c>
      <c r="F324" s="3">
        <f>IF(G324="","",E324-D324)</f>
        <v/>
      </c>
      <c r="G324">
        <f>IFERROR(INDEX(Calc!$S$2:$S$1001,MATCH(ROW()-1,Calc!$X$2:$X$1001,0)),"")</f>
        <v/>
      </c>
    </row>
    <row r="325">
      <c r="A325">
        <f>IFERROR(INDEX(Calc!$L$2:$L$1001,MATCH(ROW()-1,Calc!$X$2:$X$1001,0)),"")</f>
        <v/>
      </c>
      <c r="B325">
        <f>IFERROR(INDEX(Calc!$M$2:$M$1001,MATCH(ROW()-1,Calc!$X$2:$X$1001,0)),"")</f>
        <v/>
      </c>
      <c r="C325">
        <f>IFERROR(INDEX(Calc!$N$2:$N$1001,MATCH(ROW()-1,Calc!$X$2:$X$1001,0)),"")</f>
        <v/>
      </c>
      <c r="D325" s="3">
        <f>IFERROR(INDEX(Calc!$O$2:$O$1001,MATCH(ROW()-1,Calc!$X$2:$X$1001,0)),"")</f>
        <v/>
      </c>
      <c r="E325" s="3">
        <f>IFERROR(INDEX(Calc!$P$2:$P$1001,MATCH(ROW()-1,Calc!$X$2:$X$1001,0)),"")</f>
        <v/>
      </c>
      <c r="F325" s="3">
        <f>IF(G325="","",E325-D325)</f>
        <v/>
      </c>
      <c r="G325">
        <f>IFERROR(INDEX(Calc!$S$2:$S$1001,MATCH(ROW()-1,Calc!$X$2:$X$1001,0)),"")</f>
        <v/>
      </c>
    </row>
    <row r="326">
      <c r="A326">
        <f>IFERROR(INDEX(Calc!$L$2:$L$1001,MATCH(ROW()-1,Calc!$X$2:$X$1001,0)),"")</f>
        <v/>
      </c>
      <c r="B326">
        <f>IFERROR(INDEX(Calc!$M$2:$M$1001,MATCH(ROW()-1,Calc!$X$2:$X$1001,0)),"")</f>
        <v/>
      </c>
      <c r="C326">
        <f>IFERROR(INDEX(Calc!$N$2:$N$1001,MATCH(ROW()-1,Calc!$X$2:$X$1001,0)),"")</f>
        <v/>
      </c>
      <c r="D326" s="3">
        <f>IFERROR(INDEX(Calc!$O$2:$O$1001,MATCH(ROW()-1,Calc!$X$2:$X$1001,0)),"")</f>
        <v/>
      </c>
      <c r="E326" s="3">
        <f>IFERROR(INDEX(Calc!$P$2:$P$1001,MATCH(ROW()-1,Calc!$X$2:$X$1001,0)),"")</f>
        <v/>
      </c>
      <c r="F326" s="3">
        <f>IF(G326="","",E326-D326)</f>
        <v/>
      </c>
      <c r="G326">
        <f>IFERROR(INDEX(Calc!$S$2:$S$1001,MATCH(ROW()-1,Calc!$X$2:$X$1001,0)),"")</f>
        <v/>
      </c>
    </row>
    <row r="327">
      <c r="A327">
        <f>IFERROR(INDEX(Calc!$L$2:$L$1001,MATCH(ROW()-1,Calc!$X$2:$X$1001,0)),"")</f>
        <v/>
      </c>
      <c r="B327">
        <f>IFERROR(INDEX(Calc!$M$2:$M$1001,MATCH(ROW()-1,Calc!$X$2:$X$1001,0)),"")</f>
        <v/>
      </c>
      <c r="C327">
        <f>IFERROR(INDEX(Calc!$N$2:$N$1001,MATCH(ROW()-1,Calc!$X$2:$X$1001,0)),"")</f>
        <v/>
      </c>
      <c r="D327" s="3">
        <f>IFERROR(INDEX(Calc!$O$2:$O$1001,MATCH(ROW()-1,Calc!$X$2:$X$1001,0)),"")</f>
        <v/>
      </c>
      <c r="E327" s="3">
        <f>IFERROR(INDEX(Calc!$P$2:$P$1001,MATCH(ROW()-1,Calc!$X$2:$X$1001,0)),"")</f>
        <v/>
      </c>
      <c r="F327" s="3">
        <f>IF(G327="","",E327-D327)</f>
        <v/>
      </c>
      <c r="G327">
        <f>IFERROR(INDEX(Calc!$S$2:$S$1001,MATCH(ROW()-1,Calc!$X$2:$X$1001,0)),"")</f>
        <v/>
      </c>
    </row>
    <row r="328">
      <c r="A328">
        <f>IFERROR(INDEX(Calc!$L$2:$L$1001,MATCH(ROW()-1,Calc!$X$2:$X$1001,0)),"")</f>
        <v/>
      </c>
      <c r="B328">
        <f>IFERROR(INDEX(Calc!$M$2:$M$1001,MATCH(ROW()-1,Calc!$X$2:$X$1001,0)),"")</f>
        <v/>
      </c>
      <c r="C328">
        <f>IFERROR(INDEX(Calc!$N$2:$N$1001,MATCH(ROW()-1,Calc!$X$2:$X$1001,0)),"")</f>
        <v/>
      </c>
      <c r="D328" s="3">
        <f>IFERROR(INDEX(Calc!$O$2:$O$1001,MATCH(ROW()-1,Calc!$X$2:$X$1001,0)),"")</f>
        <v/>
      </c>
      <c r="E328" s="3">
        <f>IFERROR(INDEX(Calc!$P$2:$P$1001,MATCH(ROW()-1,Calc!$X$2:$X$1001,0)),"")</f>
        <v/>
      </c>
      <c r="F328" s="3">
        <f>IF(G328="","",E328-D328)</f>
        <v/>
      </c>
      <c r="G328">
        <f>IFERROR(INDEX(Calc!$S$2:$S$1001,MATCH(ROW()-1,Calc!$X$2:$X$1001,0)),"")</f>
        <v/>
      </c>
    </row>
    <row r="329">
      <c r="A329">
        <f>IFERROR(INDEX(Calc!$L$2:$L$1001,MATCH(ROW()-1,Calc!$X$2:$X$1001,0)),"")</f>
        <v/>
      </c>
      <c r="B329">
        <f>IFERROR(INDEX(Calc!$M$2:$M$1001,MATCH(ROW()-1,Calc!$X$2:$X$1001,0)),"")</f>
        <v/>
      </c>
      <c r="C329">
        <f>IFERROR(INDEX(Calc!$N$2:$N$1001,MATCH(ROW()-1,Calc!$X$2:$X$1001,0)),"")</f>
        <v/>
      </c>
      <c r="D329" s="3">
        <f>IFERROR(INDEX(Calc!$O$2:$O$1001,MATCH(ROW()-1,Calc!$X$2:$X$1001,0)),"")</f>
        <v/>
      </c>
      <c r="E329" s="3">
        <f>IFERROR(INDEX(Calc!$P$2:$P$1001,MATCH(ROW()-1,Calc!$X$2:$X$1001,0)),"")</f>
        <v/>
      </c>
      <c r="F329" s="3">
        <f>IF(G329="","",E329-D329)</f>
        <v/>
      </c>
      <c r="G329">
        <f>IFERROR(INDEX(Calc!$S$2:$S$1001,MATCH(ROW()-1,Calc!$X$2:$X$1001,0)),"")</f>
        <v/>
      </c>
    </row>
    <row r="330">
      <c r="A330">
        <f>IFERROR(INDEX(Calc!$L$2:$L$1001,MATCH(ROW()-1,Calc!$X$2:$X$1001,0)),"")</f>
        <v/>
      </c>
      <c r="B330">
        <f>IFERROR(INDEX(Calc!$M$2:$M$1001,MATCH(ROW()-1,Calc!$X$2:$X$1001,0)),"")</f>
        <v/>
      </c>
      <c r="C330">
        <f>IFERROR(INDEX(Calc!$N$2:$N$1001,MATCH(ROW()-1,Calc!$X$2:$X$1001,0)),"")</f>
        <v/>
      </c>
      <c r="D330" s="3">
        <f>IFERROR(INDEX(Calc!$O$2:$O$1001,MATCH(ROW()-1,Calc!$X$2:$X$1001,0)),"")</f>
        <v/>
      </c>
      <c r="E330" s="3">
        <f>IFERROR(INDEX(Calc!$P$2:$P$1001,MATCH(ROW()-1,Calc!$X$2:$X$1001,0)),"")</f>
        <v/>
      </c>
      <c r="F330" s="3">
        <f>IF(G330="","",E330-D330)</f>
        <v/>
      </c>
      <c r="G330">
        <f>IFERROR(INDEX(Calc!$S$2:$S$1001,MATCH(ROW()-1,Calc!$X$2:$X$1001,0)),"")</f>
        <v/>
      </c>
    </row>
    <row r="331">
      <c r="A331">
        <f>IFERROR(INDEX(Calc!$L$2:$L$1001,MATCH(ROW()-1,Calc!$X$2:$X$1001,0)),"")</f>
        <v/>
      </c>
      <c r="B331">
        <f>IFERROR(INDEX(Calc!$M$2:$M$1001,MATCH(ROW()-1,Calc!$X$2:$X$1001,0)),"")</f>
        <v/>
      </c>
      <c r="C331">
        <f>IFERROR(INDEX(Calc!$N$2:$N$1001,MATCH(ROW()-1,Calc!$X$2:$X$1001,0)),"")</f>
        <v/>
      </c>
      <c r="D331" s="3">
        <f>IFERROR(INDEX(Calc!$O$2:$O$1001,MATCH(ROW()-1,Calc!$X$2:$X$1001,0)),"")</f>
        <v/>
      </c>
      <c r="E331" s="3">
        <f>IFERROR(INDEX(Calc!$P$2:$P$1001,MATCH(ROW()-1,Calc!$X$2:$X$1001,0)),"")</f>
        <v/>
      </c>
      <c r="F331" s="3">
        <f>IF(G331="","",E331-D331)</f>
        <v/>
      </c>
      <c r="G331">
        <f>IFERROR(INDEX(Calc!$S$2:$S$1001,MATCH(ROW()-1,Calc!$X$2:$X$1001,0)),"")</f>
        <v/>
      </c>
    </row>
    <row r="332">
      <c r="A332">
        <f>IFERROR(INDEX(Calc!$L$2:$L$1001,MATCH(ROW()-1,Calc!$X$2:$X$1001,0)),"")</f>
        <v/>
      </c>
      <c r="B332">
        <f>IFERROR(INDEX(Calc!$M$2:$M$1001,MATCH(ROW()-1,Calc!$X$2:$X$1001,0)),"")</f>
        <v/>
      </c>
      <c r="C332">
        <f>IFERROR(INDEX(Calc!$N$2:$N$1001,MATCH(ROW()-1,Calc!$X$2:$X$1001,0)),"")</f>
        <v/>
      </c>
      <c r="D332" s="3">
        <f>IFERROR(INDEX(Calc!$O$2:$O$1001,MATCH(ROW()-1,Calc!$X$2:$X$1001,0)),"")</f>
        <v/>
      </c>
      <c r="E332" s="3">
        <f>IFERROR(INDEX(Calc!$P$2:$P$1001,MATCH(ROW()-1,Calc!$X$2:$X$1001,0)),"")</f>
        <v/>
      </c>
      <c r="F332" s="3">
        <f>IF(G332="","",E332-D332)</f>
        <v/>
      </c>
      <c r="G332">
        <f>IFERROR(INDEX(Calc!$S$2:$S$1001,MATCH(ROW()-1,Calc!$X$2:$X$1001,0)),"")</f>
        <v/>
      </c>
    </row>
    <row r="333">
      <c r="A333">
        <f>IFERROR(INDEX(Calc!$L$2:$L$1001,MATCH(ROW()-1,Calc!$X$2:$X$1001,0)),"")</f>
        <v/>
      </c>
      <c r="B333">
        <f>IFERROR(INDEX(Calc!$M$2:$M$1001,MATCH(ROW()-1,Calc!$X$2:$X$1001,0)),"")</f>
        <v/>
      </c>
      <c r="C333">
        <f>IFERROR(INDEX(Calc!$N$2:$N$1001,MATCH(ROW()-1,Calc!$X$2:$X$1001,0)),"")</f>
        <v/>
      </c>
      <c r="D333" s="3">
        <f>IFERROR(INDEX(Calc!$O$2:$O$1001,MATCH(ROW()-1,Calc!$X$2:$X$1001,0)),"")</f>
        <v/>
      </c>
      <c r="E333" s="3">
        <f>IFERROR(INDEX(Calc!$P$2:$P$1001,MATCH(ROW()-1,Calc!$X$2:$X$1001,0)),"")</f>
        <v/>
      </c>
      <c r="F333" s="3">
        <f>IF(G333="","",E333-D333)</f>
        <v/>
      </c>
      <c r="G333">
        <f>IFERROR(INDEX(Calc!$S$2:$S$1001,MATCH(ROW()-1,Calc!$X$2:$X$1001,0)),"")</f>
        <v/>
      </c>
    </row>
    <row r="334">
      <c r="A334">
        <f>IFERROR(INDEX(Calc!$L$2:$L$1001,MATCH(ROW()-1,Calc!$X$2:$X$1001,0)),"")</f>
        <v/>
      </c>
      <c r="B334">
        <f>IFERROR(INDEX(Calc!$M$2:$M$1001,MATCH(ROW()-1,Calc!$X$2:$X$1001,0)),"")</f>
        <v/>
      </c>
      <c r="C334">
        <f>IFERROR(INDEX(Calc!$N$2:$N$1001,MATCH(ROW()-1,Calc!$X$2:$X$1001,0)),"")</f>
        <v/>
      </c>
      <c r="D334" s="3">
        <f>IFERROR(INDEX(Calc!$O$2:$O$1001,MATCH(ROW()-1,Calc!$X$2:$X$1001,0)),"")</f>
        <v/>
      </c>
      <c r="E334" s="3">
        <f>IFERROR(INDEX(Calc!$P$2:$P$1001,MATCH(ROW()-1,Calc!$X$2:$X$1001,0)),"")</f>
        <v/>
      </c>
      <c r="F334" s="3">
        <f>IF(G334="","",E334-D334)</f>
        <v/>
      </c>
      <c r="G334">
        <f>IFERROR(INDEX(Calc!$S$2:$S$1001,MATCH(ROW()-1,Calc!$X$2:$X$1001,0)),"")</f>
        <v/>
      </c>
    </row>
    <row r="335">
      <c r="A335">
        <f>IFERROR(INDEX(Calc!$L$2:$L$1001,MATCH(ROW()-1,Calc!$X$2:$X$1001,0)),"")</f>
        <v/>
      </c>
      <c r="B335">
        <f>IFERROR(INDEX(Calc!$M$2:$M$1001,MATCH(ROW()-1,Calc!$X$2:$X$1001,0)),"")</f>
        <v/>
      </c>
      <c r="C335">
        <f>IFERROR(INDEX(Calc!$N$2:$N$1001,MATCH(ROW()-1,Calc!$X$2:$X$1001,0)),"")</f>
        <v/>
      </c>
      <c r="D335" s="3">
        <f>IFERROR(INDEX(Calc!$O$2:$O$1001,MATCH(ROW()-1,Calc!$X$2:$X$1001,0)),"")</f>
        <v/>
      </c>
      <c r="E335" s="3">
        <f>IFERROR(INDEX(Calc!$P$2:$P$1001,MATCH(ROW()-1,Calc!$X$2:$X$1001,0)),"")</f>
        <v/>
      </c>
      <c r="F335" s="3">
        <f>IF(G335="","",E335-D335)</f>
        <v/>
      </c>
      <c r="G335">
        <f>IFERROR(INDEX(Calc!$S$2:$S$1001,MATCH(ROW()-1,Calc!$X$2:$X$1001,0)),"")</f>
        <v/>
      </c>
    </row>
    <row r="336">
      <c r="A336">
        <f>IFERROR(INDEX(Calc!$L$2:$L$1001,MATCH(ROW()-1,Calc!$X$2:$X$1001,0)),"")</f>
        <v/>
      </c>
      <c r="B336">
        <f>IFERROR(INDEX(Calc!$M$2:$M$1001,MATCH(ROW()-1,Calc!$X$2:$X$1001,0)),"")</f>
        <v/>
      </c>
      <c r="C336">
        <f>IFERROR(INDEX(Calc!$N$2:$N$1001,MATCH(ROW()-1,Calc!$X$2:$X$1001,0)),"")</f>
        <v/>
      </c>
      <c r="D336" s="3">
        <f>IFERROR(INDEX(Calc!$O$2:$O$1001,MATCH(ROW()-1,Calc!$X$2:$X$1001,0)),"")</f>
        <v/>
      </c>
      <c r="E336" s="3">
        <f>IFERROR(INDEX(Calc!$P$2:$P$1001,MATCH(ROW()-1,Calc!$X$2:$X$1001,0)),"")</f>
        <v/>
      </c>
      <c r="F336" s="3">
        <f>IF(G336="","",E336-D336)</f>
        <v/>
      </c>
      <c r="G336">
        <f>IFERROR(INDEX(Calc!$S$2:$S$1001,MATCH(ROW()-1,Calc!$X$2:$X$1001,0)),"")</f>
        <v/>
      </c>
    </row>
    <row r="337">
      <c r="A337">
        <f>IFERROR(INDEX(Calc!$L$2:$L$1001,MATCH(ROW()-1,Calc!$X$2:$X$1001,0)),"")</f>
        <v/>
      </c>
      <c r="B337">
        <f>IFERROR(INDEX(Calc!$M$2:$M$1001,MATCH(ROW()-1,Calc!$X$2:$X$1001,0)),"")</f>
        <v/>
      </c>
      <c r="C337">
        <f>IFERROR(INDEX(Calc!$N$2:$N$1001,MATCH(ROW()-1,Calc!$X$2:$X$1001,0)),"")</f>
        <v/>
      </c>
      <c r="D337" s="3">
        <f>IFERROR(INDEX(Calc!$O$2:$O$1001,MATCH(ROW()-1,Calc!$X$2:$X$1001,0)),"")</f>
        <v/>
      </c>
      <c r="E337" s="3">
        <f>IFERROR(INDEX(Calc!$P$2:$P$1001,MATCH(ROW()-1,Calc!$X$2:$X$1001,0)),"")</f>
        <v/>
      </c>
      <c r="F337" s="3">
        <f>IF(G337="","",E337-D337)</f>
        <v/>
      </c>
      <c r="G337">
        <f>IFERROR(INDEX(Calc!$S$2:$S$1001,MATCH(ROW()-1,Calc!$X$2:$X$1001,0)),"")</f>
        <v/>
      </c>
    </row>
    <row r="338">
      <c r="A338">
        <f>IFERROR(INDEX(Calc!$L$2:$L$1001,MATCH(ROW()-1,Calc!$X$2:$X$1001,0)),"")</f>
        <v/>
      </c>
      <c r="B338">
        <f>IFERROR(INDEX(Calc!$M$2:$M$1001,MATCH(ROW()-1,Calc!$X$2:$X$1001,0)),"")</f>
        <v/>
      </c>
      <c r="C338">
        <f>IFERROR(INDEX(Calc!$N$2:$N$1001,MATCH(ROW()-1,Calc!$X$2:$X$1001,0)),"")</f>
        <v/>
      </c>
      <c r="D338" s="3">
        <f>IFERROR(INDEX(Calc!$O$2:$O$1001,MATCH(ROW()-1,Calc!$X$2:$X$1001,0)),"")</f>
        <v/>
      </c>
      <c r="E338" s="3">
        <f>IFERROR(INDEX(Calc!$P$2:$P$1001,MATCH(ROW()-1,Calc!$X$2:$X$1001,0)),"")</f>
        <v/>
      </c>
      <c r="F338" s="3">
        <f>IF(G338="","",E338-D338)</f>
        <v/>
      </c>
      <c r="G338">
        <f>IFERROR(INDEX(Calc!$S$2:$S$1001,MATCH(ROW()-1,Calc!$X$2:$X$1001,0)),"")</f>
        <v/>
      </c>
    </row>
    <row r="339">
      <c r="A339">
        <f>IFERROR(INDEX(Calc!$L$2:$L$1001,MATCH(ROW()-1,Calc!$X$2:$X$1001,0)),"")</f>
        <v/>
      </c>
      <c r="B339">
        <f>IFERROR(INDEX(Calc!$M$2:$M$1001,MATCH(ROW()-1,Calc!$X$2:$X$1001,0)),"")</f>
        <v/>
      </c>
      <c r="C339">
        <f>IFERROR(INDEX(Calc!$N$2:$N$1001,MATCH(ROW()-1,Calc!$X$2:$X$1001,0)),"")</f>
        <v/>
      </c>
      <c r="D339" s="3">
        <f>IFERROR(INDEX(Calc!$O$2:$O$1001,MATCH(ROW()-1,Calc!$X$2:$X$1001,0)),"")</f>
        <v/>
      </c>
      <c r="E339" s="3">
        <f>IFERROR(INDEX(Calc!$P$2:$P$1001,MATCH(ROW()-1,Calc!$X$2:$X$1001,0)),"")</f>
        <v/>
      </c>
      <c r="F339" s="3">
        <f>IF(G339="","",E339-D339)</f>
        <v/>
      </c>
      <c r="G339">
        <f>IFERROR(INDEX(Calc!$S$2:$S$1001,MATCH(ROW()-1,Calc!$X$2:$X$1001,0)),"")</f>
        <v/>
      </c>
    </row>
    <row r="340">
      <c r="A340">
        <f>IFERROR(INDEX(Calc!$L$2:$L$1001,MATCH(ROW()-1,Calc!$X$2:$X$1001,0)),"")</f>
        <v/>
      </c>
      <c r="B340">
        <f>IFERROR(INDEX(Calc!$M$2:$M$1001,MATCH(ROW()-1,Calc!$X$2:$X$1001,0)),"")</f>
        <v/>
      </c>
      <c r="C340">
        <f>IFERROR(INDEX(Calc!$N$2:$N$1001,MATCH(ROW()-1,Calc!$X$2:$X$1001,0)),"")</f>
        <v/>
      </c>
      <c r="D340" s="3">
        <f>IFERROR(INDEX(Calc!$O$2:$O$1001,MATCH(ROW()-1,Calc!$X$2:$X$1001,0)),"")</f>
        <v/>
      </c>
      <c r="E340" s="3">
        <f>IFERROR(INDEX(Calc!$P$2:$P$1001,MATCH(ROW()-1,Calc!$X$2:$X$1001,0)),"")</f>
        <v/>
      </c>
      <c r="F340" s="3">
        <f>IF(G340="","",E340-D340)</f>
        <v/>
      </c>
      <c r="G340">
        <f>IFERROR(INDEX(Calc!$S$2:$S$1001,MATCH(ROW()-1,Calc!$X$2:$X$1001,0)),"")</f>
        <v/>
      </c>
    </row>
    <row r="341">
      <c r="A341">
        <f>IFERROR(INDEX(Calc!$L$2:$L$1001,MATCH(ROW()-1,Calc!$X$2:$X$1001,0)),"")</f>
        <v/>
      </c>
      <c r="B341">
        <f>IFERROR(INDEX(Calc!$M$2:$M$1001,MATCH(ROW()-1,Calc!$X$2:$X$1001,0)),"")</f>
        <v/>
      </c>
      <c r="C341">
        <f>IFERROR(INDEX(Calc!$N$2:$N$1001,MATCH(ROW()-1,Calc!$X$2:$X$1001,0)),"")</f>
        <v/>
      </c>
      <c r="D341" s="3">
        <f>IFERROR(INDEX(Calc!$O$2:$O$1001,MATCH(ROW()-1,Calc!$X$2:$X$1001,0)),"")</f>
        <v/>
      </c>
      <c r="E341" s="3">
        <f>IFERROR(INDEX(Calc!$P$2:$P$1001,MATCH(ROW()-1,Calc!$X$2:$X$1001,0)),"")</f>
        <v/>
      </c>
      <c r="F341" s="3">
        <f>IF(G341="","",E341-D341)</f>
        <v/>
      </c>
      <c r="G341">
        <f>IFERROR(INDEX(Calc!$S$2:$S$1001,MATCH(ROW()-1,Calc!$X$2:$X$1001,0)),"")</f>
        <v/>
      </c>
    </row>
    <row r="342">
      <c r="A342">
        <f>IFERROR(INDEX(Calc!$L$2:$L$1001,MATCH(ROW()-1,Calc!$X$2:$X$1001,0)),"")</f>
        <v/>
      </c>
      <c r="B342">
        <f>IFERROR(INDEX(Calc!$M$2:$M$1001,MATCH(ROW()-1,Calc!$X$2:$X$1001,0)),"")</f>
        <v/>
      </c>
      <c r="C342">
        <f>IFERROR(INDEX(Calc!$N$2:$N$1001,MATCH(ROW()-1,Calc!$X$2:$X$1001,0)),"")</f>
        <v/>
      </c>
      <c r="D342" s="3">
        <f>IFERROR(INDEX(Calc!$O$2:$O$1001,MATCH(ROW()-1,Calc!$X$2:$X$1001,0)),"")</f>
        <v/>
      </c>
      <c r="E342" s="3">
        <f>IFERROR(INDEX(Calc!$P$2:$P$1001,MATCH(ROW()-1,Calc!$X$2:$X$1001,0)),"")</f>
        <v/>
      </c>
      <c r="F342" s="3">
        <f>IF(G342="","",E342-D342)</f>
        <v/>
      </c>
      <c r="G342">
        <f>IFERROR(INDEX(Calc!$S$2:$S$1001,MATCH(ROW()-1,Calc!$X$2:$X$1001,0)),"")</f>
        <v/>
      </c>
    </row>
    <row r="343">
      <c r="A343">
        <f>IFERROR(INDEX(Calc!$L$2:$L$1001,MATCH(ROW()-1,Calc!$X$2:$X$1001,0)),"")</f>
        <v/>
      </c>
      <c r="B343">
        <f>IFERROR(INDEX(Calc!$M$2:$M$1001,MATCH(ROW()-1,Calc!$X$2:$X$1001,0)),"")</f>
        <v/>
      </c>
      <c r="C343">
        <f>IFERROR(INDEX(Calc!$N$2:$N$1001,MATCH(ROW()-1,Calc!$X$2:$X$1001,0)),"")</f>
        <v/>
      </c>
      <c r="D343" s="3">
        <f>IFERROR(INDEX(Calc!$O$2:$O$1001,MATCH(ROW()-1,Calc!$X$2:$X$1001,0)),"")</f>
        <v/>
      </c>
      <c r="E343" s="3">
        <f>IFERROR(INDEX(Calc!$P$2:$P$1001,MATCH(ROW()-1,Calc!$X$2:$X$1001,0)),"")</f>
        <v/>
      </c>
      <c r="F343" s="3">
        <f>IF(G343="","",E343-D343)</f>
        <v/>
      </c>
      <c r="G343">
        <f>IFERROR(INDEX(Calc!$S$2:$S$1001,MATCH(ROW()-1,Calc!$X$2:$X$1001,0)),"")</f>
        <v/>
      </c>
    </row>
    <row r="344">
      <c r="A344">
        <f>IFERROR(INDEX(Calc!$L$2:$L$1001,MATCH(ROW()-1,Calc!$X$2:$X$1001,0)),"")</f>
        <v/>
      </c>
      <c r="B344">
        <f>IFERROR(INDEX(Calc!$M$2:$M$1001,MATCH(ROW()-1,Calc!$X$2:$X$1001,0)),"")</f>
        <v/>
      </c>
      <c r="C344">
        <f>IFERROR(INDEX(Calc!$N$2:$N$1001,MATCH(ROW()-1,Calc!$X$2:$X$1001,0)),"")</f>
        <v/>
      </c>
      <c r="D344" s="3">
        <f>IFERROR(INDEX(Calc!$O$2:$O$1001,MATCH(ROW()-1,Calc!$X$2:$X$1001,0)),"")</f>
        <v/>
      </c>
      <c r="E344" s="3">
        <f>IFERROR(INDEX(Calc!$P$2:$P$1001,MATCH(ROW()-1,Calc!$X$2:$X$1001,0)),"")</f>
        <v/>
      </c>
      <c r="F344" s="3">
        <f>IF(G344="","",E344-D344)</f>
        <v/>
      </c>
      <c r="G344">
        <f>IFERROR(INDEX(Calc!$S$2:$S$1001,MATCH(ROW()-1,Calc!$X$2:$X$1001,0)),"")</f>
        <v/>
      </c>
    </row>
    <row r="345">
      <c r="A345">
        <f>IFERROR(INDEX(Calc!$L$2:$L$1001,MATCH(ROW()-1,Calc!$X$2:$X$1001,0)),"")</f>
        <v/>
      </c>
      <c r="B345">
        <f>IFERROR(INDEX(Calc!$M$2:$M$1001,MATCH(ROW()-1,Calc!$X$2:$X$1001,0)),"")</f>
        <v/>
      </c>
      <c r="C345">
        <f>IFERROR(INDEX(Calc!$N$2:$N$1001,MATCH(ROW()-1,Calc!$X$2:$X$1001,0)),"")</f>
        <v/>
      </c>
      <c r="D345" s="3">
        <f>IFERROR(INDEX(Calc!$O$2:$O$1001,MATCH(ROW()-1,Calc!$X$2:$X$1001,0)),"")</f>
        <v/>
      </c>
      <c r="E345" s="3">
        <f>IFERROR(INDEX(Calc!$P$2:$P$1001,MATCH(ROW()-1,Calc!$X$2:$X$1001,0)),"")</f>
        <v/>
      </c>
      <c r="F345" s="3">
        <f>IF(G345="","",E345-D345)</f>
        <v/>
      </c>
      <c r="G345">
        <f>IFERROR(INDEX(Calc!$S$2:$S$1001,MATCH(ROW()-1,Calc!$X$2:$X$1001,0)),"")</f>
        <v/>
      </c>
    </row>
    <row r="346">
      <c r="A346">
        <f>IFERROR(INDEX(Calc!$L$2:$L$1001,MATCH(ROW()-1,Calc!$X$2:$X$1001,0)),"")</f>
        <v/>
      </c>
      <c r="B346">
        <f>IFERROR(INDEX(Calc!$M$2:$M$1001,MATCH(ROW()-1,Calc!$X$2:$X$1001,0)),"")</f>
        <v/>
      </c>
      <c r="C346">
        <f>IFERROR(INDEX(Calc!$N$2:$N$1001,MATCH(ROW()-1,Calc!$X$2:$X$1001,0)),"")</f>
        <v/>
      </c>
      <c r="D346" s="3">
        <f>IFERROR(INDEX(Calc!$O$2:$O$1001,MATCH(ROW()-1,Calc!$X$2:$X$1001,0)),"")</f>
        <v/>
      </c>
      <c r="E346" s="3">
        <f>IFERROR(INDEX(Calc!$P$2:$P$1001,MATCH(ROW()-1,Calc!$X$2:$X$1001,0)),"")</f>
        <v/>
      </c>
      <c r="F346" s="3">
        <f>IF(G346="","",E346-D346)</f>
        <v/>
      </c>
      <c r="G346">
        <f>IFERROR(INDEX(Calc!$S$2:$S$1001,MATCH(ROW()-1,Calc!$X$2:$X$1001,0)),"")</f>
        <v/>
      </c>
    </row>
    <row r="347">
      <c r="A347">
        <f>IFERROR(INDEX(Calc!$L$2:$L$1001,MATCH(ROW()-1,Calc!$X$2:$X$1001,0)),"")</f>
        <v/>
      </c>
      <c r="B347">
        <f>IFERROR(INDEX(Calc!$M$2:$M$1001,MATCH(ROW()-1,Calc!$X$2:$X$1001,0)),"")</f>
        <v/>
      </c>
      <c r="C347">
        <f>IFERROR(INDEX(Calc!$N$2:$N$1001,MATCH(ROW()-1,Calc!$X$2:$X$1001,0)),"")</f>
        <v/>
      </c>
      <c r="D347" s="3">
        <f>IFERROR(INDEX(Calc!$O$2:$O$1001,MATCH(ROW()-1,Calc!$X$2:$X$1001,0)),"")</f>
        <v/>
      </c>
      <c r="E347" s="3">
        <f>IFERROR(INDEX(Calc!$P$2:$P$1001,MATCH(ROW()-1,Calc!$X$2:$X$1001,0)),"")</f>
        <v/>
      </c>
      <c r="F347" s="3">
        <f>IF(G347="","",E347-D347)</f>
        <v/>
      </c>
      <c r="G347">
        <f>IFERROR(INDEX(Calc!$S$2:$S$1001,MATCH(ROW()-1,Calc!$X$2:$X$1001,0)),"")</f>
        <v/>
      </c>
    </row>
    <row r="348">
      <c r="A348">
        <f>IFERROR(INDEX(Calc!$L$2:$L$1001,MATCH(ROW()-1,Calc!$X$2:$X$1001,0)),"")</f>
        <v/>
      </c>
      <c r="B348">
        <f>IFERROR(INDEX(Calc!$M$2:$M$1001,MATCH(ROW()-1,Calc!$X$2:$X$1001,0)),"")</f>
        <v/>
      </c>
      <c r="C348">
        <f>IFERROR(INDEX(Calc!$N$2:$N$1001,MATCH(ROW()-1,Calc!$X$2:$X$1001,0)),"")</f>
        <v/>
      </c>
      <c r="D348" s="3">
        <f>IFERROR(INDEX(Calc!$O$2:$O$1001,MATCH(ROW()-1,Calc!$X$2:$X$1001,0)),"")</f>
        <v/>
      </c>
      <c r="E348" s="3">
        <f>IFERROR(INDEX(Calc!$P$2:$P$1001,MATCH(ROW()-1,Calc!$X$2:$X$1001,0)),"")</f>
        <v/>
      </c>
      <c r="F348" s="3">
        <f>IF(G348="","",E348-D348)</f>
        <v/>
      </c>
      <c r="G348">
        <f>IFERROR(INDEX(Calc!$S$2:$S$1001,MATCH(ROW()-1,Calc!$X$2:$X$1001,0)),"")</f>
        <v/>
      </c>
    </row>
    <row r="349">
      <c r="A349">
        <f>IFERROR(INDEX(Calc!$L$2:$L$1001,MATCH(ROW()-1,Calc!$X$2:$X$1001,0)),"")</f>
        <v/>
      </c>
      <c r="B349">
        <f>IFERROR(INDEX(Calc!$M$2:$M$1001,MATCH(ROW()-1,Calc!$X$2:$X$1001,0)),"")</f>
        <v/>
      </c>
      <c r="C349">
        <f>IFERROR(INDEX(Calc!$N$2:$N$1001,MATCH(ROW()-1,Calc!$X$2:$X$1001,0)),"")</f>
        <v/>
      </c>
      <c r="D349" s="3">
        <f>IFERROR(INDEX(Calc!$O$2:$O$1001,MATCH(ROW()-1,Calc!$X$2:$X$1001,0)),"")</f>
        <v/>
      </c>
      <c r="E349" s="3">
        <f>IFERROR(INDEX(Calc!$P$2:$P$1001,MATCH(ROW()-1,Calc!$X$2:$X$1001,0)),"")</f>
        <v/>
      </c>
      <c r="F349" s="3">
        <f>IF(G349="","",E349-D349)</f>
        <v/>
      </c>
      <c r="G349">
        <f>IFERROR(INDEX(Calc!$S$2:$S$1001,MATCH(ROW()-1,Calc!$X$2:$X$1001,0)),"")</f>
        <v/>
      </c>
    </row>
    <row r="350">
      <c r="A350">
        <f>IFERROR(INDEX(Calc!$L$2:$L$1001,MATCH(ROW()-1,Calc!$X$2:$X$1001,0)),"")</f>
        <v/>
      </c>
      <c r="B350">
        <f>IFERROR(INDEX(Calc!$M$2:$M$1001,MATCH(ROW()-1,Calc!$X$2:$X$1001,0)),"")</f>
        <v/>
      </c>
      <c r="C350">
        <f>IFERROR(INDEX(Calc!$N$2:$N$1001,MATCH(ROW()-1,Calc!$X$2:$X$1001,0)),"")</f>
        <v/>
      </c>
      <c r="D350" s="3">
        <f>IFERROR(INDEX(Calc!$O$2:$O$1001,MATCH(ROW()-1,Calc!$X$2:$X$1001,0)),"")</f>
        <v/>
      </c>
      <c r="E350" s="3">
        <f>IFERROR(INDEX(Calc!$P$2:$P$1001,MATCH(ROW()-1,Calc!$X$2:$X$1001,0)),"")</f>
        <v/>
      </c>
      <c r="F350" s="3">
        <f>IF(G350="","",E350-D350)</f>
        <v/>
      </c>
      <c r="G350">
        <f>IFERROR(INDEX(Calc!$S$2:$S$1001,MATCH(ROW()-1,Calc!$X$2:$X$1001,0)),"")</f>
        <v/>
      </c>
    </row>
    <row r="351">
      <c r="A351">
        <f>IFERROR(INDEX(Calc!$L$2:$L$1001,MATCH(ROW()-1,Calc!$X$2:$X$1001,0)),"")</f>
        <v/>
      </c>
      <c r="B351">
        <f>IFERROR(INDEX(Calc!$M$2:$M$1001,MATCH(ROW()-1,Calc!$X$2:$X$1001,0)),"")</f>
        <v/>
      </c>
      <c r="C351">
        <f>IFERROR(INDEX(Calc!$N$2:$N$1001,MATCH(ROW()-1,Calc!$X$2:$X$1001,0)),"")</f>
        <v/>
      </c>
      <c r="D351" s="3">
        <f>IFERROR(INDEX(Calc!$O$2:$O$1001,MATCH(ROW()-1,Calc!$X$2:$X$1001,0)),"")</f>
        <v/>
      </c>
      <c r="E351" s="3">
        <f>IFERROR(INDEX(Calc!$P$2:$P$1001,MATCH(ROW()-1,Calc!$X$2:$X$1001,0)),"")</f>
        <v/>
      </c>
      <c r="F351" s="3">
        <f>IF(G351="","",E351-D351)</f>
        <v/>
      </c>
      <c r="G351">
        <f>IFERROR(INDEX(Calc!$S$2:$S$1001,MATCH(ROW()-1,Calc!$X$2:$X$1001,0)),"")</f>
        <v/>
      </c>
    </row>
    <row r="352">
      <c r="A352">
        <f>IFERROR(INDEX(Calc!$L$2:$L$1001,MATCH(ROW()-1,Calc!$X$2:$X$1001,0)),"")</f>
        <v/>
      </c>
      <c r="B352">
        <f>IFERROR(INDEX(Calc!$M$2:$M$1001,MATCH(ROW()-1,Calc!$X$2:$X$1001,0)),"")</f>
        <v/>
      </c>
      <c r="C352">
        <f>IFERROR(INDEX(Calc!$N$2:$N$1001,MATCH(ROW()-1,Calc!$X$2:$X$1001,0)),"")</f>
        <v/>
      </c>
      <c r="D352" s="3">
        <f>IFERROR(INDEX(Calc!$O$2:$O$1001,MATCH(ROW()-1,Calc!$X$2:$X$1001,0)),"")</f>
        <v/>
      </c>
      <c r="E352" s="3">
        <f>IFERROR(INDEX(Calc!$P$2:$P$1001,MATCH(ROW()-1,Calc!$X$2:$X$1001,0)),"")</f>
        <v/>
      </c>
      <c r="F352" s="3">
        <f>IF(G352="","",E352-D352)</f>
        <v/>
      </c>
      <c r="G352">
        <f>IFERROR(INDEX(Calc!$S$2:$S$1001,MATCH(ROW()-1,Calc!$X$2:$X$1001,0)),"")</f>
        <v/>
      </c>
    </row>
    <row r="353">
      <c r="A353">
        <f>IFERROR(INDEX(Calc!$L$2:$L$1001,MATCH(ROW()-1,Calc!$X$2:$X$1001,0)),"")</f>
        <v/>
      </c>
      <c r="B353">
        <f>IFERROR(INDEX(Calc!$M$2:$M$1001,MATCH(ROW()-1,Calc!$X$2:$X$1001,0)),"")</f>
        <v/>
      </c>
      <c r="C353">
        <f>IFERROR(INDEX(Calc!$N$2:$N$1001,MATCH(ROW()-1,Calc!$X$2:$X$1001,0)),"")</f>
        <v/>
      </c>
      <c r="D353" s="3">
        <f>IFERROR(INDEX(Calc!$O$2:$O$1001,MATCH(ROW()-1,Calc!$X$2:$X$1001,0)),"")</f>
        <v/>
      </c>
      <c r="E353" s="3">
        <f>IFERROR(INDEX(Calc!$P$2:$P$1001,MATCH(ROW()-1,Calc!$X$2:$X$1001,0)),"")</f>
        <v/>
      </c>
      <c r="F353" s="3">
        <f>IF(G353="","",E353-D353)</f>
        <v/>
      </c>
      <c r="G353">
        <f>IFERROR(INDEX(Calc!$S$2:$S$1001,MATCH(ROW()-1,Calc!$X$2:$X$1001,0)),"")</f>
        <v/>
      </c>
    </row>
    <row r="354">
      <c r="A354">
        <f>IFERROR(INDEX(Calc!$L$2:$L$1001,MATCH(ROW()-1,Calc!$X$2:$X$1001,0)),"")</f>
        <v/>
      </c>
      <c r="B354">
        <f>IFERROR(INDEX(Calc!$M$2:$M$1001,MATCH(ROW()-1,Calc!$X$2:$X$1001,0)),"")</f>
        <v/>
      </c>
      <c r="C354">
        <f>IFERROR(INDEX(Calc!$N$2:$N$1001,MATCH(ROW()-1,Calc!$X$2:$X$1001,0)),"")</f>
        <v/>
      </c>
      <c r="D354" s="3">
        <f>IFERROR(INDEX(Calc!$O$2:$O$1001,MATCH(ROW()-1,Calc!$X$2:$X$1001,0)),"")</f>
        <v/>
      </c>
      <c r="E354" s="3">
        <f>IFERROR(INDEX(Calc!$P$2:$P$1001,MATCH(ROW()-1,Calc!$X$2:$X$1001,0)),"")</f>
        <v/>
      </c>
      <c r="F354" s="3">
        <f>IF(G354="","",E354-D354)</f>
        <v/>
      </c>
      <c r="G354">
        <f>IFERROR(INDEX(Calc!$S$2:$S$1001,MATCH(ROW()-1,Calc!$X$2:$X$1001,0)),"")</f>
        <v/>
      </c>
    </row>
    <row r="355">
      <c r="A355">
        <f>IFERROR(INDEX(Calc!$L$2:$L$1001,MATCH(ROW()-1,Calc!$X$2:$X$1001,0)),"")</f>
        <v/>
      </c>
      <c r="B355">
        <f>IFERROR(INDEX(Calc!$M$2:$M$1001,MATCH(ROW()-1,Calc!$X$2:$X$1001,0)),"")</f>
        <v/>
      </c>
      <c r="C355">
        <f>IFERROR(INDEX(Calc!$N$2:$N$1001,MATCH(ROW()-1,Calc!$X$2:$X$1001,0)),"")</f>
        <v/>
      </c>
      <c r="D355" s="3">
        <f>IFERROR(INDEX(Calc!$O$2:$O$1001,MATCH(ROW()-1,Calc!$X$2:$X$1001,0)),"")</f>
        <v/>
      </c>
      <c r="E355" s="3">
        <f>IFERROR(INDEX(Calc!$P$2:$P$1001,MATCH(ROW()-1,Calc!$X$2:$X$1001,0)),"")</f>
        <v/>
      </c>
      <c r="F355" s="3">
        <f>IF(G355="","",E355-D355)</f>
        <v/>
      </c>
      <c r="G355">
        <f>IFERROR(INDEX(Calc!$S$2:$S$1001,MATCH(ROW()-1,Calc!$X$2:$X$1001,0)),"")</f>
        <v/>
      </c>
    </row>
    <row r="356">
      <c r="A356">
        <f>IFERROR(INDEX(Calc!$L$2:$L$1001,MATCH(ROW()-1,Calc!$X$2:$X$1001,0)),"")</f>
        <v/>
      </c>
      <c r="B356">
        <f>IFERROR(INDEX(Calc!$M$2:$M$1001,MATCH(ROW()-1,Calc!$X$2:$X$1001,0)),"")</f>
        <v/>
      </c>
      <c r="C356">
        <f>IFERROR(INDEX(Calc!$N$2:$N$1001,MATCH(ROW()-1,Calc!$X$2:$X$1001,0)),"")</f>
        <v/>
      </c>
      <c r="D356" s="3">
        <f>IFERROR(INDEX(Calc!$O$2:$O$1001,MATCH(ROW()-1,Calc!$X$2:$X$1001,0)),"")</f>
        <v/>
      </c>
      <c r="E356" s="3">
        <f>IFERROR(INDEX(Calc!$P$2:$P$1001,MATCH(ROW()-1,Calc!$X$2:$X$1001,0)),"")</f>
        <v/>
      </c>
      <c r="F356" s="3">
        <f>IF(G356="","",E356-D356)</f>
        <v/>
      </c>
      <c r="G356">
        <f>IFERROR(INDEX(Calc!$S$2:$S$1001,MATCH(ROW()-1,Calc!$X$2:$X$1001,0)),"")</f>
        <v/>
      </c>
    </row>
    <row r="357">
      <c r="A357">
        <f>IFERROR(INDEX(Calc!$L$2:$L$1001,MATCH(ROW()-1,Calc!$X$2:$X$1001,0)),"")</f>
        <v/>
      </c>
      <c r="B357">
        <f>IFERROR(INDEX(Calc!$M$2:$M$1001,MATCH(ROW()-1,Calc!$X$2:$X$1001,0)),"")</f>
        <v/>
      </c>
      <c r="C357">
        <f>IFERROR(INDEX(Calc!$N$2:$N$1001,MATCH(ROW()-1,Calc!$X$2:$X$1001,0)),"")</f>
        <v/>
      </c>
      <c r="D357" s="3">
        <f>IFERROR(INDEX(Calc!$O$2:$O$1001,MATCH(ROW()-1,Calc!$X$2:$X$1001,0)),"")</f>
        <v/>
      </c>
      <c r="E357" s="3">
        <f>IFERROR(INDEX(Calc!$P$2:$P$1001,MATCH(ROW()-1,Calc!$X$2:$X$1001,0)),"")</f>
        <v/>
      </c>
      <c r="F357" s="3">
        <f>IF(G357="","",E357-D357)</f>
        <v/>
      </c>
      <c r="G357">
        <f>IFERROR(INDEX(Calc!$S$2:$S$1001,MATCH(ROW()-1,Calc!$X$2:$X$1001,0)),"")</f>
        <v/>
      </c>
    </row>
    <row r="358">
      <c r="A358">
        <f>IFERROR(INDEX(Calc!$L$2:$L$1001,MATCH(ROW()-1,Calc!$X$2:$X$1001,0)),"")</f>
        <v/>
      </c>
      <c r="B358">
        <f>IFERROR(INDEX(Calc!$M$2:$M$1001,MATCH(ROW()-1,Calc!$X$2:$X$1001,0)),"")</f>
        <v/>
      </c>
      <c r="C358">
        <f>IFERROR(INDEX(Calc!$N$2:$N$1001,MATCH(ROW()-1,Calc!$X$2:$X$1001,0)),"")</f>
        <v/>
      </c>
      <c r="D358" s="3">
        <f>IFERROR(INDEX(Calc!$O$2:$O$1001,MATCH(ROW()-1,Calc!$X$2:$X$1001,0)),"")</f>
        <v/>
      </c>
      <c r="E358" s="3">
        <f>IFERROR(INDEX(Calc!$P$2:$P$1001,MATCH(ROW()-1,Calc!$X$2:$X$1001,0)),"")</f>
        <v/>
      </c>
      <c r="F358" s="3">
        <f>IF(G358="","",E358-D358)</f>
        <v/>
      </c>
      <c r="G358">
        <f>IFERROR(INDEX(Calc!$S$2:$S$1001,MATCH(ROW()-1,Calc!$X$2:$X$1001,0)),"")</f>
        <v/>
      </c>
    </row>
    <row r="359">
      <c r="A359">
        <f>IFERROR(INDEX(Calc!$L$2:$L$1001,MATCH(ROW()-1,Calc!$X$2:$X$1001,0)),"")</f>
        <v/>
      </c>
      <c r="B359">
        <f>IFERROR(INDEX(Calc!$M$2:$M$1001,MATCH(ROW()-1,Calc!$X$2:$X$1001,0)),"")</f>
        <v/>
      </c>
      <c r="C359">
        <f>IFERROR(INDEX(Calc!$N$2:$N$1001,MATCH(ROW()-1,Calc!$X$2:$X$1001,0)),"")</f>
        <v/>
      </c>
      <c r="D359" s="3">
        <f>IFERROR(INDEX(Calc!$O$2:$O$1001,MATCH(ROW()-1,Calc!$X$2:$X$1001,0)),"")</f>
        <v/>
      </c>
      <c r="E359" s="3">
        <f>IFERROR(INDEX(Calc!$P$2:$P$1001,MATCH(ROW()-1,Calc!$X$2:$X$1001,0)),"")</f>
        <v/>
      </c>
      <c r="F359" s="3">
        <f>IF(G359="","",E359-D359)</f>
        <v/>
      </c>
      <c r="G359">
        <f>IFERROR(INDEX(Calc!$S$2:$S$1001,MATCH(ROW()-1,Calc!$X$2:$X$1001,0)),"")</f>
        <v/>
      </c>
    </row>
    <row r="360">
      <c r="A360">
        <f>IFERROR(INDEX(Calc!$L$2:$L$1001,MATCH(ROW()-1,Calc!$X$2:$X$1001,0)),"")</f>
        <v/>
      </c>
      <c r="B360">
        <f>IFERROR(INDEX(Calc!$M$2:$M$1001,MATCH(ROW()-1,Calc!$X$2:$X$1001,0)),"")</f>
        <v/>
      </c>
      <c r="C360">
        <f>IFERROR(INDEX(Calc!$N$2:$N$1001,MATCH(ROW()-1,Calc!$X$2:$X$1001,0)),"")</f>
        <v/>
      </c>
      <c r="D360" s="3">
        <f>IFERROR(INDEX(Calc!$O$2:$O$1001,MATCH(ROW()-1,Calc!$X$2:$X$1001,0)),"")</f>
        <v/>
      </c>
      <c r="E360" s="3">
        <f>IFERROR(INDEX(Calc!$P$2:$P$1001,MATCH(ROW()-1,Calc!$X$2:$X$1001,0)),"")</f>
        <v/>
      </c>
      <c r="F360" s="3">
        <f>IF(G360="","",E360-D360)</f>
        <v/>
      </c>
      <c r="G360">
        <f>IFERROR(INDEX(Calc!$S$2:$S$1001,MATCH(ROW()-1,Calc!$X$2:$X$1001,0)),"")</f>
        <v/>
      </c>
    </row>
    <row r="361">
      <c r="A361">
        <f>IFERROR(INDEX(Calc!$L$2:$L$1001,MATCH(ROW()-1,Calc!$X$2:$X$1001,0)),"")</f>
        <v/>
      </c>
      <c r="B361">
        <f>IFERROR(INDEX(Calc!$M$2:$M$1001,MATCH(ROW()-1,Calc!$X$2:$X$1001,0)),"")</f>
        <v/>
      </c>
      <c r="C361">
        <f>IFERROR(INDEX(Calc!$N$2:$N$1001,MATCH(ROW()-1,Calc!$X$2:$X$1001,0)),"")</f>
        <v/>
      </c>
      <c r="D361" s="3">
        <f>IFERROR(INDEX(Calc!$O$2:$O$1001,MATCH(ROW()-1,Calc!$X$2:$X$1001,0)),"")</f>
        <v/>
      </c>
      <c r="E361" s="3">
        <f>IFERROR(INDEX(Calc!$P$2:$P$1001,MATCH(ROW()-1,Calc!$X$2:$X$1001,0)),"")</f>
        <v/>
      </c>
      <c r="F361" s="3">
        <f>IF(G361="","",E361-D361)</f>
        <v/>
      </c>
      <c r="G361">
        <f>IFERROR(INDEX(Calc!$S$2:$S$1001,MATCH(ROW()-1,Calc!$X$2:$X$1001,0)),"")</f>
        <v/>
      </c>
    </row>
    <row r="362">
      <c r="A362">
        <f>IFERROR(INDEX(Calc!$L$2:$L$1001,MATCH(ROW()-1,Calc!$X$2:$X$1001,0)),"")</f>
        <v/>
      </c>
      <c r="B362">
        <f>IFERROR(INDEX(Calc!$M$2:$M$1001,MATCH(ROW()-1,Calc!$X$2:$X$1001,0)),"")</f>
        <v/>
      </c>
      <c r="C362">
        <f>IFERROR(INDEX(Calc!$N$2:$N$1001,MATCH(ROW()-1,Calc!$X$2:$X$1001,0)),"")</f>
        <v/>
      </c>
      <c r="D362" s="3">
        <f>IFERROR(INDEX(Calc!$O$2:$O$1001,MATCH(ROW()-1,Calc!$X$2:$X$1001,0)),"")</f>
        <v/>
      </c>
      <c r="E362" s="3">
        <f>IFERROR(INDEX(Calc!$P$2:$P$1001,MATCH(ROW()-1,Calc!$X$2:$X$1001,0)),"")</f>
        <v/>
      </c>
      <c r="F362" s="3">
        <f>IF(G362="","",E362-D362)</f>
        <v/>
      </c>
      <c r="G362">
        <f>IFERROR(INDEX(Calc!$S$2:$S$1001,MATCH(ROW()-1,Calc!$X$2:$X$1001,0)),"")</f>
        <v/>
      </c>
    </row>
    <row r="363">
      <c r="A363">
        <f>IFERROR(INDEX(Calc!$L$2:$L$1001,MATCH(ROW()-1,Calc!$X$2:$X$1001,0)),"")</f>
        <v/>
      </c>
      <c r="B363">
        <f>IFERROR(INDEX(Calc!$M$2:$M$1001,MATCH(ROW()-1,Calc!$X$2:$X$1001,0)),"")</f>
        <v/>
      </c>
      <c r="C363">
        <f>IFERROR(INDEX(Calc!$N$2:$N$1001,MATCH(ROW()-1,Calc!$X$2:$X$1001,0)),"")</f>
        <v/>
      </c>
      <c r="D363" s="3">
        <f>IFERROR(INDEX(Calc!$O$2:$O$1001,MATCH(ROW()-1,Calc!$X$2:$X$1001,0)),"")</f>
        <v/>
      </c>
      <c r="E363" s="3">
        <f>IFERROR(INDEX(Calc!$P$2:$P$1001,MATCH(ROW()-1,Calc!$X$2:$X$1001,0)),"")</f>
        <v/>
      </c>
      <c r="F363" s="3">
        <f>IF(G363="","",E363-D363)</f>
        <v/>
      </c>
      <c r="G363">
        <f>IFERROR(INDEX(Calc!$S$2:$S$1001,MATCH(ROW()-1,Calc!$X$2:$X$1001,0)),"")</f>
        <v/>
      </c>
    </row>
    <row r="364">
      <c r="A364">
        <f>IFERROR(INDEX(Calc!$L$2:$L$1001,MATCH(ROW()-1,Calc!$X$2:$X$1001,0)),"")</f>
        <v/>
      </c>
      <c r="B364">
        <f>IFERROR(INDEX(Calc!$M$2:$M$1001,MATCH(ROW()-1,Calc!$X$2:$X$1001,0)),"")</f>
        <v/>
      </c>
      <c r="C364">
        <f>IFERROR(INDEX(Calc!$N$2:$N$1001,MATCH(ROW()-1,Calc!$X$2:$X$1001,0)),"")</f>
        <v/>
      </c>
      <c r="D364" s="3">
        <f>IFERROR(INDEX(Calc!$O$2:$O$1001,MATCH(ROW()-1,Calc!$X$2:$X$1001,0)),"")</f>
        <v/>
      </c>
      <c r="E364" s="3">
        <f>IFERROR(INDEX(Calc!$P$2:$P$1001,MATCH(ROW()-1,Calc!$X$2:$X$1001,0)),"")</f>
        <v/>
      </c>
      <c r="F364" s="3">
        <f>IF(G364="","",E364-D364)</f>
        <v/>
      </c>
      <c r="G364">
        <f>IFERROR(INDEX(Calc!$S$2:$S$1001,MATCH(ROW()-1,Calc!$X$2:$X$1001,0)),"")</f>
        <v/>
      </c>
    </row>
    <row r="365">
      <c r="A365">
        <f>IFERROR(INDEX(Calc!$L$2:$L$1001,MATCH(ROW()-1,Calc!$X$2:$X$1001,0)),"")</f>
        <v/>
      </c>
      <c r="B365">
        <f>IFERROR(INDEX(Calc!$M$2:$M$1001,MATCH(ROW()-1,Calc!$X$2:$X$1001,0)),"")</f>
        <v/>
      </c>
      <c r="C365">
        <f>IFERROR(INDEX(Calc!$N$2:$N$1001,MATCH(ROW()-1,Calc!$X$2:$X$1001,0)),"")</f>
        <v/>
      </c>
      <c r="D365" s="3">
        <f>IFERROR(INDEX(Calc!$O$2:$O$1001,MATCH(ROW()-1,Calc!$X$2:$X$1001,0)),"")</f>
        <v/>
      </c>
      <c r="E365" s="3">
        <f>IFERROR(INDEX(Calc!$P$2:$P$1001,MATCH(ROW()-1,Calc!$X$2:$X$1001,0)),"")</f>
        <v/>
      </c>
      <c r="F365" s="3">
        <f>IF(G365="","",E365-D365)</f>
        <v/>
      </c>
      <c r="G365">
        <f>IFERROR(INDEX(Calc!$S$2:$S$1001,MATCH(ROW()-1,Calc!$X$2:$X$1001,0)),"")</f>
        <v/>
      </c>
    </row>
    <row r="366">
      <c r="A366">
        <f>IFERROR(INDEX(Calc!$L$2:$L$1001,MATCH(ROW()-1,Calc!$X$2:$X$1001,0)),"")</f>
        <v/>
      </c>
      <c r="B366">
        <f>IFERROR(INDEX(Calc!$M$2:$M$1001,MATCH(ROW()-1,Calc!$X$2:$X$1001,0)),"")</f>
        <v/>
      </c>
      <c r="C366">
        <f>IFERROR(INDEX(Calc!$N$2:$N$1001,MATCH(ROW()-1,Calc!$X$2:$X$1001,0)),"")</f>
        <v/>
      </c>
      <c r="D366" s="3">
        <f>IFERROR(INDEX(Calc!$O$2:$O$1001,MATCH(ROW()-1,Calc!$X$2:$X$1001,0)),"")</f>
        <v/>
      </c>
      <c r="E366" s="3">
        <f>IFERROR(INDEX(Calc!$P$2:$P$1001,MATCH(ROW()-1,Calc!$X$2:$X$1001,0)),"")</f>
        <v/>
      </c>
      <c r="F366" s="3">
        <f>IF(G366="","",E366-D366)</f>
        <v/>
      </c>
      <c r="G366">
        <f>IFERROR(INDEX(Calc!$S$2:$S$1001,MATCH(ROW()-1,Calc!$X$2:$X$1001,0)),"")</f>
        <v/>
      </c>
    </row>
    <row r="367">
      <c r="A367">
        <f>IFERROR(INDEX(Calc!$L$2:$L$1001,MATCH(ROW()-1,Calc!$X$2:$X$1001,0)),"")</f>
        <v/>
      </c>
      <c r="B367">
        <f>IFERROR(INDEX(Calc!$M$2:$M$1001,MATCH(ROW()-1,Calc!$X$2:$X$1001,0)),"")</f>
        <v/>
      </c>
      <c r="C367">
        <f>IFERROR(INDEX(Calc!$N$2:$N$1001,MATCH(ROW()-1,Calc!$X$2:$X$1001,0)),"")</f>
        <v/>
      </c>
      <c r="D367" s="3">
        <f>IFERROR(INDEX(Calc!$O$2:$O$1001,MATCH(ROW()-1,Calc!$X$2:$X$1001,0)),"")</f>
        <v/>
      </c>
      <c r="E367" s="3">
        <f>IFERROR(INDEX(Calc!$P$2:$P$1001,MATCH(ROW()-1,Calc!$X$2:$X$1001,0)),"")</f>
        <v/>
      </c>
      <c r="F367" s="3">
        <f>IF(G367="","",E367-D367)</f>
        <v/>
      </c>
      <c r="G367">
        <f>IFERROR(INDEX(Calc!$S$2:$S$1001,MATCH(ROW()-1,Calc!$X$2:$X$1001,0)),"")</f>
        <v/>
      </c>
    </row>
    <row r="368">
      <c r="A368">
        <f>IFERROR(INDEX(Calc!$L$2:$L$1001,MATCH(ROW()-1,Calc!$X$2:$X$1001,0)),"")</f>
        <v/>
      </c>
      <c r="B368">
        <f>IFERROR(INDEX(Calc!$M$2:$M$1001,MATCH(ROW()-1,Calc!$X$2:$X$1001,0)),"")</f>
        <v/>
      </c>
      <c r="C368">
        <f>IFERROR(INDEX(Calc!$N$2:$N$1001,MATCH(ROW()-1,Calc!$X$2:$X$1001,0)),"")</f>
        <v/>
      </c>
      <c r="D368" s="3">
        <f>IFERROR(INDEX(Calc!$O$2:$O$1001,MATCH(ROW()-1,Calc!$X$2:$X$1001,0)),"")</f>
        <v/>
      </c>
      <c r="E368" s="3">
        <f>IFERROR(INDEX(Calc!$P$2:$P$1001,MATCH(ROW()-1,Calc!$X$2:$X$1001,0)),"")</f>
        <v/>
      </c>
      <c r="F368" s="3">
        <f>IF(G368="","",E368-D368)</f>
        <v/>
      </c>
      <c r="G368">
        <f>IFERROR(INDEX(Calc!$S$2:$S$1001,MATCH(ROW()-1,Calc!$X$2:$X$1001,0)),"")</f>
        <v/>
      </c>
    </row>
    <row r="369">
      <c r="A369">
        <f>IFERROR(INDEX(Calc!$L$2:$L$1001,MATCH(ROW()-1,Calc!$X$2:$X$1001,0)),"")</f>
        <v/>
      </c>
      <c r="B369">
        <f>IFERROR(INDEX(Calc!$M$2:$M$1001,MATCH(ROW()-1,Calc!$X$2:$X$1001,0)),"")</f>
        <v/>
      </c>
      <c r="C369">
        <f>IFERROR(INDEX(Calc!$N$2:$N$1001,MATCH(ROW()-1,Calc!$X$2:$X$1001,0)),"")</f>
        <v/>
      </c>
      <c r="D369" s="3">
        <f>IFERROR(INDEX(Calc!$O$2:$O$1001,MATCH(ROW()-1,Calc!$X$2:$X$1001,0)),"")</f>
        <v/>
      </c>
      <c r="E369" s="3">
        <f>IFERROR(INDEX(Calc!$P$2:$P$1001,MATCH(ROW()-1,Calc!$X$2:$X$1001,0)),"")</f>
        <v/>
      </c>
      <c r="F369" s="3">
        <f>IF(G369="","",E369-D369)</f>
        <v/>
      </c>
      <c r="G369">
        <f>IFERROR(INDEX(Calc!$S$2:$S$1001,MATCH(ROW()-1,Calc!$X$2:$X$1001,0)),"")</f>
        <v/>
      </c>
    </row>
    <row r="370">
      <c r="A370">
        <f>IFERROR(INDEX(Calc!$L$2:$L$1001,MATCH(ROW()-1,Calc!$X$2:$X$1001,0)),"")</f>
        <v/>
      </c>
      <c r="B370">
        <f>IFERROR(INDEX(Calc!$M$2:$M$1001,MATCH(ROW()-1,Calc!$X$2:$X$1001,0)),"")</f>
        <v/>
      </c>
      <c r="C370">
        <f>IFERROR(INDEX(Calc!$N$2:$N$1001,MATCH(ROW()-1,Calc!$X$2:$X$1001,0)),"")</f>
        <v/>
      </c>
      <c r="D370" s="3">
        <f>IFERROR(INDEX(Calc!$O$2:$O$1001,MATCH(ROW()-1,Calc!$X$2:$X$1001,0)),"")</f>
        <v/>
      </c>
      <c r="E370" s="3">
        <f>IFERROR(INDEX(Calc!$P$2:$P$1001,MATCH(ROW()-1,Calc!$X$2:$X$1001,0)),"")</f>
        <v/>
      </c>
      <c r="F370" s="3">
        <f>IF(G370="","",E370-D370)</f>
        <v/>
      </c>
      <c r="G370">
        <f>IFERROR(INDEX(Calc!$S$2:$S$1001,MATCH(ROW()-1,Calc!$X$2:$X$1001,0)),"")</f>
        <v/>
      </c>
    </row>
    <row r="371">
      <c r="A371">
        <f>IFERROR(INDEX(Calc!$L$2:$L$1001,MATCH(ROW()-1,Calc!$X$2:$X$1001,0)),"")</f>
        <v/>
      </c>
      <c r="B371">
        <f>IFERROR(INDEX(Calc!$M$2:$M$1001,MATCH(ROW()-1,Calc!$X$2:$X$1001,0)),"")</f>
        <v/>
      </c>
      <c r="C371">
        <f>IFERROR(INDEX(Calc!$N$2:$N$1001,MATCH(ROW()-1,Calc!$X$2:$X$1001,0)),"")</f>
        <v/>
      </c>
      <c r="D371" s="3">
        <f>IFERROR(INDEX(Calc!$O$2:$O$1001,MATCH(ROW()-1,Calc!$X$2:$X$1001,0)),"")</f>
        <v/>
      </c>
      <c r="E371" s="3">
        <f>IFERROR(INDEX(Calc!$P$2:$P$1001,MATCH(ROW()-1,Calc!$X$2:$X$1001,0)),"")</f>
        <v/>
      </c>
      <c r="F371" s="3">
        <f>IF(G371="","",E371-D371)</f>
        <v/>
      </c>
      <c r="G371">
        <f>IFERROR(INDEX(Calc!$S$2:$S$1001,MATCH(ROW()-1,Calc!$X$2:$X$1001,0)),"")</f>
        <v/>
      </c>
    </row>
    <row r="372">
      <c r="A372">
        <f>IFERROR(INDEX(Calc!$L$2:$L$1001,MATCH(ROW()-1,Calc!$X$2:$X$1001,0)),"")</f>
        <v/>
      </c>
      <c r="B372">
        <f>IFERROR(INDEX(Calc!$M$2:$M$1001,MATCH(ROW()-1,Calc!$X$2:$X$1001,0)),"")</f>
        <v/>
      </c>
      <c r="C372">
        <f>IFERROR(INDEX(Calc!$N$2:$N$1001,MATCH(ROW()-1,Calc!$X$2:$X$1001,0)),"")</f>
        <v/>
      </c>
      <c r="D372" s="3">
        <f>IFERROR(INDEX(Calc!$O$2:$O$1001,MATCH(ROW()-1,Calc!$X$2:$X$1001,0)),"")</f>
        <v/>
      </c>
      <c r="E372" s="3">
        <f>IFERROR(INDEX(Calc!$P$2:$P$1001,MATCH(ROW()-1,Calc!$X$2:$X$1001,0)),"")</f>
        <v/>
      </c>
      <c r="F372" s="3">
        <f>IF(G372="","",E372-D372)</f>
        <v/>
      </c>
      <c r="G372">
        <f>IFERROR(INDEX(Calc!$S$2:$S$1001,MATCH(ROW()-1,Calc!$X$2:$X$1001,0)),"")</f>
        <v/>
      </c>
    </row>
    <row r="373">
      <c r="A373">
        <f>IFERROR(INDEX(Calc!$L$2:$L$1001,MATCH(ROW()-1,Calc!$X$2:$X$1001,0)),"")</f>
        <v/>
      </c>
      <c r="B373">
        <f>IFERROR(INDEX(Calc!$M$2:$M$1001,MATCH(ROW()-1,Calc!$X$2:$X$1001,0)),"")</f>
        <v/>
      </c>
      <c r="C373">
        <f>IFERROR(INDEX(Calc!$N$2:$N$1001,MATCH(ROW()-1,Calc!$X$2:$X$1001,0)),"")</f>
        <v/>
      </c>
      <c r="D373" s="3">
        <f>IFERROR(INDEX(Calc!$O$2:$O$1001,MATCH(ROW()-1,Calc!$X$2:$X$1001,0)),"")</f>
        <v/>
      </c>
      <c r="E373" s="3">
        <f>IFERROR(INDEX(Calc!$P$2:$P$1001,MATCH(ROW()-1,Calc!$X$2:$X$1001,0)),"")</f>
        <v/>
      </c>
      <c r="F373" s="3">
        <f>IF(G373="","",E373-D373)</f>
        <v/>
      </c>
      <c r="G373">
        <f>IFERROR(INDEX(Calc!$S$2:$S$1001,MATCH(ROW()-1,Calc!$X$2:$X$1001,0)),"")</f>
        <v/>
      </c>
    </row>
    <row r="374">
      <c r="A374">
        <f>IFERROR(INDEX(Calc!$L$2:$L$1001,MATCH(ROW()-1,Calc!$X$2:$X$1001,0)),"")</f>
        <v/>
      </c>
      <c r="B374">
        <f>IFERROR(INDEX(Calc!$M$2:$M$1001,MATCH(ROW()-1,Calc!$X$2:$X$1001,0)),"")</f>
        <v/>
      </c>
      <c r="C374">
        <f>IFERROR(INDEX(Calc!$N$2:$N$1001,MATCH(ROW()-1,Calc!$X$2:$X$1001,0)),"")</f>
        <v/>
      </c>
      <c r="D374" s="3">
        <f>IFERROR(INDEX(Calc!$O$2:$O$1001,MATCH(ROW()-1,Calc!$X$2:$X$1001,0)),"")</f>
        <v/>
      </c>
      <c r="E374" s="3">
        <f>IFERROR(INDEX(Calc!$P$2:$P$1001,MATCH(ROW()-1,Calc!$X$2:$X$1001,0)),"")</f>
        <v/>
      </c>
      <c r="F374" s="3">
        <f>IF(G374="","",E374-D374)</f>
        <v/>
      </c>
      <c r="G374">
        <f>IFERROR(INDEX(Calc!$S$2:$S$1001,MATCH(ROW()-1,Calc!$X$2:$X$1001,0)),"")</f>
        <v/>
      </c>
    </row>
    <row r="375">
      <c r="A375">
        <f>IFERROR(INDEX(Calc!$L$2:$L$1001,MATCH(ROW()-1,Calc!$X$2:$X$1001,0)),"")</f>
        <v/>
      </c>
      <c r="B375">
        <f>IFERROR(INDEX(Calc!$M$2:$M$1001,MATCH(ROW()-1,Calc!$X$2:$X$1001,0)),"")</f>
        <v/>
      </c>
      <c r="C375">
        <f>IFERROR(INDEX(Calc!$N$2:$N$1001,MATCH(ROW()-1,Calc!$X$2:$X$1001,0)),"")</f>
        <v/>
      </c>
      <c r="D375" s="3">
        <f>IFERROR(INDEX(Calc!$O$2:$O$1001,MATCH(ROW()-1,Calc!$X$2:$X$1001,0)),"")</f>
        <v/>
      </c>
      <c r="E375" s="3">
        <f>IFERROR(INDEX(Calc!$P$2:$P$1001,MATCH(ROW()-1,Calc!$X$2:$X$1001,0)),"")</f>
        <v/>
      </c>
      <c r="F375" s="3">
        <f>IF(G375="","",E375-D375)</f>
        <v/>
      </c>
      <c r="G375">
        <f>IFERROR(INDEX(Calc!$S$2:$S$1001,MATCH(ROW()-1,Calc!$X$2:$X$1001,0)),"")</f>
        <v/>
      </c>
    </row>
    <row r="376">
      <c r="A376">
        <f>IFERROR(INDEX(Calc!$L$2:$L$1001,MATCH(ROW()-1,Calc!$X$2:$X$1001,0)),"")</f>
        <v/>
      </c>
      <c r="B376">
        <f>IFERROR(INDEX(Calc!$M$2:$M$1001,MATCH(ROW()-1,Calc!$X$2:$X$1001,0)),"")</f>
        <v/>
      </c>
      <c r="C376">
        <f>IFERROR(INDEX(Calc!$N$2:$N$1001,MATCH(ROW()-1,Calc!$X$2:$X$1001,0)),"")</f>
        <v/>
      </c>
      <c r="D376" s="3">
        <f>IFERROR(INDEX(Calc!$O$2:$O$1001,MATCH(ROW()-1,Calc!$X$2:$X$1001,0)),"")</f>
        <v/>
      </c>
      <c r="E376" s="3">
        <f>IFERROR(INDEX(Calc!$P$2:$P$1001,MATCH(ROW()-1,Calc!$X$2:$X$1001,0)),"")</f>
        <v/>
      </c>
      <c r="F376" s="3">
        <f>IF(G376="","",E376-D376)</f>
        <v/>
      </c>
      <c r="G376">
        <f>IFERROR(INDEX(Calc!$S$2:$S$1001,MATCH(ROW()-1,Calc!$X$2:$X$1001,0)),"")</f>
        <v/>
      </c>
    </row>
    <row r="377">
      <c r="A377">
        <f>IFERROR(INDEX(Calc!$L$2:$L$1001,MATCH(ROW()-1,Calc!$X$2:$X$1001,0)),"")</f>
        <v/>
      </c>
      <c r="B377">
        <f>IFERROR(INDEX(Calc!$M$2:$M$1001,MATCH(ROW()-1,Calc!$X$2:$X$1001,0)),"")</f>
        <v/>
      </c>
      <c r="C377">
        <f>IFERROR(INDEX(Calc!$N$2:$N$1001,MATCH(ROW()-1,Calc!$X$2:$X$1001,0)),"")</f>
        <v/>
      </c>
      <c r="D377" s="3">
        <f>IFERROR(INDEX(Calc!$O$2:$O$1001,MATCH(ROW()-1,Calc!$X$2:$X$1001,0)),"")</f>
        <v/>
      </c>
      <c r="E377" s="3">
        <f>IFERROR(INDEX(Calc!$P$2:$P$1001,MATCH(ROW()-1,Calc!$X$2:$X$1001,0)),"")</f>
        <v/>
      </c>
      <c r="F377" s="3">
        <f>IF(G377="","",E377-D377)</f>
        <v/>
      </c>
      <c r="G377">
        <f>IFERROR(INDEX(Calc!$S$2:$S$1001,MATCH(ROW()-1,Calc!$X$2:$X$1001,0)),"")</f>
        <v/>
      </c>
    </row>
    <row r="378">
      <c r="A378">
        <f>IFERROR(INDEX(Calc!$L$2:$L$1001,MATCH(ROW()-1,Calc!$X$2:$X$1001,0)),"")</f>
        <v/>
      </c>
      <c r="B378">
        <f>IFERROR(INDEX(Calc!$M$2:$M$1001,MATCH(ROW()-1,Calc!$X$2:$X$1001,0)),"")</f>
        <v/>
      </c>
      <c r="C378">
        <f>IFERROR(INDEX(Calc!$N$2:$N$1001,MATCH(ROW()-1,Calc!$X$2:$X$1001,0)),"")</f>
        <v/>
      </c>
      <c r="D378" s="3">
        <f>IFERROR(INDEX(Calc!$O$2:$O$1001,MATCH(ROW()-1,Calc!$X$2:$X$1001,0)),"")</f>
        <v/>
      </c>
      <c r="E378" s="3">
        <f>IFERROR(INDEX(Calc!$P$2:$P$1001,MATCH(ROW()-1,Calc!$X$2:$X$1001,0)),"")</f>
        <v/>
      </c>
      <c r="F378" s="3">
        <f>IF(G378="","",E378-D378)</f>
        <v/>
      </c>
      <c r="G378">
        <f>IFERROR(INDEX(Calc!$S$2:$S$1001,MATCH(ROW()-1,Calc!$X$2:$X$1001,0)),"")</f>
        <v/>
      </c>
    </row>
    <row r="379">
      <c r="A379">
        <f>IFERROR(INDEX(Calc!$L$2:$L$1001,MATCH(ROW()-1,Calc!$X$2:$X$1001,0)),"")</f>
        <v/>
      </c>
      <c r="B379">
        <f>IFERROR(INDEX(Calc!$M$2:$M$1001,MATCH(ROW()-1,Calc!$X$2:$X$1001,0)),"")</f>
        <v/>
      </c>
      <c r="C379">
        <f>IFERROR(INDEX(Calc!$N$2:$N$1001,MATCH(ROW()-1,Calc!$X$2:$X$1001,0)),"")</f>
        <v/>
      </c>
      <c r="D379" s="3">
        <f>IFERROR(INDEX(Calc!$O$2:$O$1001,MATCH(ROW()-1,Calc!$X$2:$X$1001,0)),"")</f>
        <v/>
      </c>
      <c r="E379" s="3">
        <f>IFERROR(INDEX(Calc!$P$2:$P$1001,MATCH(ROW()-1,Calc!$X$2:$X$1001,0)),"")</f>
        <v/>
      </c>
      <c r="F379" s="3">
        <f>IF(G379="","",E379-D379)</f>
        <v/>
      </c>
      <c r="G379">
        <f>IFERROR(INDEX(Calc!$S$2:$S$1001,MATCH(ROW()-1,Calc!$X$2:$X$1001,0)),"")</f>
        <v/>
      </c>
    </row>
    <row r="380">
      <c r="A380">
        <f>IFERROR(INDEX(Calc!$L$2:$L$1001,MATCH(ROW()-1,Calc!$X$2:$X$1001,0)),"")</f>
        <v/>
      </c>
      <c r="B380">
        <f>IFERROR(INDEX(Calc!$M$2:$M$1001,MATCH(ROW()-1,Calc!$X$2:$X$1001,0)),"")</f>
        <v/>
      </c>
      <c r="C380">
        <f>IFERROR(INDEX(Calc!$N$2:$N$1001,MATCH(ROW()-1,Calc!$X$2:$X$1001,0)),"")</f>
        <v/>
      </c>
      <c r="D380" s="3">
        <f>IFERROR(INDEX(Calc!$O$2:$O$1001,MATCH(ROW()-1,Calc!$X$2:$X$1001,0)),"")</f>
        <v/>
      </c>
      <c r="E380" s="3">
        <f>IFERROR(INDEX(Calc!$P$2:$P$1001,MATCH(ROW()-1,Calc!$X$2:$X$1001,0)),"")</f>
        <v/>
      </c>
      <c r="F380" s="3">
        <f>IF(G380="","",E380-D380)</f>
        <v/>
      </c>
      <c r="G380">
        <f>IFERROR(INDEX(Calc!$S$2:$S$1001,MATCH(ROW()-1,Calc!$X$2:$X$1001,0)),"")</f>
        <v/>
      </c>
    </row>
    <row r="381">
      <c r="A381">
        <f>IFERROR(INDEX(Calc!$L$2:$L$1001,MATCH(ROW()-1,Calc!$X$2:$X$1001,0)),"")</f>
        <v/>
      </c>
      <c r="B381">
        <f>IFERROR(INDEX(Calc!$M$2:$M$1001,MATCH(ROW()-1,Calc!$X$2:$X$1001,0)),"")</f>
        <v/>
      </c>
      <c r="C381">
        <f>IFERROR(INDEX(Calc!$N$2:$N$1001,MATCH(ROW()-1,Calc!$X$2:$X$1001,0)),"")</f>
        <v/>
      </c>
      <c r="D381" s="3">
        <f>IFERROR(INDEX(Calc!$O$2:$O$1001,MATCH(ROW()-1,Calc!$X$2:$X$1001,0)),"")</f>
        <v/>
      </c>
      <c r="E381" s="3">
        <f>IFERROR(INDEX(Calc!$P$2:$P$1001,MATCH(ROW()-1,Calc!$X$2:$X$1001,0)),"")</f>
        <v/>
      </c>
      <c r="F381" s="3">
        <f>IF(G381="","",E381-D381)</f>
        <v/>
      </c>
      <c r="G381">
        <f>IFERROR(INDEX(Calc!$S$2:$S$1001,MATCH(ROW()-1,Calc!$X$2:$X$1001,0)),"")</f>
        <v/>
      </c>
    </row>
    <row r="382">
      <c r="A382">
        <f>IFERROR(INDEX(Calc!$L$2:$L$1001,MATCH(ROW()-1,Calc!$X$2:$X$1001,0)),"")</f>
        <v/>
      </c>
      <c r="B382">
        <f>IFERROR(INDEX(Calc!$M$2:$M$1001,MATCH(ROW()-1,Calc!$X$2:$X$1001,0)),"")</f>
        <v/>
      </c>
      <c r="C382">
        <f>IFERROR(INDEX(Calc!$N$2:$N$1001,MATCH(ROW()-1,Calc!$X$2:$X$1001,0)),"")</f>
        <v/>
      </c>
      <c r="D382" s="3">
        <f>IFERROR(INDEX(Calc!$O$2:$O$1001,MATCH(ROW()-1,Calc!$X$2:$X$1001,0)),"")</f>
        <v/>
      </c>
      <c r="E382" s="3">
        <f>IFERROR(INDEX(Calc!$P$2:$P$1001,MATCH(ROW()-1,Calc!$X$2:$X$1001,0)),"")</f>
        <v/>
      </c>
      <c r="F382" s="3">
        <f>IF(G382="","",E382-D382)</f>
        <v/>
      </c>
      <c r="G382">
        <f>IFERROR(INDEX(Calc!$S$2:$S$1001,MATCH(ROW()-1,Calc!$X$2:$X$1001,0)),"")</f>
        <v/>
      </c>
    </row>
    <row r="383">
      <c r="A383">
        <f>IFERROR(INDEX(Calc!$L$2:$L$1001,MATCH(ROW()-1,Calc!$X$2:$X$1001,0)),"")</f>
        <v/>
      </c>
      <c r="B383">
        <f>IFERROR(INDEX(Calc!$M$2:$M$1001,MATCH(ROW()-1,Calc!$X$2:$X$1001,0)),"")</f>
        <v/>
      </c>
      <c r="C383">
        <f>IFERROR(INDEX(Calc!$N$2:$N$1001,MATCH(ROW()-1,Calc!$X$2:$X$1001,0)),"")</f>
        <v/>
      </c>
      <c r="D383" s="3">
        <f>IFERROR(INDEX(Calc!$O$2:$O$1001,MATCH(ROW()-1,Calc!$X$2:$X$1001,0)),"")</f>
        <v/>
      </c>
      <c r="E383" s="3">
        <f>IFERROR(INDEX(Calc!$P$2:$P$1001,MATCH(ROW()-1,Calc!$X$2:$X$1001,0)),"")</f>
        <v/>
      </c>
      <c r="F383" s="3">
        <f>IF(G383="","",E383-D383)</f>
        <v/>
      </c>
      <c r="G383">
        <f>IFERROR(INDEX(Calc!$S$2:$S$1001,MATCH(ROW()-1,Calc!$X$2:$X$1001,0)),"")</f>
        <v/>
      </c>
    </row>
    <row r="384">
      <c r="A384">
        <f>IFERROR(INDEX(Calc!$L$2:$L$1001,MATCH(ROW()-1,Calc!$X$2:$X$1001,0)),"")</f>
        <v/>
      </c>
      <c r="B384">
        <f>IFERROR(INDEX(Calc!$M$2:$M$1001,MATCH(ROW()-1,Calc!$X$2:$X$1001,0)),"")</f>
        <v/>
      </c>
      <c r="C384">
        <f>IFERROR(INDEX(Calc!$N$2:$N$1001,MATCH(ROW()-1,Calc!$X$2:$X$1001,0)),"")</f>
        <v/>
      </c>
      <c r="D384" s="3">
        <f>IFERROR(INDEX(Calc!$O$2:$O$1001,MATCH(ROW()-1,Calc!$X$2:$X$1001,0)),"")</f>
        <v/>
      </c>
      <c r="E384" s="3">
        <f>IFERROR(INDEX(Calc!$P$2:$P$1001,MATCH(ROW()-1,Calc!$X$2:$X$1001,0)),"")</f>
        <v/>
      </c>
      <c r="F384" s="3">
        <f>IF(G384="","",E384-D384)</f>
        <v/>
      </c>
      <c r="G384">
        <f>IFERROR(INDEX(Calc!$S$2:$S$1001,MATCH(ROW()-1,Calc!$X$2:$X$1001,0)),"")</f>
        <v/>
      </c>
    </row>
    <row r="385">
      <c r="A385">
        <f>IFERROR(INDEX(Calc!$L$2:$L$1001,MATCH(ROW()-1,Calc!$X$2:$X$1001,0)),"")</f>
        <v/>
      </c>
      <c r="B385">
        <f>IFERROR(INDEX(Calc!$M$2:$M$1001,MATCH(ROW()-1,Calc!$X$2:$X$1001,0)),"")</f>
        <v/>
      </c>
      <c r="C385">
        <f>IFERROR(INDEX(Calc!$N$2:$N$1001,MATCH(ROW()-1,Calc!$X$2:$X$1001,0)),"")</f>
        <v/>
      </c>
      <c r="D385" s="3">
        <f>IFERROR(INDEX(Calc!$O$2:$O$1001,MATCH(ROW()-1,Calc!$X$2:$X$1001,0)),"")</f>
        <v/>
      </c>
      <c r="E385" s="3">
        <f>IFERROR(INDEX(Calc!$P$2:$P$1001,MATCH(ROW()-1,Calc!$X$2:$X$1001,0)),"")</f>
        <v/>
      </c>
      <c r="F385" s="3">
        <f>IF(G385="","",E385-D385)</f>
        <v/>
      </c>
      <c r="G385">
        <f>IFERROR(INDEX(Calc!$S$2:$S$1001,MATCH(ROW()-1,Calc!$X$2:$X$1001,0)),"")</f>
        <v/>
      </c>
    </row>
    <row r="386">
      <c r="A386">
        <f>IFERROR(INDEX(Calc!$L$2:$L$1001,MATCH(ROW()-1,Calc!$X$2:$X$1001,0)),"")</f>
        <v/>
      </c>
      <c r="B386">
        <f>IFERROR(INDEX(Calc!$M$2:$M$1001,MATCH(ROW()-1,Calc!$X$2:$X$1001,0)),"")</f>
        <v/>
      </c>
      <c r="C386">
        <f>IFERROR(INDEX(Calc!$N$2:$N$1001,MATCH(ROW()-1,Calc!$X$2:$X$1001,0)),"")</f>
        <v/>
      </c>
      <c r="D386" s="3">
        <f>IFERROR(INDEX(Calc!$O$2:$O$1001,MATCH(ROW()-1,Calc!$X$2:$X$1001,0)),"")</f>
        <v/>
      </c>
      <c r="E386" s="3">
        <f>IFERROR(INDEX(Calc!$P$2:$P$1001,MATCH(ROW()-1,Calc!$X$2:$X$1001,0)),"")</f>
        <v/>
      </c>
      <c r="F386" s="3">
        <f>IF(G386="","",E386-D386)</f>
        <v/>
      </c>
      <c r="G386">
        <f>IFERROR(INDEX(Calc!$S$2:$S$1001,MATCH(ROW()-1,Calc!$X$2:$X$1001,0)),"")</f>
        <v/>
      </c>
    </row>
    <row r="387">
      <c r="A387">
        <f>IFERROR(INDEX(Calc!$L$2:$L$1001,MATCH(ROW()-1,Calc!$X$2:$X$1001,0)),"")</f>
        <v/>
      </c>
      <c r="B387">
        <f>IFERROR(INDEX(Calc!$M$2:$M$1001,MATCH(ROW()-1,Calc!$X$2:$X$1001,0)),"")</f>
        <v/>
      </c>
      <c r="C387">
        <f>IFERROR(INDEX(Calc!$N$2:$N$1001,MATCH(ROW()-1,Calc!$X$2:$X$1001,0)),"")</f>
        <v/>
      </c>
      <c r="D387" s="3">
        <f>IFERROR(INDEX(Calc!$O$2:$O$1001,MATCH(ROW()-1,Calc!$X$2:$X$1001,0)),"")</f>
        <v/>
      </c>
      <c r="E387" s="3">
        <f>IFERROR(INDEX(Calc!$P$2:$P$1001,MATCH(ROW()-1,Calc!$X$2:$X$1001,0)),"")</f>
        <v/>
      </c>
      <c r="F387" s="3">
        <f>IF(G387="","",E387-D387)</f>
        <v/>
      </c>
      <c r="G387">
        <f>IFERROR(INDEX(Calc!$S$2:$S$1001,MATCH(ROW()-1,Calc!$X$2:$X$1001,0)),"")</f>
        <v/>
      </c>
    </row>
    <row r="388">
      <c r="A388">
        <f>IFERROR(INDEX(Calc!$L$2:$L$1001,MATCH(ROW()-1,Calc!$X$2:$X$1001,0)),"")</f>
        <v/>
      </c>
      <c r="B388">
        <f>IFERROR(INDEX(Calc!$M$2:$M$1001,MATCH(ROW()-1,Calc!$X$2:$X$1001,0)),"")</f>
        <v/>
      </c>
      <c r="C388">
        <f>IFERROR(INDEX(Calc!$N$2:$N$1001,MATCH(ROW()-1,Calc!$X$2:$X$1001,0)),"")</f>
        <v/>
      </c>
      <c r="D388" s="3">
        <f>IFERROR(INDEX(Calc!$O$2:$O$1001,MATCH(ROW()-1,Calc!$X$2:$X$1001,0)),"")</f>
        <v/>
      </c>
      <c r="E388" s="3">
        <f>IFERROR(INDEX(Calc!$P$2:$P$1001,MATCH(ROW()-1,Calc!$X$2:$X$1001,0)),"")</f>
        <v/>
      </c>
      <c r="F388" s="3">
        <f>IF(G388="","",E388-D388)</f>
        <v/>
      </c>
      <c r="G388">
        <f>IFERROR(INDEX(Calc!$S$2:$S$1001,MATCH(ROW()-1,Calc!$X$2:$X$1001,0)),"")</f>
        <v/>
      </c>
    </row>
    <row r="389">
      <c r="A389">
        <f>IFERROR(INDEX(Calc!$L$2:$L$1001,MATCH(ROW()-1,Calc!$X$2:$X$1001,0)),"")</f>
        <v/>
      </c>
      <c r="B389">
        <f>IFERROR(INDEX(Calc!$M$2:$M$1001,MATCH(ROW()-1,Calc!$X$2:$X$1001,0)),"")</f>
        <v/>
      </c>
      <c r="C389">
        <f>IFERROR(INDEX(Calc!$N$2:$N$1001,MATCH(ROW()-1,Calc!$X$2:$X$1001,0)),"")</f>
        <v/>
      </c>
      <c r="D389" s="3">
        <f>IFERROR(INDEX(Calc!$O$2:$O$1001,MATCH(ROW()-1,Calc!$X$2:$X$1001,0)),"")</f>
        <v/>
      </c>
      <c r="E389" s="3">
        <f>IFERROR(INDEX(Calc!$P$2:$P$1001,MATCH(ROW()-1,Calc!$X$2:$X$1001,0)),"")</f>
        <v/>
      </c>
      <c r="F389" s="3">
        <f>IF(G389="","",E389-D389)</f>
        <v/>
      </c>
      <c r="G389">
        <f>IFERROR(INDEX(Calc!$S$2:$S$1001,MATCH(ROW()-1,Calc!$X$2:$X$1001,0)),"")</f>
        <v/>
      </c>
    </row>
    <row r="390">
      <c r="A390">
        <f>IFERROR(INDEX(Calc!$L$2:$L$1001,MATCH(ROW()-1,Calc!$X$2:$X$1001,0)),"")</f>
        <v/>
      </c>
      <c r="B390">
        <f>IFERROR(INDEX(Calc!$M$2:$M$1001,MATCH(ROW()-1,Calc!$X$2:$X$1001,0)),"")</f>
        <v/>
      </c>
      <c r="C390">
        <f>IFERROR(INDEX(Calc!$N$2:$N$1001,MATCH(ROW()-1,Calc!$X$2:$X$1001,0)),"")</f>
        <v/>
      </c>
      <c r="D390" s="3">
        <f>IFERROR(INDEX(Calc!$O$2:$O$1001,MATCH(ROW()-1,Calc!$X$2:$X$1001,0)),"")</f>
        <v/>
      </c>
      <c r="E390" s="3">
        <f>IFERROR(INDEX(Calc!$P$2:$P$1001,MATCH(ROW()-1,Calc!$X$2:$X$1001,0)),"")</f>
        <v/>
      </c>
      <c r="F390" s="3">
        <f>IF(G390="","",E390-D390)</f>
        <v/>
      </c>
      <c r="G390">
        <f>IFERROR(INDEX(Calc!$S$2:$S$1001,MATCH(ROW()-1,Calc!$X$2:$X$1001,0)),"")</f>
        <v/>
      </c>
    </row>
    <row r="391">
      <c r="A391">
        <f>IFERROR(INDEX(Calc!$L$2:$L$1001,MATCH(ROW()-1,Calc!$X$2:$X$1001,0)),"")</f>
        <v/>
      </c>
      <c r="B391">
        <f>IFERROR(INDEX(Calc!$M$2:$M$1001,MATCH(ROW()-1,Calc!$X$2:$X$1001,0)),"")</f>
        <v/>
      </c>
      <c r="C391">
        <f>IFERROR(INDEX(Calc!$N$2:$N$1001,MATCH(ROW()-1,Calc!$X$2:$X$1001,0)),"")</f>
        <v/>
      </c>
      <c r="D391" s="3">
        <f>IFERROR(INDEX(Calc!$O$2:$O$1001,MATCH(ROW()-1,Calc!$X$2:$X$1001,0)),"")</f>
        <v/>
      </c>
      <c r="E391" s="3">
        <f>IFERROR(INDEX(Calc!$P$2:$P$1001,MATCH(ROW()-1,Calc!$X$2:$X$1001,0)),"")</f>
        <v/>
      </c>
      <c r="F391" s="3">
        <f>IF(G391="","",E391-D391)</f>
        <v/>
      </c>
      <c r="G391">
        <f>IFERROR(INDEX(Calc!$S$2:$S$1001,MATCH(ROW()-1,Calc!$X$2:$X$1001,0)),"")</f>
        <v/>
      </c>
    </row>
    <row r="392">
      <c r="A392">
        <f>IFERROR(INDEX(Calc!$L$2:$L$1001,MATCH(ROW()-1,Calc!$X$2:$X$1001,0)),"")</f>
        <v/>
      </c>
      <c r="B392">
        <f>IFERROR(INDEX(Calc!$M$2:$M$1001,MATCH(ROW()-1,Calc!$X$2:$X$1001,0)),"")</f>
        <v/>
      </c>
      <c r="C392">
        <f>IFERROR(INDEX(Calc!$N$2:$N$1001,MATCH(ROW()-1,Calc!$X$2:$X$1001,0)),"")</f>
        <v/>
      </c>
      <c r="D392" s="3">
        <f>IFERROR(INDEX(Calc!$O$2:$O$1001,MATCH(ROW()-1,Calc!$X$2:$X$1001,0)),"")</f>
        <v/>
      </c>
      <c r="E392" s="3">
        <f>IFERROR(INDEX(Calc!$P$2:$P$1001,MATCH(ROW()-1,Calc!$X$2:$X$1001,0)),"")</f>
        <v/>
      </c>
      <c r="F392" s="3">
        <f>IF(G392="","",E392-D392)</f>
        <v/>
      </c>
      <c r="G392">
        <f>IFERROR(INDEX(Calc!$S$2:$S$1001,MATCH(ROW()-1,Calc!$X$2:$X$1001,0)),"")</f>
        <v/>
      </c>
    </row>
    <row r="393">
      <c r="A393">
        <f>IFERROR(INDEX(Calc!$L$2:$L$1001,MATCH(ROW()-1,Calc!$X$2:$X$1001,0)),"")</f>
        <v/>
      </c>
      <c r="B393">
        <f>IFERROR(INDEX(Calc!$M$2:$M$1001,MATCH(ROW()-1,Calc!$X$2:$X$1001,0)),"")</f>
        <v/>
      </c>
      <c r="C393">
        <f>IFERROR(INDEX(Calc!$N$2:$N$1001,MATCH(ROW()-1,Calc!$X$2:$X$1001,0)),"")</f>
        <v/>
      </c>
      <c r="D393" s="3">
        <f>IFERROR(INDEX(Calc!$O$2:$O$1001,MATCH(ROW()-1,Calc!$X$2:$X$1001,0)),"")</f>
        <v/>
      </c>
      <c r="E393" s="3">
        <f>IFERROR(INDEX(Calc!$P$2:$P$1001,MATCH(ROW()-1,Calc!$X$2:$X$1001,0)),"")</f>
        <v/>
      </c>
      <c r="F393" s="3">
        <f>IF(G393="","",E393-D393)</f>
        <v/>
      </c>
      <c r="G393">
        <f>IFERROR(INDEX(Calc!$S$2:$S$1001,MATCH(ROW()-1,Calc!$X$2:$X$1001,0)),"")</f>
        <v/>
      </c>
    </row>
    <row r="394">
      <c r="A394">
        <f>IFERROR(INDEX(Calc!$L$2:$L$1001,MATCH(ROW()-1,Calc!$X$2:$X$1001,0)),"")</f>
        <v/>
      </c>
      <c r="B394">
        <f>IFERROR(INDEX(Calc!$M$2:$M$1001,MATCH(ROW()-1,Calc!$X$2:$X$1001,0)),"")</f>
        <v/>
      </c>
      <c r="C394">
        <f>IFERROR(INDEX(Calc!$N$2:$N$1001,MATCH(ROW()-1,Calc!$X$2:$X$1001,0)),"")</f>
        <v/>
      </c>
      <c r="D394" s="3">
        <f>IFERROR(INDEX(Calc!$O$2:$O$1001,MATCH(ROW()-1,Calc!$X$2:$X$1001,0)),"")</f>
        <v/>
      </c>
      <c r="E394" s="3">
        <f>IFERROR(INDEX(Calc!$P$2:$P$1001,MATCH(ROW()-1,Calc!$X$2:$X$1001,0)),"")</f>
        <v/>
      </c>
      <c r="F394" s="3">
        <f>IF(G394="","",E394-D394)</f>
        <v/>
      </c>
      <c r="G394">
        <f>IFERROR(INDEX(Calc!$S$2:$S$1001,MATCH(ROW()-1,Calc!$X$2:$X$1001,0)),"")</f>
        <v/>
      </c>
    </row>
    <row r="395">
      <c r="A395">
        <f>IFERROR(INDEX(Calc!$L$2:$L$1001,MATCH(ROW()-1,Calc!$X$2:$X$1001,0)),"")</f>
        <v/>
      </c>
      <c r="B395">
        <f>IFERROR(INDEX(Calc!$M$2:$M$1001,MATCH(ROW()-1,Calc!$X$2:$X$1001,0)),"")</f>
        <v/>
      </c>
      <c r="C395">
        <f>IFERROR(INDEX(Calc!$N$2:$N$1001,MATCH(ROW()-1,Calc!$X$2:$X$1001,0)),"")</f>
        <v/>
      </c>
      <c r="D395" s="3">
        <f>IFERROR(INDEX(Calc!$O$2:$O$1001,MATCH(ROW()-1,Calc!$X$2:$X$1001,0)),"")</f>
        <v/>
      </c>
      <c r="E395" s="3">
        <f>IFERROR(INDEX(Calc!$P$2:$P$1001,MATCH(ROW()-1,Calc!$X$2:$X$1001,0)),"")</f>
        <v/>
      </c>
      <c r="F395" s="3">
        <f>IF(G395="","",E395-D395)</f>
        <v/>
      </c>
      <c r="G395">
        <f>IFERROR(INDEX(Calc!$S$2:$S$1001,MATCH(ROW()-1,Calc!$X$2:$X$1001,0)),"")</f>
        <v/>
      </c>
    </row>
    <row r="396">
      <c r="A396">
        <f>IFERROR(INDEX(Calc!$L$2:$L$1001,MATCH(ROW()-1,Calc!$X$2:$X$1001,0)),"")</f>
        <v/>
      </c>
      <c r="B396">
        <f>IFERROR(INDEX(Calc!$M$2:$M$1001,MATCH(ROW()-1,Calc!$X$2:$X$1001,0)),"")</f>
        <v/>
      </c>
      <c r="C396">
        <f>IFERROR(INDEX(Calc!$N$2:$N$1001,MATCH(ROW()-1,Calc!$X$2:$X$1001,0)),"")</f>
        <v/>
      </c>
      <c r="D396" s="3">
        <f>IFERROR(INDEX(Calc!$O$2:$O$1001,MATCH(ROW()-1,Calc!$X$2:$X$1001,0)),"")</f>
        <v/>
      </c>
      <c r="E396" s="3">
        <f>IFERROR(INDEX(Calc!$P$2:$P$1001,MATCH(ROW()-1,Calc!$X$2:$X$1001,0)),"")</f>
        <v/>
      </c>
      <c r="F396" s="3">
        <f>IF(G396="","",E396-D396)</f>
        <v/>
      </c>
      <c r="G396">
        <f>IFERROR(INDEX(Calc!$S$2:$S$1001,MATCH(ROW()-1,Calc!$X$2:$X$1001,0)),"")</f>
        <v/>
      </c>
    </row>
    <row r="397">
      <c r="A397">
        <f>IFERROR(INDEX(Calc!$L$2:$L$1001,MATCH(ROW()-1,Calc!$X$2:$X$1001,0)),"")</f>
        <v/>
      </c>
      <c r="B397">
        <f>IFERROR(INDEX(Calc!$M$2:$M$1001,MATCH(ROW()-1,Calc!$X$2:$X$1001,0)),"")</f>
        <v/>
      </c>
      <c r="C397">
        <f>IFERROR(INDEX(Calc!$N$2:$N$1001,MATCH(ROW()-1,Calc!$X$2:$X$1001,0)),"")</f>
        <v/>
      </c>
      <c r="D397" s="3">
        <f>IFERROR(INDEX(Calc!$O$2:$O$1001,MATCH(ROW()-1,Calc!$X$2:$X$1001,0)),"")</f>
        <v/>
      </c>
      <c r="E397" s="3">
        <f>IFERROR(INDEX(Calc!$P$2:$P$1001,MATCH(ROW()-1,Calc!$X$2:$X$1001,0)),"")</f>
        <v/>
      </c>
      <c r="F397" s="3">
        <f>IF(G397="","",E397-D397)</f>
        <v/>
      </c>
      <c r="G397">
        <f>IFERROR(INDEX(Calc!$S$2:$S$1001,MATCH(ROW()-1,Calc!$X$2:$X$1001,0)),"")</f>
        <v/>
      </c>
    </row>
    <row r="398">
      <c r="A398">
        <f>IFERROR(INDEX(Calc!$L$2:$L$1001,MATCH(ROW()-1,Calc!$X$2:$X$1001,0)),"")</f>
        <v/>
      </c>
      <c r="B398">
        <f>IFERROR(INDEX(Calc!$M$2:$M$1001,MATCH(ROW()-1,Calc!$X$2:$X$1001,0)),"")</f>
        <v/>
      </c>
      <c r="C398">
        <f>IFERROR(INDEX(Calc!$N$2:$N$1001,MATCH(ROW()-1,Calc!$X$2:$X$1001,0)),"")</f>
        <v/>
      </c>
      <c r="D398" s="3">
        <f>IFERROR(INDEX(Calc!$O$2:$O$1001,MATCH(ROW()-1,Calc!$X$2:$X$1001,0)),"")</f>
        <v/>
      </c>
      <c r="E398" s="3">
        <f>IFERROR(INDEX(Calc!$P$2:$P$1001,MATCH(ROW()-1,Calc!$X$2:$X$1001,0)),"")</f>
        <v/>
      </c>
      <c r="F398" s="3">
        <f>IF(G398="","",E398-D398)</f>
        <v/>
      </c>
      <c r="G398">
        <f>IFERROR(INDEX(Calc!$S$2:$S$1001,MATCH(ROW()-1,Calc!$X$2:$X$1001,0)),"")</f>
        <v/>
      </c>
    </row>
    <row r="399">
      <c r="A399">
        <f>IFERROR(INDEX(Calc!$L$2:$L$1001,MATCH(ROW()-1,Calc!$X$2:$X$1001,0)),"")</f>
        <v/>
      </c>
      <c r="B399">
        <f>IFERROR(INDEX(Calc!$M$2:$M$1001,MATCH(ROW()-1,Calc!$X$2:$X$1001,0)),"")</f>
        <v/>
      </c>
      <c r="C399">
        <f>IFERROR(INDEX(Calc!$N$2:$N$1001,MATCH(ROW()-1,Calc!$X$2:$X$1001,0)),"")</f>
        <v/>
      </c>
      <c r="D399" s="3">
        <f>IFERROR(INDEX(Calc!$O$2:$O$1001,MATCH(ROW()-1,Calc!$X$2:$X$1001,0)),"")</f>
        <v/>
      </c>
      <c r="E399" s="3">
        <f>IFERROR(INDEX(Calc!$P$2:$P$1001,MATCH(ROW()-1,Calc!$X$2:$X$1001,0)),"")</f>
        <v/>
      </c>
      <c r="F399" s="3">
        <f>IF(G399="","",E399-D399)</f>
        <v/>
      </c>
      <c r="G399">
        <f>IFERROR(INDEX(Calc!$S$2:$S$1001,MATCH(ROW()-1,Calc!$X$2:$X$1001,0)),"")</f>
        <v/>
      </c>
    </row>
    <row r="400">
      <c r="A400">
        <f>IFERROR(INDEX(Calc!$L$2:$L$1001,MATCH(ROW()-1,Calc!$X$2:$X$1001,0)),"")</f>
        <v/>
      </c>
      <c r="B400">
        <f>IFERROR(INDEX(Calc!$M$2:$M$1001,MATCH(ROW()-1,Calc!$X$2:$X$1001,0)),"")</f>
        <v/>
      </c>
      <c r="C400">
        <f>IFERROR(INDEX(Calc!$N$2:$N$1001,MATCH(ROW()-1,Calc!$X$2:$X$1001,0)),"")</f>
        <v/>
      </c>
      <c r="D400" s="3">
        <f>IFERROR(INDEX(Calc!$O$2:$O$1001,MATCH(ROW()-1,Calc!$X$2:$X$1001,0)),"")</f>
        <v/>
      </c>
      <c r="E400" s="3">
        <f>IFERROR(INDEX(Calc!$P$2:$P$1001,MATCH(ROW()-1,Calc!$X$2:$X$1001,0)),"")</f>
        <v/>
      </c>
      <c r="F400" s="3">
        <f>IF(G400="","",E400-D400)</f>
        <v/>
      </c>
      <c r="G400">
        <f>IFERROR(INDEX(Calc!$S$2:$S$1001,MATCH(ROW()-1,Calc!$X$2:$X$1001,0)),"")</f>
        <v/>
      </c>
    </row>
    <row r="401">
      <c r="A401">
        <f>IFERROR(INDEX(Calc!$L$2:$L$1001,MATCH(ROW()-1,Calc!$X$2:$X$1001,0)),"")</f>
        <v/>
      </c>
      <c r="B401">
        <f>IFERROR(INDEX(Calc!$M$2:$M$1001,MATCH(ROW()-1,Calc!$X$2:$X$1001,0)),"")</f>
        <v/>
      </c>
      <c r="C401">
        <f>IFERROR(INDEX(Calc!$N$2:$N$1001,MATCH(ROW()-1,Calc!$X$2:$X$1001,0)),"")</f>
        <v/>
      </c>
      <c r="D401" s="3">
        <f>IFERROR(INDEX(Calc!$O$2:$O$1001,MATCH(ROW()-1,Calc!$X$2:$X$1001,0)),"")</f>
        <v/>
      </c>
      <c r="E401" s="3">
        <f>IFERROR(INDEX(Calc!$P$2:$P$1001,MATCH(ROW()-1,Calc!$X$2:$X$1001,0)),"")</f>
        <v/>
      </c>
      <c r="F401" s="3">
        <f>IF(G401="","",E401-D401)</f>
        <v/>
      </c>
      <c r="G401">
        <f>IFERROR(INDEX(Calc!$S$2:$S$1001,MATCH(ROW()-1,Calc!$X$2:$X$1001,0)),"")</f>
        <v/>
      </c>
    </row>
    <row r="402">
      <c r="A402">
        <f>IFERROR(INDEX(Calc!$L$2:$L$1001,MATCH(ROW()-1,Calc!$X$2:$X$1001,0)),"")</f>
        <v/>
      </c>
      <c r="B402">
        <f>IFERROR(INDEX(Calc!$M$2:$M$1001,MATCH(ROW()-1,Calc!$X$2:$X$1001,0)),"")</f>
        <v/>
      </c>
      <c r="C402">
        <f>IFERROR(INDEX(Calc!$N$2:$N$1001,MATCH(ROW()-1,Calc!$X$2:$X$1001,0)),"")</f>
        <v/>
      </c>
      <c r="D402" s="3">
        <f>IFERROR(INDEX(Calc!$O$2:$O$1001,MATCH(ROW()-1,Calc!$X$2:$X$1001,0)),"")</f>
        <v/>
      </c>
      <c r="E402" s="3">
        <f>IFERROR(INDEX(Calc!$P$2:$P$1001,MATCH(ROW()-1,Calc!$X$2:$X$1001,0)),"")</f>
        <v/>
      </c>
      <c r="F402" s="3">
        <f>IF(G402="","",E402-D402)</f>
        <v/>
      </c>
      <c r="G402">
        <f>IFERROR(INDEX(Calc!$S$2:$S$1001,MATCH(ROW()-1,Calc!$X$2:$X$1001,0)),"")</f>
        <v/>
      </c>
    </row>
    <row r="403">
      <c r="A403">
        <f>IFERROR(INDEX(Calc!$L$2:$L$1001,MATCH(ROW()-1,Calc!$X$2:$X$1001,0)),"")</f>
        <v/>
      </c>
      <c r="B403">
        <f>IFERROR(INDEX(Calc!$M$2:$M$1001,MATCH(ROW()-1,Calc!$X$2:$X$1001,0)),"")</f>
        <v/>
      </c>
      <c r="C403">
        <f>IFERROR(INDEX(Calc!$N$2:$N$1001,MATCH(ROW()-1,Calc!$X$2:$X$1001,0)),"")</f>
        <v/>
      </c>
      <c r="D403" s="3">
        <f>IFERROR(INDEX(Calc!$O$2:$O$1001,MATCH(ROW()-1,Calc!$X$2:$X$1001,0)),"")</f>
        <v/>
      </c>
      <c r="E403" s="3">
        <f>IFERROR(INDEX(Calc!$P$2:$P$1001,MATCH(ROW()-1,Calc!$X$2:$X$1001,0)),"")</f>
        <v/>
      </c>
      <c r="F403" s="3">
        <f>IF(G403="","",E403-D403)</f>
        <v/>
      </c>
      <c r="G403">
        <f>IFERROR(INDEX(Calc!$S$2:$S$1001,MATCH(ROW()-1,Calc!$X$2:$X$1001,0)),"")</f>
        <v/>
      </c>
    </row>
    <row r="404">
      <c r="A404">
        <f>IFERROR(INDEX(Calc!$L$2:$L$1001,MATCH(ROW()-1,Calc!$X$2:$X$1001,0)),"")</f>
        <v/>
      </c>
      <c r="B404">
        <f>IFERROR(INDEX(Calc!$M$2:$M$1001,MATCH(ROW()-1,Calc!$X$2:$X$1001,0)),"")</f>
        <v/>
      </c>
      <c r="C404">
        <f>IFERROR(INDEX(Calc!$N$2:$N$1001,MATCH(ROW()-1,Calc!$X$2:$X$1001,0)),"")</f>
        <v/>
      </c>
      <c r="D404" s="3">
        <f>IFERROR(INDEX(Calc!$O$2:$O$1001,MATCH(ROW()-1,Calc!$X$2:$X$1001,0)),"")</f>
        <v/>
      </c>
      <c r="E404" s="3">
        <f>IFERROR(INDEX(Calc!$P$2:$P$1001,MATCH(ROW()-1,Calc!$X$2:$X$1001,0)),"")</f>
        <v/>
      </c>
      <c r="F404" s="3">
        <f>IF(G404="","",E404-D404)</f>
        <v/>
      </c>
      <c r="G404">
        <f>IFERROR(INDEX(Calc!$S$2:$S$1001,MATCH(ROW()-1,Calc!$X$2:$X$1001,0)),"")</f>
        <v/>
      </c>
    </row>
    <row r="405">
      <c r="A405">
        <f>IFERROR(INDEX(Calc!$L$2:$L$1001,MATCH(ROW()-1,Calc!$X$2:$X$1001,0)),"")</f>
        <v/>
      </c>
      <c r="B405">
        <f>IFERROR(INDEX(Calc!$M$2:$M$1001,MATCH(ROW()-1,Calc!$X$2:$X$1001,0)),"")</f>
        <v/>
      </c>
      <c r="C405">
        <f>IFERROR(INDEX(Calc!$N$2:$N$1001,MATCH(ROW()-1,Calc!$X$2:$X$1001,0)),"")</f>
        <v/>
      </c>
      <c r="D405" s="3">
        <f>IFERROR(INDEX(Calc!$O$2:$O$1001,MATCH(ROW()-1,Calc!$X$2:$X$1001,0)),"")</f>
        <v/>
      </c>
      <c r="E405" s="3">
        <f>IFERROR(INDEX(Calc!$P$2:$P$1001,MATCH(ROW()-1,Calc!$X$2:$X$1001,0)),"")</f>
        <v/>
      </c>
      <c r="F405" s="3">
        <f>IF(G405="","",E405-D405)</f>
        <v/>
      </c>
      <c r="G405">
        <f>IFERROR(INDEX(Calc!$S$2:$S$1001,MATCH(ROW()-1,Calc!$X$2:$X$1001,0)),"")</f>
        <v/>
      </c>
    </row>
    <row r="406">
      <c r="A406">
        <f>IFERROR(INDEX(Calc!$L$2:$L$1001,MATCH(ROW()-1,Calc!$X$2:$X$1001,0)),"")</f>
        <v/>
      </c>
      <c r="B406">
        <f>IFERROR(INDEX(Calc!$M$2:$M$1001,MATCH(ROW()-1,Calc!$X$2:$X$1001,0)),"")</f>
        <v/>
      </c>
      <c r="C406">
        <f>IFERROR(INDEX(Calc!$N$2:$N$1001,MATCH(ROW()-1,Calc!$X$2:$X$1001,0)),"")</f>
        <v/>
      </c>
      <c r="D406" s="3">
        <f>IFERROR(INDEX(Calc!$O$2:$O$1001,MATCH(ROW()-1,Calc!$X$2:$X$1001,0)),"")</f>
        <v/>
      </c>
      <c r="E406" s="3">
        <f>IFERROR(INDEX(Calc!$P$2:$P$1001,MATCH(ROW()-1,Calc!$X$2:$X$1001,0)),"")</f>
        <v/>
      </c>
      <c r="F406" s="3">
        <f>IF(G406="","",E406-D406)</f>
        <v/>
      </c>
      <c r="G406">
        <f>IFERROR(INDEX(Calc!$S$2:$S$1001,MATCH(ROW()-1,Calc!$X$2:$X$1001,0)),"")</f>
        <v/>
      </c>
    </row>
    <row r="407">
      <c r="A407">
        <f>IFERROR(INDEX(Calc!$L$2:$L$1001,MATCH(ROW()-1,Calc!$X$2:$X$1001,0)),"")</f>
        <v/>
      </c>
      <c r="B407">
        <f>IFERROR(INDEX(Calc!$M$2:$M$1001,MATCH(ROW()-1,Calc!$X$2:$X$1001,0)),"")</f>
        <v/>
      </c>
      <c r="C407">
        <f>IFERROR(INDEX(Calc!$N$2:$N$1001,MATCH(ROW()-1,Calc!$X$2:$X$1001,0)),"")</f>
        <v/>
      </c>
      <c r="D407" s="3">
        <f>IFERROR(INDEX(Calc!$O$2:$O$1001,MATCH(ROW()-1,Calc!$X$2:$X$1001,0)),"")</f>
        <v/>
      </c>
      <c r="E407" s="3">
        <f>IFERROR(INDEX(Calc!$P$2:$P$1001,MATCH(ROW()-1,Calc!$X$2:$X$1001,0)),"")</f>
        <v/>
      </c>
      <c r="F407" s="3">
        <f>IF(G407="","",E407-D407)</f>
        <v/>
      </c>
      <c r="G407">
        <f>IFERROR(INDEX(Calc!$S$2:$S$1001,MATCH(ROW()-1,Calc!$X$2:$X$1001,0)),"")</f>
        <v/>
      </c>
    </row>
    <row r="408">
      <c r="A408">
        <f>IFERROR(INDEX(Calc!$L$2:$L$1001,MATCH(ROW()-1,Calc!$X$2:$X$1001,0)),"")</f>
        <v/>
      </c>
      <c r="B408">
        <f>IFERROR(INDEX(Calc!$M$2:$M$1001,MATCH(ROW()-1,Calc!$X$2:$X$1001,0)),"")</f>
        <v/>
      </c>
      <c r="C408">
        <f>IFERROR(INDEX(Calc!$N$2:$N$1001,MATCH(ROW()-1,Calc!$X$2:$X$1001,0)),"")</f>
        <v/>
      </c>
      <c r="D408" s="3">
        <f>IFERROR(INDEX(Calc!$O$2:$O$1001,MATCH(ROW()-1,Calc!$X$2:$X$1001,0)),"")</f>
        <v/>
      </c>
      <c r="E408" s="3">
        <f>IFERROR(INDEX(Calc!$P$2:$P$1001,MATCH(ROW()-1,Calc!$X$2:$X$1001,0)),"")</f>
        <v/>
      </c>
      <c r="F408" s="3">
        <f>IF(G408="","",E408-D408)</f>
        <v/>
      </c>
      <c r="G408">
        <f>IFERROR(INDEX(Calc!$S$2:$S$1001,MATCH(ROW()-1,Calc!$X$2:$X$1001,0)),"")</f>
        <v/>
      </c>
    </row>
    <row r="409">
      <c r="A409">
        <f>IFERROR(INDEX(Calc!$L$2:$L$1001,MATCH(ROW()-1,Calc!$X$2:$X$1001,0)),"")</f>
        <v/>
      </c>
      <c r="B409">
        <f>IFERROR(INDEX(Calc!$M$2:$M$1001,MATCH(ROW()-1,Calc!$X$2:$X$1001,0)),"")</f>
        <v/>
      </c>
      <c r="C409">
        <f>IFERROR(INDEX(Calc!$N$2:$N$1001,MATCH(ROW()-1,Calc!$X$2:$X$1001,0)),"")</f>
        <v/>
      </c>
      <c r="D409" s="3">
        <f>IFERROR(INDEX(Calc!$O$2:$O$1001,MATCH(ROW()-1,Calc!$X$2:$X$1001,0)),"")</f>
        <v/>
      </c>
      <c r="E409" s="3">
        <f>IFERROR(INDEX(Calc!$P$2:$P$1001,MATCH(ROW()-1,Calc!$X$2:$X$1001,0)),"")</f>
        <v/>
      </c>
      <c r="F409" s="3">
        <f>IF(G409="","",E409-D409)</f>
        <v/>
      </c>
      <c r="G409">
        <f>IFERROR(INDEX(Calc!$S$2:$S$1001,MATCH(ROW()-1,Calc!$X$2:$X$1001,0)),"")</f>
        <v/>
      </c>
    </row>
    <row r="410">
      <c r="A410">
        <f>IFERROR(INDEX(Calc!$L$2:$L$1001,MATCH(ROW()-1,Calc!$X$2:$X$1001,0)),"")</f>
        <v/>
      </c>
      <c r="B410">
        <f>IFERROR(INDEX(Calc!$M$2:$M$1001,MATCH(ROW()-1,Calc!$X$2:$X$1001,0)),"")</f>
        <v/>
      </c>
      <c r="C410">
        <f>IFERROR(INDEX(Calc!$N$2:$N$1001,MATCH(ROW()-1,Calc!$X$2:$X$1001,0)),"")</f>
        <v/>
      </c>
      <c r="D410" s="3">
        <f>IFERROR(INDEX(Calc!$O$2:$O$1001,MATCH(ROW()-1,Calc!$X$2:$X$1001,0)),"")</f>
        <v/>
      </c>
      <c r="E410" s="3">
        <f>IFERROR(INDEX(Calc!$P$2:$P$1001,MATCH(ROW()-1,Calc!$X$2:$X$1001,0)),"")</f>
        <v/>
      </c>
      <c r="F410" s="3">
        <f>IF(G410="","",E410-D410)</f>
        <v/>
      </c>
      <c r="G410">
        <f>IFERROR(INDEX(Calc!$S$2:$S$1001,MATCH(ROW()-1,Calc!$X$2:$X$1001,0)),"")</f>
        <v/>
      </c>
    </row>
    <row r="411">
      <c r="A411">
        <f>IFERROR(INDEX(Calc!$L$2:$L$1001,MATCH(ROW()-1,Calc!$X$2:$X$1001,0)),"")</f>
        <v/>
      </c>
      <c r="B411">
        <f>IFERROR(INDEX(Calc!$M$2:$M$1001,MATCH(ROW()-1,Calc!$X$2:$X$1001,0)),"")</f>
        <v/>
      </c>
      <c r="C411">
        <f>IFERROR(INDEX(Calc!$N$2:$N$1001,MATCH(ROW()-1,Calc!$X$2:$X$1001,0)),"")</f>
        <v/>
      </c>
      <c r="D411" s="3">
        <f>IFERROR(INDEX(Calc!$O$2:$O$1001,MATCH(ROW()-1,Calc!$X$2:$X$1001,0)),"")</f>
        <v/>
      </c>
      <c r="E411" s="3">
        <f>IFERROR(INDEX(Calc!$P$2:$P$1001,MATCH(ROW()-1,Calc!$X$2:$X$1001,0)),"")</f>
        <v/>
      </c>
      <c r="F411" s="3">
        <f>IF(G411="","",E411-D411)</f>
        <v/>
      </c>
      <c r="G411">
        <f>IFERROR(INDEX(Calc!$S$2:$S$1001,MATCH(ROW()-1,Calc!$X$2:$X$1001,0)),"")</f>
        <v/>
      </c>
    </row>
    <row r="412">
      <c r="A412">
        <f>IFERROR(INDEX(Calc!$L$2:$L$1001,MATCH(ROW()-1,Calc!$X$2:$X$1001,0)),"")</f>
        <v/>
      </c>
      <c r="B412">
        <f>IFERROR(INDEX(Calc!$M$2:$M$1001,MATCH(ROW()-1,Calc!$X$2:$X$1001,0)),"")</f>
        <v/>
      </c>
      <c r="C412">
        <f>IFERROR(INDEX(Calc!$N$2:$N$1001,MATCH(ROW()-1,Calc!$X$2:$X$1001,0)),"")</f>
        <v/>
      </c>
      <c r="D412" s="3">
        <f>IFERROR(INDEX(Calc!$O$2:$O$1001,MATCH(ROW()-1,Calc!$X$2:$X$1001,0)),"")</f>
        <v/>
      </c>
      <c r="E412" s="3">
        <f>IFERROR(INDEX(Calc!$P$2:$P$1001,MATCH(ROW()-1,Calc!$X$2:$X$1001,0)),"")</f>
        <v/>
      </c>
      <c r="F412" s="3">
        <f>IF(G412="","",E412-D412)</f>
        <v/>
      </c>
      <c r="G412">
        <f>IFERROR(INDEX(Calc!$S$2:$S$1001,MATCH(ROW()-1,Calc!$X$2:$X$1001,0)),"")</f>
        <v/>
      </c>
    </row>
    <row r="413">
      <c r="A413">
        <f>IFERROR(INDEX(Calc!$L$2:$L$1001,MATCH(ROW()-1,Calc!$X$2:$X$1001,0)),"")</f>
        <v/>
      </c>
      <c r="B413">
        <f>IFERROR(INDEX(Calc!$M$2:$M$1001,MATCH(ROW()-1,Calc!$X$2:$X$1001,0)),"")</f>
        <v/>
      </c>
      <c r="C413">
        <f>IFERROR(INDEX(Calc!$N$2:$N$1001,MATCH(ROW()-1,Calc!$X$2:$X$1001,0)),"")</f>
        <v/>
      </c>
      <c r="D413" s="3">
        <f>IFERROR(INDEX(Calc!$O$2:$O$1001,MATCH(ROW()-1,Calc!$X$2:$X$1001,0)),"")</f>
        <v/>
      </c>
      <c r="E413" s="3">
        <f>IFERROR(INDEX(Calc!$P$2:$P$1001,MATCH(ROW()-1,Calc!$X$2:$X$1001,0)),"")</f>
        <v/>
      </c>
      <c r="F413" s="3">
        <f>IF(G413="","",E413-D413)</f>
        <v/>
      </c>
      <c r="G413">
        <f>IFERROR(INDEX(Calc!$S$2:$S$1001,MATCH(ROW()-1,Calc!$X$2:$X$1001,0)),"")</f>
        <v/>
      </c>
    </row>
    <row r="414">
      <c r="A414">
        <f>IFERROR(INDEX(Calc!$L$2:$L$1001,MATCH(ROW()-1,Calc!$X$2:$X$1001,0)),"")</f>
        <v/>
      </c>
      <c r="B414">
        <f>IFERROR(INDEX(Calc!$M$2:$M$1001,MATCH(ROW()-1,Calc!$X$2:$X$1001,0)),"")</f>
        <v/>
      </c>
      <c r="C414">
        <f>IFERROR(INDEX(Calc!$N$2:$N$1001,MATCH(ROW()-1,Calc!$X$2:$X$1001,0)),"")</f>
        <v/>
      </c>
      <c r="D414" s="3">
        <f>IFERROR(INDEX(Calc!$O$2:$O$1001,MATCH(ROW()-1,Calc!$X$2:$X$1001,0)),"")</f>
        <v/>
      </c>
      <c r="E414" s="3">
        <f>IFERROR(INDEX(Calc!$P$2:$P$1001,MATCH(ROW()-1,Calc!$X$2:$X$1001,0)),"")</f>
        <v/>
      </c>
      <c r="F414" s="3">
        <f>IF(G414="","",E414-D414)</f>
        <v/>
      </c>
      <c r="G414">
        <f>IFERROR(INDEX(Calc!$S$2:$S$1001,MATCH(ROW()-1,Calc!$X$2:$X$1001,0)),"")</f>
        <v/>
      </c>
    </row>
    <row r="415">
      <c r="A415">
        <f>IFERROR(INDEX(Calc!$L$2:$L$1001,MATCH(ROW()-1,Calc!$X$2:$X$1001,0)),"")</f>
        <v/>
      </c>
      <c r="B415">
        <f>IFERROR(INDEX(Calc!$M$2:$M$1001,MATCH(ROW()-1,Calc!$X$2:$X$1001,0)),"")</f>
        <v/>
      </c>
      <c r="C415">
        <f>IFERROR(INDEX(Calc!$N$2:$N$1001,MATCH(ROW()-1,Calc!$X$2:$X$1001,0)),"")</f>
        <v/>
      </c>
      <c r="D415" s="3">
        <f>IFERROR(INDEX(Calc!$O$2:$O$1001,MATCH(ROW()-1,Calc!$X$2:$X$1001,0)),"")</f>
        <v/>
      </c>
      <c r="E415" s="3">
        <f>IFERROR(INDEX(Calc!$P$2:$P$1001,MATCH(ROW()-1,Calc!$X$2:$X$1001,0)),"")</f>
        <v/>
      </c>
      <c r="F415" s="3">
        <f>IF(G415="","",E415-D415)</f>
        <v/>
      </c>
      <c r="G415">
        <f>IFERROR(INDEX(Calc!$S$2:$S$1001,MATCH(ROW()-1,Calc!$X$2:$X$1001,0)),"")</f>
        <v/>
      </c>
    </row>
    <row r="416">
      <c r="A416">
        <f>IFERROR(INDEX(Calc!$L$2:$L$1001,MATCH(ROW()-1,Calc!$X$2:$X$1001,0)),"")</f>
        <v/>
      </c>
      <c r="B416">
        <f>IFERROR(INDEX(Calc!$M$2:$M$1001,MATCH(ROW()-1,Calc!$X$2:$X$1001,0)),"")</f>
        <v/>
      </c>
      <c r="C416">
        <f>IFERROR(INDEX(Calc!$N$2:$N$1001,MATCH(ROW()-1,Calc!$X$2:$X$1001,0)),"")</f>
        <v/>
      </c>
      <c r="D416" s="3">
        <f>IFERROR(INDEX(Calc!$O$2:$O$1001,MATCH(ROW()-1,Calc!$X$2:$X$1001,0)),"")</f>
        <v/>
      </c>
      <c r="E416" s="3">
        <f>IFERROR(INDEX(Calc!$P$2:$P$1001,MATCH(ROW()-1,Calc!$X$2:$X$1001,0)),"")</f>
        <v/>
      </c>
      <c r="F416" s="3">
        <f>IF(G416="","",E416-D416)</f>
        <v/>
      </c>
      <c r="G416">
        <f>IFERROR(INDEX(Calc!$S$2:$S$1001,MATCH(ROW()-1,Calc!$X$2:$X$1001,0)),"")</f>
        <v/>
      </c>
    </row>
    <row r="417">
      <c r="A417">
        <f>IFERROR(INDEX(Calc!$L$2:$L$1001,MATCH(ROW()-1,Calc!$X$2:$X$1001,0)),"")</f>
        <v/>
      </c>
      <c r="B417">
        <f>IFERROR(INDEX(Calc!$M$2:$M$1001,MATCH(ROW()-1,Calc!$X$2:$X$1001,0)),"")</f>
        <v/>
      </c>
      <c r="C417">
        <f>IFERROR(INDEX(Calc!$N$2:$N$1001,MATCH(ROW()-1,Calc!$X$2:$X$1001,0)),"")</f>
        <v/>
      </c>
      <c r="D417" s="3">
        <f>IFERROR(INDEX(Calc!$O$2:$O$1001,MATCH(ROW()-1,Calc!$X$2:$X$1001,0)),"")</f>
        <v/>
      </c>
      <c r="E417" s="3">
        <f>IFERROR(INDEX(Calc!$P$2:$P$1001,MATCH(ROW()-1,Calc!$X$2:$X$1001,0)),"")</f>
        <v/>
      </c>
      <c r="F417" s="3">
        <f>IF(G417="","",E417-D417)</f>
        <v/>
      </c>
      <c r="G417">
        <f>IFERROR(INDEX(Calc!$S$2:$S$1001,MATCH(ROW()-1,Calc!$X$2:$X$1001,0)),"")</f>
        <v/>
      </c>
    </row>
    <row r="418">
      <c r="A418">
        <f>IFERROR(INDEX(Calc!$L$2:$L$1001,MATCH(ROW()-1,Calc!$X$2:$X$1001,0)),"")</f>
        <v/>
      </c>
      <c r="B418">
        <f>IFERROR(INDEX(Calc!$M$2:$M$1001,MATCH(ROW()-1,Calc!$X$2:$X$1001,0)),"")</f>
        <v/>
      </c>
      <c r="C418">
        <f>IFERROR(INDEX(Calc!$N$2:$N$1001,MATCH(ROW()-1,Calc!$X$2:$X$1001,0)),"")</f>
        <v/>
      </c>
      <c r="D418" s="3">
        <f>IFERROR(INDEX(Calc!$O$2:$O$1001,MATCH(ROW()-1,Calc!$X$2:$X$1001,0)),"")</f>
        <v/>
      </c>
      <c r="E418" s="3">
        <f>IFERROR(INDEX(Calc!$P$2:$P$1001,MATCH(ROW()-1,Calc!$X$2:$X$1001,0)),"")</f>
        <v/>
      </c>
      <c r="F418" s="3">
        <f>IF(G418="","",E418-D418)</f>
        <v/>
      </c>
      <c r="G418">
        <f>IFERROR(INDEX(Calc!$S$2:$S$1001,MATCH(ROW()-1,Calc!$X$2:$X$1001,0)),"")</f>
        <v/>
      </c>
    </row>
    <row r="419">
      <c r="A419">
        <f>IFERROR(INDEX(Calc!$L$2:$L$1001,MATCH(ROW()-1,Calc!$X$2:$X$1001,0)),"")</f>
        <v/>
      </c>
      <c r="B419">
        <f>IFERROR(INDEX(Calc!$M$2:$M$1001,MATCH(ROW()-1,Calc!$X$2:$X$1001,0)),"")</f>
        <v/>
      </c>
      <c r="C419">
        <f>IFERROR(INDEX(Calc!$N$2:$N$1001,MATCH(ROW()-1,Calc!$X$2:$X$1001,0)),"")</f>
        <v/>
      </c>
      <c r="D419" s="3">
        <f>IFERROR(INDEX(Calc!$O$2:$O$1001,MATCH(ROW()-1,Calc!$X$2:$X$1001,0)),"")</f>
        <v/>
      </c>
      <c r="E419" s="3">
        <f>IFERROR(INDEX(Calc!$P$2:$P$1001,MATCH(ROW()-1,Calc!$X$2:$X$1001,0)),"")</f>
        <v/>
      </c>
      <c r="F419" s="3">
        <f>IF(G419="","",E419-D419)</f>
        <v/>
      </c>
      <c r="G419">
        <f>IFERROR(INDEX(Calc!$S$2:$S$1001,MATCH(ROW()-1,Calc!$X$2:$X$1001,0)),"")</f>
        <v/>
      </c>
    </row>
    <row r="420">
      <c r="A420">
        <f>IFERROR(INDEX(Calc!$L$2:$L$1001,MATCH(ROW()-1,Calc!$X$2:$X$1001,0)),"")</f>
        <v/>
      </c>
      <c r="B420">
        <f>IFERROR(INDEX(Calc!$M$2:$M$1001,MATCH(ROW()-1,Calc!$X$2:$X$1001,0)),"")</f>
        <v/>
      </c>
      <c r="C420">
        <f>IFERROR(INDEX(Calc!$N$2:$N$1001,MATCH(ROW()-1,Calc!$X$2:$X$1001,0)),"")</f>
        <v/>
      </c>
      <c r="D420" s="3">
        <f>IFERROR(INDEX(Calc!$O$2:$O$1001,MATCH(ROW()-1,Calc!$X$2:$X$1001,0)),"")</f>
        <v/>
      </c>
      <c r="E420" s="3">
        <f>IFERROR(INDEX(Calc!$P$2:$P$1001,MATCH(ROW()-1,Calc!$X$2:$X$1001,0)),"")</f>
        <v/>
      </c>
      <c r="F420" s="3">
        <f>IF(G420="","",E420-D420)</f>
        <v/>
      </c>
      <c r="G420">
        <f>IFERROR(INDEX(Calc!$S$2:$S$1001,MATCH(ROW()-1,Calc!$X$2:$X$1001,0)),"")</f>
        <v/>
      </c>
    </row>
    <row r="421">
      <c r="A421">
        <f>IFERROR(INDEX(Calc!$L$2:$L$1001,MATCH(ROW()-1,Calc!$X$2:$X$1001,0)),"")</f>
        <v/>
      </c>
      <c r="B421">
        <f>IFERROR(INDEX(Calc!$M$2:$M$1001,MATCH(ROW()-1,Calc!$X$2:$X$1001,0)),"")</f>
        <v/>
      </c>
      <c r="C421">
        <f>IFERROR(INDEX(Calc!$N$2:$N$1001,MATCH(ROW()-1,Calc!$X$2:$X$1001,0)),"")</f>
        <v/>
      </c>
      <c r="D421" s="3">
        <f>IFERROR(INDEX(Calc!$O$2:$O$1001,MATCH(ROW()-1,Calc!$X$2:$X$1001,0)),"")</f>
        <v/>
      </c>
      <c r="E421" s="3">
        <f>IFERROR(INDEX(Calc!$P$2:$P$1001,MATCH(ROW()-1,Calc!$X$2:$X$1001,0)),"")</f>
        <v/>
      </c>
      <c r="F421" s="3">
        <f>IF(G421="","",E421-D421)</f>
        <v/>
      </c>
      <c r="G421">
        <f>IFERROR(INDEX(Calc!$S$2:$S$1001,MATCH(ROW()-1,Calc!$X$2:$X$1001,0)),"")</f>
        <v/>
      </c>
    </row>
    <row r="422">
      <c r="A422">
        <f>IFERROR(INDEX(Calc!$L$2:$L$1001,MATCH(ROW()-1,Calc!$X$2:$X$1001,0)),"")</f>
        <v/>
      </c>
      <c r="B422">
        <f>IFERROR(INDEX(Calc!$M$2:$M$1001,MATCH(ROW()-1,Calc!$X$2:$X$1001,0)),"")</f>
        <v/>
      </c>
      <c r="C422">
        <f>IFERROR(INDEX(Calc!$N$2:$N$1001,MATCH(ROW()-1,Calc!$X$2:$X$1001,0)),"")</f>
        <v/>
      </c>
      <c r="D422" s="3">
        <f>IFERROR(INDEX(Calc!$O$2:$O$1001,MATCH(ROW()-1,Calc!$X$2:$X$1001,0)),"")</f>
        <v/>
      </c>
      <c r="E422" s="3">
        <f>IFERROR(INDEX(Calc!$P$2:$P$1001,MATCH(ROW()-1,Calc!$X$2:$X$1001,0)),"")</f>
        <v/>
      </c>
      <c r="F422" s="3">
        <f>IF(G422="","",E422-D422)</f>
        <v/>
      </c>
      <c r="G422">
        <f>IFERROR(INDEX(Calc!$S$2:$S$1001,MATCH(ROW()-1,Calc!$X$2:$X$1001,0)),"")</f>
        <v/>
      </c>
    </row>
    <row r="423">
      <c r="A423">
        <f>IFERROR(INDEX(Calc!$L$2:$L$1001,MATCH(ROW()-1,Calc!$X$2:$X$1001,0)),"")</f>
        <v/>
      </c>
      <c r="B423">
        <f>IFERROR(INDEX(Calc!$M$2:$M$1001,MATCH(ROW()-1,Calc!$X$2:$X$1001,0)),"")</f>
        <v/>
      </c>
      <c r="C423">
        <f>IFERROR(INDEX(Calc!$N$2:$N$1001,MATCH(ROW()-1,Calc!$X$2:$X$1001,0)),"")</f>
        <v/>
      </c>
      <c r="D423" s="3">
        <f>IFERROR(INDEX(Calc!$O$2:$O$1001,MATCH(ROW()-1,Calc!$X$2:$X$1001,0)),"")</f>
        <v/>
      </c>
      <c r="E423" s="3">
        <f>IFERROR(INDEX(Calc!$P$2:$P$1001,MATCH(ROW()-1,Calc!$X$2:$X$1001,0)),"")</f>
        <v/>
      </c>
      <c r="F423" s="3">
        <f>IF(G423="","",E423-D423)</f>
        <v/>
      </c>
      <c r="G423">
        <f>IFERROR(INDEX(Calc!$S$2:$S$1001,MATCH(ROW()-1,Calc!$X$2:$X$1001,0)),"")</f>
        <v/>
      </c>
    </row>
    <row r="424">
      <c r="A424">
        <f>IFERROR(INDEX(Calc!$L$2:$L$1001,MATCH(ROW()-1,Calc!$X$2:$X$1001,0)),"")</f>
        <v/>
      </c>
      <c r="B424">
        <f>IFERROR(INDEX(Calc!$M$2:$M$1001,MATCH(ROW()-1,Calc!$X$2:$X$1001,0)),"")</f>
        <v/>
      </c>
      <c r="C424">
        <f>IFERROR(INDEX(Calc!$N$2:$N$1001,MATCH(ROW()-1,Calc!$X$2:$X$1001,0)),"")</f>
        <v/>
      </c>
      <c r="D424" s="3">
        <f>IFERROR(INDEX(Calc!$O$2:$O$1001,MATCH(ROW()-1,Calc!$X$2:$X$1001,0)),"")</f>
        <v/>
      </c>
      <c r="E424" s="3">
        <f>IFERROR(INDEX(Calc!$P$2:$P$1001,MATCH(ROW()-1,Calc!$X$2:$X$1001,0)),"")</f>
        <v/>
      </c>
      <c r="F424" s="3">
        <f>IF(G424="","",E424-D424)</f>
        <v/>
      </c>
      <c r="G424">
        <f>IFERROR(INDEX(Calc!$S$2:$S$1001,MATCH(ROW()-1,Calc!$X$2:$X$1001,0)),"")</f>
        <v/>
      </c>
    </row>
    <row r="425">
      <c r="A425">
        <f>IFERROR(INDEX(Calc!$L$2:$L$1001,MATCH(ROW()-1,Calc!$X$2:$X$1001,0)),"")</f>
        <v/>
      </c>
      <c r="B425">
        <f>IFERROR(INDEX(Calc!$M$2:$M$1001,MATCH(ROW()-1,Calc!$X$2:$X$1001,0)),"")</f>
        <v/>
      </c>
      <c r="C425">
        <f>IFERROR(INDEX(Calc!$N$2:$N$1001,MATCH(ROW()-1,Calc!$X$2:$X$1001,0)),"")</f>
        <v/>
      </c>
      <c r="D425" s="3">
        <f>IFERROR(INDEX(Calc!$O$2:$O$1001,MATCH(ROW()-1,Calc!$X$2:$X$1001,0)),"")</f>
        <v/>
      </c>
      <c r="E425" s="3">
        <f>IFERROR(INDEX(Calc!$P$2:$P$1001,MATCH(ROW()-1,Calc!$X$2:$X$1001,0)),"")</f>
        <v/>
      </c>
      <c r="F425" s="3">
        <f>IF(G425="","",E425-D425)</f>
        <v/>
      </c>
      <c r="G425">
        <f>IFERROR(INDEX(Calc!$S$2:$S$1001,MATCH(ROW()-1,Calc!$X$2:$X$1001,0)),"")</f>
        <v/>
      </c>
    </row>
    <row r="426">
      <c r="A426">
        <f>IFERROR(INDEX(Calc!$L$2:$L$1001,MATCH(ROW()-1,Calc!$X$2:$X$1001,0)),"")</f>
        <v/>
      </c>
      <c r="B426">
        <f>IFERROR(INDEX(Calc!$M$2:$M$1001,MATCH(ROW()-1,Calc!$X$2:$X$1001,0)),"")</f>
        <v/>
      </c>
      <c r="C426">
        <f>IFERROR(INDEX(Calc!$N$2:$N$1001,MATCH(ROW()-1,Calc!$X$2:$X$1001,0)),"")</f>
        <v/>
      </c>
      <c r="D426" s="3">
        <f>IFERROR(INDEX(Calc!$O$2:$O$1001,MATCH(ROW()-1,Calc!$X$2:$X$1001,0)),"")</f>
        <v/>
      </c>
      <c r="E426" s="3">
        <f>IFERROR(INDEX(Calc!$P$2:$P$1001,MATCH(ROW()-1,Calc!$X$2:$X$1001,0)),"")</f>
        <v/>
      </c>
      <c r="F426" s="3">
        <f>IF(G426="","",E426-D426)</f>
        <v/>
      </c>
      <c r="G426">
        <f>IFERROR(INDEX(Calc!$S$2:$S$1001,MATCH(ROW()-1,Calc!$X$2:$X$1001,0)),"")</f>
        <v/>
      </c>
    </row>
    <row r="427">
      <c r="A427">
        <f>IFERROR(INDEX(Calc!$L$2:$L$1001,MATCH(ROW()-1,Calc!$X$2:$X$1001,0)),"")</f>
        <v/>
      </c>
      <c r="B427">
        <f>IFERROR(INDEX(Calc!$M$2:$M$1001,MATCH(ROW()-1,Calc!$X$2:$X$1001,0)),"")</f>
        <v/>
      </c>
      <c r="C427">
        <f>IFERROR(INDEX(Calc!$N$2:$N$1001,MATCH(ROW()-1,Calc!$X$2:$X$1001,0)),"")</f>
        <v/>
      </c>
      <c r="D427" s="3">
        <f>IFERROR(INDEX(Calc!$O$2:$O$1001,MATCH(ROW()-1,Calc!$X$2:$X$1001,0)),"")</f>
        <v/>
      </c>
      <c r="E427" s="3">
        <f>IFERROR(INDEX(Calc!$P$2:$P$1001,MATCH(ROW()-1,Calc!$X$2:$X$1001,0)),"")</f>
        <v/>
      </c>
      <c r="F427" s="3">
        <f>IF(G427="","",E427-D427)</f>
        <v/>
      </c>
      <c r="G427">
        <f>IFERROR(INDEX(Calc!$S$2:$S$1001,MATCH(ROW()-1,Calc!$X$2:$X$1001,0)),"")</f>
        <v/>
      </c>
    </row>
    <row r="428">
      <c r="A428">
        <f>IFERROR(INDEX(Calc!$L$2:$L$1001,MATCH(ROW()-1,Calc!$X$2:$X$1001,0)),"")</f>
        <v/>
      </c>
      <c r="B428">
        <f>IFERROR(INDEX(Calc!$M$2:$M$1001,MATCH(ROW()-1,Calc!$X$2:$X$1001,0)),"")</f>
        <v/>
      </c>
      <c r="C428">
        <f>IFERROR(INDEX(Calc!$N$2:$N$1001,MATCH(ROW()-1,Calc!$X$2:$X$1001,0)),"")</f>
        <v/>
      </c>
      <c r="D428" s="3">
        <f>IFERROR(INDEX(Calc!$O$2:$O$1001,MATCH(ROW()-1,Calc!$X$2:$X$1001,0)),"")</f>
        <v/>
      </c>
      <c r="E428" s="3">
        <f>IFERROR(INDEX(Calc!$P$2:$P$1001,MATCH(ROW()-1,Calc!$X$2:$X$1001,0)),"")</f>
        <v/>
      </c>
      <c r="F428" s="3">
        <f>IF(G428="","",E428-D428)</f>
        <v/>
      </c>
      <c r="G428">
        <f>IFERROR(INDEX(Calc!$S$2:$S$1001,MATCH(ROW()-1,Calc!$X$2:$X$1001,0)),"")</f>
        <v/>
      </c>
    </row>
    <row r="429">
      <c r="A429">
        <f>IFERROR(INDEX(Calc!$L$2:$L$1001,MATCH(ROW()-1,Calc!$X$2:$X$1001,0)),"")</f>
        <v/>
      </c>
      <c r="B429">
        <f>IFERROR(INDEX(Calc!$M$2:$M$1001,MATCH(ROW()-1,Calc!$X$2:$X$1001,0)),"")</f>
        <v/>
      </c>
      <c r="C429">
        <f>IFERROR(INDEX(Calc!$N$2:$N$1001,MATCH(ROW()-1,Calc!$X$2:$X$1001,0)),"")</f>
        <v/>
      </c>
      <c r="D429" s="3">
        <f>IFERROR(INDEX(Calc!$O$2:$O$1001,MATCH(ROW()-1,Calc!$X$2:$X$1001,0)),"")</f>
        <v/>
      </c>
      <c r="E429" s="3">
        <f>IFERROR(INDEX(Calc!$P$2:$P$1001,MATCH(ROW()-1,Calc!$X$2:$X$1001,0)),"")</f>
        <v/>
      </c>
      <c r="F429" s="3">
        <f>IF(G429="","",E429-D429)</f>
        <v/>
      </c>
      <c r="G429">
        <f>IFERROR(INDEX(Calc!$S$2:$S$1001,MATCH(ROW()-1,Calc!$X$2:$X$1001,0)),"")</f>
        <v/>
      </c>
    </row>
    <row r="430">
      <c r="A430">
        <f>IFERROR(INDEX(Calc!$L$2:$L$1001,MATCH(ROW()-1,Calc!$X$2:$X$1001,0)),"")</f>
        <v/>
      </c>
      <c r="B430">
        <f>IFERROR(INDEX(Calc!$M$2:$M$1001,MATCH(ROW()-1,Calc!$X$2:$X$1001,0)),"")</f>
        <v/>
      </c>
      <c r="C430">
        <f>IFERROR(INDEX(Calc!$N$2:$N$1001,MATCH(ROW()-1,Calc!$X$2:$X$1001,0)),"")</f>
        <v/>
      </c>
      <c r="D430" s="3">
        <f>IFERROR(INDEX(Calc!$O$2:$O$1001,MATCH(ROW()-1,Calc!$X$2:$X$1001,0)),"")</f>
        <v/>
      </c>
      <c r="E430" s="3">
        <f>IFERROR(INDEX(Calc!$P$2:$P$1001,MATCH(ROW()-1,Calc!$X$2:$X$1001,0)),"")</f>
        <v/>
      </c>
      <c r="F430" s="3">
        <f>IF(G430="","",E430-D430)</f>
        <v/>
      </c>
      <c r="G430">
        <f>IFERROR(INDEX(Calc!$S$2:$S$1001,MATCH(ROW()-1,Calc!$X$2:$X$1001,0)),"")</f>
        <v/>
      </c>
    </row>
    <row r="431">
      <c r="A431">
        <f>IFERROR(INDEX(Calc!$L$2:$L$1001,MATCH(ROW()-1,Calc!$X$2:$X$1001,0)),"")</f>
        <v/>
      </c>
      <c r="B431">
        <f>IFERROR(INDEX(Calc!$M$2:$M$1001,MATCH(ROW()-1,Calc!$X$2:$X$1001,0)),"")</f>
        <v/>
      </c>
      <c r="C431">
        <f>IFERROR(INDEX(Calc!$N$2:$N$1001,MATCH(ROW()-1,Calc!$X$2:$X$1001,0)),"")</f>
        <v/>
      </c>
      <c r="D431" s="3">
        <f>IFERROR(INDEX(Calc!$O$2:$O$1001,MATCH(ROW()-1,Calc!$X$2:$X$1001,0)),"")</f>
        <v/>
      </c>
      <c r="E431" s="3">
        <f>IFERROR(INDEX(Calc!$P$2:$P$1001,MATCH(ROW()-1,Calc!$X$2:$X$1001,0)),"")</f>
        <v/>
      </c>
      <c r="F431" s="3">
        <f>IF(G431="","",E431-D431)</f>
        <v/>
      </c>
      <c r="G431">
        <f>IFERROR(INDEX(Calc!$S$2:$S$1001,MATCH(ROW()-1,Calc!$X$2:$X$1001,0)),"")</f>
        <v/>
      </c>
    </row>
    <row r="432">
      <c r="A432">
        <f>IFERROR(INDEX(Calc!$L$2:$L$1001,MATCH(ROW()-1,Calc!$X$2:$X$1001,0)),"")</f>
        <v/>
      </c>
      <c r="B432">
        <f>IFERROR(INDEX(Calc!$M$2:$M$1001,MATCH(ROW()-1,Calc!$X$2:$X$1001,0)),"")</f>
        <v/>
      </c>
      <c r="C432">
        <f>IFERROR(INDEX(Calc!$N$2:$N$1001,MATCH(ROW()-1,Calc!$X$2:$X$1001,0)),"")</f>
        <v/>
      </c>
      <c r="D432" s="3">
        <f>IFERROR(INDEX(Calc!$O$2:$O$1001,MATCH(ROW()-1,Calc!$X$2:$X$1001,0)),"")</f>
        <v/>
      </c>
      <c r="E432" s="3">
        <f>IFERROR(INDEX(Calc!$P$2:$P$1001,MATCH(ROW()-1,Calc!$X$2:$X$1001,0)),"")</f>
        <v/>
      </c>
      <c r="F432" s="3">
        <f>IF(G432="","",E432-D432)</f>
        <v/>
      </c>
      <c r="G432">
        <f>IFERROR(INDEX(Calc!$S$2:$S$1001,MATCH(ROW()-1,Calc!$X$2:$X$1001,0)),"")</f>
        <v/>
      </c>
    </row>
    <row r="433">
      <c r="A433">
        <f>IFERROR(INDEX(Calc!$L$2:$L$1001,MATCH(ROW()-1,Calc!$X$2:$X$1001,0)),"")</f>
        <v/>
      </c>
      <c r="B433">
        <f>IFERROR(INDEX(Calc!$M$2:$M$1001,MATCH(ROW()-1,Calc!$X$2:$X$1001,0)),"")</f>
        <v/>
      </c>
      <c r="C433">
        <f>IFERROR(INDEX(Calc!$N$2:$N$1001,MATCH(ROW()-1,Calc!$X$2:$X$1001,0)),"")</f>
        <v/>
      </c>
      <c r="D433" s="3">
        <f>IFERROR(INDEX(Calc!$O$2:$O$1001,MATCH(ROW()-1,Calc!$X$2:$X$1001,0)),"")</f>
        <v/>
      </c>
      <c r="E433" s="3">
        <f>IFERROR(INDEX(Calc!$P$2:$P$1001,MATCH(ROW()-1,Calc!$X$2:$X$1001,0)),"")</f>
        <v/>
      </c>
      <c r="F433" s="3">
        <f>IF(G433="","",E433-D433)</f>
        <v/>
      </c>
      <c r="G433">
        <f>IFERROR(INDEX(Calc!$S$2:$S$1001,MATCH(ROW()-1,Calc!$X$2:$X$1001,0)),"")</f>
        <v/>
      </c>
    </row>
    <row r="434">
      <c r="A434">
        <f>IFERROR(INDEX(Calc!$L$2:$L$1001,MATCH(ROW()-1,Calc!$X$2:$X$1001,0)),"")</f>
        <v/>
      </c>
      <c r="B434">
        <f>IFERROR(INDEX(Calc!$M$2:$M$1001,MATCH(ROW()-1,Calc!$X$2:$X$1001,0)),"")</f>
        <v/>
      </c>
      <c r="C434">
        <f>IFERROR(INDEX(Calc!$N$2:$N$1001,MATCH(ROW()-1,Calc!$X$2:$X$1001,0)),"")</f>
        <v/>
      </c>
      <c r="D434" s="3">
        <f>IFERROR(INDEX(Calc!$O$2:$O$1001,MATCH(ROW()-1,Calc!$X$2:$X$1001,0)),"")</f>
        <v/>
      </c>
      <c r="E434" s="3">
        <f>IFERROR(INDEX(Calc!$P$2:$P$1001,MATCH(ROW()-1,Calc!$X$2:$X$1001,0)),"")</f>
        <v/>
      </c>
      <c r="F434" s="3">
        <f>IF(G434="","",E434-D434)</f>
        <v/>
      </c>
      <c r="G434">
        <f>IFERROR(INDEX(Calc!$S$2:$S$1001,MATCH(ROW()-1,Calc!$X$2:$X$1001,0)),"")</f>
        <v/>
      </c>
    </row>
    <row r="435">
      <c r="A435">
        <f>IFERROR(INDEX(Calc!$L$2:$L$1001,MATCH(ROW()-1,Calc!$X$2:$X$1001,0)),"")</f>
        <v/>
      </c>
      <c r="B435">
        <f>IFERROR(INDEX(Calc!$M$2:$M$1001,MATCH(ROW()-1,Calc!$X$2:$X$1001,0)),"")</f>
        <v/>
      </c>
      <c r="C435">
        <f>IFERROR(INDEX(Calc!$N$2:$N$1001,MATCH(ROW()-1,Calc!$X$2:$X$1001,0)),"")</f>
        <v/>
      </c>
      <c r="D435" s="3">
        <f>IFERROR(INDEX(Calc!$O$2:$O$1001,MATCH(ROW()-1,Calc!$X$2:$X$1001,0)),"")</f>
        <v/>
      </c>
      <c r="E435" s="3">
        <f>IFERROR(INDEX(Calc!$P$2:$P$1001,MATCH(ROW()-1,Calc!$X$2:$X$1001,0)),"")</f>
        <v/>
      </c>
      <c r="F435" s="3">
        <f>IF(G435="","",E435-D435)</f>
        <v/>
      </c>
      <c r="G435">
        <f>IFERROR(INDEX(Calc!$S$2:$S$1001,MATCH(ROW()-1,Calc!$X$2:$X$1001,0)),"")</f>
        <v/>
      </c>
    </row>
    <row r="436">
      <c r="A436">
        <f>IFERROR(INDEX(Calc!$L$2:$L$1001,MATCH(ROW()-1,Calc!$X$2:$X$1001,0)),"")</f>
        <v/>
      </c>
      <c r="B436">
        <f>IFERROR(INDEX(Calc!$M$2:$M$1001,MATCH(ROW()-1,Calc!$X$2:$X$1001,0)),"")</f>
        <v/>
      </c>
      <c r="C436">
        <f>IFERROR(INDEX(Calc!$N$2:$N$1001,MATCH(ROW()-1,Calc!$X$2:$X$1001,0)),"")</f>
        <v/>
      </c>
      <c r="D436" s="3">
        <f>IFERROR(INDEX(Calc!$O$2:$O$1001,MATCH(ROW()-1,Calc!$X$2:$X$1001,0)),"")</f>
        <v/>
      </c>
      <c r="E436" s="3">
        <f>IFERROR(INDEX(Calc!$P$2:$P$1001,MATCH(ROW()-1,Calc!$X$2:$X$1001,0)),"")</f>
        <v/>
      </c>
      <c r="F436" s="3">
        <f>IF(G436="","",E436-D436)</f>
        <v/>
      </c>
      <c r="G436">
        <f>IFERROR(INDEX(Calc!$S$2:$S$1001,MATCH(ROW()-1,Calc!$X$2:$X$1001,0)),"")</f>
        <v/>
      </c>
    </row>
    <row r="437">
      <c r="A437">
        <f>IFERROR(INDEX(Calc!$L$2:$L$1001,MATCH(ROW()-1,Calc!$X$2:$X$1001,0)),"")</f>
        <v/>
      </c>
      <c r="B437">
        <f>IFERROR(INDEX(Calc!$M$2:$M$1001,MATCH(ROW()-1,Calc!$X$2:$X$1001,0)),"")</f>
        <v/>
      </c>
      <c r="C437">
        <f>IFERROR(INDEX(Calc!$N$2:$N$1001,MATCH(ROW()-1,Calc!$X$2:$X$1001,0)),"")</f>
        <v/>
      </c>
      <c r="D437" s="3">
        <f>IFERROR(INDEX(Calc!$O$2:$O$1001,MATCH(ROW()-1,Calc!$X$2:$X$1001,0)),"")</f>
        <v/>
      </c>
      <c r="E437" s="3">
        <f>IFERROR(INDEX(Calc!$P$2:$P$1001,MATCH(ROW()-1,Calc!$X$2:$X$1001,0)),"")</f>
        <v/>
      </c>
      <c r="F437" s="3">
        <f>IF(G437="","",E437-D437)</f>
        <v/>
      </c>
      <c r="G437">
        <f>IFERROR(INDEX(Calc!$S$2:$S$1001,MATCH(ROW()-1,Calc!$X$2:$X$1001,0)),"")</f>
        <v/>
      </c>
    </row>
    <row r="438">
      <c r="A438">
        <f>IFERROR(INDEX(Calc!$L$2:$L$1001,MATCH(ROW()-1,Calc!$X$2:$X$1001,0)),"")</f>
        <v/>
      </c>
      <c r="B438">
        <f>IFERROR(INDEX(Calc!$M$2:$M$1001,MATCH(ROW()-1,Calc!$X$2:$X$1001,0)),"")</f>
        <v/>
      </c>
      <c r="C438">
        <f>IFERROR(INDEX(Calc!$N$2:$N$1001,MATCH(ROW()-1,Calc!$X$2:$X$1001,0)),"")</f>
        <v/>
      </c>
      <c r="D438" s="3">
        <f>IFERROR(INDEX(Calc!$O$2:$O$1001,MATCH(ROW()-1,Calc!$X$2:$X$1001,0)),"")</f>
        <v/>
      </c>
      <c r="E438" s="3">
        <f>IFERROR(INDEX(Calc!$P$2:$P$1001,MATCH(ROW()-1,Calc!$X$2:$X$1001,0)),"")</f>
        <v/>
      </c>
      <c r="F438" s="3">
        <f>IF(G438="","",E438-D438)</f>
        <v/>
      </c>
      <c r="G438">
        <f>IFERROR(INDEX(Calc!$S$2:$S$1001,MATCH(ROW()-1,Calc!$X$2:$X$1001,0)),"")</f>
        <v/>
      </c>
    </row>
    <row r="439">
      <c r="A439">
        <f>IFERROR(INDEX(Calc!$L$2:$L$1001,MATCH(ROW()-1,Calc!$X$2:$X$1001,0)),"")</f>
        <v/>
      </c>
      <c r="B439">
        <f>IFERROR(INDEX(Calc!$M$2:$M$1001,MATCH(ROW()-1,Calc!$X$2:$X$1001,0)),"")</f>
        <v/>
      </c>
      <c r="C439">
        <f>IFERROR(INDEX(Calc!$N$2:$N$1001,MATCH(ROW()-1,Calc!$X$2:$X$1001,0)),"")</f>
        <v/>
      </c>
      <c r="D439" s="3">
        <f>IFERROR(INDEX(Calc!$O$2:$O$1001,MATCH(ROW()-1,Calc!$X$2:$X$1001,0)),"")</f>
        <v/>
      </c>
      <c r="E439" s="3">
        <f>IFERROR(INDEX(Calc!$P$2:$P$1001,MATCH(ROW()-1,Calc!$X$2:$X$1001,0)),"")</f>
        <v/>
      </c>
      <c r="F439" s="3">
        <f>IF(G439="","",E439-D439)</f>
        <v/>
      </c>
      <c r="G439">
        <f>IFERROR(INDEX(Calc!$S$2:$S$1001,MATCH(ROW()-1,Calc!$X$2:$X$1001,0)),"")</f>
        <v/>
      </c>
    </row>
    <row r="440">
      <c r="A440">
        <f>IFERROR(INDEX(Calc!$L$2:$L$1001,MATCH(ROW()-1,Calc!$X$2:$X$1001,0)),"")</f>
        <v/>
      </c>
      <c r="B440">
        <f>IFERROR(INDEX(Calc!$M$2:$M$1001,MATCH(ROW()-1,Calc!$X$2:$X$1001,0)),"")</f>
        <v/>
      </c>
      <c r="C440">
        <f>IFERROR(INDEX(Calc!$N$2:$N$1001,MATCH(ROW()-1,Calc!$X$2:$X$1001,0)),"")</f>
        <v/>
      </c>
      <c r="D440" s="3">
        <f>IFERROR(INDEX(Calc!$O$2:$O$1001,MATCH(ROW()-1,Calc!$X$2:$X$1001,0)),"")</f>
        <v/>
      </c>
      <c r="E440" s="3">
        <f>IFERROR(INDEX(Calc!$P$2:$P$1001,MATCH(ROW()-1,Calc!$X$2:$X$1001,0)),"")</f>
        <v/>
      </c>
      <c r="F440" s="3">
        <f>IF(G440="","",E440-D440)</f>
        <v/>
      </c>
      <c r="G440">
        <f>IFERROR(INDEX(Calc!$S$2:$S$1001,MATCH(ROW()-1,Calc!$X$2:$X$1001,0)),"")</f>
        <v/>
      </c>
    </row>
    <row r="441">
      <c r="A441">
        <f>IFERROR(INDEX(Calc!$L$2:$L$1001,MATCH(ROW()-1,Calc!$X$2:$X$1001,0)),"")</f>
        <v/>
      </c>
      <c r="B441">
        <f>IFERROR(INDEX(Calc!$M$2:$M$1001,MATCH(ROW()-1,Calc!$X$2:$X$1001,0)),"")</f>
        <v/>
      </c>
      <c r="C441">
        <f>IFERROR(INDEX(Calc!$N$2:$N$1001,MATCH(ROW()-1,Calc!$X$2:$X$1001,0)),"")</f>
        <v/>
      </c>
      <c r="D441" s="3">
        <f>IFERROR(INDEX(Calc!$O$2:$O$1001,MATCH(ROW()-1,Calc!$X$2:$X$1001,0)),"")</f>
        <v/>
      </c>
      <c r="E441" s="3">
        <f>IFERROR(INDEX(Calc!$P$2:$P$1001,MATCH(ROW()-1,Calc!$X$2:$X$1001,0)),"")</f>
        <v/>
      </c>
      <c r="F441" s="3">
        <f>IF(G441="","",E441-D441)</f>
        <v/>
      </c>
      <c r="G441">
        <f>IFERROR(INDEX(Calc!$S$2:$S$1001,MATCH(ROW()-1,Calc!$X$2:$X$1001,0)),"")</f>
        <v/>
      </c>
    </row>
    <row r="442">
      <c r="A442">
        <f>IFERROR(INDEX(Calc!$L$2:$L$1001,MATCH(ROW()-1,Calc!$X$2:$X$1001,0)),"")</f>
        <v/>
      </c>
      <c r="B442">
        <f>IFERROR(INDEX(Calc!$M$2:$M$1001,MATCH(ROW()-1,Calc!$X$2:$X$1001,0)),"")</f>
        <v/>
      </c>
      <c r="C442">
        <f>IFERROR(INDEX(Calc!$N$2:$N$1001,MATCH(ROW()-1,Calc!$X$2:$X$1001,0)),"")</f>
        <v/>
      </c>
      <c r="D442" s="3">
        <f>IFERROR(INDEX(Calc!$O$2:$O$1001,MATCH(ROW()-1,Calc!$X$2:$X$1001,0)),"")</f>
        <v/>
      </c>
      <c r="E442" s="3">
        <f>IFERROR(INDEX(Calc!$P$2:$P$1001,MATCH(ROW()-1,Calc!$X$2:$X$1001,0)),"")</f>
        <v/>
      </c>
      <c r="F442" s="3">
        <f>IF(G442="","",E442-D442)</f>
        <v/>
      </c>
      <c r="G442">
        <f>IFERROR(INDEX(Calc!$S$2:$S$1001,MATCH(ROW()-1,Calc!$X$2:$X$1001,0)),"")</f>
        <v/>
      </c>
    </row>
    <row r="443">
      <c r="A443">
        <f>IFERROR(INDEX(Calc!$L$2:$L$1001,MATCH(ROW()-1,Calc!$X$2:$X$1001,0)),"")</f>
        <v/>
      </c>
      <c r="B443">
        <f>IFERROR(INDEX(Calc!$M$2:$M$1001,MATCH(ROW()-1,Calc!$X$2:$X$1001,0)),"")</f>
        <v/>
      </c>
      <c r="C443">
        <f>IFERROR(INDEX(Calc!$N$2:$N$1001,MATCH(ROW()-1,Calc!$X$2:$X$1001,0)),"")</f>
        <v/>
      </c>
      <c r="D443" s="3">
        <f>IFERROR(INDEX(Calc!$O$2:$O$1001,MATCH(ROW()-1,Calc!$X$2:$X$1001,0)),"")</f>
        <v/>
      </c>
      <c r="E443" s="3">
        <f>IFERROR(INDEX(Calc!$P$2:$P$1001,MATCH(ROW()-1,Calc!$X$2:$X$1001,0)),"")</f>
        <v/>
      </c>
      <c r="F443" s="3">
        <f>IF(G443="","",E443-D443)</f>
        <v/>
      </c>
      <c r="G443">
        <f>IFERROR(INDEX(Calc!$S$2:$S$1001,MATCH(ROW()-1,Calc!$X$2:$X$1001,0)),"")</f>
        <v/>
      </c>
    </row>
    <row r="444">
      <c r="A444">
        <f>IFERROR(INDEX(Calc!$L$2:$L$1001,MATCH(ROW()-1,Calc!$X$2:$X$1001,0)),"")</f>
        <v/>
      </c>
      <c r="B444">
        <f>IFERROR(INDEX(Calc!$M$2:$M$1001,MATCH(ROW()-1,Calc!$X$2:$X$1001,0)),"")</f>
        <v/>
      </c>
      <c r="C444">
        <f>IFERROR(INDEX(Calc!$N$2:$N$1001,MATCH(ROW()-1,Calc!$X$2:$X$1001,0)),"")</f>
        <v/>
      </c>
      <c r="D444" s="3">
        <f>IFERROR(INDEX(Calc!$O$2:$O$1001,MATCH(ROW()-1,Calc!$X$2:$X$1001,0)),"")</f>
        <v/>
      </c>
      <c r="E444" s="3">
        <f>IFERROR(INDEX(Calc!$P$2:$P$1001,MATCH(ROW()-1,Calc!$X$2:$X$1001,0)),"")</f>
        <v/>
      </c>
      <c r="F444" s="3">
        <f>IF(G444="","",E444-D444)</f>
        <v/>
      </c>
      <c r="G444">
        <f>IFERROR(INDEX(Calc!$S$2:$S$1001,MATCH(ROW()-1,Calc!$X$2:$X$1001,0)),"")</f>
        <v/>
      </c>
    </row>
    <row r="445">
      <c r="A445">
        <f>IFERROR(INDEX(Calc!$L$2:$L$1001,MATCH(ROW()-1,Calc!$X$2:$X$1001,0)),"")</f>
        <v/>
      </c>
      <c r="B445">
        <f>IFERROR(INDEX(Calc!$M$2:$M$1001,MATCH(ROW()-1,Calc!$X$2:$X$1001,0)),"")</f>
        <v/>
      </c>
      <c r="C445">
        <f>IFERROR(INDEX(Calc!$N$2:$N$1001,MATCH(ROW()-1,Calc!$X$2:$X$1001,0)),"")</f>
        <v/>
      </c>
      <c r="D445" s="3">
        <f>IFERROR(INDEX(Calc!$O$2:$O$1001,MATCH(ROW()-1,Calc!$X$2:$X$1001,0)),"")</f>
        <v/>
      </c>
      <c r="E445" s="3">
        <f>IFERROR(INDEX(Calc!$P$2:$P$1001,MATCH(ROW()-1,Calc!$X$2:$X$1001,0)),"")</f>
        <v/>
      </c>
      <c r="F445" s="3">
        <f>IF(G445="","",E445-D445)</f>
        <v/>
      </c>
      <c r="G445">
        <f>IFERROR(INDEX(Calc!$S$2:$S$1001,MATCH(ROW()-1,Calc!$X$2:$X$1001,0)),"")</f>
        <v/>
      </c>
    </row>
    <row r="446">
      <c r="A446">
        <f>IFERROR(INDEX(Calc!$L$2:$L$1001,MATCH(ROW()-1,Calc!$X$2:$X$1001,0)),"")</f>
        <v/>
      </c>
      <c r="B446">
        <f>IFERROR(INDEX(Calc!$M$2:$M$1001,MATCH(ROW()-1,Calc!$X$2:$X$1001,0)),"")</f>
        <v/>
      </c>
      <c r="C446">
        <f>IFERROR(INDEX(Calc!$N$2:$N$1001,MATCH(ROW()-1,Calc!$X$2:$X$1001,0)),"")</f>
        <v/>
      </c>
      <c r="D446" s="3">
        <f>IFERROR(INDEX(Calc!$O$2:$O$1001,MATCH(ROW()-1,Calc!$X$2:$X$1001,0)),"")</f>
        <v/>
      </c>
      <c r="E446" s="3">
        <f>IFERROR(INDEX(Calc!$P$2:$P$1001,MATCH(ROW()-1,Calc!$X$2:$X$1001,0)),"")</f>
        <v/>
      </c>
      <c r="F446" s="3">
        <f>IF(G446="","",E446-D446)</f>
        <v/>
      </c>
      <c r="G446">
        <f>IFERROR(INDEX(Calc!$S$2:$S$1001,MATCH(ROW()-1,Calc!$X$2:$X$1001,0)),"")</f>
        <v/>
      </c>
    </row>
    <row r="447">
      <c r="A447">
        <f>IFERROR(INDEX(Calc!$L$2:$L$1001,MATCH(ROW()-1,Calc!$X$2:$X$1001,0)),"")</f>
        <v/>
      </c>
      <c r="B447">
        <f>IFERROR(INDEX(Calc!$M$2:$M$1001,MATCH(ROW()-1,Calc!$X$2:$X$1001,0)),"")</f>
        <v/>
      </c>
      <c r="C447">
        <f>IFERROR(INDEX(Calc!$N$2:$N$1001,MATCH(ROW()-1,Calc!$X$2:$X$1001,0)),"")</f>
        <v/>
      </c>
      <c r="D447" s="3">
        <f>IFERROR(INDEX(Calc!$O$2:$O$1001,MATCH(ROW()-1,Calc!$X$2:$X$1001,0)),"")</f>
        <v/>
      </c>
      <c r="E447" s="3">
        <f>IFERROR(INDEX(Calc!$P$2:$P$1001,MATCH(ROW()-1,Calc!$X$2:$X$1001,0)),"")</f>
        <v/>
      </c>
      <c r="F447" s="3">
        <f>IF(G447="","",E447-D447)</f>
        <v/>
      </c>
      <c r="G447">
        <f>IFERROR(INDEX(Calc!$S$2:$S$1001,MATCH(ROW()-1,Calc!$X$2:$X$1001,0)),"")</f>
        <v/>
      </c>
    </row>
    <row r="448">
      <c r="A448">
        <f>IFERROR(INDEX(Calc!$L$2:$L$1001,MATCH(ROW()-1,Calc!$X$2:$X$1001,0)),"")</f>
        <v/>
      </c>
      <c r="B448">
        <f>IFERROR(INDEX(Calc!$M$2:$M$1001,MATCH(ROW()-1,Calc!$X$2:$X$1001,0)),"")</f>
        <v/>
      </c>
      <c r="C448">
        <f>IFERROR(INDEX(Calc!$N$2:$N$1001,MATCH(ROW()-1,Calc!$X$2:$X$1001,0)),"")</f>
        <v/>
      </c>
      <c r="D448" s="3">
        <f>IFERROR(INDEX(Calc!$O$2:$O$1001,MATCH(ROW()-1,Calc!$X$2:$X$1001,0)),"")</f>
        <v/>
      </c>
      <c r="E448" s="3">
        <f>IFERROR(INDEX(Calc!$P$2:$P$1001,MATCH(ROW()-1,Calc!$X$2:$X$1001,0)),"")</f>
        <v/>
      </c>
      <c r="F448" s="3">
        <f>IF(G448="","",E448-D448)</f>
        <v/>
      </c>
      <c r="G448">
        <f>IFERROR(INDEX(Calc!$S$2:$S$1001,MATCH(ROW()-1,Calc!$X$2:$X$1001,0)),"")</f>
        <v/>
      </c>
    </row>
    <row r="449">
      <c r="A449">
        <f>IFERROR(INDEX(Calc!$L$2:$L$1001,MATCH(ROW()-1,Calc!$X$2:$X$1001,0)),"")</f>
        <v/>
      </c>
      <c r="B449">
        <f>IFERROR(INDEX(Calc!$M$2:$M$1001,MATCH(ROW()-1,Calc!$X$2:$X$1001,0)),"")</f>
        <v/>
      </c>
      <c r="C449">
        <f>IFERROR(INDEX(Calc!$N$2:$N$1001,MATCH(ROW()-1,Calc!$X$2:$X$1001,0)),"")</f>
        <v/>
      </c>
      <c r="D449" s="3">
        <f>IFERROR(INDEX(Calc!$O$2:$O$1001,MATCH(ROW()-1,Calc!$X$2:$X$1001,0)),"")</f>
        <v/>
      </c>
      <c r="E449" s="3">
        <f>IFERROR(INDEX(Calc!$P$2:$P$1001,MATCH(ROW()-1,Calc!$X$2:$X$1001,0)),"")</f>
        <v/>
      </c>
      <c r="F449" s="3">
        <f>IF(G449="","",E449-D449)</f>
        <v/>
      </c>
      <c r="G449">
        <f>IFERROR(INDEX(Calc!$S$2:$S$1001,MATCH(ROW()-1,Calc!$X$2:$X$1001,0)),"")</f>
        <v/>
      </c>
    </row>
    <row r="450">
      <c r="A450">
        <f>IFERROR(INDEX(Calc!$L$2:$L$1001,MATCH(ROW()-1,Calc!$X$2:$X$1001,0)),"")</f>
        <v/>
      </c>
      <c r="B450">
        <f>IFERROR(INDEX(Calc!$M$2:$M$1001,MATCH(ROW()-1,Calc!$X$2:$X$1001,0)),"")</f>
        <v/>
      </c>
      <c r="C450">
        <f>IFERROR(INDEX(Calc!$N$2:$N$1001,MATCH(ROW()-1,Calc!$X$2:$X$1001,0)),"")</f>
        <v/>
      </c>
      <c r="D450" s="3">
        <f>IFERROR(INDEX(Calc!$O$2:$O$1001,MATCH(ROW()-1,Calc!$X$2:$X$1001,0)),"")</f>
        <v/>
      </c>
      <c r="E450" s="3">
        <f>IFERROR(INDEX(Calc!$P$2:$P$1001,MATCH(ROW()-1,Calc!$X$2:$X$1001,0)),"")</f>
        <v/>
      </c>
      <c r="F450" s="3">
        <f>IF(G450="","",E450-D450)</f>
        <v/>
      </c>
      <c r="G450">
        <f>IFERROR(INDEX(Calc!$S$2:$S$1001,MATCH(ROW()-1,Calc!$X$2:$X$1001,0)),"")</f>
        <v/>
      </c>
    </row>
    <row r="451">
      <c r="A451">
        <f>IFERROR(INDEX(Calc!$L$2:$L$1001,MATCH(ROW()-1,Calc!$X$2:$X$1001,0)),"")</f>
        <v/>
      </c>
      <c r="B451">
        <f>IFERROR(INDEX(Calc!$M$2:$M$1001,MATCH(ROW()-1,Calc!$X$2:$X$1001,0)),"")</f>
        <v/>
      </c>
      <c r="C451">
        <f>IFERROR(INDEX(Calc!$N$2:$N$1001,MATCH(ROW()-1,Calc!$X$2:$X$1001,0)),"")</f>
        <v/>
      </c>
      <c r="D451" s="3">
        <f>IFERROR(INDEX(Calc!$O$2:$O$1001,MATCH(ROW()-1,Calc!$X$2:$X$1001,0)),"")</f>
        <v/>
      </c>
      <c r="E451" s="3">
        <f>IFERROR(INDEX(Calc!$P$2:$P$1001,MATCH(ROW()-1,Calc!$X$2:$X$1001,0)),"")</f>
        <v/>
      </c>
      <c r="F451" s="3">
        <f>IF(G451="","",E451-D451)</f>
        <v/>
      </c>
      <c r="G451">
        <f>IFERROR(INDEX(Calc!$S$2:$S$1001,MATCH(ROW()-1,Calc!$X$2:$X$1001,0)),"")</f>
        <v/>
      </c>
    </row>
    <row r="452">
      <c r="A452">
        <f>IFERROR(INDEX(Calc!$L$2:$L$1001,MATCH(ROW()-1,Calc!$X$2:$X$1001,0)),"")</f>
        <v/>
      </c>
      <c r="B452">
        <f>IFERROR(INDEX(Calc!$M$2:$M$1001,MATCH(ROW()-1,Calc!$X$2:$X$1001,0)),"")</f>
        <v/>
      </c>
      <c r="C452">
        <f>IFERROR(INDEX(Calc!$N$2:$N$1001,MATCH(ROW()-1,Calc!$X$2:$X$1001,0)),"")</f>
        <v/>
      </c>
      <c r="D452" s="3">
        <f>IFERROR(INDEX(Calc!$O$2:$O$1001,MATCH(ROW()-1,Calc!$X$2:$X$1001,0)),"")</f>
        <v/>
      </c>
      <c r="E452" s="3">
        <f>IFERROR(INDEX(Calc!$P$2:$P$1001,MATCH(ROW()-1,Calc!$X$2:$X$1001,0)),"")</f>
        <v/>
      </c>
      <c r="F452" s="3">
        <f>IF(G452="","",E452-D452)</f>
        <v/>
      </c>
      <c r="G452">
        <f>IFERROR(INDEX(Calc!$S$2:$S$1001,MATCH(ROW()-1,Calc!$X$2:$X$1001,0)),"")</f>
        <v/>
      </c>
    </row>
    <row r="453">
      <c r="A453">
        <f>IFERROR(INDEX(Calc!$L$2:$L$1001,MATCH(ROW()-1,Calc!$X$2:$X$1001,0)),"")</f>
        <v/>
      </c>
      <c r="B453">
        <f>IFERROR(INDEX(Calc!$M$2:$M$1001,MATCH(ROW()-1,Calc!$X$2:$X$1001,0)),"")</f>
        <v/>
      </c>
      <c r="C453">
        <f>IFERROR(INDEX(Calc!$N$2:$N$1001,MATCH(ROW()-1,Calc!$X$2:$X$1001,0)),"")</f>
        <v/>
      </c>
      <c r="D453" s="3">
        <f>IFERROR(INDEX(Calc!$O$2:$O$1001,MATCH(ROW()-1,Calc!$X$2:$X$1001,0)),"")</f>
        <v/>
      </c>
      <c r="E453" s="3">
        <f>IFERROR(INDEX(Calc!$P$2:$P$1001,MATCH(ROW()-1,Calc!$X$2:$X$1001,0)),"")</f>
        <v/>
      </c>
      <c r="F453" s="3">
        <f>IF(G453="","",E453-D453)</f>
        <v/>
      </c>
      <c r="G453">
        <f>IFERROR(INDEX(Calc!$S$2:$S$1001,MATCH(ROW()-1,Calc!$X$2:$X$1001,0)),"")</f>
        <v/>
      </c>
    </row>
    <row r="454">
      <c r="A454">
        <f>IFERROR(INDEX(Calc!$L$2:$L$1001,MATCH(ROW()-1,Calc!$X$2:$X$1001,0)),"")</f>
        <v/>
      </c>
      <c r="B454">
        <f>IFERROR(INDEX(Calc!$M$2:$M$1001,MATCH(ROW()-1,Calc!$X$2:$X$1001,0)),"")</f>
        <v/>
      </c>
      <c r="C454">
        <f>IFERROR(INDEX(Calc!$N$2:$N$1001,MATCH(ROW()-1,Calc!$X$2:$X$1001,0)),"")</f>
        <v/>
      </c>
      <c r="D454" s="3">
        <f>IFERROR(INDEX(Calc!$O$2:$O$1001,MATCH(ROW()-1,Calc!$X$2:$X$1001,0)),"")</f>
        <v/>
      </c>
      <c r="E454" s="3">
        <f>IFERROR(INDEX(Calc!$P$2:$P$1001,MATCH(ROW()-1,Calc!$X$2:$X$1001,0)),"")</f>
        <v/>
      </c>
      <c r="F454" s="3">
        <f>IF(G454="","",E454-D454)</f>
        <v/>
      </c>
      <c r="G454">
        <f>IFERROR(INDEX(Calc!$S$2:$S$1001,MATCH(ROW()-1,Calc!$X$2:$X$1001,0)),"")</f>
        <v/>
      </c>
    </row>
    <row r="455">
      <c r="A455">
        <f>IFERROR(INDEX(Calc!$L$2:$L$1001,MATCH(ROW()-1,Calc!$X$2:$X$1001,0)),"")</f>
        <v/>
      </c>
      <c r="B455">
        <f>IFERROR(INDEX(Calc!$M$2:$M$1001,MATCH(ROW()-1,Calc!$X$2:$X$1001,0)),"")</f>
        <v/>
      </c>
      <c r="C455">
        <f>IFERROR(INDEX(Calc!$N$2:$N$1001,MATCH(ROW()-1,Calc!$X$2:$X$1001,0)),"")</f>
        <v/>
      </c>
      <c r="D455" s="3">
        <f>IFERROR(INDEX(Calc!$O$2:$O$1001,MATCH(ROW()-1,Calc!$X$2:$X$1001,0)),"")</f>
        <v/>
      </c>
      <c r="E455" s="3">
        <f>IFERROR(INDEX(Calc!$P$2:$P$1001,MATCH(ROW()-1,Calc!$X$2:$X$1001,0)),"")</f>
        <v/>
      </c>
      <c r="F455" s="3">
        <f>IF(G455="","",E455-D455)</f>
        <v/>
      </c>
      <c r="G455">
        <f>IFERROR(INDEX(Calc!$S$2:$S$1001,MATCH(ROW()-1,Calc!$X$2:$X$1001,0)),"")</f>
        <v/>
      </c>
    </row>
    <row r="456">
      <c r="A456">
        <f>IFERROR(INDEX(Calc!$L$2:$L$1001,MATCH(ROW()-1,Calc!$X$2:$X$1001,0)),"")</f>
        <v/>
      </c>
      <c r="B456">
        <f>IFERROR(INDEX(Calc!$M$2:$M$1001,MATCH(ROW()-1,Calc!$X$2:$X$1001,0)),"")</f>
        <v/>
      </c>
      <c r="C456">
        <f>IFERROR(INDEX(Calc!$N$2:$N$1001,MATCH(ROW()-1,Calc!$X$2:$X$1001,0)),"")</f>
        <v/>
      </c>
      <c r="D456" s="3">
        <f>IFERROR(INDEX(Calc!$O$2:$O$1001,MATCH(ROW()-1,Calc!$X$2:$X$1001,0)),"")</f>
        <v/>
      </c>
      <c r="E456" s="3">
        <f>IFERROR(INDEX(Calc!$P$2:$P$1001,MATCH(ROW()-1,Calc!$X$2:$X$1001,0)),"")</f>
        <v/>
      </c>
      <c r="F456" s="3">
        <f>IF(G456="","",E456-D456)</f>
        <v/>
      </c>
      <c r="G456">
        <f>IFERROR(INDEX(Calc!$S$2:$S$1001,MATCH(ROW()-1,Calc!$X$2:$X$1001,0)),"")</f>
        <v/>
      </c>
    </row>
    <row r="457">
      <c r="A457">
        <f>IFERROR(INDEX(Calc!$L$2:$L$1001,MATCH(ROW()-1,Calc!$X$2:$X$1001,0)),"")</f>
        <v/>
      </c>
      <c r="B457">
        <f>IFERROR(INDEX(Calc!$M$2:$M$1001,MATCH(ROW()-1,Calc!$X$2:$X$1001,0)),"")</f>
        <v/>
      </c>
      <c r="C457">
        <f>IFERROR(INDEX(Calc!$N$2:$N$1001,MATCH(ROW()-1,Calc!$X$2:$X$1001,0)),"")</f>
        <v/>
      </c>
      <c r="D457" s="3">
        <f>IFERROR(INDEX(Calc!$O$2:$O$1001,MATCH(ROW()-1,Calc!$X$2:$X$1001,0)),"")</f>
        <v/>
      </c>
      <c r="E457" s="3">
        <f>IFERROR(INDEX(Calc!$P$2:$P$1001,MATCH(ROW()-1,Calc!$X$2:$X$1001,0)),"")</f>
        <v/>
      </c>
      <c r="F457" s="3">
        <f>IF(G457="","",E457-D457)</f>
        <v/>
      </c>
      <c r="G457">
        <f>IFERROR(INDEX(Calc!$S$2:$S$1001,MATCH(ROW()-1,Calc!$X$2:$X$1001,0)),"")</f>
        <v/>
      </c>
    </row>
    <row r="458">
      <c r="A458">
        <f>IFERROR(INDEX(Calc!$L$2:$L$1001,MATCH(ROW()-1,Calc!$X$2:$X$1001,0)),"")</f>
        <v/>
      </c>
      <c r="B458">
        <f>IFERROR(INDEX(Calc!$M$2:$M$1001,MATCH(ROW()-1,Calc!$X$2:$X$1001,0)),"")</f>
        <v/>
      </c>
      <c r="C458">
        <f>IFERROR(INDEX(Calc!$N$2:$N$1001,MATCH(ROW()-1,Calc!$X$2:$X$1001,0)),"")</f>
        <v/>
      </c>
      <c r="D458" s="3">
        <f>IFERROR(INDEX(Calc!$O$2:$O$1001,MATCH(ROW()-1,Calc!$X$2:$X$1001,0)),"")</f>
        <v/>
      </c>
      <c r="E458" s="3">
        <f>IFERROR(INDEX(Calc!$P$2:$P$1001,MATCH(ROW()-1,Calc!$X$2:$X$1001,0)),"")</f>
        <v/>
      </c>
      <c r="F458" s="3">
        <f>IF(G458="","",E458-D458)</f>
        <v/>
      </c>
      <c r="G458">
        <f>IFERROR(INDEX(Calc!$S$2:$S$1001,MATCH(ROW()-1,Calc!$X$2:$X$1001,0)),"")</f>
        <v/>
      </c>
    </row>
    <row r="459">
      <c r="A459">
        <f>IFERROR(INDEX(Calc!$L$2:$L$1001,MATCH(ROW()-1,Calc!$X$2:$X$1001,0)),"")</f>
        <v/>
      </c>
      <c r="B459">
        <f>IFERROR(INDEX(Calc!$M$2:$M$1001,MATCH(ROW()-1,Calc!$X$2:$X$1001,0)),"")</f>
        <v/>
      </c>
      <c r="C459">
        <f>IFERROR(INDEX(Calc!$N$2:$N$1001,MATCH(ROW()-1,Calc!$X$2:$X$1001,0)),"")</f>
        <v/>
      </c>
      <c r="D459" s="3">
        <f>IFERROR(INDEX(Calc!$O$2:$O$1001,MATCH(ROW()-1,Calc!$X$2:$X$1001,0)),"")</f>
        <v/>
      </c>
      <c r="E459" s="3">
        <f>IFERROR(INDEX(Calc!$P$2:$P$1001,MATCH(ROW()-1,Calc!$X$2:$X$1001,0)),"")</f>
        <v/>
      </c>
      <c r="F459" s="3">
        <f>IF(G459="","",E459-D459)</f>
        <v/>
      </c>
      <c r="G459">
        <f>IFERROR(INDEX(Calc!$S$2:$S$1001,MATCH(ROW()-1,Calc!$X$2:$X$1001,0)),"")</f>
        <v/>
      </c>
    </row>
    <row r="460">
      <c r="A460">
        <f>IFERROR(INDEX(Calc!$L$2:$L$1001,MATCH(ROW()-1,Calc!$X$2:$X$1001,0)),"")</f>
        <v/>
      </c>
      <c r="B460">
        <f>IFERROR(INDEX(Calc!$M$2:$M$1001,MATCH(ROW()-1,Calc!$X$2:$X$1001,0)),"")</f>
        <v/>
      </c>
      <c r="C460">
        <f>IFERROR(INDEX(Calc!$N$2:$N$1001,MATCH(ROW()-1,Calc!$X$2:$X$1001,0)),"")</f>
        <v/>
      </c>
      <c r="D460" s="3">
        <f>IFERROR(INDEX(Calc!$O$2:$O$1001,MATCH(ROW()-1,Calc!$X$2:$X$1001,0)),"")</f>
        <v/>
      </c>
      <c r="E460" s="3">
        <f>IFERROR(INDEX(Calc!$P$2:$P$1001,MATCH(ROW()-1,Calc!$X$2:$X$1001,0)),"")</f>
        <v/>
      </c>
      <c r="F460" s="3">
        <f>IF(G460="","",E460-D460)</f>
        <v/>
      </c>
      <c r="G460">
        <f>IFERROR(INDEX(Calc!$S$2:$S$1001,MATCH(ROW()-1,Calc!$X$2:$X$1001,0)),"")</f>
        <v/>
      </c>
    </row>
    <row r="461">
      <c r="A461">
        <f>IFERROR(INDEX(Calc!$L$2:$L$1001,MATCH(ROW()-1,Calc!$X$2:$X$1001,0)),"")</f>
        <v/>
      </c>
      <c r="B461">
        <f>IFERROR(INDEX(Calc!$M$2:$M$1001,MATCH(ROW()-1,Calc!$X$2:$X$1001,0)),"")</f>
        <v/>
      </c>
      <c r="C461">
        <f>IFERROR(INDEX(Calc!$N$2:$N$1001,MATCH(ROW()-1,Calc!$X$2:$X$1001,0)),"")</f>
        <v/>
      </c>
      <c r="D461" s="3">
        <f>IFERROR(INDEX(Calc!$O$2:$O$1001,MATCH(ROW()-1,Calc!$X$2:$X$1001,0)),"")</f>
        <v/>
      </c>
      <c r="E461" s="3">
        <f>IFERROR(INDEX(Calc!$P$2:$P$1001,MATCH(ROW()-1,Calc!$X$2:$X$1001,0)),"")</f>
        <v/>
      </c>
      <c r="F461" s="3">
        <f>IF(G461="","",E461-D461)</f>
        <v/>
      </c>
      <c r="G461">
        <f>IFERROR(INDEX(Calc!$S$2:$S$1001,MATCH(ROW()-1,Calc!$X$2:$X$1001,0)),"")</f>
        <v/>
      </c>
    </row>
    <row r="462">
      <c r="A462">
        <f>IFERROR(INDEX(Calc!$L$2:$L$1001,MATCH(ROW()-1,Calc!$X$2:$X$1001,0)),"")</f>
        <v/>
      </c>
      <c r="B462">
        <f>IFERROR(INDEX(Calc!$M$2:$M$1001,MATCH(ROW()-1,Calc!$X$2:$X$1001,0)),"")</f>
        <v/>
      </c>
      <c r="C462">
        <f>IFERROR(INDEX(Calc!$N$2:$N$1001,MATCH(ROW()-1,Calc!$X$2:$X$1001,0)),"")</f>
        <v/>
      </c>
      <c r="D462" s="3">
        <f>IFERROR(INDEX(Calc!$O$2:$O$1001,MATCH(ROW()-1,Calc!$X$2:$X$1001,0)),"")</f>
        <v/>
      </c>
      <c r="E462" s="3">
        <f>IFERROR(INDEX(Calc!$P$2:$P$1001,MATCH(ROW()-1,Calc!$X$2:$X$1001,0)),"")</f>
        <v/>
      </c>
      <c r="F462" s="3">
        <f>IF(G462="","",E462-D462)</f>
        <v/>
      </c>
      <c r="G462">
        <f>IFERROR(INDEX(Calc!$S$2:$S$1001,MATCH(ROW()-1,Calc!$X$2:$X$1001,0)),"")</f>
        <v/>
      </c>
    </row>
    <row r="463">
      <c r="A463">
        <f>IFERROR(INDEX(Calc!$L$2:$L$1001,MATCH(ROW()-1,Calc!$X$2:$X$1001,0)),"")</f>
        <v/>
      </c>
      <c r="B463">
        <f>IFERROR(INDEX(Calc!$M$2:$M$1001,MATCH(ROW()-1,Calc!$X$2:$X$1001,0)),"")</f>
        <v/>
      </c>
      <c r="C463">
        <f>IFERROR(INDEX(Calc!$N$2:$N$1001,MATCH(ROW()-1,Calc!$X$2:$X$1001,0)),"")</f>
        <v/>
      </c>
      <c r="D463" s="3">
        <f>IFERROR(INDEX(Calc!$O$2:$O$1001,MATCH(ROW()-1,Calc!$X$2:$X$1001,0)),"")</f>
        <v/>
      </c>
      <c r="E463" s="3">
        <f>IFERROR(INDEX(Calc!$P$2:$P$1001,MATCH(ROW()-1,Calc!$X$2:$X$1001,0)),"")</f>
        <v/>
      </c>
      <c r="F463" s="3">
        <f>IF(G463="","",E463-D463)</f>
        <v/>
      </c>
      <c r="G463">
        <f>IFERROR(INDEX(Calc!$S$2:$S$1001,MATCH(ROW()-1,Calc!$X$2:$X$1001,0)),"")</f>
        <v/>
      </c>
    </row>
    <row r="464">
      <c r="A464">
        <f>IFERROR(INDEX(Calc!$L$2:$L$1001,MATCH(ROW()-1,Calc!$X$2:$X$1001,0)),"")</f>
        <v/>
      </c>
      <c r="B464">
        <f>IFERROR(INDEX(Calc!$M$2:$M$1001,MATCH(ROW()-1,Calc!$X$2:$X$1001,0)),"")</f>
        <v/>
      </c>
      <c r="C464">
        <f>IFERROR(INDEX(Calc!$N$2:$N$1001,MATCH(ROW()-1,Calc!$X$2:$X$1001,0)),"")</f>
        <v/>
      </c>
      <c r="D464" s="3">
        <f>IFERROR(INDEX(Calc!$O$2:$O$1001,MATCH(ROW()-1,Calc!$X$2:$X$1001,0)),"")</f>
        <v/>
      </c>
      <c r="E464" s="3">
        <f>IFERROR(INDEX(Calc!$P$2:$P$1001,MATCH(ROW()-1,Calc!$X$2:$X$1001,0)),"")</f>
        <v/>
      </c>
      <c r="F464" s="3">
        <f>IF(G464="","",E464-D464)</f>
        <v/>
      </c>
      <c r="G464">
        <f>IFERROR(INDEX(Calc!$S$2:$S$1001,MATCH(ROW()-1,Calc!$X$2:$X$1001,0)),"")</f>
        <v/>
      </c>
    </row>
    <row r="465">
      <c r="A465">
        <f>IFERROR(INDEX(Calc!$L$2:$L$1001,MATCH(ROW()-1,Calc!$X$2:$X$1001,0)),"")</f>
        <v/>
      </c>
      <c r="B465">
        <f>IFERROR(INDEX(Calc!$M$2:$M$1001,MATCH(ROW()-1,Calc!$X$2:$X$1001,0)),"")</f>
        <v/>
      </c>
      <c r="C465">
        <f>IFERROR(INDEX(Calc!$N$2:$N$1001,MATCH(ROW()-1,Calc!$X$2:$X$1001,0)),"")</f>
        <v/>
      </c>
      <c r="D465" s="3">
        <f>IFERROR(INDEX(Calc!$O$2:$O$1001,MATCH(ROW()-1,Calc!$X$2:$X$1001,0)),"")</f>
        <v/>
      </c>
      <c r="E465" s="3">
        <f>IFERROR(INDEX(Calc!$P$2:$P$1001,MATCH(ROW()-1,Calc!$X$2:$X$1001,0)),"")</f>
        <v/>
      </c>
      <c r="F465" s="3">
        <f>IF(G465="","",E465-D465)</f>
        <v/>
      </c>
      <c r="G465">
        <f>IFERROR(INDEX(Calc!$S$2:$S$1001,MATCH(ROW()-1,Calc!$X$2:$X$1001,0)),"")</f>
        <v/>
      </c>
    </row>
    <row r="466">
      <c r="A466">
        <f>IFERROR(INDEX(Calc!$L$2:$L$1001,MATCH(ROW()-1,Calc!$X$2:$X$1001,0)),"")</f>
        <v/>
      </c>
      <c r="B466">
        <f>IFERROR(INDEX(Calc!$M$2:$M$1001,MATCH(ROW()-1,Calc!$X$2:$X$1001,0)),"")</f>
        <v/>
      </c>
      <c r="C466">
        <f>IFERROR(INDEX(Calc!$N$2:$N$1001,MATCH(ROW()-1,Calc!$X$2:$X$1001,0)),"")</f>
        <v/>
      </c>
      <c r="D466" s="3">
        <f>IFERROR(INDEX(Calc!$O$2:$O$1001,MATCH(ROW()-1,Calc!$X$2:$X$1001,0)),"")</f>
        <v/>
      </c>
      <c r="E466" s="3">
        <f>IFERROR(INDEX(Calc!$P$2:$P$1001,MATCH(ROW()-1,Calc!$X$2:$X$1001,0)),"")</f>
        <v/>
      </c>
      <c r="F466" s="3">
        <f>IF(G466="","",E466-D466)</f>
        <v/>
      </c>
      <c r="G466">
        <f>IFERROR(INDEX(Calc!$S$2:$S$1001,MATCH(ROW()-1,Calc!$X$2:$X$1001,0)),"")</f>
        <v/>
      </c>
    </row>
    <row r="467">
      <c r="A467">
        <f>IFERROR(INDEX(Calc!$L$2:$L$1001,MATCH(ROW()-1,Calc!$X$2:$X$1001,0)),"")</f>
        <v/>
      </c>
      <c r="B467">
        <f>IFERROR(INDEX(Calc!$M$2:$M$1001,MATCH(ROW()-1,Calc!$X$2:$X$1001,0)),"")</f>
        <v/>
      </c>
      <c r="C467">
        <f>IFERROR(INDEX(Calc!$N$2:$N$1001,MATCH(ROW()-1,Calc!$X$2:$X$1001,0)),"")</f>
        <v/>
      </c>
      <c r="D467" s="3">
        <f>IFERROR(INDEX(Calc!$O$2:$O$1001,MATCH(ROW()-1,Calc!$X$2:$X$1001,0)),"")</f>
        <v/>
      </c>
      <c r="E467" s="3">
        <f>IFERROR(INDEX(Calc!$P$2:$P$1001,MATCH(ROW()-1,Calc!$X$2:$X$1001,0)),"")</f>
        <v/>
      </c>
      <c r="F467" s="3">
        <f>IF(G467="","",E467-D467)</f>
        <v/>
      </c>
      <c r="G467">
        <f>IFERROR(INDEX(Calc!$S$2:$S$1001,MATCH(ROW()-1,Calc!$X$2:$X$1001,0)),"")</f>
        <v/>
      </c>
    </row>
    <row r="468">
      <c r="A468">
        <f>IFERROR(INDEX(Calc!$L$2:$L$1001,MATCH(ROW()-1,Calc!$X$2:$X$1001,0)),"")</f>
        <v/>
      </c>
      <c r="B468">
        <f>IFERROR(INDEX(Calc!$M$2:$M$1001,MATCH(ROW()-1,Calc!$X$2:$X$1001,0)),"")</f>
        <v/>
      </c>
      <c r="C468">
        <f>IFERROR(INDEX(Calc!$N$2:$N$1001,MATCH(ROW()-1,Calc!$X$2:$X$1001,0)),"")</f>
        <v/>
      </c>
      <c r="D468" s="3">
        <f>IFERROR(INDEX(Calc!$O$2:$O$1001,MATCH(ROW()-1,Calc!$X$2:$X$1001,0)),"")</f>
        <v/>
      </c>
      <c r="E468" s="3">
        <f>IFERROR(INDEX(Calc!$P$2:$P$1001,MATCH(ROW()-1,Calc!$X$2:$X$1001,0)),"")</f>
        <v/>
      </c>
      <c r="F468" s="3">
        <f>IF(G468="","",E468-D468)</f>
        <v/>
      </c>
      <c r="G468">
        <f>IFERROR(INDEX(Calc!$S$2:$S$1001,MATCH(ROW()-1,Calc!$X$2:$X$1001,0)),"")</f>
        <v/>
      </c>
    </row>
    <row r="469">
      <c r="A469">
        <f>IFERROR(INDEX(Calc!$L$2:$L$1001,MATCH(ROW()-1,Calc!$X$2:$X$1001,0)),"")</f>
        <v/>
      </c>
      <c r="B469">
        <f>IFERROR(INDEX(Calc!$M$2:$M$1001,MATCH(ROW()-1,Calc!$X$2:$X$1001,0)),"")</f>
        <v/>
      </c>
      <c r="C469">
        <f>IFERROR(INDEX(Calc!$N$2:$N$1001,MATCH(ROW()-1,Calc!$X$2:$X$1001,0)),"")</f>
        <v/>
      </c>
      <c r="D469" s="3">
        <f>IFERROR(INDEX(Calc!$O$2:$O$1001,MATCH(ROW()-1,Calc!$X$2:$X$1001,0)),"")</f>
        <v/>
      </c>
      <c r="E469" s="3">
        <f>IFERROR(INDEX(Calc!$P$2:$P$1001,MATCH(ROW()-1,Calc!$X$2:$X$1001,0)),"")</f>
        <v/>
      </c>
      <c r="F469" s="3">
        <f>IF(G469="","",E469-D469)</f>
        <v/>
      </c>
      <c r="G469">
        <f>IFERROR(INDEX(Calc!$S$2:$S$1001,MATCH(ROW()-1,Calc!$X$2:$X$1001,0)),"")</f>
        <v/>
      </c>
    </row>
    <row r="470">
      <c r="A470">
        <f>IFERROR(INDEX(Calc!$L$2:$L$1001,MATCH(ROW()-1,Calc!$X$2:$X$1001,0)),"")</f>
        <v/>
      </c>
      <c r="B470">
        <f>IFERROR(INDEX(Calc!$M$2:$M$1001,MATCH(ROW()-1,Calc!$X$2:$X$1001,0)),"")</f>
        <v/>
      </c>
      <c r="C470">
        <f>IFERROR(INDEX(Calc!$N$2:$N$1001,MATCH(ROW()-1,Calc!$X$2:$X$1001,0)),"")</f>
        <v/>
      </c>
      <c r="D470" s="3">
        <f>IFERROR(INDEX(Calc!$O$2:$O$1001,MATCH(ROW()-1,Calc!$X$2:$X$1001,0)),"")</f>
        <v/>
      </c>
      <c r="E470" s="3">
        <f>IFERROR(INDEX(Calc!$P$2:$P$1001,MATCH(ROW()-1,Calc!$X$2:$X$1001,0)),"")</f>
        <v/>
      </c>
      <c r="F470" s="3">
        <f>IF(G470="","",E470-D470)</f>
        <v/>
      </c>
      <c r="G470">
        <f>IFERROR(INDEX(Calc!$S$2:$S$1001,MATCH(ROW()-1,Calc!$X$2:$X$1001,0)),"")</f>
        <v/>
      </c>
    </row>
    <row r="471">
      <c r="A471">
        <f>IFERROR(INDEX(Calc!$L$2:$L$1001,MATCH(ROW()-1,Calc!$X$2:$X$1001,0)),"")</f>
        <v/>
      </c>
      <c r="B471">
        <f>IFERROR(INDEX(Calc!$M$2:$M$1001,MATCH(ROW()-1,Calc!$X$2:$X$1001,0)),"")</f>
        <v/>
      </c>
      <c r="C471">
        <f>IFERROR(INDEX(Calc!$N$2:$N$1001,MATCH(ROW()-1,Calc!$X$2:$X$1001,0)),"")</f>
        <v/>
      </c>
      <c r="D471" s="3">
        <f>IFERROR(INDEX(Calc!$O$2:$O$1001,MATCH(ROW()-1,Calc!$X$2:$X$1001,0)),"")</f>
        <v/>
      </c>
      <c r="E471" s="3">
        <f>IFERROR(INDEX(Calc!$P$2:$P$1001,MATCH(ROW()-1,Calc!$X$2:$X$1001,0)),"")</f>
        <v/>
      </c>
      <c r="F471" s="3">
        <f>IF(G471="","",E471-D471)</f>
        <v/>
      </c>
      <c r="G471">
        <f>IFERROR(INDEX(Calc!$S$2:$S$1001,MATCH(ROW()-1,Calc!$X$2:$X$1001,0)),"")</f>
        <v/>
      </c>
    </row>
    <row r="472">
      <c r="A472">
        <f>IFERROR(INDEX(Calc!$L$2:$L$1001,MATCH(ROW()-1,Calc!$X$2:$X$1001,0)),"")</f>
        <v/>
      </c>
      <c r="B472">
        <f>IFERROR(INDEX(Calc!$M$2:$M$1001,MATCH(ROW()-1,Calc!$X$2:$X$1001,0)),"")</f>
        <v/>
      </c>
      <c r="C472">
        <f>IFERROR(INDEX(Calc!$N$2:$N$1001,MATCH(ROW()-1,Calc!$X$2:$X$1001,0)),"")</f>
        <v/>
      </c>
      <c r="D472" s="3">
        <f>IFERROR(INDEX(Calc!$O$2:$O$1001,MATCH(ROW()-1,Calc!$X$2:$X$1001,0)),"")</f>
        <v/>
      </c>
      <c r="E472" s="3">
        <f>IFERROR(INDEX(Calc!$P$2:$P$1001,MATCH(ROW()-1,Calc!$X$2:$X$1001,0)),"")</f>
        <v/>
      </c>
      <c r="F472" s="3">
        <f>IF(G472="","",E472-D472)</f>
        <v/>
      </c>
      <c r="G472">
        <f>IFERROR(INDEX(Calc!$S$2:$S$1001,MATCH(ROW()-1,Calc!$X$2:$X$1001,0)),"")</f>
        <v/>
      </c>
    </row>
    <row r="473">
      <c r="A473">
        <f>IFERROR(INDEX(Calc!$L$2:$L$1001,MATCH(ROW()-1,Calc!$X$2:$X$1001,0)),"")</f>
        <v/>
      </c>
      <c r="B473">
        <f>IFERROR(INDEX(Calc!$M$2:$M$1001,MATCH(ROW()-1,Calc!$X$2:$X$1001,0)),"")</f>
        <v/>
      </c>
      <c r="C473">
        <f>IFERROR(INDEX(Calc!$N$2:$N$1001,MATCH(ROW()-1,Calc!$X$2:$X$1001,0)),"")</f>
        <v/>
      </c>
      <c r="D473" s="3">
        <f>IFERROR(INDEX(Calc!$O$2:$O$1001,MATCH(ROW()-1,Calc!$X$2:$X$1001,0)),"")</f>
        <v/>
      </c>
      <c r="E473" s="3">
        <f>IFERROR(INDEX(Calc!$P$2:$P$1001,MATCH(ROW()-1,Calc!$X$2:$X$1001,0)),"")</f>
        <v/>
      </c>
      <c r="F473" s="3">
        <f>IF(G473="","",E473-D473)</f>
        <v/>
      </c>
      <c r="G473">
        <f>IFERROR(INDEX(Calc!$S$2:$S$1001,MATCH(ROW()-1,Calc!$X$2:$X$1001,0)),"")</f>
        <v/>
      </c>
    </row>
    <row r="474">
      <c r="A474">
        <f>IFERROR(INDEX(Calc!$L$2:$L$1001,MATCH(ROW()-1,Calc!$X$2:$X$1001,0)),"")</f>
        <v/>
      </c>
      <c r="B474">
        <f>IFERROR(INDEX(Calc!$M$2:$M$1001,MATCH(ROW()-1,Calc!$X$2:$X$1001,0)),"")</f>
        <v/>
      </c>
      <c r="C474">
        <f>IFERROR(INDEX(Calc!$N$2:$N$1001,MATCH(ROW()-1,Calc!$X$2:$X$1001,0)),"")</f>
        <v/>
      </c>
      <c r="D474" s="3">
        <f>IFERROR(INDEX(Calc!$O$2:$O$1001,MATCH(ROW()-1,Calc!$X$2:$X$1001,0)),"")</f>
        <v/>
      </c>
      <c r="E474" s="3">
        <f>IFERROR(INDEX(Calc!$P$2:$P$1001,MATCH(ROW()-1,Calc!$X$2:$X$1001,0)),"")</f>
        <v/>
      </c>
      <c r="F474" s="3">
        <f>IF(G474="","",E474-D474)</f>
        <v/>
      </c>
      <c r="G474">
        <f>IFERROR(INDEX(Calc!$S$2:$S$1001,MATCH(ROW()-1,Calc!$X$2:$X$1001,0)),"")</f>
        <v/>
      </c>
    </row>
    <row r="475">
      <c r="A475">
        <f>IFERROR(INDEX(Calc!$L$2:$L$1001,MATCH(ROW()-1,Calc!$X$2:$X$1001,0)),"")</f>
        <v/>
      </c>
      <c r="B475">
        <f>IFERROR(INDEX(Calc!$M$2:$M$1001,MATCH(ROW()-1,Calc!$X$2:$X$1001,0)),"")</f>
        <v/>
      </c>
      <c r="C475">
        <f>IFERROR(INDEX(Calc!$N$2:$N$1001,MATCH(ROW()-1,Calc!$X$2:$X$1001,0)),"")</f>
        <v/>
      </c>
      <c r="D475" s="3">
        <f>IFERROR(INDEX(Calc!$O$2:$O$1001,MATCH(ROW()-1,Calc!$X$2:$X$1001,0)),"")</f>
        <v/>
      </c>
      <c r="E475" s="3">
        <f>IFERROR(INDEX(Calc!$P$2:$P$1001,MATCH(ROW()-1,Calc!$X$2:$X$1001,0)),"")</f>
        <v/>
      </c>
      <c r="F475" s="3">
        <f>IF(G475="","",E475-D475)</f>
        <v/>
      </c>
      <c r="G475">
        <f>IFERROR(INDEX(Calc!$S$2:$S$1001,MATCH(ROW()-1,Calc!$X$2:$X$1001,0)),"")</f>
        <v/>
      </c>
    </row>
    <row r="476">
      <c r="A476">
        <f>IFERROR(INDEX(Calc!$L$2:$L$1001,MATCH(ROW()-1,Calc!$X$2:$X$1001,0)),"")</f>
        <v/>
      </c>
      <c r="B476">
        <f>IFERROR(INDEX(Calc!$M$2:$M$1001,MATCH(ROW()-1,Calc!$X$2:$X$1001,0)),"")</f>
        <v/>
      </c>
      <c r="C476">
        <f>IFERROR(INDEX(Calc!$N$2:$N$1001,MATCH(ROW()-1,Calc!$X$2:$X$1001,0)),"")</f>
        <v/>
      </c>
      <c r="D476" s="3">
        <f>IFERROR(INDEX(Calc!$O$2:$O$1001,MATCH(ROW()-1,Calc!$X$2:$X$1001,0)),"")</f>
        <v/>
      </c>
      <c r="E476" s="3">
        <f>IFERROR(INDEX(Calc!$P$2:$P$1001,MATCH(ROW()-1,Calc!$X$2:$X$1001,0)),"")</f>
        <v/>
      </c>
      <c r="F476" s="3">
        <f>IF(G476="","",E476-D476)</f>
        <v/>
      </c>
      <c r="G476">
        <f>IFERROR(INDEX(Calc!$S$2:$S$1001,MATCH(ROW()-1,Calc!$X$2:$X$1001,0)),"")</f>
        <v/>
      </c>
    </row>
    <row r="477">
      <c r="A477">
        <f>IFERROR(INDEX(Calc!$L$2:$L$1001,MATCH(ROW()-1,Calc!$X$2:$X$1001,0)),"")</f>
        <v/>
      </c>
      <c r="B477">
        <f>IFERROR(INDEX(Calc!$M$2:$M$1001,MATCH(ROW()-1,Calc!$X$2:$X$1001,0)),"")</f>
        <v/>
      </c>
      <c r="C477">
        <f>IFERROR(INDEX(Calc!$N$2:$N$1001,MATCH(ROW()-1,Calc!$X$2:$X$1001,0)),"")</f>
        <v/>
      </c>
      <c r="D477" s="3">
        <f>IFERROR(INDEX(Calc!$O$2:$O$1001,MATCH(ROW()-1,Calc!$X$2:$X$1001,0)),"")</f>
        <v/>
      </c>
      <c r="E477" s="3">
        <f>IFERROR(INDEX(Calc!$P$2:$P$1001,MATCH(ROW()-1,Calc!$X$2:$X$1001,0)),"")</f>
        <v/>
      </c>
      <c r="F477" s="3">
        <f>IF(G477="","",E477-D477)</f>
        <v/>
      </c>
      <c r="G477">
        <f>IFERROR(INDEX(Calc!$S$2:$S$1001,MATCH(ROW()-1,Calc!$X$2:$X$1001,0)),"")</f>
        <v/>
      </c>
    </row>
    <row r="478">
      <c r="A478">
        <f>IFERROR(INDEX(Calc!$L$2:$L$1001,MATCH(ROW()-1,Calc!$X$2:$X$1001,0)),"")</f>
        <v/>
      </c>
      <c r="B478">
        <f>IFERROR(INDEX(Calc!$M$2:$M$1001,MATCH(ROW()-1,Calc!$X$2:$X$1001,0)),"")</f>
        <v/>
      </c>
      <c r="C478">
        <f>IFERROR(INDEX(Calc!$N$2:$N$1001,MATCH(ROW()-1,Calc!$X$2:$X$1001,0)),"")</f>
        <v/>
      </c>
      <c r="D478" s="3">
        <f>IFERROR(INDEX(Calc!$O$2:$O$1001,MATCH(ROW()-1,Calc!$X$2:$X$1001,0)),"")</f>
        <v/>
      </c>
      <c r="E478" s="3">
        <f>IFERROR(INDEX(Calc!$P$2:$P$1001,MATCH(ROW()-1,Calc!$X$2:$X$1001,0)),"")</f>
        <v/>
      </c>
      <c r="F478" s="3">
        <f>IF(G478="","",E478-D478)</f>
        <v/>
      </c>
      <c r="G478">
        <f>IFERROR(INDEX(Calc!$S$2:$S$1001,MATCH(ROW()-1,Calc!$X$2:$X$1001,0)),"")</f>
        <v/>
      </c>
    </row>
    <row r="479">
      <c r="A479">
        <f>IFERROR(INDEX(Calc!$L$2:$L$1001,MATCH(ROW()-1,Calc!$X$2:$X$1001,0)),"")</f>
        <v/>
      </c>
      <c r="B479">
        <f>IFERROR(INDEX(Calc!$M$2:$M$1001,MATCH(ROW()-1,Calc!$X$2:$X$1001,0)),"")</f>
        <v/>
      </c>
      <c r="C479">
        <f>IFERROR(INDEX(Calc!$N$2:$N$1001,MATCH(ROW()-1,Calc!$X$2:$X$1001,0)),"")</f>
        <v/>
      </c>
      <c r="D479" s="3">
        <f>IFERROR(INDEX(Calc!$O$2:$O$1001,MATCH(ROW()-1,Calc!$X$2:$X$1001,0)),"")</f>
        <v/>
      </c>
      <c r="E479" s="3">
        <f>IFERROR(INDEX(Calc!$P$2:$P$1001,MATCH(ROW()-1,Calc!$X$2:$X$1001,0)),"")</f>
        <v/>
      </c>
      <c r="F479" s="3">
        <f>IF(G479="","",E479-D479)</f>
        <v/>
      </c>
      <c r="G479">
        <f>IFERROR(INDEX(Calc!$S$2:$S$1001,MATCH(ROW()-1,Calc!$X$2:$X$1001,0)),"")</f>
        <v/>
      </c>
    </row>
    <row r="480">
      <c r="A480">
        <f>IFERROR(INDEX(Calc!$L$2:$L$1001,MATCH(ROW()-1,Calc!$X$2:$X$1001,0)),"")</f>
        <v/>
      </c>
      <c r="B480">
        <f>IFERROR(INDEX(Calc!$M$2:$M$1001,MATCH(ROW()-1,Calc!$X$2:$X$1001,0)),"")</f>
        <v/>
      </c>
      <c r="C480">
        <f>IFERROR(INDEX(Calc!$N$2:$N$1001,MATCH(ROW()-1,Calc!$X$2:$X$1001,0)),"")</f>
        <v/>
      </c>
      <c r="D480" s="3">
        <f>IFERROR(INDEX(Calc!$O$2:$O$1001,MATCH(ROW()-1,Calc!$X$2:$X$1001,0)),"")</f>
        <v/>
      </c>
      <c r="E480" s="3">
        <f>IFERROR(INDEX(Calc!$P$2:$P$1001,MATCH(ROW()-1,Calc!$X$2:$X$1001,0)),"")</f>
        <v/>
      </c>
      <c r="F480" s="3">
        <f>IF(G480="","",E480-D480)</f>
        <v/>
      </c>
      <c r="G480">
        <f>IFERROR(INDEX(Calc!$S$2:$S$1001,MATCH(ROW()-1,Calc!$X$2:$X$1001,0)),"")</f>
        <v/>
      </c>
    </row>
    <row r="481">
      <c r="A481">
        <f>IFERROR(INDEX(Calc!$L$2:$L$1001,MATCH(ROW()-1,Calc!$X$2:$X$1001,0)),"")</f>
        <v/>
      </c>
      <c r="B481">
        <f>IFERROR(INDEX(Calc!$M$2:$M$1001,MATCH(ROW()-1,Calc!$X$2:$X$1001,0)),"")</f>
        <v/>
      </c>
      <c r="C481">
        <f>IFERROR(INDEX(Calc!$N$2:$N$1001,MATCH(ROW()-1,Calc!$X$2:$X$1001,0)),"")</f>
        <v/>
      </c>
      <c r="D481" s="3">
        <f>IFERROR(INDEX(Calc!$O$2:$O$1001,MATCH(ROW()-1,Calc!$X$2:$X$1001,0)),"")</f>
        <v/>
      </c>
      <c r="E481" s="3">
        <f>IFERROR(INDEX(Calc!$P$2:$P$1001,MATCH(ROW()-1,Calc!$X$2:$X$1001,0)),"")</f>
        <v/>
      </c>
      <c r="F481" s="3">
        <f>IF(G481="","",E481-D481)</f>
        <v/>
      </c>
      <c r="G481">
        <f>IFERROR(INDEX(Calc!$S$2:$S$1001,MATCH(ROW()-1,Calc!$X$2:$X$1001,0)),"")</f>
        <v/>
      </c>
    </row>
    <row r="482">
      <c r="A482">
        <f>IFERROR(INDEX(Calc!$L$2:$L$1001,MATCH(ROW()-1,Calc!$X$2:$X$1001,0)),"")</f>
        <v/>
      </c>
      <c r="B482">
        <f>IFERROR(INDEX(Calc!$M$2:$M$1001,MATCH(ROW()-1,Calc!$X$2:$X$1001,0)),"")</f>
        <v/>
      </c>
      <c r="C482">
        <f>IFERROR(INDEX(Calc!$N$2:$N$1001,MATCH(ROW()-1,Calc!$X$2:$X$1001,0)),"")</f>
        <v/>
      </c>
      <c r="D482" s="3">
        <f>IFERROR(INDEX(Calc!$O$2:$O$1001,MATCH(ROW()-1,Calc!$X$2:$X$1001,0)),"")</f>
        <v/>
      </c>
      <c r="E482" s="3">
        <f>IFERROR(INDEX(Calc!$P$2:$P$1001,MATCH(ROW()-1,Calc!$X$2:$X$1001,0)),"")</f>
        <v/>
      </c>
      <c r="F482" s="3">
        <f>IF(G482="","",E482-D482)</f>
        <v/>
      </c>
      <c r="G482">
        <f>IFERROR(INDEX(Calc!$S$2:$S$1001,MATCH(ROW()-1,Calc!$X$2:$X$1001,0)),"")</f>
        <v/>
      </c>
    </row>
    <row r="483">
      <c r="A483">
        <f>IFERROR(INDEX(Calc!$L$2:$L$1001,MATCH(ROW()-1,Calc!$X$2:$X$1001,0)),"")</f>
        <v/>
      </c>
      <c r="B483">
        <f>IFERROR(INDEX(Calc!$M$2:$M$1001,MATCH(ROW()-1,Calc!$X$2:$X$1001,0)),"")</f>
        <v/>
      </c>
      <c r="C483">
        <f>IFERROR(INDEX(Calc!$N$2:$N$1001,MATCH(ROW()-1,Calc!$X$2:$X$1001,0)),"")</f>
        <v/>
      </c>
      <c r="D483" s="3">
        <f>IFERROR(INDEX(Calc!$O$2:$O$1001,MATCH(ROW()-1,Calc!$X$2:$X$1001,0)),"")</f>
        <v/>
      </c>
      <c r="E483" s="3">
        <f>IFERROR(INDEX(Calc!$P$2:$P$1001,MATCH(ROW()-1,Calc!$X$2:$X$1001,0)),"")</f>
        <v/>
      </c>
      <c r="F483" s="3">
        <f>IF(G483="","",E483-D483)</f>
        <v/>
      </c>
      <c r="G483">
        <f>IFERROR(INDEX(Calc!$S$2:$S$1001,MATCH(ROW()-1,Calc!$X$2:$X$1001,0)),"")</f>
        <v/>
      </c>
    </row>
    <row r="484">
      <c r="A484">
        <f>IFERROR(INDEX(Calc!$L$2:$L$1001,MATCH(ROW()-1,Calc!$X$2:$X$1001,0)),"")</f>
        <v/>
      </c>
      <c r="B484">
        <f>IFERROR(INDEX(Calc!$M$2:$M$1001,MATCH(ROW()-1,Calc!$X$2:$X$1001,0)),"")</f>
        <v/>
      </c>
      <c r="C484">
        <f>IFERROR(INDEX(Calc!$N$2:$N$1001,MATCH(ROW()-1,Calc!$X$2:$X$1001,0)),"")</f>
        <v/>
      </c>
      <c r="D484" s="3">
        <f>IFERROR(INDEX(Calc!$O$2:$O$1001,MATCH(ROW()-1,Calc!$X$2:$X$1001,0)),"")</f>
        <v/>
      </c>
      <c r="E484" s="3">
        <f>IFERROR(INDEX(Calc!$P$2:$P$1001,MATCH(ROW()-1,Calc!$X$2:$X$1001,0)),"")</f>
        <v/>
      </c>
      <c r="F484" s="3">
        <f>IF(G484="","",E484-D484)</f>
        <v/>
      </c>
      <c r="G484">
        <f>IFERROR(INDEX(Calc!$S$2:$S$1001,MATCH(ROW()-1,Calc!$X$2:$X$1001,0)),"")</f>
        <v/>
      </c>
    </row>
    <row r="485">
      <c r="A485">
        <f>IFERROR(INDEX(Calc!$L$2:$L$1001,MATCH(ROW()-1,Calc!$X$2:$X$1001,0)),"")</f>
        <v/>
      </c>
      <c r="B485">
        <f>IFERROR(INDEX(Calc!$M$2:$M$1001,MATCH(ROW()-1,Calc!$X$2:$X$1001,0)),"")</f>
        <v/>
      </c>
      <c r="C485">
        <f>IFERROR(INDEX(Calc!$N$2:$N$1001,MATCH(ROW()-1,Calc!$X$2:$X$1001,0)),"")</f>
        <v/>
      </c>
      <c r="D485" s="3">
        <f>IFERROR(INDEX(Calc!$O$2:$O$1001,MATCH(ROW()-1,Calc!$X$2:$X$1001,0)),"")</f>
        <v/>
      </c>
      <c r="E485" s="3">
        <f>IFERROR(INDEX(Calc!$P$2:$P$1001,MATCH(ROW()-1,Calc!$X$2:$X$1001,0)),"")</f>
        <v/>
      </c>
      <c r="F485" s="3">
        <f>IF(G485="","",E485-D485)</f>
        <v/>
      </c>
      <c r="G485">
        <f>IFERROR(INDEX(Calc!$S$2:$S$1001,MATCH(ROW()-1,Calc!$X$2:$X$1001,0)),"")</f>
        <v/>
      </c>
    </row>
    <row r="486">
      <c r="A486">
        <f>IFERROR(INDEX(Calc!$L$2:$L$1001,MATCH(ROW()-1,Calc!$X$2:$X$1001,0)),"")</f>
        <v/>
      </c>
      <c r="B486">
        <f>IFERROR(INDEX(Calc!$M$2:$M$1001,MATCH(ROW()-1,Calc!$X$2:$X$1001,0)),"")</f>
        <v/>
      </c>
      <c r="C486">
        <f>IFERROR(INDEX(Calc!$N$2:$N$1001,MATCH(ROW()-1,Calc!$X$2:$X$1001,0)),"")</f>
        <v/>
      </c>
      <c r="D486" s="3">
        <f>IFERROR(INDEX(Calc!$O$2:$O$1001,MATCH(ROW()-1,Calc!$X$2:$X$1001,0)),"")</f>
        <v/>
      </c>
      <c r="E486" s="3">
        <f>IFERROR(INDEX(Calc!$P$2:$P$1001,MATCH(ROW()-1,Calc!$X$2:$X$1001,0)),"")</f>
        <v/>
      </c>
      <c r="F486" s="3">
        <f>IF(G486="","",E486-D486)</f>
        <v/>
      </c>
      <c r="G486">
        <f>IFERROR(INDEX(Calc!$S$2:$S$1001,MATCH(ROW()-1,Calc!$X$2:$X$1001,0)),"")</f>
        <v/>
      </c>
    </row>
    <row r="487">
      <c r="A487">
        <f>IFERROR(INDEX(Calc!$L$2:$L$1001,MATCH(ROW()-1,Calc!$X$2:$X$1001,0)),"")</f>
        <v/>
      </c>
      <c r="B487">
        <f>IFERROR(INDEX(Calc!$M$2:$M$1001,MATCH(ROW()-1,Calc!$X$2:$X$1001,0)),"")</f>
        <v/>
      </c>
      <c r="C487">
        <f>IFERROR(INDEX(Calc!$N$2:$N$1001,MATCH(ROW()-1,Calc!$X$2:$X$1001,0)),"")</f>
        <v/>
      </c>
      <c r="D487" s="3">
        <f>IFERROR(INDEX(Calc!$O$2:$O$1001,MATCH(ROW()-1,Calc!$X$2:$X$1001,0)),"")</f>
        <v/>
      </c>
      <c r="E487" s="3">
        <f>IFERROR(INDEX(Calc!$P$2:$P$1001,MATCH(ROW()-1,Calc!$X$2:$X$1001,0)),"")</f>
        <v/>
      </c>
      <c r="F487" s="3">
        <f>IF(G487="","",E487-D487)</f>
        <v/>
      </c>
      <c r="G487">
        <f>IFERROR(INDEX(Calc!$S$2:$S$1001,MATCH(ROW()-1,Calc!$X$2:$X$1001,0)),"")</f>
        <v/>
      </c>
    </row>
    <row r="488">
      <c r="A488">
        <f>IFERROR(INDEX(Calc!$L$2:$L$1001,MATCH(ROW()-1,Calc!$X$2:$X$1001,0)),"")</f>
        <v/>
      </c>
      <c r="B488">
        <f>IFERROR(INDEX(Calc!$M$2:$M$1001,MATCH(ROW()-1,Calc!$X$2:$X$1001,0)),"")</f>
        <v/>
      </c>
      <c r="C488">
        <f>IFERROR(INDEX(Calc!$N$2:$N$1001,MATCH(ROW()-1,Calc!$X$2:$X$1001,0)),"")</f>
        <v/>
      </c>
      <c r="D488" s="3">
        <f>IFERROR(INDEX(Calc!$O$2:$O$1001,MATCH(ROW()-1,Calc!$X$2:$X$1001,0)),"")</f>
        <v/>
      </c>
      <c r="E488" s="3">
        <f>IFERROR(INDEX(Calc!$P$2:$P$1001,MATCH(ROW()-1,Calc!$X$2:$X$1001,0)),"")</f>
        <v/>
      </c>
      <c r="F488" s="3">
        <f>IF(G488="","",E488-D488)</f>
        <v/>
      </c>
      <c r="G488">
        <f>IFERROR(INDEX(Calc!$S$2:$S$1001,MATCH(ROW()-1,Calc!$X$2:$X$1001,0)),"")</f>
        <v/>
      </c>
    </row>
    <row r="489">
      <c r="A489">
        <f>IFERROR(INDEX(Calc!$L$2:$L$1001,MATCH(ROW()-1,Calc!$X$2:$X$1001,0)),"")</f>
        <v/>
      </c>
      <c r="B489">
        <f>IFERROR(INDEX(Calc!$M$2:$M$1001,MATCH(ROW()-1,Calc!$X$2:$X$1001,0)),"")</f>
        <v/>
      </c>
      <c r="C489">
        <f>IFERROR(INDEX(Calc!$N$2:$N$1001,MATCH(ROW()-1,Calc!$X$2:$X$1001,0)),"")</f>
        <v/>
      </c>
      <c r="D489" s="3">
        <f>IFERROR(INDEX(Calc!$O$2:$O$1001,MATCH(ROW()-1,Calc!$X$2:$X$1001,0)),"")</f>
        <v/>
      </c>
      <c r="E489" s="3">
        <f>IFERROR(INDEX(Calc!$P$2:$P$1001,MATCH(ROW()-1,Calc!$X$2:$X$1001,0)),"")</f>
        <v/>
      </c>
      <c r="F489" s="3">
        <f>IF(G489="","",E489-D489)</f>
        <v/>
      </c>
      <c r="G489">
        <f>IFERROR(INDEX(Calc!$S$2:$S$1001,MATCH(ROW()-1,Calc!$X$2:$X$1001,0)),"")</f>
        <v/>
      </c>
    </row>
    <row r="490">
      <c r="A490">
        <f>IFERROR(INDEX(Calc!$L$2:$L$1001,MATCH(ROW()-1,Calc!$X$2:$X$1001,0)),"")</f>
        <v/>
      </c>
      <c r="B490">
        <f>IFERROR(INDEX(Calc!$M$2:$M$1001,MATCH(ROW()-1,Calc!$X$2:$X$1001,0)),"")</f>
        <v/>
      </c>
      <c r="C490">
        <f>IFERROR(INDEX(Calc!$N$2:$N$1001,MATCH(ROW()-1,Calc!$X$2:$X$1001,0)),"")</f>
        <v/>
      </c>
      <c r="D490" s="3">
        <f>IFERROR(INDEX(Calc!$O$2:$O$1001,MATCH(ROW()-1,Calc!$X$2:$X$1001,0)),"")</f>
        <v/>
      </c>
      <c r="E490" s="3">
        <f>IFERROR(INDEX(Calc!$P$2:$P$1001,MATCH(ROW()-1,Calc!$X$2:$X$1001,0)),"")</f>
        <v/>
      </c>
      <c r="F490" s="3">
        <f>IF(G490="","",E490-D490)</f>
        <v/>
      </c>
      <c r="G490">
        <f>IFERROR(INDEX(Calc!$S$2:$S$1001,MATCH(ROW()-1,Calc!$X$2:$X$1001,0)),"")</f>
        <v/>
      </c>
    </row>
    <row r="491">
      <c r="A491">
        <f>IFERROR(INDEX(Calc!$L$2:$L$1001,MATCH(ROW()-1,Calc!$X$2:$X$1001,0)),"")</f>
        <v/>
      </c>
      <c r="B491">
        <f>IFERROR(INDEX(Calc!$M$2:$M$1001,MATCH(ROW()-1,Calc!$X$2:$X$1001,0)),"")</f>
        <v/>
      </c>
      <c r="C491">
        <f>IFERROR(INDEX(Calc!$N$2:$N$1001,MATCH(ROW()-1,Calc!$X$2:$X$1001,0)),"")</f>
        <v/>
      </c>
      <c r="D491" s="3">
        <f>IFERROR(INDEX(Calc!$O$2:$O$1001,MATCH(ROW()-1,Calc!$X$2:$X$1001,0)),"")</f>
        <v/>
      </c>
      <c r="E491" s="3">
        <f>IFERROR(INDEX(Calc!$P$2:$P$1001,MATCH(ROW()-1,Calc!$X$2:$X$1001,0)),"")</f>
        <v/>
      </c>
      <c r="F491" s="3">
        <f>IF(G491="","",E491-D491)</f>
        <v/>
      </c>
      <c r="G491">
        <f>IFERROR(INDEX(Calc!$S$2:$S$1001,MATCH(ROW()-1,Calc!$X$2:$X$1001,0)),"")</f>
        <v/>
      </c>
    </row>
    <row r="492">
      <c r="A492">
        <f>IFERROR(INDEX(Calc!$L$2:$L$1001,MATCH(ROW()-1,Calc!$X$2:$X$1001,0)),"")</f>
        <v/>
      </c>
      <c r="B492">
        <f>IFERROR(INDEX(Calc!$M$2:$M$1001,MATCH(ROW()-1,Calc!$X$2:$X$1001,0)),"")</f>
        <v/>
      </c>
      <c r="C492">
        <f>IFERROR(INDEX(Calc!$N$2:$N$1001,MATCH(ROW()-1,Calc!$X$2:$X$1001,0)),"")</f>
        <v/>
      </c>
      <c r="D492" s="3">
        <f>IFERROR(INDEX(Calc!$O$2:$O$1001,MATCH(ROW()-1,Calc!$X$2:$X$1001,0)),"")</f>
        <v/>
      </c>
      <c r="E492" s="3">
        <f>IFERROR(INDEX(Calc!$P$2:$P$1001,MATCH(ROW()-1,Calc!$X$2:$X$1001,0)),"")</f>
        <v/>
      </c>
      <c r="F492" s="3">
        <f>IF(G492="","",E492-D492)</f>
        <v/>
      </c>
      <c r="G492">
        <f>IFERROR(INDEX(Calc!$S$2:$S$1001,MATCH(ROW()-1,Calc!$X$2:$X$1001,0)),"")</f>
        <v/>
      </c>
    </row>
    <row r="493">
      <c r="A493">
        <f>IFERROR(INDEX(Calc!$L$2:$L$1001,MATCH(ROW()-1,Calc!$X$2:$X$1001,0)),"")</f>
        <v/>
      </c>
      <c r="B493">
        <f>IFERROR(INDEX(Calc!$M$2:$M$1001,MATCH(ROW()-1,Calc!$X$2:$X$1001,0)),"")</f>
        <v/>
      </c>
      <c r="C493">
        <f>IFERROR(INDEX(Calc!$N$2:$N$1001,MATCH(ROW()-1,Calc!$X$2:$X$1001,0)),"")</f>
        <v/>
      </c>
      <c r="D493" s="3">
        <f>IFERROR(INDEX(Calc!$O$2:$O$1001,MATCH(ROW()-1,Calc!$X$2:$X$1001,0)),"")</f>
        <v/>
      </c>
      <c r="E493" s="3">
        <f>IFERROR(INDEX(Calc!$P$2:$P$1001,MATCH(ROW()-1,Calc!$X$2:$X$1001,0)),"")</f>
        <v/>
      </c>
      <c r="F493" s="3">
        <f>IF(G493="","",E493-D493)</f>
        <v/>
      </c>
      <c r="G493">
        <f>IFERROR(INDEX(Calc!$S$2:$S$1001,MATCH(ROW()-1,Calc!$X$2:$X$1001,0)),"")</f>
        <v/>
      </c>
    </row>
    <row r="494">
      <c r="A494">
        <f>IFERROR(INDEX(Calc!$L$2:$L$1001,MATCH(ROW()-1,Calc!$X$2:$X$1001,0)),"")</f>
        <v/>
      </c>
      <c r="B494">
        <f>IFERROR(INDEX(Calc!$M$2:$M$1001,MATCH(ROW()-1,Calc!$X$2:$X$1001,0)),"")</f>
        <v/>
      </c>
      <c r="C494">
        <f>IFERROR(INDEX(Calc!$N$2:$N$1001,MATCH(ROW()-1,Calc!$X$2:$X$1001,0)),"")</f>
        <v/>
      </c>
      <c r="D494" s="3">
        <f>IFERROR(INDEX(Calc!$O$2:$O$1001,MATCH(ROW()-1,Calc!$X$2:$X$1001,0)),"")</f>
        <v/>
      </c>
      <c r="E494" s="3">
        <f>IFERROR(INDEX(Calc!$P$2:$P$1001,MATCH(ROW()-1,Calc!$X$2:$X$1001,0)),"")</f>
        <v/>
      </c>
      <c r="F494" s="3">
        <f>IF(G494="","",E494-D494)</f>
        <v/>
      </c>
      <c r="G494">
        <f>IFERROR(INDEX(Calc!$S$2:$S$1001,MATCH(ROW()-1,Calc!$X$2:$X$1001,0)),"")</f>
        <v/>
      </c>
    </row>
    <row r="495">
      <c r="A495">
        <f>IFERROR(INDEX(Calc!$L$2:$L$1001,MATCH(ROW()-1,Calc!$X$2:$X$1001,0)),"")</f>
        <v/>
      </c>
      <c r="B495">
        <f>IFERROR(INDEX(Calc!$M$2:$M$1001,MATCH(ROW()-1,Calc!$X$2:$X$1001,0)),"")</f>
        <v/>
      </c>
      <c r="C495">
        <f>IFERROR(INDEX(Calc!$N$2:$N$1001,MATCH(ROW()-1,Calc!$X$2:$X$1001,0)),"")</f>
        <v/>
      </c>
      <c r="D495" s="3">
        <f>IFERROR(INDEX(Calc!$O$2:$O$1001,MATCH(ROW()-1,Calc!$X$2:$X$1001,0)),"")</f>
        <v/>
      </c>
      <c r="E495" s="3">
        <f>IFERROR(INDEX(Calc!$P$2:$P$1001,MATCH(ROW()-1,Calc!$X$2:$X$1001,0)),"")</f>
        <v/>
      </c>
      <c r="F495" s="3">
        <f>IF(G495="","",E495-D495)</f>
        <v/>
      </c>
      <c r="G495">
        <f>IFERROR(INDEX(Calc!$S$2:$S$1001,MATCH(ROW()-1,Calc!$X$2:$X$1001,0)),"")</f>
        <v/>
      </c>
    </row>
    <row r="496">
      <c r="A496">
        <f>IFERROR(INDEX(Calc!$L$2:$L$1001,MATCH(ROW()-1,Calc!$X$2:$X$1001,0)),"")</f>
        <v/>
      </c>
      <c r="B496">
        <f>IFERROR(INDEX(Calc!$M$2:$M$1001,MATCH(ROW()-1,Calc!$X$2:$X$1001,0)),"")</f>
        <v/>
      </c>
      <c r="C496">
        <f>IFERROR(INDEX(Calc!$N$2:$N$1001,MATCH(ROW()-1,Calc!$X$2:$X$1001,0)),"")</f>
        <v/>
      </c>
      <c r="D496" s="3">
        <f>IFERROR(INDEX(Calc!$O$2:$O$1001,MATCH(ROW()-1,Calc!$X$2:$X$1001,0)),"")</f>
        <v/>
      </c>
      <c r="E496" s="3">
        <f>IFERROR(INDEX(Calc!$P$2:$P$1001,MATCH(ROW()-1,Calc!$X$2:$X$1001,0)),"")</f>
        <v/>
      </c>
      <c r="F496" s="3">
        <f>IF(G496="","",E496-D496)</f>
        <v/>
      </c>
      <c r="G496">
        <f>IFERROR(INDEX(Calc!$S$2:$S$1001,MATCH(ROW()-1,Calc!$X$2:$X$1001,0)),"")</f>
        <v/>
      </c>
    </row>
    <row r="497">
      <c r="A497">
        <f>IFERROR(INDEX(Calc!$L$2:$L$1001,MATCH(ROW()-1,Calc!$X$2:$X$1001,0)),"")</f>
        <v/>
      </c>
      <c r="B497">
        <f>IFERROR(INDEX(Calc!$M$2:$M$1001,MATCH(ROW()-1,Calc!$X$2:$X$1001,0)),"")</f>
        <v/>
      </c>
      <c r="C497">
        <f>IFERROR(INDEX(Calc!$N$2:$N$1001,MATCH(ROW()-1,Calc!$X$2:$X$1001,0)),"")</f>
        <v/>
      </c>
      <c r="D497" s="3">
        <f>IFERROR(INDEX(Calc!$O$2:$O$1001,MATCH(ROW()-1,Calc!$X$2:$X$1001,0)),"")</f>
        <v/>
      </c>
      <c r="E497" s="3">
        <f>IFERROR(INDEX(Calc!$P$2:$P$1001,MATCH(ROW()-1,Calc!$X$2:$X$1001,0)),"")</f>
        <v/>
      </c>
      <c r="F497" s="3">
        <f>IF(G497="","",E497-D497)</f>
        <v/>
      </c>
      <c r="G497">
        <f>IFERROR(INDEX(Calc!$S$2:$S$1001,MATCH(ROW()-1,Calc!$X$2:$X$1001,0)),"")</f>
        <v/>
      </c>
    </row>
    <row r="498">
      <c r="A498">
        <f>IFERROR(INDEX(Calc!$L$2:$L$1001,MATCH(ROW()-1,Calc!$X$2:$X$1001,0)),"")</f>
        <v/>
      </c>
      <c r="B498">
        <f>IFERROR(INDEX(Calc!$M$2:$M$1001,MATCH(ROW()-1,Calc!$X$2:$X$1001,0)),"")</f>
        <v/>
      </c>
      <c r="C498">
        <f>IFERROR(INDEX(Calc!$N$2:$N$1001,MATCH(ROW()-1,Calc!$X$2:$X$1001,0)),"")</f>
        <v/>
      </c>
      <c r="D498" s="3">
        <f>IFERROR(INDEX(Calc!$O$2:$O$1001,MATCH(ROW()-1,Calc!$X$2:$X$1001,0)),"")</f>
        <v/>
      </c>
      <c r="E498" s="3">
        <f>IFERROR(INDEX(Calc!$P$2:$P$1001,MATCH(ROW()-1,Calc!$X$2:$X$1001,0)),"")</f>
        <v/>
      </c>
      <c r="F498" s="3">
        <f>IF(G498="","",E498-D498)</f>
        <v/>
      </c>
      <c r="G498">
        <f>IFERROR(INDEX(Calc!$S$2:$S$1001,MATCH(ROW()-1,Calc!$X$2:$X$1001,0)),"")</f>
        <v/>
      </c>
    </row>
    <row r="499">
      <c r="A499">
        <f>IFERROR(INDEX(Calc!$L$2:$L$1001,MATCH(ROW()-1,Calc!$X$2:$X$1001,0)),"")</f>
        <v/>
      </c>
      <c r="B499">
        <f>IFERROR(INDEX(Calc!$M$2:$M$1001,MATCH(ROW()-1,Calc!$X$2:$X$1001,0)),"")</f>
        <v/>
      </c>
      <c r="C499">
        <f>IFERROR(INDEX(Calc!$N$2:$N$1001,MATCH(ROW()-1,Calc!$X$2:$X$1001,0)),"")</f>
        <v/>
      </c>
      <c r="D499" s="3">
        <f>IFERROR(INDEX(Calc!$O$2:$O$1001,MATCH(ROW()-1,Calc!$X$2:$X$1001,0)),"")</f>
        <v/>
      </c>
      <c r="E499" s="3">
        <f>IFERROR(INDEX(Calc!$P$2:$P$1001,MATCH(ROW()-1,Calc!$X$2:$X$1001,0)),"")</f>
        <v/>
      </c>
      <c r="F499" s="3">
        <f>IF(G499="","",E499-D499)</f>
        <v/>
      </c>
      <c r="G499">
        <f>IFERROR(INDEX(Calc!$S$2:$S$1001,MATCH(ROW()-1,Calc!$X$2:$X$1001,0)),"")</f>
        <v/>
      </c>
    </row>
    <row r="500">
      <c r="A500">
        <f>IFERROR(INDEX(Calc!$L$2:$L$1001,MATCH(ROW()-1,Calc!$X$2:$X$1001,0)),"")</f>
        <v/>
      </c>
      <c r="B500">
        <f>IFERROR(INDEX(Calc!$M$2:$M$1001,MATCH(ROW()-1,Calc!$X$2:$X$1001,0)),"")</f>
        <v/>
      </c>
      <c r="C500">
        <f>IFERROR(INDEX(Calc!$N$2:$N$1001,MATCH(ROW()-1,Calc!$X$2:$X$1001,0)),"")</f>
        <v/>
      </c>
      <c r="D500" s="3">
        <f>IFERROR(INDEX(Calc!$O$2:$O$1001,MATCH(ROW()-1,Calc!$X$2:$X$1001,0)),"")</f>
        <v/>
      </c>
      <c r="E500" s="3">
        <f>IFERROR(INDEX(Calc!$P$2:$P$1001,MATCH(ROW()-1,Calc!$X$2:$X$1001,0)),"")</f>
        <v/>
      </c>
      <c r="F500" s="3">
        <f>IF(G500="","",E500-D500)</f>
        <v/>
      </c>
      <c r="G500">
        <f>IFERROR(INDEX(Calc!$S$2:$S$1001,MATCH(ROW()-1,Calc!$X$2:$X$1001,0)),"")</f>
        <v/>
      </c>
    </row>
    <row r="501">
      <c r="A501">
        <f>IFERROR(INDEX(Calc!$L$2:$L$1001,MATCH(ROW()-1,Calc!$X$2:$X$1001,0)),"")</f>
        <v/>
      </c>
      <c r="B501">
        <f>IFERROR(INDEX(Calc!$M$2:$M$1001,MATCH(ROW()-1,Calc!$X$2:$X$1001,0)),"")</f>
        <v/>
      </c>
      <c r="C501">
        <f>IFERROR(INDEX(Calc!$N$2:$N$1001,MATCH(ROW()-1,Calc!$X$2:$X$1001,0)),"")</f>
        <v/>
      </c>
      <c r="D501" s="3">
        <f>IFERROR(INDEX(Calc!$O$2:$O$1001,MATCH(ROW()-1,Calc!$X$2:$X$1001,0)),"")</f>
        <v/>
      </c>
      <c r="E501" s="3">
        <f>IFERROR(INDEX(Calc!$P$2:$P$1001,MATCH(ROW()-1,Calc!$X$2:$X$1001,0)),"")</f>
        <v/>
      </c>
      <c r="F501" s="3">
        <f>IF(G501="","",E501-D501)</f>
        <v/>
      </c>
      <c r="G501">
        <f>IFERROR(INDEX(Calc!$S$2:$S$1001,MATCH(ROW()-1,Calc!$X$2:$X$1001,0)),"")</f>
        <v/>
      </c>
    </row>
    <row r="502">
      <c r="A502">
        <f>IFERROR(INDEX(Calc!$L$2:$L$1001,MATCH(ROW()-1,Calc!$X$2:$X$1001,0)),"")</f>
        <v/>
      </c>
      <c r="B502">
        <f>IFERROR(INDEX(Calc!$M$2:$M$1001,MATCH(ROW()-1,Calc!$X$2:$X$1001,0)),"")</f>
        <v/>
      </c>
      <c r="C502">
        <f>IFERROR(INDEX(Calc!$N$2:$N$1001,MATCH(ROW()-1,Calc!$X$2:$X$1001,0)),"")</f>
        <v/>
      </c>
      <c r="D502" s="3">
        <f>IFERROR(INDEX(Calc!$O$2:$O$1001,MATCH(ROW()-1,Calc!$X$2:$X$1001,0)),"")</f>
        <v/>
      </c>
      <c r="E502" s="3">
        <f>IFERROR(INDEX(Calc!$P$2:$P$1001,MATCH(ROW()-1,Calc!$X$2:$X$1001,0)),"")</f>
        <v/>
      </c>
      <c r="F502" s="3">
        <f>IF(G502="","",E502-D502)</f>
        <v/>
      </c>
      <c r="G502">
        <f>IFERROR(INDEX(Calc!$S$2:$S$1001,MATCH(ROW()-1,Calc!$X$2:$X$1001,0)),"")</f>
        <v/>
      </c>
    </row>
    <row r="503">
      <c r="A503">
        <f>IFERROR(INDEX(Calc!$L$2:$L$1001,MATCH(ROW()-1,Calc!$X$2:$X$1001,0)),"")</f>
        <v/>
      </c>
      <c r="B503">
        <f>IFERROR(INDEX(Calc!$M$2:$M$1001,MATCH(ROW()-1,Calc!$X$2:$X$1001,0)),"")</f>
        <v/>
      </c>
      <c r="C503">
        <f>IFERROR(INDEX(Calc!$N$2:$N$1001,MATCH(ROW()-1,Calc!$X$2:$X$1001,0)),"")</f>
        <v/>
      </c>
      <c r="D503" s="3">
        <f>IFERROR(INDEX(Calc!$O$2:$O$1001,MATCH(ROW()-1,Calc!$X$2:$X$1001,0)),"")</f>
        <v/>
      </c>
      <c r="E503" s="3">
        <f>IFERROR(INDEX(Calc!$P$2:$P$1001,MATCH(ROW()-1,Calc!$X$2:$X$1001,0)),"")</f>
        <v/>
      </c>
      <c r="F503" s="3">
        <f>IF(G503="","",E503-D503)</f>
        <v/>
      </c>
      <c r="G503">
        <f>IFERROR(INDEX(Calc!$S$2:$S$1001,MATCH(ROW()-1,Calc!$X$2:$X$1001,0)),"")</f>
        <v/>
      </c>
    </row>
    <row r="504">
      <c r="A504">
        <f>IFERROR(INDEX(Calc!$L$2:$L$1001,MATCH(ROW()-1,Calc!$X$2:$X$1001,0)),"")</f>
        <v/>
      </c>
      <c r="B504">
        <f>IFERROR(INDEX(Calc!$M$2:$M$1001,MATCH(ROW()-1,Calc!$X$2:$X$1001,0)),"")</f>
        <v/>
      </c>
      <c r="C504">
        <f>IFERROR(INDEX(Calc!$N$2:$N$1001,MATCH(ROW()-1,Calc!$X$2:$X$1001,0)),"")</f>
        <v/>
      </c>
      <c r="D504" s="3">
        <f>IFERROR(INDEX(Calc!$O$2:$O$1001,MATCH(ROW()-1,Calc!$X$2:$X$1001,0)),"")</f>
        <v/>
      </c>
      <c r="E504" s="3">
        <f>IFERROR(INDEX(Calc!$P$2:$P$1001,MATCH(ROW()-1,Calc!$X$2:$X$1001,0)),"")</f>
        <v/>
      </c>
      <c r="F504" s="3">
        <f>IF(G504="","",E504-D504)</f>
        <v/>
      </c>
      <c r="G504">
        <f>IFERROR(INDEX(Calc!$S$2:$S$1001,MATCH(ROW()-1,Calc!$X$2:$X$1001,0)),"")</f>
        <v/>
      </c>
    </row>
    <row r="505">
      <c r="A505">
        <f>IFERROR(INDEX(Calc!$L$2:$L$1001,MATCH(ROW()-1,Calc!$X$2:$X$1001,0)),"")</f>
        <v/>
      </c>
      <c r="B505">
        <f>IFERROR(INDEX(Calc!$M$2:$M$1001,MATCH(ROW()-1,Calc!$X$2:$X$1001,0)),"")</f>
        <v/>
      </c>
      <c r="C505">
        <f>IFERROR(INDEX(Calc!$N$2:$N$1001,MATCH(ROW()-1,Calc!$X$2:$X$1001,0)),"")</f>
        <v/>
      </c>
      <c r="D505" s="3">
        <f>IFERROR(INDEX(Calc!$O$2:$O$1001,MATCH(ROW()-1,Calc!$X$2:$X$1001,0)),"")</f>
        <v/>
      </c>
      <c r="E505" s="3">
        <f>IFERROR(INDEX(Calc!$P$2:$P$1001,MATCH(ROW()-1,Calc!$X$2:$X$1001,0)),"")</f>
        <v/>
      </c>
      <c r="F505" s="3">
        <f>IF(G505="","",E505-D505)</f>
        <v/>
      </c>
      <c r="G505">
        <f>IFERROR(INDEX(Calc!$S$2:$S$1001,MATCH(ROW()-1,Calc!$X$2:$X$1001,0)),"")</f>
        <v/>
      </c>
    </row>
    <row r="506">
      <c r="A506">
        <f>IFERROR(INDEX(Calc!$L$2:$L$1001,MATCH(ROW()-1,Calc!$X$2:$X$1001,0)),"")</f>
        <v/>
      </c>
      <c r="B506">
        <f>IFERROR(INDEX(Calc!$M$2:$M$1001,MATCH(ROW()-1,Calc!$X$2:$X$1001,0)),"")</f>
        <v/>
      </c>
      <c r="C506">
        <f>IFERROR(INDEX(Calc!$N$2:$N$1001,MATCH(ROW()-1,Calc!$X$2:$X$1001,0)),"")</f>
        <v/>
      </c>
      <c r="D506" s="3">
        <f>IFERROR(INDEX(Calc!$O$2:$O$1001,MATCH(ROW()-1,Calc!$X$2:$X$1001,0)),"")</f>
        <v/>
      </c>
      <c r="E506" s="3">
        <f>IFERROR(INDEX(Calc!$P$2:$P$1001,MATCH(ROW()-1,Calc!$X$2:$X$1001,0)),"")</f>
        <v/>
      </c>
      <c r="F506" s="3">
        <f>IF(G506="","",E506-D506)</f>
        <v/>
      </c>
      <c r="G506">
        <f>IFERROR(INDEX(Calc!$S$2:$S$1001,MATCH(ROW()-1,Calc!$X$2:$X$1001,0)),"")</f>
        <v/>
      </c>
    </row>
    <row r="507">
      <c r="A507">
        <f>IFERROR(INDEX(Calc!$L$2:$L$1001,MATCH(ROW()-1,Calc!$X$2:$X$1001,0)),"")</f>
        <v/>
      </c>
      <c r="B507">
        <f>IFERROR(INDEX(Calc!$M$2:$M$1001,MATCH(ROW()-1,Calc!$X$2:$X$1001,0)),"")</f>
        <v/>
      </c>
      <c r="C507">
        <f>IFERROR(INDEX(Calc!$N$2:$N$1001,MATCH(ROW()-1,Calc!$X$2:$X$1001,0)),"")</f>
        <v/>
      </c>
      <c r="D507" s="3">
        <f>IFERROR(INDEX(Calc!$O$2:$O$1001,MATCH(ROW()-1,Calc!$X$2:$X$1001,0)),"")</f>
        <v/>
      </c>
      <c r="E507" s="3">
        <f>IFERROR(INDEX(Calc!$P$2:$P$1001,MATCH(ROW()-1,Calc!$X$2:$X$1001,0)),"")</f>
        <v/>
      </c>
      <c r="F507" s="3">
        <f>IF(G507="","",E507-D507)</f>
        <v/>
      </c>
      <c r="G507">
        <f>IFERROR(INDEX(Calc!$S$2:$S$1001,MATCH(ROW()-1,Calc!$X$2:$X$1001,0)),"")</f>
        <v/>
      </c>
    </row>
    <row r="508">
      <c r="A508">
        <f>IFERROR(INDEX(Calc!$L$2:$L$1001,MATCH(ROW()-1,Calc!$X$2:$X$1001,0)),"")</f>
        <v/>
      </c>
      <c r="B508">
        <f>IFERROR(INDEX(Calc!$M$2:$M$1001,MATCH(ROW()-1,Calc!$X$2:$X$1001,0)),"")</f>
        <v/>
      </c>
      <c r="C508">
        <f>IFERROR(INDEX(Calc!$N$2:$N$1001,MATCH(ROW()-1,Calc!$X$2:$X$1001,0)),"")</f>
        <v/>
      </c>
      <c r="D508" s="3">
        <f>IFERROR(INDEX(Calc!$O$2:$O$1001,MATCH(ROW()-1,Calc!$X$2:$X$1001,0)),"")</f>
        <v/>
      </c>
      <c r="E508" s="3">
        <f>IFERROR(INDEX(Calc!$P$2:$P$1001,MATCH(ROW()-1,Calc!$X$2:$X$1001,0)),"")</f>
        <v/>
      </c>
      <c r="F508" s="3">
        <f>IF(G508="","",E508-D508)</f>
        <v/>
      </c>
      <c r="G508">
        <f>IFERROR(INDEX(Calc!$S$2:$S$1001,MATCH(ROW()-1,Calc!$X$2:$X$1001,0)),"")</f>
        <v/>
      </c>
    </row>
    <row r="509">
      <c r="A509">
        <f>IFERROR(INDEX(Calc!$L$2:$L$1001,MATCH(ROW()-1,Calc!$X$2:$X$1001,0)),"")</f>
        <v/>
      </c>
      <c r="B509">
        <f>IFERROR(INDEX(Calc!$M$2:$M$1001,MATCH(ROW()-1,Calc!$X$2:$X$1001,0)),"")</f>
        <v/>
      </c>
      <c r="C509">
        <f>IFERROR(INDEX(Calc!$N$2:$N$1001,MATCH(ROW()-1,Calc!$X$2:$X$1001,0)),"")</f>
        <v/>
      </c>
      <c r="D509" s="3">
        <f>IFERROR(INDEX(Calc!$O$2:$O$1001,MATCH(ROW()-1,Calc!$X$2:$X$1001,0)),"")</f>
        <v/>
      </c>
      <c r="E509" s="3">
        <f>IFERROR(INDEX(Calc!$P$2:$P$1001,MATCH(ROW()-1,Calc!$X$2:$X$1001,0)),"")</f>
        <v/>
      </c>
      <c r="F509" s="3">
        <f>IF(G509="","",E509-D509)</f>
        <v/>
      </c>
      <c r="G509">
        <f>IFERROR(INDEX(Calc!$S$2:$S$1001,MATCH(ROW()-1,Calc!$X$2:$X$1001,0)),"")</f>
        <v/>
      </c>
    </row>
    <row r="510">
      <c r="A510">
        <f>IFERROR(INDEX(Calc!$L$2:$L$1001,MATCH(ROW()-1,Calc!$X$2:$X$1001,0)),"")</f>
        <v/>
      </c>
      <c r="B510">
        <f>IFERROR(INDEX(Calc!$M$2:$M$1001,MATCH(ROW()-1,Calc!$X$2:$X$1001,0)),"")</f>
        <v/>
      </c>
      <c r="C510">
        <f>IFERROR(INDEX(Calc!$N$2:$N$1001,MATCH(ROW()-1,Calc!$X$2:$X$1001,0)),"")</f>
        <v/>
      </c>
      <c r="D510" s="3">
        <f>IFERROR(INDEX(Calc!$O$2:$O$1001,MATCH(ROW()-1,Calc!$X$2:$X$1001,0)),"")</f>
        <v/>
      </c>
      <c r="E510" s="3">
        <f>IFERROR(INDEX(Calc!$P$2:$P$1001,MATCH(ROW()-1,Calc!$X$2:$X$1001,0)),"")</f>
        <v/>
      </c>
      <c r="F510" s="3">
        <f>IF(G510="","",E510-D510)</f>
        <v/>
      </c>
      <c r="G510">
        <f>IFERROR(INDEX(Calc!$S$2:$S$1001,MATCH(ROW()-1,Calc!$X$2:$X$1001,0)),"")</f>
        <v/>
      </c>
    </row>
    <row r="511">
      <c r="A511">
        <f>IFERROR(INDEX(Calc!$L$2:$L$1001,MATCH(ROW()-1,Calc!$X$2:$X$1001,0)),"")</f>
        <v/>
      </c>
      <c r="B511">
        <f>IFERROR(INDEX(Calc!$M$2:$M$1001,MATCH(ROW()-1,Calc!$X$2:$X$1001,0)),"")</f>
        <v/>
      </c>
      <c r="C511">
        <f>IFERROR(INDEX(Calc!$N$2:$N$1001,MATCH(ROW()-1,Calc!$X$2:$X$1001,0)),"")</f>
        <v/>
      </c>
      <c r="D511" s="3">
        <f>IFERROR(INDEX(Calc!$O$2:$O$1001,MATCH(ROW()-1,Calc!$X$2:$X$1001,0)),"")</f>
        <v/>
      </c>
      <c r="E511" s="3">
        <f>IFERROR(INDEX(Calc!$P$2:$P$1001,MATCH(ROW()-1,Calc!$X$2:$X$1001,0)),"")</f>
        <v/>
      </c>
      <c r="F511" s="3">
        <f>IF(G511="","",E511-D511)</f>
        <v/>
      </c>
      <c r="G511">
        <f>IFERROR(INDEX(Calc!$S$2:$S$1001,MATCH(ROW()-1,Calc!$X$2:$X$1001,0)),"")</f>
        <v/>
      </c>
    </row>
    <row r="512">
      <c r="A512">
        <f>IFERROR(INDEX(Calc!$L$2:$L$1001,MATCH(ROW()-1,Calc!$X$2:$X$1001,0)),"")</f>
        <v/>
      </c>
      <c r="B512">
        <f>IFERROR(INDEX(Calc!$M$2:$M$1001,MATCH(ROW()-1,Calc!$X$2:$X$1001,0)),"")</f>
        <v/>
      </c>
      <c r="C512">
        <f>IFERROR(INDEX(Calc!$N$2:$N$1001,MATCH(ROW()-1,Calc!$X$2:$X$1001,0)),"")</f>
        <v/>
      </c>
      <c r="D512" s="3">
        <f>IFERROR(INDEX(Calc!$O$2:$O$1001,MATCH(ROW()-1,Calc!$X$2:$X$1001,0)),"")</f>
        <v/>
      </c>
      <c r="E512" s="3">
        <f>IFERROR(INDEX(Calc!$P$2:$P$1001,MATCH(ROW()-1,Calc!$X$2:$X$1001,0)),"")</f>
        <v/>
      </c>
      <c r="F512" s="3">
        <f>IF(G512="","",E512-D512)</f>
        <v/>
      </c>
      <c r="G512">
        <f>IFERROR(INDEX(Calc!$S$2:$S$1001,MATCH(ROW()-1,Calc!$X$2:$X$1001,0)),"")</f>
        <v/>
      </c>
    </row>
    <row r="513">
      <c r="A513">
        <f>IFERROR(INDEX(Calc!$L$2:$L$1001,MATCH(ROW()-1,Calc!$X$2:$X$1001,0)),"")</f>
        <v/>
      </c>
      <c r="B513">
        <f>IFERROR(INDEX(Calc!$M$2:$M$1001,MATCH(ROW()-1,Calc!$X$2:$X$1001,0)),"")</f>
        <v/>
      </c>
      <c r="C513">
        <f>IFERROR(INDEX(Calc!$N$2:$N$1001,MATCH(ROW()-1,Calc!$X$2:$X$1001,0)),"")</f>
        <v/>
      </c>
      <c r="D513" s="3">
        <f>IFERROR(INDEX(Calc!$O$2:$O$1001,MATCH(ROW()-1,Calc!$X$2:$X$1001,0)),"")</f>
        <v/>
      </c>
      <c r="E513" s="3">
        <f>IFERROR(INDEX(Calc!$P$2:$P$1001,MATCH(ROW()-1,Calc!$X$2:$X$1001,0)),"")</f>
        <v/>
      </c>
      <c r="F513" s="3">
        <f>IF(G513="","",E513-D513)</f>
        <v/>
      </c>
      <c r="G513">
        <f>IFERROR(INDEX(Calc!$S$2:$S$1001,MATCH(ROW()-1,Calc!$X$2:$X$1001,0)),"")</f>
        <v/>
      </c>
    </row>
    <row r="514">
      <c r="A514">
        <f>IFERROR(INDEX(Calc!$L$2:$L$1001,MATCH(ROW()-1,Calc!$X$2:$X$1001,0)),"")</f>
        <v/>
      </c>
      <c r="B514">
        <f>IFERROR(INDEX(Calc!$M$2:$M$1001,MATCH(ROW()-1,Calc!$X$2:$X$1001,0)),"")</f>
        <v/>
      </c>
      <c r="C514">
        <f>IFERROR(INDEX(Calc!$N$2:$N$1001,MATCH(ROW()-1,Calc!$X$2:$X$1001,0)),"")</f>
        <v/>
      </c>
      <c r="D514" s="3">
        <f>IFERROR(INDEX(Calc!$O$2:$O$1001,MATCH(ROW()-1,Calc!$X$2:$X$1001,0)),"")</f>
        <v/>
      </c>
      <c r="E514" s="3">
        <f>IFERROR(INDEX(Calc!$P$2:$P$1001,MATCH(ROW()-1,Calc!$X$2:$X$1001,0)),"")</f>
        <v/>
      </c>
      <c r="F514" s="3">
        <f>IF(G514="","",E514-D514)</f>
        <v/>
      </c>
      <c r="G514">
        <f>IFERROR(INDEX(Calc!$S$2:$S$1001,MATCH(ROW()-1,Calc!$X$2:$X$1001,0)),"")</f>
        <v/>
      </c>
    </row>
    <row r="515">
      <c r="A515">
        <f>IFERROR(INDEX(Calc!$L$2:$L$1001,MATCH(ROW()-1,Calc!$X$2:$X$1001,0)),"")</f>
        <v/>
      </c>
      <c r="B515">
        <f>IFERROR(INDEX(Calc!$M$2:$M$1001,MATCH(ROW()-1,Calc!$X$2:$X$1001,0)),"")</f>
        <v/>
      </c>
      <c r="C515">
        <f>IFERROR(INDEX(Calc!$N$2:$N$1001,MATCH(ROW()-1,Calc!$X$2:$X$1001,0)),"")</f>
        <v/>
      </c>
      <c r="D515" s="3">
        <f>IFERROR(INDEX(Calc!$O$2:$O$1001,MATCH(ROW()-1,Calc!$X$2:$X$1001,0)),"")</f>
        <v/>
      </c>
      <c r="E515" s="3">
        <f>IFERROR(INDEX(Calc!$P$2:$P$1001,MATCH(ROW()-1,Calc!$X$2:$X$1001,0)),"")</f>
        <v/>
      </c>
      <c r="F515" s="3">
        <f>IF(G515="","",E515-D515)</f>
        <v/>
      </c>
      <c r="G515">
        <f>IFERROR(INDEX(Calc!$S$2:$S$1001,MATCH(ROW()-1,Calc!$X$2:$X$1001,0)),"")</f>
        <v/>
      </c>
    </row>
    <row r="516">
      <c r="A516">
        <f>IFERROR(INDEX(Calc!$L$2:$L$1001,MATCH(ROW()-1,Calc!$X$2:$X$1001,0)),"")</f>
        <v/>
      </c>
      <c r="B516">
        <f>IFERROR(INDEX(Calc!$M$2:$M$1001,MATCH(ROW()-1,Calc!$X$2:$X$1001,0)),"")</f>
        <v/>
      </c>
      <c r="C516">
        <f>IFERROR(INDEX(Calc!$N$2:$N$1001,MATCH(ROW()-1,Calc!$X$2:$X$1001,0)),"")</f>
        <v/>
      </c>
      <c r="D516" s="3">
        <f>IFERROR(INDEX(Calc!$O$2:$O$1001,MATCH(ROW()-1,Calc!$X$2:$X$1001,0)),"")</f>
        <v/>
      </c>
      <c r="E516" s="3">
        <f>IFERROR(INDEX(Calc!$P$2:$P$1001,MATCH(ROW()-1,Calc!$X$2:$X$1001,0)),"")</f>
        <v/>
      </c>
      <c r="F516" s="3">
        <f>IF(G516="","",E516-D516)</f>
        <v/>
      </c>
      <c r="G516">
        <f>IFERROR(INDEX(Calc!$S$2:$S$1001,MATCH(ROW()-1,Calc!$X$2:$X$1001,0)),"")</f>
        <v/>
      </c>
    </row>
    <row r="517">
      <c r="A517">
        <f>IFERROR(INDEX(Calc!$L$2:$L$1001,MATCH(ROW()-1,Calc!$X$2:$X$1001,0)),"")</f>
        <v/>
      </c>
      <c r="B517">
        <f>IFERROR(INDEX(Calc!$M$2:$M$1001,MATCH(ROW()-1,Calc!$X$2:$X$1001,0)),"")</f>
        <v/>
      </c>
      <c r="C517">
        <f>IFERROR(INDEX(Calc!$N$2:$N$1001,MATCH(ROW()-1,Calc!$X$2:$X$1001,0)),"")</f>
        <v/>
      </c>
      <c r="D517" s="3">
        <f>IFERROR(INDEX(Calc!$O$2:$O$1001,MATCH(ROW()-1,Calc!$X$2:$X$1001,0)),"")</f>
        <v/>
      </c>
      <c r="E517" s="3">
        <f>IFERROR(INDEX(Calc!$P$2:$P$1001,MATCH(ROW()-1,Calc!$X$2:$X$1001,0)),"")</f>
        <v/>
      </c>
      <c r="F517" s="3">
        <f>IF(G517="","",E517-D517)</f>
        <v/>
      </c>
      <c r="G517">
        <f>IFERROR(INDEX(Calc!$S$2:$S$1001,MATCH(ROW()-1,Calc!$X$2:$X$1001,0)),"")</f>
        <v/>
      </c>
    </row>
    <row r="518">
      <c r="A518">
        <f>IFERROR(INDEX(Calc!$L$2:$L$1001,MATCH(ROW()-1,Calc!$X$2:$X$1001,0)),"")</f>
        <v/>
      </c>
      <c r="B518">
        <f>IFERROR(INDEX(Calc!$M$2:$M$1001,MATCH(ROW()-1,Calc!$X$2:$X$1001,0)),"")</f>
        <v/>
      </c>
      <c r="C518">
        <f>IFERROR(INDEX(Calc!$N$2:$N$1001,MATCH(ROW()-1,Calc!$X$2:$X$1001,0)),"")</f>
        <v/>
      </c>
      <c r="D518" s="3">
        <f>IFERROR(INDEX(Calc!$O$2:$O$1001,MATCH(ROW()-1,Calc!$X$2:$X$1001,0)),"")</f>
        <v/>
      </c>
      <c r="E518" s="3">
        <f>IFERROR(INDEX(Calc!$P$2:$P$1001,MATCH(ROW()-1,Calc!$X$2:$X$1001,0)),"")</f>
        <v/>
      </c>
      <c r="F518" s="3">
        <f>IF(G518="","",E518-D518)</f>
        <v/>
      </c>
      <c r="G518">
        <f>IFERROR(INDEX(Calc!$S$2:$S$1001,MATCH(ROW()-1,Calc!$X$2:$X$1001,0)),"")</f>
        <v/>
      </c>
    </row>
    <row r="519">
      <c r="A519">
        <f>IFERROR(INDEX(Calc!$L$2:$L$1001,MATCH(ROW()-1,Calc!$X$2:$X$1001,0)),"")</f>
        <v/>
      </c>
      <c r="B519">
        <f>IFERROR(INDEX(Calc!$M$2:$M$1001,MATCH(ROW()-1,Calc!$X$2:$X$1001,0)),"")</f>
        <v/>
      </c>
      <c r="C519">
        <f>IFERROR(INDEX(Calc!$N$2:$N$1001,MATCH(ROW()-1,Calc!$X$2:$X$1001,0)),"")</f>
        <v/>
      </c>
      <c r="D519" s="3">
        <f>IFERROR(INDEX(Calc!$O$2:$O$1001,MATCH(ROW()-1,Calc!$X$2:$X$1001,0)),"")</f>
        <v/>
      </c>
      <c r="E519" s="3">
        <f>IFERROR(INDEX(Calc!$P$2:$P$1001,MATCH(ROW()-1,Calc!$X$2:$X$1001,0)),"")</f>
        <v/>
      </c>
      <c r="F519" s="3">
        <f>IF(G519="","",E519-D519)</f>
        <v/>
      </c>
      <c r="G519">
        <f>IFERROR(INDEX(Calc!$S$2:$S$1001,MATCH(ROW()-1,Calc!$X$2:$X$1001,0)),"")</f>
        <v/>
      </c>
    </row>
    <row r="520">
      <c r="A520">
        <f>IFERROR(INDEX(Calc!$L$2:$L$1001,MATCH(ROW()-1,Calc!$X$2:$X$1001,0)),"")</f>
        <v/>
      </c>
      <c r="B520">
        <f>IFERROR(INDEX(Calc!$M$2:$M$1001,MATCH(ROW()-1,Calc!$X$2:$X$1001,0)),"")</f>
        <v/>
      </c>
      <c r="C520">
        <f>IFERROR(INDEX(Calc!$N$2:$N$1001,MATCH(ROW()-1,Calc!$X$2:$X$1001,0)),"")</f>
        <v/>
      </c>
      <c r="D520" s="3">
        <f>IFERROR(INDEX(Calc!$O$2:$O$1001,MATCH(ROW()-1,Calc!$X$2:$X$1001,0)),"")</f>
        <v/>
      </c>
      <c r="E520" s="3">
        <f>IFERROR(INDEX(Calc!$P$2:$P$1001,MATCH(ROW()-1,Calc!$X$2:$X$1001,0)),"")</f>
        <v/>
      </c>
      <c r="F520" s="3">
        <f>IF(G520="","",E520-D520)</f>
        <v/>
      </c>
      <c r="G520">
        <f>IFERROR(INDEX(Calc!$S$2:$S$1001,MATCH(ROW()-1,Calc!$X$2:$X$1001,0)),"")</f>
        <v/>
      </c>
    </row>
    <row r="521">
      <c r="A521">
        <f>IFERROR(INDEX(Calc!$L$2:$L$1001,MATCH(ROW()-1,Calc!$X$2:$X$1001,0)),"")</f>
        <v/>
      </c>
      <c r="B521">
        <f>IFERROR(INDEX(Calc!$M$2:$M$1001,MATCH(ROW()-1,Calc!$X$2:$X$1001,0)),"")</f>
        <v/>
      </c>
      <c r="C521">
        <f>IFERROR(INDEX(Calc!$N$2:$N$1001,MATCH(ROW()-1,Calc!$X$2:$X$1001,0)),"")</f>
        <v/>
      </c>
      <c r="D521" s="3">
        <f>IFERROR(INDEX(Calc!$O$2:$O$1001,MATCH(ROW()-1,Calc!$X$2:$X$1001,0)),"")</f>
        <v/>
      </c>
      <c r="E521" s="3">
        <f>IFERROR(INDEX(Calc!$P$2:$P$1001,MATCH(ROW()-1,Calc!$X$2:$X$1001,0)),"")</f>
        <v/>
      </c>
      <c r="F521" s="3">
        <f>IF(G521="","",E521-D521)</f>
        <v/>
      </c>
      <c r="G521">
        <f>IFERROR(INDEX(Calc!$S$2:$S$1001,MATCH(ROW()-1,Calc!$X$2:$X$1001,0)),"")</f>
        <v/>
      </c>
    </row>
    <row r="522">
      <c r="A522">
        <f>IFERROR(INDEX(Calc!$L$2:$L$1001,MATCH(ROW()-1,Calc!$X$2:$X$1001,0)),"")</f>
        <v/>
      </c>
      <c r="B522">
        <f>IFERROR(INDEX(Calc!$M$2:$M$1001,MATCH(ROW()-1,Calc!$X$2:$X$1001,0)),"")</f>
        <v/>
      </c>
      <c r="C522">
        <f>IFERROR(INDEX(Calc!$N$2:$N$1001,MATCH(ROW()-1,Calc!$X$2:$X$1001,0)),"")</f>
        <v/>
      </c>
      <c r="D522" s="3">
        <f>IFERROR(INDEX(Calc!$O$2:$O$1001,MATCH(ROW()-1,Calc!$X$2:$X$1001,0)),"")</f>
        <v/>
      </c>
      <c r="E522" s="3">
        <f>IFERROR(INDEX(Calc!$P$2:$P$1001,MATCH(ROW()-1,Calc!$X$2:$X$1001,0)),"")</f>
        <v/>
      </c>
      <c r="F522" s="3">
        <f>IF(G522="","",E522-D522)</f>
        <v/>
      </c>
      <c r="G522">
        <f>IFERROR(INDEX(Calc!$S$2:$S$1001,MATCH(ROW()-1,Calc!$X$2:$X$1001,0)),"")</f>
        <v/>
      </c>
    </row>
    <row r="523">
      <c r="A523">
        <f>IFERROR(INDEX(Calc!$L$2:$L$1001,MATCH(ROW()-1,Calc!$X$2:$X$1001,0)),"")</f>
        <v/>
      </c>
      <c r="B523">
        <f>IFERROR(INDEX(Calc!$M$2:$M$1001,MATCH(ROW()-1,Calc!$X$2:$X$1001,0)),"")</f>
        <v/>
      </c>
      <c r="C523">
        <f>IFERROR(INDEX(Calc!$N$2:$N$1001,MATCH(ROW()-1,Calc!$X$2:$X$1001,0)),"")</f>
        <v/>
      </c>
      <c r="D523" s="3">
        <f>IFERROR(INDEX(Calc!$O$2:$O$1001,MATCH(ROW()-1,Calc!$X$2:$X$1001,0)),"")</f>
        <v/>
      </c>
      <c r="E523" s="3">
        <f>IFERROR(INDEX(Calc!$P$2:$P$1001,MATCH(ROW()-1,Calc!$X$2:$X$1001,0)),"")</f>
        <v/>
      </c>
      <c r="F523" s="3">
        <f>IF(G523="","",E523-D523)</f>
        <v/>
      </c>
      <c r="G523">
        <f>IFERROR(INDEX(Calc!$S$2:$S$1001,MATCH(ROW()-1,Calc!$X$2:$X$1001,0)),"")</f>
        <v/>
      </c>
    </row>
    <row r="524">
      <c r="A524">
        <f>IFERROR(INDEX(Calc!$L$2:$L$1001,MATCH(ROW()-1,Calc!$X$2:$X$1001,0)),"")</f>
        <v/>
      </c>
      <c r="B524">
        <f>IFERROR(INDEX(Calc!$M$2:$M$1001,MATCH(ROW()-1,Calc!$X$2:$X$1001,0)),"")</f>
        <v/>
      </c>
      <c r="C524">
        <f>IFERROR(INDEX(Calc!$N$2:$N$1001,MATCH(ROW()-1,Calc!$X$2:$X$1001,0)),"")</f>
        <v/>
      </c>
      <c r="D524" s="3">
        <f>IFERROR(INDEX(Calc!$O$2:$O$1001,MATCH(ROW()-1,Calc!$X$2:$X$1001,0)),"")</f>
        <v/>
      </c>
      <c r="E524" s="3">
        <f>IFERROR(INDEX(Calc!$P$2:$P$1001,MATCH(ROW()-1,Calc!$X$2:$X$1001,0)),"")</f>
        <v/>
      </c>
      <c r="F524" s="3">
        <f>IF(G524="","",E524-D524)</f>
        <v/>
      </c>
      <c r="G524">
        <f>IFERROR(INDEX(Calc!$S$2:$S$1001,MATCH(ROW()-1,Calc!$X$2:$X$1001,0)),"")</f>
        <v/>
      </c>
    </row>
    <row r="525">
      <c r="A525">
        <f>IFERROR(INDEX(Calc!$L$2:$L$1001,MATCH(ROW()-1,Calc!$X$2:$X$1001,0)),"")</f>
        <v/>
      </c>
      <c r="B525">
        <f>IFERROR(INDEX(Calc!$M$2:$M$1001,MATCH(ROW()-1,Calc!$X$2:$X$1001,0)),"")</f>
        <v/>
      </c>
      <c r="C525">
        <f>IFERROR(INDEX(Calc!$N$2:$N$1001,MATCH(ROW()-1,Calc!$X$2:$X$1001,0)),"")</f>
        <v/>
      </c>
      <c r="D525" s="3">
        <f>IFERROR(INDEX(Calc!$O$2:$O$1001,MATCH(ROW()-1,Calc!$X$2:$X$1001,0)),"")</f>
        <v/>
      </c>
      <c r="E525" s="3">
        <f>IFERROR(INDEX(Calc!$P$2:$P$1001,MATCH(ROW()-1,Calc!$X$2:$X$1001,0)),"")</f>
        <v/>
      </c>
      <c r="F525" s="3">
        <f>IF(G525="","",E525-D525)</f>
        <v/>
      </c>
      <c r="G525">
        <f>IFERROR(INDEX(Calc!$S$2:$S$1001,MATCH(ROW()-1,Calc!$X$2:$X$1001,0)),"")</f>
        <v/>
      </c>
    </row>
    <row r="526">
      <c r="A526">
        <f>IFERROR(INDEX(Calc!$L$2:$L$1001,MATCH(ROW()-1,Calc!$X$2:$X$1001,0)),"")</f>
        <v/>
      </c>
      <c r="B526">
        <f>IFERROR(INDEX(Calc!$M$2:$M$1001,MATCH(ROW()-1,Calc!$X$2:$X$1001,0)),"")</f>
        <v/>
      </c>
      <c r="C526">
        <f>IFERROR(INDEX(Calc!$N$2:$N$1001,MATCH(ROW()-1,Calc!$X$2:$X$1001,0)),"")</f>
        <v/>
      </c>
      <c r="D526" s="3">
        <f>IFERROR(INDEX(Calc!$O$2:$O$1001,MATCH(ROW()-1,Calc!$X$2:$X$1001,0)),"")</f>
        <v/>
      </c>
      <c r="E526" s="3">
        <f>IFERROR(INDEX(Calc!$P$2:$P$1001,MATCH(ROW()-1,Calc!$X$2:$X$1001,0)),"")</f>
        <v/>
      </c>
      <c r="F526" s="3">
        <f>IF(G526="","",E526-D526)</f>
        <v/>
      </c>
      <c r="G526">
        <f>IFERROR(INDEX(Calc!$S$2:$S$1001,MATCH(ROW()-1,Calc!$X$2:$X$1001,0)),"")</f>
        <v/>
      </c>
    </row>
    <row r="527">
      <c r="A527">
        <f>IFERROR(INDEX(Calc!$L$2:$L$1001,MATCH(ROW()-1,Calc!$X$2:$X$1001,0)),"")</f>
        <v/>
      </c>
      <c r="B527">
        <f>IFERROR(INDEX(Calc!$M$2:$M$1001,MATCH(ROW()-1,Calc!$X$2:$X$1001,0)),"")</f>
        <v/>
      </c>
      <c r="C527">
        <f>IFERROR(INDEX(Calc!$N$2:$N$1001,MATCH(ROW()-1,Calc!$X$2:$X$1001,0)),"")</f>
        <v/>
      </c>
      <c r="D527" s="3">
        <f>IFERROR(INDEX(Calc!$O$2:$O$1001,MATCH(ROW()-1,Calc!$X$2:$X$1001,0)),"")</f>
        <v/>
      </c>
      <c r="E527" s="3">
        <f>IFERROR(INDEX(Calc!$P$2:$P$1001,MATCH(ROW()-1,Calc!$X$2:$X$1001,0)),"")</f>
        <v/>
      </c>
      <c r="F527" s="3">
        <f>IF(G527="","",E527-D527)</f>
        <v/>
      </c>
      <c r="G527">
        <f>IFERROR(INDEX(Calc!$S$2:$S$1001,MATCH(ROW()-1,Calc!$X$2:$X$1001,0)),"")</f>
        <v/>
      </c>
    </row>
    <row r="528">
      <c r="A528">
        <f>IFERROR(INDEX(Calc!$L$2:$L$1001,MATCH(ROW()-1,Calc!$X$2:$X$1001,0)),"")</f>
        <v/>
      </c>
      <c r="B528">
        <f>IFERROR(INDEX(Calc!$M$2:$M$1001,MATCH(ROW()-1,Calc!$X$2:$X$1001,0)),"")</f>
        <v/>
      </c>
      <c r="C528">
        <f>IFERROR(INDEX(Calc!$N$2:$N$1001,MATCH(ROW()-1,Calc!$X$2:$X$1001,0)),"")</f>
        <v/>
      </c>
      <c r="D528" s="3">
        <f>IFERROR(INDEX(Calc!$O$2:$O$1001,MATCH(ROW()-1,Calc!$X$2:$X$1001,0)),"")</f>
        <v/>
      </c>
      <c r="E528" s="3">
        <f>IFERROR(INDEX(Calc!$P$2:$P$1001,MATCH(ROW()-1,Calc!$X$2:$X$1001,0)),"")</f>
        <v/>
      </c>
      <c r="F528" s="3">
        <f>IF(G528="","",E528-D528)</f>
        <v/>
      </c>
      <c r="G528">
        <f>IFERROR(INDEX(Calc!$S$2:$S$1001,MATCH(ROW()-1,Calc!$X$2:$X$1001,0)),"")</f>
        <v/>
      </c>
    </row>
    <row r="529">
      <c r="A529">
        <f>IFERROR(INDEX(Calc!$L$2:$L$1001,MATCH(ROW()-1,Calc!$X$2:$X$1001,0)),"")</f>
        <v/>
      </c>
      <c r="B529">
        <f>IFERROR(INDEX(Calc!$M$2:$M$1001,MATCH(ROW()-1,Calc!$X$2:$X$1001,0)),"")</f>
        <v/>
      </c>
      <c r="C529">
        <f>IFERROR(INDEX(Calc!$N$2:$N$1001,MATCH(ROW()-1,Calc!$X$2:$X$1001,0)),"")</f>
        <v/>
      </c>
      <c r="D529" s="3">
        <f>IFERROR(INDEX(Calc!$O$2:$O$1001,MATCH(ROW()-1,Calc!$X$2:$X$1001,0)),"")</f>
        <v/>
      </c>
      <c r="E529" s="3">
        <f>IFERROR(INDEX(Calc!$P$2:$P$1001,MATCH(ROW()-1,Calc!$X$2:$X$1001,0)),"")</f>
        <v/>
      </c>
      <c r="F529" s="3">
        <f>IF(G529="","",E529-D529)</f>
        <v/>
      </c>
      <c r="G529">
        <f>IFERROR(INDEX(Calc!$S$2:$S$1001,MATCH(ROW()-1,Calc!$X$2:$X$1001,0)),"")</f>
        <v/>
      </c>
    </row>
    <row r="530">
      <c r="A530">
        <f>IFERROR(INDEX(Calc!$L$2:$L$1001,MATCH(ROW()-1,Calc!$X$2:$X$1001,0)),"")</f>
        <v/>
      </c>
      <c r="B530">
        <f>IFERROR(INDEX(Calc!$M$2:$M$1001,MATCH(ROW()-1,Calc!$X$2:$X$1001,0)),"")</f>
        <v/>
      </c>
      <c r="C530">
        <f>IFERROR(INDEX(Calc!$N$2:$N$1001,MATCH(ROW()-1,Calc!$X$2:$X$1001,0)),"")</f>
        <v/>
      </c>
      <c r="D530" s="3">
        <f>IFERROR(INDEX(Calc!$O$2:$O$1001,MATCH(ROW()-1,Calc!$X$2:$X$1001,0)),"")</f>
        <v/>
      </c>
      <c r="E530" s="3">
        <f>IFERROR(INDEX(Calc!$P$2:$P$1001,MATCH(ROW()-1,Calc!$X$2:$X$1001,0)),"")</f>
        <v/>
      </c>
      <c r="F530" s="3">
        <f>IF(G530="","",E530-D530)</f>
        <v/>
      </c>
      <c r="G530">
        <f>IFERROR(INDEX(Calc!$S$2:$S$1001,MATCH(ROW()-1,Calc!$X$2:$X$1001,0)),"")</f>
        <v/>
      </c>
    </row>
    <row r="531">
      <c r="A531">
        <f>IFERROR(INDEX(Calc!$L$2:$L$1001,MATCH(ROW()-1,Calc!$X$2:$X$1001,0)),"")</f>
        <v/>
      </c>
      <c r="B531">
        <f>IFERROR(INDEX(Calc!$M$2:$M$1001,MATCH(ROW()-1,Calc!$X$2:$X$1001,0)),"")</f>
        <v/>
      </c>
      <c r="C531">
        <f>IFERROR(INDEX(Calc!$N$2:$N$1001,MATCH(ROW()-1,Calc!$X$2:$X$1001,0)),"")</f>
        <v/>
      </c>
      <c r="D531" s="3">
        <f>IFERROR(INDEX(Calc!$O$2:$O$1001,MATCH(ROW()-1,Calc!$X$2:$X$1001,0)),"")</f>
        <v/>
      </c>
      <c r="E531" s="3">
        <f>IFERROR(INDEX(Calc!$P$2:$P$1001,MATCH(ROW()-1,Calc!$X$2:$X$1001,0)),"")</f>
        <v/>
      </c>
      <c r="F531" s="3">
        <f>IF(G531="","",E531-D531)</f>
        <v/>
      </c>
      <c r="G531">
        <f>IFERROR(INDEX(Calc!$S$2:$S$1001,MATCH(ROW()-1,Calc!$X$2:$X$1001,0)),"")</f>
        <v/>
      </c>
    </row>
    <row r="532">
      <c r="A532">
        <f>IFERROR(INDEX(Calc!$L$2:$L$1001,MATCH(ROW()-1,Calc!$X$2:$X$1001,0)),"")</f>
        <v/>
      </c>
      <c r="B532">
        <f>IFERROR(INDEX(Calc!$M$2:$M$1001,MATCH(ROW()-1,Calc!$X$2:$X$1001,0)),"")</f>
        <v/>
      </c>
      <c r="C532">
        <f>IFERROR(INDEX(Calc!$N$2:$N$1001,MATCH(ROW()-1,Calc!$X$2:$X$1001,0)),"")</f>
        <v/>
      </c>
      <c r="D532" s="3">
        <f>IFERROR(INDEX(Calc!$O$2:$O$1001,MATCH(ROW()-1,Calc!$X$2:$X$1001,0)),"")</f>
        <v/>
      </c>
      <c r="E532" s="3">
        <f>IFERROR(INDEX(Calc!$P$2:$P$1001,MATCH(ROW()-1,Calc!$X$2:$X$1001,0)),"")</f>
        <v/>
      </c>
      <c r="F532" s="3">
        <f>IF(G532="","",E532-D532)</f>
        <v/>
      </c>
      <c r="G532">
        <f>IFERROR(INDEX(Calc!$S$2:$S$1001,MATCH(ROW()-1,Calc!$X$2:$X$1001,0)),"")</f>
        <v/>
      </c>
    </row>
    <row r="533">
      <c r="A533">
        <f>IFERROR(INDEX(Calc!$L$2:$L$1001,MATCH(ROW()-1,Calc!$X$2:$X$1001,0)),"")</f>
        <v/>
      </c>
      <c r="B533">
        <f>IFERROR(INDEX(Calc!$M$2:$M$1001,MATCH(ROW()-1,Calc!$X$2:$X$1001,0)),"")</f>
        <v/>
      </c>
      <c r="C533">
        <f>IFERROR(INDEX(Calc!$N$2:$N$1001,MATCH(ROW()-1,Calc!$X$2:$X$1001,0)),"")</f>
        <v/>
      </c>
      <c r="D533" s="3">
        <f>IFERROR(INDEX(Calc!$O$2:$O$1001,MATCH(ROW()-1,Calc!$X$2:$X$1001,0)),"")</f>
        <v/>
      </c>
      <c r="E533" s="3">
        <f>IFERROR(INDEX(Calc!$P$2:$P$1001,MATCH(ROW()-1,Calc!$X$2:$X$1001,0)),"")</f>
        <v/>
      </c>
      <c r="F533" s="3">
        <f>IF(G533="","",E533-D533)</f>
        <v/>
      </c>
      <c r="G533">
        <f>IFERROR(INDEX(Calc!$S$2:$S$1001,MATCH(ROW()-1,Calc!$X$2:$X$1001,0)),"")</f>
        <v/>
      </c>
    </row>
    <row r="534">
      <c r="A534">
        <f>IFERROR(INDEX(Calc!$L$2:$L$1001,MATCH(ROW()-1,Calc!$X$2:$X$1001,0)),"")</f>
        <v/>
      </c>
      <c r="B534">
        <f>IFERROR(INDEX(Calc!$M$2:$M$1001,MATCH(ROW()-1,Calc!$X$2:$X$1001,0)),"")</f>
        <v/>
      </c>
      <c r="C534">
        <f>IFERROR(INDEX(Calc!$N$2:$N$1001,MATCH(ROW()-1,Calc!$X$2:$X$1001,0)),"")</f>
        <v/>
      </c>
      <c r="D534" s="3">
        <f>IFERROR(INDEX(Calc!$O$2:$O$1001,MATCH(ROW()-1,Calc!$X$2:$X$1001,0)),"")</f>
        <v/>
      </c>
      <c r="E534" s="3">
        <f>IFERROR(INDEX(Calc!$P$2:$P$1001,MATCH(ROW()-1,Calc!$X$2:$X$1001,0)),"")</f>
        <v/>
      </c>
      <c r="F534" s="3">
        <f>IF(G534="","",E534-D534)</f>
        <v/>
      </c>
      <c r="G534">
        <f>IFERROR(INDEX(Calc!$S$2:$S$1001,MATCH(ROW()-1,Calc!$X$2:$X$1001,0)),"")</f>
        <v/>
      </c>
    </row>
    <row r="535">
      <c r="A535">
        <f>IFERROR(INDEX(Calc!$L$2:$L$1001,MATCH(ROW()-1,Calc!$X$2:$X$1001,0)),"")</f>
        <v/>
      </c>
      <c r="B535">
        <f>IFERROR(INDEX(Calc!$M$2:$M$1001,MATCH(ROW()-1,Calc!$X$2:$X$1001,0)),"")</f>
        <v/>
      </c>
      <c r="C535">
        <f>IFERROR(INDEX(Calc!$N$2:$N$1001,MATCH(ROW()-1,Calc!$X$2:$X$1001,0)),"")</f>
        <v/>
      </c>
      <c r="D535" s="3">
        <f>IFERROR(INDEX(Calc!$O$2:$O$1001,MATCH(ROW()-1,Calc!$X$2:$X$1001,0)),"")</f>
        <v/>
      </c>
      <c r="E535" s="3">
        <f>IFERROR(INDEX(Calc!$P$2:$P$1001,MATCH(ROW()-1,Calc!$X$2:$X$1001,0)),"")</f>
        <v/>
      </c>
      <c r="F535" s="3">
        <f>IF(G535="","",E535-D535)</f>
        <v/>
      </c>
      <c r="G535">
        <f>IFERROR(INDEX(Calc!$S$2:$S$1001,MATCH(ROW()-1,Calc!$X$2:$X$1001,0)),"")</f>
        <v/>
      </c>
    </row>
    <row r="536">
      <c r="A536">
        <f>IFERROR(INDEX(Calc!$L$2:$L$1001,MATCH(ROW()-1,Calc!$X$2:$X$1001,0)),"")</f>
        <v/>
      </c>
      <c r="B536">
        <f>IFERROR(INDEX(Calc!$M$2:$M$1001,MATCH(ROW()-1,Calc!$X$2:$X$1001,0)),"")</f>
        <v/>
      </c>
      <c r="C536">
        <f>IFERROR(INDEX(Calc!$N$2:$N$1001,MATCH(ROW()-1,Calc!$X$2:$X$1001,0)),"")</f>
        <v/>
      </c>
      <c r="D536" s="3">
        <f>IFERROR(INDEX(Calc!$O$2:$O$1001,MATCH(ROW()-1,Calc!$X$2:$X$1001,0)),"")</f>
        <v/>
      </c>
      <c r="E536" s="3">
        <f>IFERROR(INDEX(Calc!$P$2:$P$1001,MATCH(ROW()-1,Calc!$X$2:$X$1001,0)),"")</f>
        <v/>
      </c>
      <c r="F536" s="3">
        <f>IF(G536="","",E536-D536)</f>
        <v/>
      </c>
      <c r="G536">
        <f>IFERROR(INDEX(Calc!$S$2:$S$1001,MATCH(ROW()-1,Calc!$X$2:$X$1001,0)),"")</f>
        <v/>
      </c>
    </row>
    <row r="537">
      <c r="A537">
        <f>IFERROR(INDEX(Calc!$L$2:$L$1001,MATCH(ROW()-1,Calc!$X$2:$X$1001,0)),"")</f>
        <v/>
      </c>
      <c r="B537">
        <f>IFERROR(INDEX(Calc!$M$2:$M$1001,MATCH(ROW()-1,Calc!$X$2:$X$1001,0)),"")</f>
        <v/>
      </c>
      <c r="C537">
        <f>IFERROR(INDEX(Calc!$N$2:$N$1001,MATCH(ROW()-1,Calc!$X$2:$X$1001,0)),"")</f>
        <v/>
      </c>
      <c r="D537" s="3">
        <f>IFERROR(INDEX(Calc!$O$2:$O$1001,MATCH(ROW()-1,Calc!$X$2:$X$1001,0)),"")</f>
        <v/>
      </c>
      <c r="E537" s="3">
        <f>IFERROR(INDEX(Calc!$P$2:$P$1001,MATCH(ROW()-1,Calc!$X$2:$X$1001,0)),"")</f>
        <v/>
      </c>
      <c r="F537" s="3">
        <f>IF(G537="","",E537-D537)</f>
        <v/>
      </c>
      <c r="G537">
        <f>IFERROR(INDEX(Calc!$S$2:$S$1001,MATCH(ROW()-1,Calc!$X$2:$X$1001,0)),"")</f>
        <v/>
      </c>
    </row>
    <row r="538">
      <c r="A538">
        <f>IFERROR(INDEX(Calc!$L$2:$L$1001,MATCH(ROW()-1,Calc!$X$2:$X$1001,0)),"")</f>
        <v/>
      </c>
      <c r="B538">
        <f>IFERROR(INDEX(Calc!$M$2:$M$1001,MATCH(ROW()-1,Calc!$X$2:$X$1001,0)),"")</f>
        <v/>
      </c>
      <c r="C538">
        <f>IFERROR(INDEX(Calc!$N$2:$N$1001,MATCH(ROW()-1,Calc!$X$2:$X$1001,0)),"")</f>
        <v/>
      </c>
      <c r="D538" s="3">
        <f>IFERROR(INDEX(Calc!$O$2:$O$1001,MATCH(ROW()-1,Calc!$X$2:$X$1001,0)),"")</f>
        <v/>
      </c>
      <c r="E538" s="3">
        <f>IFERROR(INDEX(Calc!$P$2:$P$1001,MATCH(ROW()-1,Calc!$X$2:$X$1001,0)),"")</f>
        <v/>
      </c>
      <c r="F538" s="3">
        <f>IF(G538="","",E538-D538)</f>
        <v/>
      </c>
      <c r="G538">
        <f>IFERROR(INDEX(Calc!$S$2:$S$1001,MATCH(ROW()-1,Calc!$X$2:$X$1001,0)),"")</f>
        <v/>
      </c>
    </row>
    <row r="539">
      <c r="A539">
        <f>IFERROR(INDEX(Calc!$L$2:$L$1001,MATCH(ROW()-1,Calc!$X$2:$X$1001,0)),"")</f>
        <v/>
      </c>
      <c r="B539">
        <f>IFERROR(INDEX(Calc!$M$2:$M$1001,MATCH(ROW()-1,Calc!$X$2:$X$1001,0)),"")</f>
        <v/>
      </c>
      <c r="C539">
        <f>IFERROR(INDEX(Calc!$N$2:$N$1001,MATCH(ROW()-1,Calc!$X$2:$X$1001,0)),"")</f>
        <v/>
      </c>
      <c r="D539" s="3">
        <f>IFERROR(INDEX(Calc!$O$2:$O$1001,MATCH(ROW()-1,Calc!$X$2:$X$1001,0)),"")</f>
        <v/>
      </c>
      <c r="E539" s="3">
        <f>IFERROR(INDEX(Calc!$P$2:$P$1001,MATCH(ROW()-1,Calc!$X$2:$X$1001,0)),"")</f>
        <v/>
      </c>
      <c r="F539" s="3">
        <f>IF(G539="","",E539-D539)</f>
        <v/>
      </c>
      <c r="G539">
        <f>IFERROR(INDEX(Calc!$S$2:$S$1001,MATCH(ROW()-1,Calc!$X$2:$X$1001,0)),"")</f>
        <v/>
      </c>
    </row>
    <row r="540">
      <c r="A540">
        <f>IFERROR(INDEX(Calc!$L$2:$L$1001,MATCH(ROW()-1,Calc!$X$2:$X$1001,0)),"")</f>
        <v/>
      </c>
      <c r="B540">
        <f>IFERROR(INDEX(Calc!$M$2:$M$1001,MATCH(ROW()-1,Calc!$X$2:$X$1001,0)),"")</f>
        <v/>
      </c>
      <c r="C540">
        <f>IFERROR(INDEX(Calc!$N$2:$N$1001,MATCH(ROW()-1,Calc!$X$2:$X$1001,0)),"")</f>
        <v/>
      </c>
      <c r="D540" s="3">
        <f>IFERROR(INDEX(Calc!$O$2:$O$1001,MATCH(ROW()-1,Calc!$X$2:$X$1001,0)),"")</f>
        <v/>
      </c>
      <c r="E540" s="3">
        <f>IFERROR(INDEX(Calc!$P$2:$P$1001,MATCH(ROW()-1,Calc!$X$2:$X$1001,0)),"")</f>
        <v/>
      </c>
      <c r="F540" s="3">
        <f>IF(G540="","",E540-D540)</f>
        <v/>
      </c>
      <c r="G540">
        <f>IFERROR(INDEX(Calc!$S$2:$S$1001,MATCH(ROW()-1,Calc!$X$2:$X$1001,0)),"")</f>
        <v/>
      </c>
    </row>
    <row r="541">
      <c r="A541">
        <f>IFERROR(INDEX(Calc!$L$2:$L$1001,MATCH(ROW()-1,Calc!$X$2:$X$1001,0)),"")</f>
        <v/>
      </c>
      <c r="B541">
        <f>IFERROR(INDEX(Calc!$M$2:$M$1001,MATCH(ROW()-1,Calc!$X$2:$X$1001,0)),"")</f>
        <v/>
      </c>
      <c r="C541">
        <f>IFERROR(INDEX(Calc!$N$2:$N$1001,MATCH(ROW()-1,Calc!$X$2:$X$1001,0)),"")</f>
        <v/>
      </c>
      <c r="D541" s="3">
        <f>IFERROR(INDEX(Calc!$O$2:$O$1001,MATCH(ROW()-1,Calc!$X$2:$X$1001,0)),"")</f>
        <v/>
      </c>
      <c r="E541" s="3">
        <f>IFERROR(INDEX(Calc!$P$2:$P$1001,MATCH(ROW()-1,Calc!$X$2:$X$1001,0)),"")</f>
        <v/>
      </c>
      <c r="F541" s="3">
        <f>IF(G541="","",E541-D541)</f>
        <v/>
      </c>
      <c r="G541">
        <f>IFERROR(INDEX(Calc!$S$2:$S$1001,MATCH(ROW()-1,Calc!$X$2:$X$1001,0)),"")</f>
        <v/>
      </c>
    </row>
    <row r="542">
      <c r="A542">
        <f>IFERROR(INDEX(Calc!$L$2:$L$1001,MATCH(ROW()-1,Calc!$X$2:$X$1001,0)),"")</f>
        <v/>
      </c>
      <c r="B542">
        <f>IFERROR(INDEX(Calc!$M$2:$M$1001,MATCH(ROW()-1,Calc!$X$2:$X$1001,0)),"")</f>
        <v/>
      </c>
      <c r="C542">
        <f>IFERROR(INDEX(Calc!$N$2:$N$1001,MATCH(ROW()-1,Calc!$X$2:$X$1001,0)),"")</f>
        <v/>
      </c>
      <c r="D542" s="3">
        <f>IFERROR(INDEX(Calc!$O$2:$O$1001,MATCH(ROW()-1,Calc!$X$2:$X$1001,0)),"")</f>
        <v/>
      </c>
      <c r="E542" s="3">
        <f>IFERROR(INDEX(Calc!$P$2:$P$1001,MATCH(ROW()-1,Calc!$X$2:$X$1001,0)),"")</f>
        <v/>
      </c>
      <c r="F542" s="3">
        <f>IF(G542="","",E542-D542)</f>
        <v/>
      </c>
      <c r="G542">
        <f>IFERROR(INDEX(Calc!$S$2:$S$1001,MATCH(ROW()-1,Calc!$X$2:$X$1001,0)),"")</f>
        <v/>
      </c>
    </row>
    <row r="543">
      <c r="A543">
        <f>IFERROR(INDEX(Calc!$L$2:$L$1001,MATCH(ROW()-1,Calc!$X$2:$X$1001,0)),"")</f>
        <v/>
      </c>
      <c r="B543">
        <f>IFERROR(INDEX(Calc!$M$2:$M$1001,MATCH(ROW()-1,Calc!$X$2:$X$1001,0)),"")</f>
        <v/>
      </c>
      <c r="C543">
        <f>IFERROR(INDEX(Calc!$N$2:$N$1001,MATCH(ROW()-1,Calc!$X$2:$X$1001,0)),"")</f>
        <v/>
      </c>
      <c r="D543" s="3">
        <f>IFERROR(INDEX(Calc!$O$2:$O$1001,MATCH(ROW()-1,Calc!$X$2:$X$1001,0)),"")</f>
        <v/>
      </c>
      <c r="E543" s="3">
        <f>IFERROR(INDEX(Calc!$P$2:$P$1001,MATCH(ROW()-1,Calc!$X$2:$X$1001,0)),"")</f>
        <v/>
      </c>
      <c r="F543" s="3">
        <f>IF(G543="","",E543-D543)</f>
        <v/>
      </c>
      <c r="G543">
        <f>IFERROR(INDEX(Calc!$S$2:$S$1001,MATCH(ROW()-1,Calc!$X$2:$X$1001,0)),"")</f>
        <v/>
      </c>
    </row>
    <row r="544">
      <c r="A544">
        <f>IFERROR(INDEX(Calc!$L$2:$L$1001,MATCH(ROW()-1,Calc!$X$2:$X$1001,0)),"")</f>
        <v/>
      </c>
      <c r="B544">
        <f>IFERROR(INDEX(Calc!$M$2:$M$1001,MATCH(ROW()-1,Calc!$X$2:$X$1001,0)),"")</f>
        <v/>
      </c>
      <c r="C544">
        <f>IFERROR(INDEX(Calc!$N$2:$N$1001,MATCH(ROW()-1,Calc!$X$2:$X$1001,0)),"")</f>
        <v/>
      </c>
      <c r="D544" s="3">
        <f>IFERROR(INDEX(Calc!$O$2:$O$1001,MATCH(ROW()-1,Calc!$X$2:$X$1001,0)),"")</f>
        <v/>
      </c>
      <c r="E544" s="3">
        <f>IFERROR(INDEX(Calc!$P$2:$P$1001,MATCH(ROW()-1,Calc!$X$2:$X$1001,0)),"")</f>
        <v/>
      </c>
      <c r="F544" s="3">
        <f>IF(G544="","",E544-D544)</f>
        <v/>
      </c>
      <c r="G544">
        <f>IFERROR(INDEX(Calc!$S$2:$S$1001,MATCH(ROW()-1,Calc!$X$2:$X$1001,0)),"")</f>
        <v/>
      </c>
    </row>
    <row r="545">
      <c r="A545">
        <f>IFERROR(INDEX(Calc!$L$2:$L$1001,MATCH(ROW()-1,Calc!$X$2:$X$1001,0)),"")</f>
        <v/>
      </c>
      <c r="B545">
        <f>IFERROR(INDEX(Calc!$M$2:$M$1001,MATCH(ROW()-1,Calc!$X$2:$X$1001,0)),"")</f>
        <v/>
      </c>
      <c r="C545">
        <f>IFERROR(INDEX(Calc!$N$2:$N$1001,MATCH(ROW()-1,Calc!$X$2:$X$1001,0)),"")</f>
        <v/>
      </c>
      <c r="D545" s="3">
        <f>IFERROR(INDEX(Calc!$O$2:$O$1001,MATCH(ROW()-1,Calc!$X$2:$X$1001,0)),"")</f>
        <v/>
      </c>
      <c r="E545" s="3">
        <f>IFERROR(INDEX(Calc!$P$2:$P$1001,MATCH(ROW()-1,Calc!$X$2:$X$1001,0)),"")</f>
        <v/>
      </c>
      <c r="F545" s="3">
        <f>IF(G545="","",E545-D545)</f>
        <v/>
      </c>
      <c r="G545">
        <f>IFERROR(INDEX(Calc!$S$2:$S$1001,MATCH(ROW()-1,Calc!$X$2:$X$1001,0)),"")</f>
        <v/>
      </c>
    </row>
    <row r="546">
      <c r="A546">
        <f>IFERROR(INDEX(Calc!$L$2:$L$1001,MATCH(ROW()-1,Calc!$X$2:$X$1001,0)),"")</f>
        <v/>
      </c>
      <c r="B546">
        <f>IFERROR(INDEX(Calc!$M$2:$M$1001,MATCH(ROW()-1,Calc!$X$2:$X$1001,0)),"")</f>
        <v/>
      </c>
      <c r="C546">
        <f>IFERROR(INDEX(Calc!$N$2:$N$1001,MATCH(ROW()-1,Calc!$X$2:$X$1001,0)),"")</f>
        <v/>
      </c>
      <c r="D546" s="3">
        <f>IFERROR(INDEX(Calc!$O$2:$O$1001,MATCH(ROW()-1,Calc!$X$2:$X$1001,0)),"")</f>
        <v/>
      </c>
      <c r="E546" s="3">
        <f>IFERROR(INDEX(Calc!$P$2:$P$1001,MATCH(ROW()-1,Calc!$X$2:$X$1001,0)),"")</f>
        <v/>
      </c>
      <c r="F546" s="3">
        <f>IF(G546="","",E546-D546)</f>
        <v/>
      </c>
      <c r="G546">
        <f>IFERROR(INDEX(Calc!$S$2:$S$1001,MATCH(ROW()-1,Calc!$X$2:$X$1001,0)),"")</f>
        <v/>
      </c>
    </row>
    <row r="547">
      <c r="A547">
        <f>IFERROR(INDEX(Calc!$L$2:$L$1001,MATCH(ROW()-1,Calc!$X$2:$X$1001,0)),"")</f>
        <v/>
      </c>
      <c r="B547">
        <f>IFERROR(INDEX(Calc!$M$2:$M$1001,MATCH(ROW()-1,Calc!$X$2:$X$1001,0)),"")</f>
        <v/>
      </c>
      <c r="C547">
        <f>IFERROR(INDEX(Calc!$N$2:$N$1001,MATCH(ROW()-1,Calc!$X$2:$X$1001,0)),"")</f>
        <v/>
      </c>
      <c r="D547" s="3">
        <f>IFERROR(INDEX(Calc!$O$2:$O$1001,MATCH(ROW()-1,Calc!$X$2:$X$1001,0)),"")</f>
        <v/>
      </c>
      <c r="E547" s="3">
        <f>IFERROR(INDEX(Calc!$P$2:$P$1001,MATCH(ROW()-1,Calc!$X$2:$X$1001,0)),"")</f>
        <v/>
      </c>
      <c r="F547" s="3">
        <f>IF(G547="","",E547-D547)</f>
        <v/>
      </c>
      <c r="G547">
        <f>IFERROR(INDEX(Calc!$S$2:$S$1001,MATCH(ROW()-1,Calc!$X$2:$X$1001,0)),"")</f>
        <v/>
      </c>
    </row>
    <row r="548">
      <c r="A548">
        <f>IFERROR(INDEX(Calc!$L$2:$L$1001,MATCH(ROW()-1,Calc!$X$2:$X$1001,0)),"")</f>
        <v/>
      </c>
      <c r="B548">
        <f>IFERROR(INDEX(Calc!$M$2:$M$1001,MATCH(ROW()-1,Calc!$X$2:$X$1001,0)),"")</f>
        <v/>
      </c>
      <c r="C548">
        <f>IFERROR(INDEX(Calc!$N$2:$N$1001,MATCH(ROW()-1,Calc!$X$2:$X$1001,0)),"")</f>
        <v/>
      </c>
      <c r="D548" s="3">
        <f>IFERROR(INDEX(Calc!$O$2:$O$1001,MATCH(ROW()-1,Calc!$X$2:$X$1001,0)),"")</f>
        <v/>
      </c>
      <c r="E548" s="3">
        <f>IFERROR(INDEX(Calc!$P$2:$P$1001,MATCH(ROW()-1,Calc!$X$2:$X$1001,0)),"")</f>
        <v/>
      </c>
      <c r="F548" s="3">
        <f>IF(G548="","",E548-D548)</f>
        <v/>
      </c>
      <c r="G548">
        <f>IFERROR(INDEX(Calc!$S$2:$S$1001,MATCH(ROW()-1,Calc!$X$2:$X$1001,0)),"")</f>
        <v/>
      </c>
    </row>
    <row r="549">
      <c r="A549">
        <f>IFERROR(INDEX(Calc!$L$2:$L$1001,MATCH(ROW()-1,Calc!$X$2:$X$1001,0)),"")</f>
        <v/>
      </c>
      <c r="B549">
        <f>IFERROR(INDEX(Calc!$M$2:$M$1001,MATCH(ROW()-1,Calc!$X$2:$X$1001,0)),"")</f>
        <v/>
      </c>
      <c r="C549">
        <f>IFERROR(INDEX(Calc!$N$2:$N$1001,MATCH(ROW()-1,Calc!$X$2:$X$1001,0)),"")</f>
        <v/>
      </c>
      <c r="D549" s="3">
        <f>IFERROR(INDEX(Calc!$O$2:$O$1001,MATCH(ROW()-1,Calc!$X$2:$X$1001,0)),"")</f>
        <v/>
      </c>
      <c r="E549" s="3">
        <f>IFERROR(INDEX(Calc!$P$2:$P$1001,MATCH(ROW()-1,Calc!$X$2:$X$1001,0)),"")</f>
        <v/>
      </c>
      <c r="F549" s="3">
        <f>IF(G549="","",E549-D549)</f>
        <v/>
      </c>
      <c r="G549">
        <f>IFERROR(INDEX(Calc!$S$2:$S$1001,MATCH(ROW()-1,Calc!$X$2:$X$1001,0)),"")</f>
        <v/>
      </c>
    </row>
    <row r="550">
      <c r="A550">
        <f>IFERROR(INDEX(Calc!$L$2:$L$1001,MATCH(ROW()-1,Calc!$X$2:$X$1001,0)),"")</f>
        <v/>
      </c>
      <c r="B550">
        <f>IFERROR(INDEX(Calc!$M$2:$M$1001,MATCH(ROW()-1,Calc!$X$2:$X$1001,0)),"")</f>
        <v/>
      </c>
      <c r="C550">
        <f>IFERROR(INDEX(Calc!$N$2:$N$1001,MATCH(ROW()-1,Calc!$X$2:$X$1001,0)),"")</f>
        <v/>
      </c>
      <c r="D550" s="3">
        <f>IFERROR(INDEX(Calc!$O$2:$O$1001,MATCH(ROW()-1,Calc!$X$2:$X$1001,0)),"")</f>
        <v/>
      </c>
      <c r="E550" s="3">
        <f>IFERROR(INDEX(Calc!$P$2:$P$1001,MATCH(ROW()-1,Calc!$X$2:$X$1001,0)),"")</f>
        <v/>
      </c>
      <c r="F550" s="3">
        <f>IF(G550="","",E550-D550)</f>
        <v/>
      </c>
      <c r="G550">
        <f>IFERROR(INDEX(Calc!$S$2:$S$1001,MATCH(ROW()-1,Calc!$X$2:$X$1001,0)),"")</f>
        <v/>
      </c>
    </row>
    <row r="551">
      <c r="A551">
        <f>IFERROR(INDEX(Calc!$L$2:$L$1001,MATCH(ROW()-1,Calc!$X$2:$X$1001,0)),"")</f>
        <v/>
      </c>
      <c r="B551">
        <f>IFERROR(INDEX(Calc!$M$2:$M$1001,MATCH(ROW()-1,Calc!$X$2:$X$1001,0)),"")</f>
        <v/>
      </c>
      <c r="C551">
        <f>IFERROR(INDEX(Calc!$N$2:$N$1001,MATCH(ROW()-1,Calc!$X$2:$X$1001,0)),"")</f>
        <v/>
      </c>
      <c r="D551" s="3">
        <f>IFERROR(INDEX(Calc!$O$2:$O$1001,MATCH(ROW()-1,Calc!$X$2:$X$1001,0)),"")</f>
        <v/>
      </c>
      <c r="E551" s="3">
        <f>IFERROR(INDEX(Calc!$P$2:$P$1001,MATCH(ROW()-1,Calc!$X$2:$X$1001,0)),"")</f>
        <v/>
      </c>
      <c r="F551" s="3">
        <f>IF(G551="","",E551-D551)</f>
        <v/>
      </c>
      <c r="G551">
        <f>IFERROR(INDEX(Calc!$S$2:$S$1001,MATCH(ROW()-1,Calc!$X$2:$X$1001,0)),"")</f>
        <v/>
      </c>
    </row>
    <row r="552">
      <c r="A552">
        <f>IFERROR(INDEX(Calc!$L$2:$L$1001,MATCH(ROW()-1,Calc!$X$2:$X$1001,0)),"")</f>
        <v/>
      </c>
      <c r="B552">
        <f>IFERROR(INDEX(Calc!$M$2:$M$1001,MATCH(ROW()-1,Calc!$X$2:$X$1001,0)),"")</f>
        <v/>
      </c>
      <c r="C552">
        <f>IFERROR(INDEX(Calc!$N$2:$N$1001,MATCH(ROW()-1,Calc!$X$2:$X$1001,0)),"")</f>
        <v/>
      </c>
      <c r="D552" s="3">
        <f>IFERROR(INDEX(Calc!$O$2:$O$1001,MATCH(ROW()-1,Calc!$X$2:$X$1001,0)),"")</f>
        <v/>
      </c>
      <c r="E552" s="3">
        <f>IFERROR(INDEX(Calc!$P$2:$P$1001,MATCH(ROW()-1,Calc!$X$2:$X$1001,0)),"")</f>
        <v/>
      </c>
      <c r="F552" s="3">
        <f>IF(G552="","",E552-D552)</f>
        <v/>
      </c>
      <c r="G552">
        <f>IFERROR(INDEX(Calc!$S$2:$S$1001,MATCH(ROW()-1,Calc!$X$2:$X$1001,0)),"")</f>
        <v/>
      </c>
    </row>
    <row r="553">
      <c r="A553">
        <f>IFERROR(INDEX(Calc!$L$2:$L$1001,MATCH(ROW()-1,Calc!$X$2:$X$1001,0)),"")</f>
        <v/>
      </c>
      <c r="B553">
        <f>IFERROR(INDEX(Calc!$M$2:$M$1001,MATCH(ROW()-1,Calc!$X$2:$X$1001,0)),"")</f>
        <v/>
      </c>
      <c r="C553">
        <f>IFERROR(INDEX(Calc!$N$2:$N$1001,MATCH(ROW()-1,Calc!$X$2:$X$1001,0)),"")</f>
        <v/>
      </c>
      <c r="D553" s="3">
        <f>IFERROR(INDEX(Calc!$O$2:$O$1001,MATCH(ROW()-1,Calc!$X$2:$X$1001,0)),"")</f>
        <v/>
      </c>
      <c r="E553" s="3">
        <f>IFERROR(INDEX(Calc!$P$2:$P$1001,MATCH(ROW()-1,Calc!$X$2:$X$1001,0)),"")</f>
        <v/>
      </c>
      <c r="F553" s="3">
        <f>IF(G553="","",E553-D553)</f>
        <v/>
      </c>
      <c r="G553">
        <f>IFERROR(INDEX(Calc!$S$2:$S$1001,MATCH(ROW()-1,Calc!$X$2:$X$1001,0)),"")</f>
        <v/>
      </c>
    </row>
    <row r="554">
      <c r="A554">
        <f>IFERROR(INDEX(Calc!$L$2:$L$1001,MATCH(ROW()-1,Calc!$X$2:$X$1001,0)),"")</f>
        <v/>
      </c>
      <c r="B554">
        <f>IFERROR(INDEX(Calc!$M$2:$M$1001,MATCH(ROW()-1,Calc!$X$2:$X$1001,0)),"")</f>
        <v/>
      </c>
      <c r="C554">
        <f>IFERROR(INDEX(Calc!$N$2:$N$1001,MATCH(ROW()-1,Calc!$X$2:$X$1001,0)),"")</f>
        <v/>
      </c>
      <c r="D554" s="3">
        <f>IFERROR(INDEX(Calc!$O$2:$O$1001,MATCH(ROW()-1,Calc!$X$2:$X$1001,0)),"")</f>
        <v/>
      </c>
      <c r="E554" s="3">
        <f>IFERROR(INDEX(Calc!$P$2:$P$1001,MATCH(ROW()-1,Calc!$X$2:$X$1001,0)),"")</f>
        <v/>
      </c>
      <c r="F554" s="3">
        <f>IF(G554="","",E554-D554)</f>
        <v/>
      </c>
      <c r="G554">
        <f>IFERROR(INDEX(Calc!$S$2:$S$1001,MATCH(ROW()-1,Calc!$X$2:$X$1001,0)),"")</f>
        <v/>
      </c>
    </row>
    <row r="555">
      <c r="A555">
        <f>IFERROR(INDEX(Calc!$L$2:$L$1001,MATCH(ROW()-1,Calc!$X$2:$X$1001,0)),"")</f>
        <v/>
      </c>
      <c r="B555">
        <f>IFERROR(INDEX(Calc!$M$2:$M$1001,MATCH(ROW()-1,Calc!$X$2:$X$1001,0)),"")</f>
        <v/>
      </c>
      <c r="C555">
        <f>IFERROR(INDEX(Calc!$N$2:$N$1001,MATCH(ROW()-1,Calc!$X$2:$X$1001,0)),"")</f>
        <v/>
      </c>
      <c r="D555" s="3">
        <f>IFERROR(INDEX(Calc!$O$2:$O$1001,MATCH(ROW()-1,Calc!$X$2:$X$1001,0)),"")</f>
        <v/>
      </c>
      <c r="E555" s="3">
        <f>IFERROR(INDEX(Calc!$P$2:$P$1001,MATCH(ROW()-1,Calc!$X$2:$X$1001,0)),"")</f>
        <v/>
      </c>
      <c r="F555" s="3">
        <f>IF(G555="","",E555-D555)</f>
        <v/>
      </c>
      <c r="G555">
        <f>IFERROR(INDEX(Calc!$S$2:$S$1001,MATCH(ROW()-1,Calc!$X$2:$X$1001,0)),"")</f>
        <v/>
      </c>
    </row>
    <row r="556">
      <c r="A556">
        <f>IFERROR(INDEX(Calc!$L$2:$L$1001,MATCH(ROW()-1,Calc!$X$2:$X$1001,0)),"")</f>
        <v/>
      </c>
      <c r="B556">
        <f>IFERROR(INDEX(Calc!$M$2:$M$1001,MATCH(ROW()-1,Calc!$X$2:$X$1001,0)),"")</f>
        <v/>
      </c>
      <c r="C556">
        <f>IFERROR(INDEX(Calc!$N$2:$N$1001,MATCH(ROW()-1,Calc!$X$2:$X$1001,0)),"")</f>
        <v/>
      </c>
      <c r="D556" s="3">
        <f>IFERROR(INDEX(Calc!$O$2:$O$1001,MATCH(ROW()-1,Calc!$X$2:$X$1001,0)),"")</f>
        <v/>
      </c>
      <c r="E556" s="3">
        <f>IFERROR(INDEX(Calc!$P$2:$P$1001,MATCH(ROW()-1,Calc!$X$2:$X$1001,0)),"")</f>
        <v/>
      </c>
      <c r="F556" s="3">
        <f>IF(G556="","",E556-D556)</f>
        <v/>
      </c>
      <c r="G556">
        <f>IFERROR(INDEX(Calc!$S$2:$S$1001,MATCH(ROW()-1,Calc!$X$2:$X$1001,0)),"")</f>
        <v/>
      </c>
    </row>
    <row r="557">
      <c r="A557">
        <f>IFERROR(INDEX(Calc!$L$2:$L$1001,MATCH(ROW()-1,Calc!$X$2:$X$1001,0)),"")</f>
        <v/>
      </c>
      <c r="B557">
        <f>IFERROR(INDEX(Calc!$M$2:$M$1001,MATCH(ROW()-1,Calc!$X$2:$X$1001,0)),"")</f>
        <v/>
      </c>
      <c r="C557">
        <f>IFERROR(INDEX(Calc!$N$2:$N$1001,MATCH(ROW()-1,Calc!$X$2:$X$1001,0)),"")</f>
        <v/>
      </c>
      <c r="D557" s="3">
        <f>IFERROR(INDEX(Calc!$O$2:$O$1001,MATCH(ROW()-1,Calc!$X$2:$X$1001,0)),"")</f>
        <v/>
      </c>
      <c r="E557" s="3">
        <f>IFERROR(INDEX(Calc!$P$2:$P$1001,MATCH(ROW()-1,Calc!$X$2:$X$1001,0)),"")</f>
        <v/>
      </c>
      <c r="F557" s="3">
        <f>IF(G557="","",E557-D557)</f>
        <v/>
      </c>
      <c r="G557">
        <f>IFERROR(INDEX(Calc!$S$2:$S$1001,MATCH(ROW()-1,Calc!$X$2:$X$1001,0)),"")</f>
        <v/>
      </c>
    </row>
    <row r="558">
      <c r="A558">
        <f>IFERROR(INDEX(Calc!$L$2:$L$1001,MATCH(ROW()-1,Calc!$X$2:$X$1001,0)),"")</f>
        <v/>
      </c>
      <c r="B558">
        <f>IFERROR(INDEX(Calc!$M$2:$M$1001,MATCH(ROW()-1,Calc!$X$2:$X$1001,0)),"")</f>
        <v/>
      </c>
      <c r="C558">
        <f>IFERROR(INDEX(Calc!$N$2:$N$1001,MATCH(ROW()-1,Calc!$X$2:$X$1001,0)),"")</f>
        <v/>
      </c>
      <c r="D558" s="3">
        <f>IFERROR(INDEX(Calc!$O$2:$O$1001,MATCH(ROW()-1,Calc!$X$2:$X$1001,0)),"")</f>
        <v/>
      </c>
      <c r="E558" s="3">
        <f>IFERROR(INDEX(Calc!$P$2:$P$1001,MATCH(ROW()-1,Calc!$X$2:$X$1001,0)),"")</f>
        <v/>
      </c>
      <c r="F558" s="3">
        <f>IF(G558="","",E558-D558)</f>
        <v/>
      </c>
      <c r="G558">
        <f>IFERROR(INDEX(Calc!$S$2:$S$1001,MATCH(ROW()-1,Calc!$X$2:$X$1001,0)),"")</f>
        <v/>
      </c>
    </row>
    <row r="559">
      <c r="A559">
        <f>IFERROR(INDEX(Calc!$L$2:$L$1001,MATCH(ROW()-1,Calc!$X$2:$X$1001,0)),"")</f>
        <v/>
      </c>
      <c r="B559">
        <f>IFERROR(INDEX(Calc!$M$2:$M$1001,MATCH(ROW()-1,Calc!$X$2:$X$1001,0)),"")</f>
        <v/>
      </c>
      <c r="C559">
        <f>IFERROR(INDEX(Calc!$N$2:$N$1001,MATCH(ROW()-1,Calc!$X$2:$X$1001,0)),"")</f>
        <v/>
      </c>
      <c r="D559" s="3">
        <f>IFERROR(INDEX(Calc!$O$2:$O$1001,MATCH(ROW()-1,Calc!$X$2:$X$1001,0)),"")</f>
        <v/>
      </c>
      <c r="E559" s="3">
        <f>IFERROR(INDEX(Calc!$P$2:$P$1001,MATCH(ROW()-1,Calc!$X$2:$X$1001,0)),"")</f>
        <v/>
      </c>
      <c r="F559" s="3">
        <f>IF(G559="","",E559-D559)</f>
        <v/>
      </c>
      <c r="G559">
        <f>IFERROR(INDEX(Calc!$S$2:$S$1001,MATCH(ROW()-1,Calc!$X$2:$X$1001,0)),"")</f>
        <v/>
      </c>
    </row>
    <row r="560">
      <c r="A560">
        <f>IFERROR(INDEX(Calc!$L$2:$L$1001,MATCH(ROW()-1,Calc!$X$2:$X$1001,0)),"")</f>
        <v/>
      </c>
      <c r="B560">
        <f>IFERROR(INDEX(Calc!$M$2:$M$1001,MATCH(ROW()-1,Calc!$X$2:$X$1001,0)),"")</f>
        <v/>
      </c>
      <c r="C560">
        <f>IFERROR(INDEX(Calc!$N$2:$N$1001,MATCH(ROW()-1,Calc!$X$2:$X$1001,0)),"")</f>
        <v/>
      </c>
      <c r="D560" s="3">
        <f>IFERROR(INDEX(Calc!$O$2:$O$1001,MATCH(ROW()-1,Calc!$X$2:$X$1001,0)),"")</f>
        <v/>
      </c>
      <c r="E560" s="3">
        <f>IFERROR(INDEX(Calc!$P$2:$P$1001,MATCH(ROW()-1,Calc!$X$2:$X$1001,0)),"")</f>
        <v/>
      </c>
      <c r="F560" s="3">
        <f>IF(G560="","",E560-D560)</f>
        <v/>
      </c>
      <c r="G560">
        <f>IFERROR(INDEX(Calc!$S$2:$S$1001,MATCH(ROW()-1,Calc!$X$2:$X$1001,0)),"")</f>
        <v/>
      </c>
    </row>
    <row r="561">
      <c r="A561">
        <f>IFERROR(INDEX(Calc!$L$2:$L$1001,MATCH(ROW()-1,Calc!$X$2:$X$1001,0)),"")</f>
        <v/>
      </c>
      <c r="B561">
        <f>IFERROR(INDEX(Calc!$M$2:$M$1001,MATCH(ROW()-1,Calc!$X$2:$X$1001,0)),"")</f>
        <v/>
      </c>
      <c r="C561">
        <f>IFERROR(INDEX(Calc!$N$2:$N$1001,MATCH(ROW()-1,Calc!$X$2:$X$1001,0)),"")</f>
        <v/>
      </c>
      <c r="D561" s="3">
        <f>IFERROR(INDEX(Calc!$O$2:$O$1001,MATCH(ROW()-1,Calc!$X$2:$X$1001,0)),"")</f>
        <v/>
      </c>
      <c r="E561" s="3">
        <f>IFERROR(INDEX(Calc!$P$2:$P$1001,MATCH(ROW()-1,Calc!$X$2:$X$1001,0)),"")</f>
        <v/>
      </c>
      <c r="F561" s="3">
        <f>IF(G561="","",E561-D561)</f>
        <v/>
      </c>
      <c r="G561">
        <f>IFERROR(INDEX(Calc!$S$2:$S$1001,MATCH(ROW()-1,Calc!$X$2:$X$1001,0)),"")</f>
        <v/>
      </c>
    </row>
    <row r="562">
      <c r="A562">
        <f>IFERROR(INDEX(Calc!$L$2:$L$1001,MATCH(ROW()-1,Calc!$X$2:$X$1001,0)),"")</f>
        <v/>
      </c>
      <c r="B562">
        <f>IFERROR(INDEX(Calc!$M$2:$M$1001,MATCH(ROW()-1,Calc!$X$2:$X$1001,0)),"")</f>
        <v/>
      </c>
      <c r="C562">
        <f>IFERROR(INDEX(Calc!$N$2:$N$1001,MATCH(ROW()-1,Calc!$X$2:$X$1001,0)),"")</f>
        <v/>
      </c>
      <c r="D562" s="3">
        <f>IFERROR(INDEX(Calc!$O$2:$O$1001,MATCH(ROW()-1,Calc!$X$2:$X$1001,0)),"")</f>
        <v/>
      </c>
      <c r="E562" s="3">
        <f>IFERROR(INDEX(Calc!$P$2:$P$1001,MATCH(ROW()-1,Calc!$X$2:$X$1001,0)),"")</f>
        <v/>
      </c>
      <c r="F562" s="3">
        <f>IF(G562="","",E562-D562)</f>
        <v/>
      </c>
      <c r="G562">
        <f>IFERROR(INDEX(Calc!$S$2:$S$1001,MATCH(ROW()-1,Calc!$X$2:$X$1001,0)),"")</f>
        <v/>
      </c>
    </row>
    <row r="563">
      <c r="A563">
        <f>IFERROR(INDEX(Calc!$L$2:$L$1001,MATCH(ROW()-1,Calc!$X$2:$X$1001,0)),"")</f>
        <v/>
      </c>
      <c r="B563">
        <f>IFERROR(INDEX(Calc!$M$2:$M$1001,MATCH(ROW()-1,Calc!$X$2:$X$1001,0)),"")</f>
        <v/>
      </c>
      <c r="C563">
        <f>IFERROR(INDEX(Calc!$N$2:$N$1001,MATCH(ROW()-1,Calc!$X$2:$X$1001,0)),"")</f>
        <v/>
      </c>
      <c r="D563" s="3">
        <f>IFERROR(INDEX(Calc!$O$2:$O$1001,MATCH(ROW()-1,Calc!$X$2:$X$1001,0)),"")</f>
        <v/>
      </c>
      <c r="E563" s="3">
        <f>IFERROR(INDEX(Calc!$P$2:$P$1001,MATCH(ROW()-1,Calc!$X$2:$X$1001,0)),"")</f>
        <v/>
      </c>
      <c r="F563" s="3">
        <f>IF(G563="","",E563-D563)</f>
        <v/>
      </c>
      <c r="G563">
        <f>IFERROR(INDEX(Calc!$S$2:$S$1001,MATCH(ROW()-1,Calc!$X$2:$X$1001,0)),"")</f>
        <v/>
      </c>
    </row>
    <row r="564">
      <c r="A564">
        <f>IFERROR(INDEX(Calc!$L$2:$L$1001,MATCH(ROW()-1,Calc!$X$2:$X$1001,0)),"")</f>
        <v/>
      </c>
      <c r="B564">
        <f>IFERROR(INDEX(Calc!$M$2:$M$1001,MATCH(ROW()-1,Calc!$X$2:$X$1001,0)),"")</f>
        <v/>
      </c>
      <c r="C564">
        <f>IFERROR(INDEX(Calc!$N$2:$N$1001,MATCH(ROW()-1,Calc!$X$2:$X$1001,0)),"")</f>
        <v/>
      </c>
      <c r="D564" s="3">
        <f>IFERROR(INDEX(Calc!$O$2:$O$1001,MATCH(ROW()-1,Calc!$X$2:$X$1001,0)),"")</f>
        <v/>
      </c>
      <c r="E564" s="3">
        <f>IFERROR(INDEX(Calc!$P$2:$P$1001,MATCH(ROW()-1,Calc!$X$2:$X$1001,0)),"")</f>
        <v/>
      </c>
      <c r="F564" s="3">
        <f>IF(G564="","",E564-D564)</f>
        <v/>
      </c>
      <c r="G564">
        <f>IFERROR(INDEX(Calc!$S$2:$S$1001,MATCH(ROW()-1,Calc!$X$2:$X$1001,0)),"")</f>
        <v/>
      </c>
    </row>
    <row r="565">
      <c r="A565">
        <f>IFERROR(INDEX(Calc!$L$2:$L$1001,MATCH(ROW()-1,Calc!$X$2:$X$1001,0)),"")</f>
        <v/>
      </c>
      <c r="B565">
        <f>IFERROR(INDEX(Calc!$M$2:$M$1001,MATCH(ROW()-1,Calc!$X$2:$X$1001,0)),"")</f>
        <v/>
      </c>
      <c r="C565">
        <f>IFERROR(INDEX(Calc!$N$2:$N$1001,MATCH(ROW()-1,Calc!$X$2:$X$1001,0)),"")</f>
        <v/>
      </c>
      <c r="D565" s="3">
        <f>IFERROR(INDEX(Calc!$O$2:$O$1001,MATCH(ROW()-1,Calc!$X$2:$X$1001,0)),"")</f>
        <v/>
      </c>
      <c r="E565" s="3">
        <f>IFERROR(INDEX(Calc!$P$2:$P$1001,MATCH(ROW()-1,Calc!$X$2:$X$1001,0)),"")</f>
        <v/>
      </c>
      <c r="F565" s="3">
        <f>IF(G565="","",E565-D565)</f>
        <v/>
      </c>
      <c r="G565">
        <f>IFERROR(INDEX(Calc!$S$2:$S$1001,MATCH(ROW()-1,Calc!$X$2:$X$1001,0)),"")</f>
        <v/>
      </c>
    </row>
    <row r="566">
      <c r="A566">
        <f>IFERROR(INDEX(Calc!$L$2:$L$1001,MATCH(ROW()-1,Calc!$X$2:$X$1001,0)),"")</f>
        <v/>
      </c>
      <c r="B566">
        <f>IFERROR(INDEX(Calc!$M$2:$M$1001,MATCH(ROW()-1,Calc!$X$2:$X$1001,0)),"")</f>
        <v/>
      </c>
      <c r="C566">
        <f>IFERROR(INDEX(Calc!$N$2:$N$1001,MATCH(ROW()-1,Calc!$X$2:$X$1001,0)),"")</f>
        <v/>
      </c>
      <c r="D566" s="3">
        <f>IFERROR(INDEX(Calc!$O$2:$O$1001,MATCH(ROW()-1,Calc!$X$2:$X$1001,0)),"")</f>
        <v/>
      </c>
      <c r="E566" s="3">
        <f>IFERROR(INDEX(Calc!$P$2:$P$1001,MATCH(ROW()-1,Calc!$X$2:$X$1001,0)),"")</f>
        <v/>
      </c>
      <c r="F566" s="3">
        <f>IF(G566="","",E566-D566)</f>
        <v/>
      </c>
      <c r="G566">
        <f>IFERROR(INDEX(Calc!$S$2:$S$1001,MATCH(ROW()-1,Calc!$X$2:$X$1001,0)),"")</f>
        <v/>
      </c>
    </row>
    <row r="567">
      <c r="A567">
        <f>IFERROR(INDEX(Calc!$L$2:$L$1001,MATCH(ROW()-1,Calc!$X$2:$X$1001,0)),"")</f>
        <v/>
      </c>
      <c r="B567">
        <f>IFERROR(INDEX(Calc!$M$2:$M$1001,MATCH(ROW()-1,Calc!$X$2:$X$1001,0)),"")</f>
        <v/>
      </c>
      <c r="C567">
        <f>IFERROR(INDEX(Calc!$N$2:$N$1001,MATCH(ROW()-1,Calc!$X$2:$X$1001,0)),"")</f>
        <v/>
      </c>
      <c r="D567" s="3">
        <f>IFERROR(INDEX(Calc!$O$2:$O$1001,MATCH(ROW()-1,Calc!$X$2:$X$1001,0)),"")</f>
        <v/>
      </c>
      <c r="E567" s="3">
        <f>IFERROR(INDEX(Calc!$P$2:$P$1001,MATCH(ROW()-1,Calc!$X$2:$X$1001,0)),"")</f>
        <v/>
      </c>
      <c r="F567" s="3">
        <f>IF(G567="","",E567-D567)</f>
        <v/>
      </c>
      <c r="G567">
        <f>IFERROR(INDEX(Calc!$S$2:$S$1001,MATCH(ROW()-1,Calc!$X$2:$X$1001,0)),"")</f>
        <v/>
      </c>
    </row>
    <row r="568">
      <c r="A568">
        <f>IFERROR(INDEX(Calc!$L$2:$L$1001,MATCH(ROW()-1,Calc!$X$2:$X$1001,0)),"")</f>
        <v/>
      </c>
      <c r="B568">
        <f>IFERROR(INDEX(Calc!$M$2:$M$1001,MATCH(ROW()-1,Calc!$X$2:$X$1001,0)),"")</f>
        <v/>
      </c>
      <c r="C568">
        <f>IFERROR(INDEX(Calc!$N$2:$N$1001,MATCH(ROW()-1,Calc!$X$2:$X$1001,0)),"")</f>
        <v/>
      </c>
      <c r="D568" s="3">
        <f>IFERROR(INDEX(Calc!$O$2:$O$1001,MATCH(ROW()-1,Calc!$X$2:$X$1001,0)),"")</f>
        <v/>
      </c>
      <c r="E568" s="3">
        <f>IFERROR(INDEX(Calc!$P$2:$P$1001,MATCH(ROW()-1,Calc!$X$2:$X$1001,0)),"")</f>
        <v/>
      </c>
      <c r="F568" s="3">
        <f>IF(G568="","",E568-D568)</f>
        <v/>
      </c>
      <c r="G568">
        <f>IFERROR(INDEX(Calc!$S$2:$S$1001,MATCH(ROW()-1,Calc!$X$2:$X$1001,0)),"")</f>
        <v/>
      </c>
    </row>
    <row r="569">
      <c r="A569">
        <f>IFERROR(INDEX(Calc!$L$2:$L$1001,MATCH(ROW()-1,Calc!$X$2:$X$1001,0)),"")</f>
        <v/>
      </c>
      <c r="B569">
        <f>IFERROR(INDEX(Calc!$M$2:$M$1001,MATCH(ROW()-1,Calc!$X$2:$X$1001,0)),"")</f>
        <v/>
      </c>
      <c r="C569">
        <f>IFERROR(INDEX(Calc!$N$2:$N$1001,MATCH(ROW()-1,Calc!$X$2:$X$1001,0)),"")</f>
        <v/>
      </c>
      <c r="D569" s="3">
        <f>IFERROR(INDEX(Calc!$O$2:$O$1001,MATCH(ROW()-1,Calc!$X$2:$X$1001,0)),"")</f>
        <v/>
      </c>
      <c r="E569" s="3">
        <f>IFERROR(INDEX(Calc!$P$2:$P$1001,MATCH(ROW()-1,Calc!$X$2:$X$1001,0)),"")</f>
        <v/>
      </c>
      <c r="F569" s="3">
        <f>IF(G569="","",E569-D569)</f>
        <v/>
      </c>
      <c r="G569">
        <f>IFERROR(INDEX(Calc!$S$2:$S$1001,MATCH(ROW()-1,Calc!$X$2:$X$1001,0)),"")</f>
        <v/>
      </c>
    </row>
    <row r="570">
      <c r="A570">
        <f>IFERROR(INDEX(Calc!$L$2:$L$1001,MATCH(ROW()-1,Calc!$X$2:$X$1001,0)),"")</f>
        <v/>
      </c>
      <c r="B570">
        <f>IFERROR(INDEX(Calc!$M$2:$M$1001,MATCH(ROW()-1,Calc!$X$2:$X$1001,0)),"")</f>
        <v/>
      </c>
      <c r="C570">
        <f>IFERROR(INDEX(Calc!$N$2:$N$1001,MATCH(ROW()-1,Calc!$X$2:$X$1001,0)),"")</f>
        <v/>
      </c>
      <c r="D570" s="3">
        <f>IFERROR(INDEX(Calc!$O$2:$O$1001,MATCH(ROW()-1,Calc!$X$2:$X$1001,0)),"")</f>
        <v/>
      </c>
      <c r="E570" s="3">
        <f>IFERROR(INDEX(Calc!$P$2:$P$1001,MATCH(ROW()-1,Calc!$X$2:$X$1001,0)),"")</f>
        <v/>
      </c>
      <c r="F570" s="3">
        <f>IF(G570="","",E570-D570)</f>
        <v/>
      </c>
      <c r="G570">
        <f>IFERROR(INDEX(Calc!$S$2:$S$1001,MATCH(ROW()-1,Calc!$X$2:$X$1001,0)),"")</f>
        <v/>
      </c>
    </row>
    <row r="571">
      <c r="A571">
        <f>IFERROR(INDEX(Calc!$L$2:$L$1001,MATCH(ROW()-1,Calc!$X$2:$X$1001,0)),"")</f>
        <v/>
      </c>
      <c r="B571">
        <f>IFERROR(INDEX(Calc!$M$2:$M$1001,MATCH(ROW()-1,Calc!$X$2:$X$1001,0)),"")</f>
        <v/>
      </c>
      <c r="C571">
        <f>IFERROR(INDEX(Calc!$N$2:$N$1001,MATCH(ROW()-1,Calc!$X$2:$X$1001,0)),"")</f>
        <v/>
      </c>
      <c r="D571" s="3">
        <f>IFERROR(INDEX(Calc!$O$2:$O$1001,MATCH(ROW()-1,Calc!$X$2:$X$1001,0)),"")</f>
        <v/>
      </c>
      <c r="E571" s="3">
        <f>IFERROR(INDEX(Calc!$P$2:$P$1001,MATCH(ROW()-1,Calc!$X$2:$X$1001,0)),"")</f>
        <v/>
      </c>
      <c r="F571" s="3">
        <f>IF(G571="","",E571-D571)</f>
        <v/>
      </c>
      <c r="G571">
        <f>IFERROR(INDEX(Calc!$S$2:$S$1001,MATCH(ROW()-1,Calc!$X$2:$X$1001,0)),"")</f>
        <v/>
      </c>
    </row>
    <row r="572">
      <c r="A572">
        <f>IFERROR(INDEX(Calc!$L$2:$L$1001,MATCH(ROW()-1,Calc!$X$2:$X$1001,0)),"")</f>
        <v/>
      </c>
      <c r="B572">
        <f>IFERROR(INDEX(Calc!$M$2:$M$1001,MATCH(ROW()-1,Calc!$X$2:$X$1001,0)),"")</f>
        <v/>
      </c>
      <c r="C572">
        <f>IFERROR(INDEX(Calc!$N$2:$N$1001,MATCH(ROW()-1,Calc!$X$2:$X$1001,0)),"")</f>
        <v/>
      </c>
      <c r="D572" s="3">
        <f>IFERROR(INDEX(Calc!$O$2:$O$1001,MATCH(ROW()-1,Calc!$X$2:$X$1001,0)),"")</f>
        <v/>
      </c>
      <c r="E572" s="3">
        <f>IFERROR(INDEX(Calc!$P$2:$P$1001,MATCH(ROW()-1,Calc!$X$2:$X$1001,0)),"")</f>
        <v/>
      </c>
      <c r="F572" s="3">
        <f>IF(G572="","",E572-D572)</f>
        <v/>
      </c>
      <c r="G572">
        <f>IFERROR(INDEX(Calc!$S$2:$S$1001,MATCH(ROW()-1,Calc!$X$2:$X$1001,0)),"")</f>
        <v/>
      </c>
    </row>
    <row r="573">
      <c r="A573">
        <f>IFERROR(INDEX(Calc!$L$2:$L$1001,MATCH(ROW()-1,Calc!$X$2:$X$1001,0)),"")</f>
        <v/>
      </c>
      <c r="B573">
        <f>IFERROR(INDEX(Calc!$M$2:$M$1001,MATCH(ROW()-1,Calc!$X$2:$X$1001,0)),"")</f>
        <v/>
      </c>
      <c r="C573">
        <f>IFERROR(INDEX(Calc!$N$2:$N$1001,MATCH(ROW()-1,Calc!$X$2:$X$1001,0)),"")</f>
        <v/>
      </c>
      <c r="D573" s="3">
        <f>IFERROR(INDEX(Calc!$O$2:$O$1001,MATCH(ROW()-1,Calc!$X$2:$X$1001,0)),"")</f>
        <v/>
      </c>
      <c r="E573" s="3">
        <f>IFERROR(INDEX(Calc!$P$2:$P$1001,MATCH(ROW()-1,Calc!$X$2:$X$1001,0)),"")</f>
        <v/>
      </c>
      <c r="F573" s="3">
        <f>IF(G573="","",E573-D573)</f>
        <v/>
      </c>
      <c r="G573">
        <f>IFERROR(INDEX(Calc!$S$2:$S$1001,MATCH(ROW()-1,Calc!$X$2:$X$1001,0)),"")</f>
        <v/>
      </c>
    </row>
    <row r="574">
      <c r="A574">
        <f>IFERROR(INDEX(Calc!$L$2:$L$1001,MATCH(ROW()-1,Calc!$X$2:$X$1001,0)),"")</f>
        <v/>
      </c>
      <c r="B574">
        <f>IFERROR(INDEX(Calc!$M$2:$M$1001,MATCH(ROW()-1,Calc!$X$2:$X$1001,0)),"")</f>
        <v/>
      </c>
      <c r="C574">
        <f>IFERROR(INDEX(Calc!$N$2:$N$1001,MATCH(ROW()-1,Calc!$X$2:$X$1001,0)),"")</f>
        <v/>
      </c>
      <c r="D574" s="3">
        <f>IFERROR(INDEX(Calc!$O$2:$O$1001,MATCH(ROW()-1,Calc!$X$2:$X$1001,0)),"")</f>
        <v/>
      </c>
      <c r="E574" s="3">
        <f>IFERROR(INDEX(Calc!$P$2:$P$1001,MATCH(ROW()-1,Calc!$X$2:$X$1001,0)),"")</f>
        <v/>
      </c>
      <c r="F574" s="3">
        <f>IF(G574="","",E574-D574)</f>
        <v/>
      </c>
      <c r="G574">
        <f>IFERROR(INDEX(Calc!$S$2:$S$1001,MATCH(ROW()-1,Calc!$X$2:$X$1001,0)),"")</f>
        <v/>
      </c>
    </row>
    <row r="575">
      <c r="A575">
        <f>IFERROR(INDEX(Calc!$L$2:$L$1001,MATCH(ROW()-1,Calc!$X$2:$X$1001,0)),"")</f>
        <v/>
      </c>
      <c r="B575">
        <f>IFERROR(INDEX(Calc!$M$2:$M$1001,MATCH(ROW()-1,Calc!$X$2:$X$1001,0)),"")</f>
        <v/>
      </c>
      <c r="C575">
        <f>IFERROR(INDEX(Calc!$N$2:$N$1001,MATCH(ROW()-1,Calc!$X$2:$X$1001,0)),"")</f>
        <v/>
      </c>
      <c r="D575" s="3">
        <f>IFERROR(INDEX(Calc!$O$2:$O$1001,MATCH(ROW()-1,Calc!$X$2:$X$1001,0)),"")</f>
        <v/>
      </c>
      <c r="E575" s="3">
        <f>IFERROR(INDEX(Calc!$P$2:$P$1001,MATCH(ROW()-1,Calc!$X$2:$X$1001,0)),"")</f>
        <v/>
      </c>
      <c r="F575" s="3">
        <f>IF(G575="","",E575-D575)</f>
        <v/>
      </c>
      <c r="G575">
        <f>IFERROR(INDEX(Calc!$S$2:$S$1001,MATCH(ROW()-1,Calc!$X$2:$X$1001,0)),"")</f>
        <v/>
      </c>
    </row>
    <row r="576">
      <c r="A576">
        <f>IFERROR(INDEX(Calc!$L$2:$L$1001,MATCH(ROW()-1,Calc!$X$2:$X$1001,0)),"")</f>
        <v/>
      </c>
      <c r="B576">
        <f>IFERROR(INDEX(Calc!$M$2:$M$1001,MATCH(ROW()-1,Calc!$X$2:$X$1001,0)),"")</f>
        <v/>
      </c>
      <c r="C576">
        <f>IFERROR(INDEX(Calc!$N$2:$N$1001,MATCH(ROW()-1,Calc!$X$2:$X$1001,0)),"")</f>
        <v/>
      </c>
      <c r="D576" s="3">
        <f>IFERROR(INDEX(Calc!$O$2:$O$1001,MATCH(ROW()-1,Calc!$X$2:$X$1001,0)),"")</f>
        <v/>
      </c>
      <c r="E576" s="3">
        <f>IFERROR(INDEX(Calc!$P$2:$P$1001,MATCH(ROW()-1,Calc!$X$2:$X$1001,0)),"")</f>
        <v/>
      </c>
      <c r="F576" s="3">
        <f>IF(G576="","",E576-D576)</f>
        <v/>
      </c>
      <c r="G576">
        <f>IFERROR(INDEX(Calc!$S$2:$S$1001,MATCH(ROW()-1,Calc!$X$2:$X$1001,0)),"")</f>
        <v/>
      </c>
    </row>
    <row r="577">
      <c r="A577">
        <f>IFERROR(INDEX(Calc!$L$2:$L$1001,MATCH(ROW()-1,Calc!$X$2:$X$1001,0)),"")</f>
        <v/>
      </c>
      <c r="B577">
        <f>IFERROR(INDEX(Calc!$M$2:$M$1001,MATCH(ROW()-1,Calc!$X$2:$X$1001,0)),"")</f>
        <v/>
      </c>
      <c r="C577">
        <f>IFERROR(INDEX(Calc!$N$2:$N$1001,MATCH(ROW()-1,Calc!$X$2:$X$1001,0)),"")</f>
        <v/>
      </c>
      <c r="D577" s="3">
        <f>IFERROR(INDEX(Calc!$O$2:$O$1001,MATCH(ROW()-1,Calc!$X$2:$X$1001,0)),"")</f>
        <v/>
      </c>
      <c r="E577" s="3">
        <f>IFERROR(INDEX(Calc!$P$2:$P$1001,MATCH(ROW()-1,Calc!$X$2:$X$1001,0)),"")</f>
        <v/>
      </c>
      <c r="F577" s="3">
        <f>IF(G577="","",E577-D577)</f>
        <v/>
      </c>
      <c r="G577">
        <f>IFERROR(INDEX(Calc!$S$2:$S$1001,MATCH(ROW()-1,Calc!$X$2:$X$1001,0)),"")</f>
        <v/>
      </c>
    </row>
    <row r="578">
      <c r="A578">
        <f>IFERROR(INDEX(Calc!$L$2:$L$1001,MATCH(ROW()-1,Calc!$X$2:$X$1001,0)),"")</f>
        <v/>
      </c>
      <c r="B578">
        <f>IFERROR(INDEX(Calc!$M$2:$M$1001,MATCH(ROW()-1,Calc!$X$2:$X$1001,0)),"")</f>
        <v/>
      </c>
      <c r="C578">
        <f>IFERROR(INDEX(Calc!$N$2:$N$1001,MATCH(ROW()-1,Calc!$X$2:$X$1001,0)),"")</f>
        <v/>
      </c>
      <c r="D578" s="3">
        <f>IFERROR(INDEX(Calc!$O$2:$O$1001,MATCH(ROW()-1,Calc!$X$2:$X$1001,0)),"")</f>
        <v/>
      </c>
      <c r="E578" s="3">
        <f>IFERROR(INDEX(Calc!$P$2:$P$1001,MATCH(ROW()-1,Calc!$X$2:$X$1001,0)),"")</f>
        <v/>
      </c>
      <c r="F578" s="3">
        <f>IF(G578="","",E578-D578)</f>
        <v/>
      </c>
      <c r="G578">
        <f>IFERROR(INDEX(Calc!$S$2:$S$1001,MATCH(ROW()-1,Calc!$X$2:$X$1001,0)),"")</f>
        <v/>
      </c>
    </row>
    <row r="579">
      <c r="A579">
        <f>IFERROR(INDEX(Calc!$L$2:$L$1001,MATCH(ROW()-1,Calc!$X$2:$X$1001,0)),"")</f>
        <v/>
      </c>
      <c r="B579">
        <f>IFERROR(INDEX(Calc!$M$2:$M$1001,MATCH(ROW()-1,Calc!$X$2:$X$1001,0)),"")</f>
        <v/>
      </c>
      <c r="C579">
        <f>IFERROR(INDEX(Calc!$N$2:$N$1001,MATCH(ROW()-1,Calc!$X$2:$X$1001,0)),"")</f>
        <v/>
      </c>
      <c r="D579" s="3">
        <f>IFERROR(INDEX(Calc!$O$2:$O$1001,MATCH(ROW()-1,Calc!$X$2:$X$1001,0)),"")</f>
        <v/>
      </c>
      <c r="E579" s="3">
        <f>IFERROR(INDEX(Calc!$P$2:$P$1001,MATCH(ROW()-1,Calc!$X$2:$X$1001,0)),"")</f>
        <v/>
      </c>
      <c r="F579" s="3">
        <f>IF(G579="","",E579-D579)</f>
        <v/>
      </c>
      <c r="G579">
        <f>IFERROR(INDEX(Calc!$S$2:$S$1001,MATCH(ROW()-1,Calc!$X$2:$X$1001,0)),"")</f>
        <v/>
      </c>
    </row>
    <row r="580">
      <c r="A580">
        <f>IFERROR(INDEX(Calc!$L$2:$L$1001,MATCH(ROW()-1,Calc!$X$2:$X$1001,0)),"")</f>
        <v/>
      </c>
      <c r="B580">
        <f>IFERROR(INDEX(Calc!$M$2:$M$1001,MATCH(ROW()-1,Calc!$X$2:$X$1001,0)),"")</f>
        <v/>
      </c>
      <c r="C580">
        <f>IFERROR(INDEX(Calc!$N$2:$N$1001,MATCH(ROW()-1,Calc!$X$2:$X$1001,0)),"")</f>
        <v/>
      </c>
      <c r="D580" s="3">
        <f>IFERROR(INDEX(Calc!$O$2:$O$1001,MATCH(ROW()-1,Calc!$X$2:$X$1001,0)),"")</f>
        <v/>
      </c>
      <c r="E580" s="3">
        <f>IFERROR(INDEX(Calc!$P$2:$P$1001,MATCH(ROW()-1,Calc!$X$2:$X$1001,0)),"")</f>
        <v/>
      </c>
      <c r="F580" s="3">
        <f>IF(G580="","",E580-D580)</f>
        <v/>
      </c>
      <c r="G580">
        <f>IFERROR(INDEX(Calc!$S$2:$S$1001,MATCH(ROW()-1,Calc!$X$2:$X$1001,0)),"")</f>
        <v/>
      </c>
    </row>
    <row r="581">
      <c r="A581">
        <f>IFERROR(INDEX(Calc!$L$2:$L$1001,MATCH(ROW()-1,Calc!$X$2:$X$1001,0)),"")</f>
        <v/>
      </c>
      <c r="B581">
        <f>IFERROR(INDEX(Calc!$M$2:$M$1001,MATCH(ROW()-1,Calc!$X$2:$X$1001,0)),"")</f>
        <v/>
      </c>
      <c r="C581">
        <f>IFERROR(INDEX(Calc!$N$2:$N$1001,MATCH(ROW()-1,Calc!$X$2:$X$1001,0)),"")</f>
        <v/>
      </c>
      <c r="D581" s="3">
        <f>IFERROR(INDEX(Calc!$O$2:$O$1001,MATCH(ROW()-1,Calc!$X$2:$X$1001,0)),"")</f>
        <v/>
      </c>
      <c r="E581" s="3">
        <f>IFERROR(INDEX(Calc!$P$2:$P$1001,MATCH(ROW()-1,Calc!$X$2:$X$1001,0)),"")</f>
        <v/>
      </c>
      <c r="F581" s="3">
        <f>IF(G581="","",E581-D581)</f>
        <v/>
      </c>
      <c r="G581">
        <f>IFERROR(INDEX(Calc!$S$2:$S$1001,MATCH(ROW()-1,Calc!$X$2:$X$1001,0)),"")</f>
        <v/>
      </c>
    </row>
    <row r="582">
      <c r="A582">
        <f>IFERROR(INDEX(Calc!$L$2:$L$1001,MATCH(ROW()-1,Calc!$X$2:$X$1001,0)),"")</f>
        <v/>
      </c>
      <c r="B582">
        <f>IFERROR(INDEX(Calc!$M$2:$M$1001,MATCH(ROW()-1,Calc!$X$2:$X$1001,0)),"")</f>
        <v/>
      </c>
      <c r="C582">
        <f>IFERROR(INDEX(Calc!$N$2:$N$1001,MATCH(ROW()-1,Calc!$X$2:$X$1001,0)),"")</f>
        <v/>
      </c>
      <c r="D582" s="3">
        <f>IFERROR(INDEX(Calc!$O$2:$O$1001,MATCH(ROW()-1,Calc!$X$2:$X$1001,0)),"")</f>
        <v/>
      </c>
      <c r="E582" s="3">
        <f>IFERROR(INDEX(Calc!$P$2:$P$1001,MATCH(ROW()-1,Calc!$X$2:$X$1001,0)),"")</f>
        <v/>
      </c>
      <c r="F582" s="3">
        <f>IF(G582="","",E582-D582)</f>
        <v/>
      </c>
      <c r="G582">
        <f>IFERROR(INDEX(Calc!$S$2:$S$1001,MATCH(ROW()-1,Calc!$X$2:$X$1001,0)),"")</f>
        <v/>
      </c>
    </row>
    <row r="583">
      <c r="A583">
        <f>IFERROR(INDEX(Calc!$L$2:$L$1001,MATCH(ROW()-1,Calc!$X$2:$X$1001,0)),"")</f>
        <v/>
      </c>
      <c r="B583">
        <f>IFERROR(INDEX(Calc!$M$2:$M$1001,MATCH(ROW()-1,Calc!$X$2:$X$1001,0)),"")</f>
        <v/>
      </c>
      <c r="C583">
        <f>IFERROR(INDEX(Calc!$N$2:$N$1001,MATCH(ROW()-1,Calc!$X$2:$X$1001,0)),"")</f>
        <v/>
      </c>
      <c r="D583" s="3">
        <f>IFERROR(INDEX(Calc!$O$2:$O$1001,MATCH(ROW()-1,Calc!$X$2:$X$1001,0)),"")</f>
        <v/>
      </c>
      <c r="E583" s="3">
        <f>IFERROR(INDEX(Calc!$P$2:$P$1001,MATCH(ROW()-1,Calc!$X$2:$X$1001,0)),"")</f>
        <v/>
      </c>
      <c r="F583" s="3">
        <f>IF(G583="","",E583-D583)</f>
        <v/>
      </c>
      <c r="G583">
        <f>IFERROR(INDEX(Calc!$S$2:$S$1001,MATCH(ROW()-1,Calc!$X$2:$X$1001,0)),"")</f>
        <v/>
      </c>
    </row>
    <row r="584">
      <c r="A584">
        <f>IFERROR(INDEX(Calc!$L$2:$L$1001,MATCH(ROW()-1,Calc!$X$2:$X$1001,0)),"")</f>
        <v/>
      </c>
      <c r="B584">
        <f>IFERROR(INDEX(Calc!$M$2:$M$1001,MATCH(ROW()-1,Calc!$X$2:$X$1001,0)),"")</f>
        <v/>
      </c>
      <c r="C584">
        <f>IFERROR(INDEX(Calc!$N$2:$N$1001,MATCH(ROW()-1,Calc!$X$2:$X$1001,0)),"")</f>
        <v/>
      </c>
      <c r="D584" s="3">
        <f>IFERROR(INDEX(Calc!$O$2:$O$1001,MATCH(ROW()-1,Calc!$X$2:$X$1001,0)),"")</f>
        <v/>
      </c>
      <c r="E584" s="3">
        <f>IFERROR(INDEX(Calc!$P$2:$P$1001,MATCH(ROW()-1,Calc!$X$2:$X$1001,0)),"")</f>
        <v/>
      </c>
      <c r="F584" s="3">
        <f>IF(G584="","",E584-D584)</f>
        <v/>
      </c>
      <c r="G584">
        <f>IFERROR(INDEX(Calc!$S$2:$S$1001,MATCH(ROW()-1,Calc!$X$2:$X$1001,0)),"")</f>
        <v/>
      </c>
    </row>
    <row r="585">
      <c r="A585">
        <f>IFERROR(INDEX(Calc!$L$2:$L$1001,MATCH(ROW()-1,Calc!$X$2:$X$1001,0)),"")</f>
        <v/>
      </c>
      <c r="B585">
        <f>IFERROR(INDEX(Calc!$M$2:$M$1001,MATCH(ROW()-1,Calc!$X$2:$X$1001,0)),"")</f>
        <v/>
      </c>
      <c r="C585">
        <f>IFERROR(INDEX(Calc!$N$2:$N$1001,MATCH(ROW()-1,Calc!$X$2:$X$1001,0)),"")</f>
        <v/>
      </c>
      <c r="D585" s="3">
        <f>IFERROR(INDEX(Calc!$O$2:$O$1001,MATCH(ROW()-1,Calc!$X$2:$X$1001,0)),"")</f>
        <v/>
      </c>
      <c r="E585" s="3">
        <f>IFERROR(INDEX(Calc!$P$2:$P$1001,MATCH(ROW()-1,Calc!$X$2:$X$1001,0)),"")</f>
        <v/>
      </c>
      <c r="F585" s="3">
        <f>IF(G585="","",E585-D585)</f>
        <v/>
      </c>
      <c r="G585">
        <f>IFERROR(INDEX(Calc!$S$2:$S$1001,MATCH(ROW()-1,Calc!$X$2:$X$1001,0)),"")</f>
        <v/>
      </c>
    </row>
    <row r="586">
      <c r="A586">
        <f>IFERROR(INDEX(Calc!$L$2:$L$1001,MATCH(ROW()-1,Calc!$X$2:$X$1001,0)),"")</f>
        <v/>
      </c>
      <c r="B586">
        <f>IFERROR(INDEX(Calc!$M$2:$M$1001,MATCH(ROW()-1,Calc!$X$2:$X$1001,0)),"")</f>
        <v/>
      </c>
      <c r="C586">
        <f>IFERROR(INDEX(Calc!$N$2:$N$1001,MATCH(ROW()-1,Calc!$X$2:$X$1001,0)),"")</f>
        <v/>
      </c>
      <c r="D586" s="3">
        <f>IFERROR(INDEX(Calc!$O$2:$O$1001,MATCH(ROW()-1,Calc!$X$2:$X$1001,0)),"")</f>
        <v/>
      </c>
      <c r="E586" s="3">
        <f>IFERROR(INDEX(Calc!$P$2:$P$1001,MATCH(ROW()-1,Calc!$X$2:$X$1001,0)),"")</f>
        <v/>
      </c>
      <c r="F586" s="3">
        <f>IF(G586="","",E586-D586)</f>
        <v/>
      </c>
      <c r="G586">
        <f>IFERROR(INDEX(Calc!$S$2:$S$1001,MATCH(ROW()-1,Calc!$X$2:$X$1001,0)),"")</f>
        <v/>
      </c>
    </row>
    <row r="587">
      <c r="A587">
        <f>IFERROR(INDEX(Calc!$L$2:$L$1001,MATCH(ROW()-1,Calc!$X$2:$X$1001,0)),"")</f>
        <v/>
      </c>
      <c r="B587">
        <f>IFERROR(INDEX(Calc!$M$2:$M$1001,MATCH(ROW()-1,Calc!$X$2:$X$1001,0)),"")</f>
        <v/>
      </c>
      <c r="C587">
        <f>IFERROR(INDEX(Calc!$N$2:$N$1001,MATCH(ROW()-1,Calc!$X$2:$X$1001,0)),"")</f>
        <v/>
      </c>
      <c r="D587" s="3">
        <f>IFERROR(INDEX(Calc!$O$2:$O$1001,MATCH(ROW()-1,Calc!$X$2:$X$1001,0)),"")</f>
        <v/>
      </c>
      <c r="E587" s="3">
        <f>IFERROR(INDEX(Calc!$P$2:$P$1001,MATCH(ROW()-1,Calc!$X$2:$X$1001,0)),"")</f>
        <v/>
      </c>
      <c r="F587" s="3">
        <f>IF(G587="","",E587-D587)</f>
        <v/>
      </c>
      <c r="G587">
        <f>IFERROR(INDEX(Calc!$S$2:$S$1001,MATCH(ROW()-1,Calc!$X$2:$X$1001,0)),"")</f>
        <v/>
      </c>
    </row>
    <row r="588">
      <c r="A588">
        <f>IFERROR(INDEX(Calc!$L$2:$L$1001,MATCH(ROW()-1,Calc!$X$2:$X$1001,0)),"")</f>
        <v/>
      </c>
      <c r="B588">
        <f>IFERROR(INDEX(Calc!$M$2:$M$1001,MATCH(ROW()-1,Calc!$X$2:$X$1001,0)),"")</f>
        <v/>
      </c>
      <c r="C588">
        <f>IFERROR(INDEX(Calc!$N$2:$N$1001,MATCH(ROW()-1,Calc!$X$2:$X$1001,0)),"")</f>
        <v/>
      </c>
      <c r="D588" s="3">
        <f>IFERROR(INDEX(Calc!$O$2:$O$1001,MATCH(ROW()-1,Calc!$X$2:$X$1001,0)),"")</f>
        <v/>
      </c>
      <c r="E588" s="3">
        <f>IFERROR(INDEX(Calc!$P$2:$P$1001,MATCH(ROW()-1,Calc!$X$2:$X$1001,0)),"")</f>
        <v/>
      </c>
      <c r="F588" s="3">
        <f>IF(G588="","",E588-D588)</f>
        <v/>
      </c>
      <c r="G588">
        <f>IFERROR(INDEX(Calc!$S$2:$S$1001,MATCH(ROW()-1,Calc!$X$2:$X$1001,0)),"")</f>
        <v/>
      </c>
    </row>
    <row r="589">
      <c r="A589">
        <f>IFERROR(INDEX(Calc!$L$2:$L$1001,MATCH(ROW()-1,Calc!$X$2:$X$1001,0)),"")</f>
        <v/>
      </c>
      <c r="B589">
        <f>IFERROR(INDEX(Calc!$M$2:$M$1001,MATCH(ROW()-1,Calc!$X$2:$X$1001,0)),"")</f>
        <v/>
      </c>
      <c r="C589">
        <f>IFERROR(INDEX(Calc!$N$2:$N$1001,MATCH(ROW()-1,Calc!$X$2:$X$1001,0)),"")</f>
        <v/>
      </c>
      <c r="D589" s="3">
        <f>IFERROR(INDEX(Calc!$O$2:$O$1001,MATCH(ROW()-1,Calc!$X$2:$X$1001,0)),"")</f>
        <v/>
      </c>
      <c r="E589" s="3">
        <f>IFERROR(INDEX(Calc!$P$2:$P$1001,MATCH(ROW()-1,Calc!$X$2:$X$1001,0)),"")</f>
        <v/>
      </c>
      <c r="F589" s="3">
        <f>IF(G589="","",E589-D589)</f>
        <v/>
      </c>
      <c r="G589">
        <f>IFERROR(INDEX(Calc!$S$2:$S$1001,MATCH(ROW()-1,Calc!$X$2:$X$1001,0)),"")</f>
        <v/>
      </c>
    </row>
    <row r="590">
      <c r="A590">
        <f>IFERROR(INDEX(Calc!$L$2:$L$1001,MATCH(ROW()-1,Calc!$X$2:$X$1001,0)),"")</f>
        <v/>
      </c>
      <c r="B590">
        <f>IFERROR(INDEX(Calc!$M$2:$M$1001,MATCH(ROW()-1,Calc!$X$2:$X$1001,0)),"")</f>
        <v/>
      </c>
      <c r="C590">
        <f>IFERROR(INDEX(Calc!$N$2:$N$1001,MATCH(ROW()-1,Calc!$X$2:$X$1001,0)),"")</f>
        <v/>
      </c>
      <c r="D590" s="3">
        <f>IFERROR(INDEX(Calc!$O$2:$O$1001,MATCH(ROW()-1,Calc!$X$2:$X$1001,0)),"")</f>
        <v/>
      </c>
      <c r="E590" s="3">
        <f>IFERROR(INDEX(Calc!$P$2:$P$1001,MATCH(ROW()-1,Calc!$X$2:$X$1001,0)),"")</f>
        <v/>
      </c>
      <c r="F590" s="3">
        <f>IF(G590="","",E590-D590)</f>
        <v/>
      </c>
      <c r="G590">
        <f>IFERROR(INDEX(Calc!$S$2:$S$1001,MATCH(ROW()-1,Calc!$X$2:$X$1001,0)),"")</f>
        <v/>
      </c>
    </row>
    <row r="591">
      <c r="A591">
        <f>IFERROR(INDEX(Calc!$L$2:$L$1001,MATCH(ROW()-1,Calc!$X$2:$X$1001,0)),"")</f>
        <v/>
      </c>
      <c r="B591">
        <f>IFERROR(INDEX(Calc!$M$2:$M$1001,MATCH(ROW()-1,Calc!$X$2:$X$1001,0)),"")</f>
        <v/>
      </c>
      <c r="C591">
        <f>IFERROR(INDEX(Calc!$N$2:$N$1001,MATCH(ROW()-1,Calc!$X$2:$X$1001,0)),"")</f>
        <v/>
      </c>
      <c r="D591" s="3">
        <f>IFERROR(INDEX(Calc!$O$2:$O$1001,MATCH(ROW()-1,Calc!$X$2:$X$1001,0)),"")</f>
        <v/>
      </c>
      <c r="E591" s="3">
        <f>IFERROR(INDEX(Calc!$P$2:$P$1001,MATCH(ROW()-1,Calc!$X$2:$X$1001,0)),"")</f>
        <v/>
      </c>
      <c r="F591" s="3">
        <f>IF(G591="","",E591-D591)</f>
        <v/>
      </c>
      <c r="G591">
        <f>IFERROR(INDEX(Calc!$S$2:$S$1001,MATCH(ROW()-1,Calc!$X$2:$X$1001,0)),"")</f>
        <v/>
      </c>
    </row>
    <row r="592">
      <c r="A592">
        <f>IFERROR(INDEX(Calc!$L$2:$L$1001,MATCH(ROW()-1,Calc!$X$2:$X$1001,0)),"")</f>
        <v/>
      </c>
      <c r="B592">
        <f>IFERROR(INDEX(Calc!$M$2:$M$1001,MATCH(ROW()-1,Calc!$X$2:$X$1001,0)),"")</f>
        <v/>
      </c>
      <c r="C592">
        <f>IFERROR(INDEX(Calc!$N$2:$N$1001,MATCH(ROW()-1,Calc!$X$2:$X$1001,0)),"")</f>
        <v/>
      </c>
      <c r="D592" s="3">
        <f>IFERROR(INDEX(Calc!$O$2:$O$1001,MATCH(ROW()-1,Calc!$X$2:$X$1001,0)),"")</f>
        <v/>
      </c>
      <c r="E592" s="3">
        <f>IFERROR(INDEX(Calc!$P$2:$P$1001,MATCH(ROW()-1,Calc!$X$2:$X$1001,0)),"")</f>
        <v/>
      </c>
      <c r="F592" s="3">
        <f>IF(G592="","",E592-D592)</f>
        <v/>
      </c>
      <c r="G592">
        <f>IFERROR(INDEX(Calc!$S$2:$S$1001,MATCH(ROW()-1,Calc!$X$2:$X$1001,0)),"")</f>
        <v/>
      </c>
    </row>
    <row r="593">
      <c r="A593">
        <f>IFERROR(INDEX(Calc!$L$2:$L$1001,MATCH(ROW()-1,Calc!$X$2:$X$1001,0)),"")</f>
        <v/>
      </c>
      <c r="B593">
        <f>IFERROR(INDEX(Calc!$M$2:$M$1001,MATCH(ROW()-1,Calc!$X$2:$X$1001,0)),"")</f>
        <v/>
      </c>
      <c r="C593">
        <f>IFERROR(INDEX(Calc!$N$2:$N$1001,MATCH(ROW()-1,Calc!$X$2:$X$1001,0)),"")</f>
        <v/>
      </c>
      <c r="D593" s="3">
        <f>IFERROR(INDEX(Calc!$O$2:$O$1001,MATCH(ROW()-1,Calc!$X$2:$X$1001,0)),"")</f>
        <v/>
      </c>
      <c r="E593" s="3">
        <f>IFERROR(INDEX(Calc!$P$2:$P$1001,MATCH(ROW()-1,Calc!$X$2:$X$1001,0)),"")</f>
        <v/>
      </c>
      <c r="F593" s="3">
        <f>IF(G593="","",E593-D593)</f>
        <v/>
      </c>
      <c r="G593">
        <f>IFERROR(INDEX(Calc!$S$2:$S$1001,MATCH(ROW()-1,Calc!$X$2:$X$1001,0)),"")</f>
        <v/>
      </c>
    </row>
    <row r="594">
      <c r="A594">
        <f>IFERROR(INDEX(Calc!$L$2:$L$1001,MATCH(ROW()-1,Calc!$X$2:$X$1001,0)),"")</f>
        <v/>
      </c>
      <c r="B594">
        <f>IFERROR(INDEX(Calc!$M$2:$M$1001,MATCH(ROW()-1,Calc!$X$2:$X$1001,0)),"")</f>
        <v/>
      </c>
      <c r="C594">
        <f>IFERROR(INDEX(Calc!$N$2:$N$1001,MATCH(ROW()-1,Calc!$X$2:$X$1001,0)),"")</f>
        <v/>
      </c>
      <c r="D594" s="3">
        <f>IFERROR(INDEX(Calc!$O$2:$O$1001,MATCH(ROW()-1,Calc!$X$2:$X$1001,0)),"")</f>
        <v/>
      </c>
      <c r="E594" s="3">
        <f>IFERROR(INDEX(Calc!$P$2:$P$1001,MATCH(ROW()-1,Calc!$X$2:$X$1001,0)),"")</f>
        <v/>
      </c>
      <c r="F594" s="3">
        <f>IF(G594="","",E594-D594)</f>
        <v/>
      </c>
      <c r="G594">
        <f>IFERROR(INDEX(Calc!$S$2:$S$1001,MATCH(ROW()-1,Calc!$X$2:$X$1001,0)),"")</f>
        <v/>
      </c>
    </row>
    <row r="595">
      <c r="A595">
        <f>IFERROR(INDEX(Calc!$L$2:$L$1001,MATCH(ROW()-1,Calc!$X$2:$X$1001,0)),"")</f>
        <v/>
      </c>
      <c r="B595">
        <f>IFERROR(INDEX(Calc!$M$2:$M$1001,MATCH(ROW()-1,Calc!$X$2:$X$1001,0)),"")</f>
        <v/>
      </c>
      <c r="C595">
        <f>IFERROR(INDEX(Calc!$N$2:$N$1001,MATCH(ROW()-1,Calc!$X$2:$X$1001,0)),"")</f>
        <v/>
      </c>
      <c r="D595" s="3">
        <f>IFERROR(INDEX(Calc!$O$2:$O$1001,MATCH(ROW()-1,Calc!$X$2:$X$1001,0)),"")</f>
        <v/>
      </c>
      <c r="E595" s="3">
        <f>IFERROR(INDEX(Calc!$P$2:$P$1001,MATCH(ROW()-1,Calc!$X$2:$X$1001,0)),"")</f>
        <v/>
      </c>
      <c r="F595" s="3">
        <f>IF(G595="","",E595-D595)</f>
        <v/>
      </c>
      <c r="G595">
        <f>IFERROR(INDEX(Calc!$S$2:$S$1001,MATCH(ROW()-1,Calc!$X$2:$X$1001,0)),"")</f>
        <v/>
      </c>
    </row>
    <row r="596">
      <c r="A596">
        <f>IFERROR(INDEX(Calc!$L$2:$L$1001,MATCH(ROW()-1,Calc!$X$2:$X$1001,0)),"")</f>
        <v/>
      </c>
      <c r="B596">
        <f>IFERROR(INDEX(Calc!$M$2:$M$1001,MATCH(ROW()-1,Calc!$X$2:$X$1001,0)),"")</f>
        <v/>
      </c>
      <c r="C596">
        <f>IFERROR(INDEX(Calc!$N$2:$N$1001,MATCH(ROW()-1,Calc!$X$2:$X$1001,0)),"")</f>
        <v/>
      </c>
      <c r="D596" s="3">
        <f>IFERROR(INDEX(Calc!$O$2:$O$1001,MATCH(ROW()-1,Calc!$X$2:$X$1001,0)),"")</f>
        <v/>
      </c>
      <c r="E596" s="3">
        <f>IFERROR(INDEX(Calc!$P$2:$P$1001,MATCH(ROW()-1,Calc!$X$2:$X$1001,0)),"")</f>
        <v/>
      </c>
      <c r="F596" s="3">
        <f>IF(G596="","",E596-D596)</f>
        <v/>
      </c>
      <c r="G596">
        <f>IFERROR(INDEX(Calc!$S$2:$S$1001,MATCH(ROW()-1,Calc!$X$2:$X$1001,0)),"")</f>
        <v/>
      </c>
    </row>
    <row r="597">
      <c r="A597">
        <f>IFERROR(INDEX(Calc!$L$2:$L$1001,MATCH(ROW()-1,Calc!$X$2:$X$1001,0)),"")</f>
        <v/>
      </c>
      <c r="B597">
        <f>IFERROR(INDEX(Calc!$M$2:$M$1001,MATCH(ROW()-1,Calc!$X$2:$X$1001,0)),"")</f>
        <v/>
      </c>
      <c r="C597">
        <f>IFERROR(INDEX(Calc!$N$2:$N$1001,MATCH(ROW()-1,Calc!$X$2:$X$1001,0)),"")</f>
        <v/>
      </c>
      <c r="D597" s="3">
        <f>IFERROR(INDEX(Calc!$O$2:$O$1001,MATCH(ROW()-1,Calc!$X$2:$X$1001,0)),"")</f>
        <v/>
      </c>
      <c r="E597" s="3">
        <f>IFERROR(INDEX(Calc!$P$2:$P$1001,MATCH(ROW()-1,Calc!$X$2:$X$1001,0)),"")</f>
        <v/>
      </c>
      <c r="F597" s="3">
        <f>IF(G597="","",E597-D597)</f>
        <v/>
      </c>
      <c r="G597">
        <f>IFERROR(INDEX(Calc!$S$2:$S$1001,MATCH(ROW()-1,Calc!$X$2:$X$1001,0)),"")</f>
        <v/>
      </c>
    </row>
    <row r="598">
      <c r="A598">
        <f>IFERROR(INDEX(Calc!$L$2:$L$1001,MATCH(ROW()-1,Calc!$X$2:$X$1001,0)),"")</f>
        <v/>
      </c>
      <c r="B598">
        <f>IFERROR(INDEX(Calc!$M$2:$M$1001,MATCH(ROW()-1,Calc!$X$2:$X$1001,0)),"")</f>
        <v/>
      </c>
      <c r="C598">
        <f>IFERROR(INDEX(Calc!$N$2:$N$1001,MATCH(ROW()-1,Calc!$X$2:$X$1001,0)),"")</f>
        <v/>
      </c>
      <c r="D598" s="3">
        <f>IFERROR(INDEX(Calc!$O$2:$O$1001,MATCH(ROW()-1,Calc!$X$2:$X$1001,0)),"")</f>
        <v/>
      </c>
      <c r="E598" s="3">
        <f>IFERROR(INDEX(Calc!$P$2:$P$1001,MATCH(ROW()-1,Calc!$X$2:$X$1001,0)),"")</f>
        <v/>
      </c>
      <c r="F598" s="3">
        <f>IF(G598="","",E598-D598)</f>
        <v/>
      </c>
      <c r="G598">
        <f>IFERROR(INDEX(Calc!$S$2:$S$1001,MATCH(ROW()-1,Calc!$X$2:$X$1001,0)),"")</f>
        <v/>
      </c>
    </row>
    <row r="599">
      <c r="A599">
        <f>IFERROR(INDEX(Calc!$L$2:$L$1001,MATCH(ROW()-1,Calc!$X$2:$X$1001,0)),"")</f>
        <v/>
      </c>
      <c r="B599">
        <f>IFERROR(INDEX(Calc!$M$2:$M$1001,MATCH(ROW()-1,Calc!$X$2:$X$1001,0)),"")</f>
        <v/>
      </c>
      <c r="C599">
        <f>IFERROR(INDEX(Calc!$N$2:$N$1001,MATCH(ROW()-1,Calc!$X$2:$X$1001,0)),"")</f>
        <v/>
      </c>
      <c r="D599" s="3">
        <f>IFERROR(INDEX(Calc!$O$2:$O$1001,MATCH(ROW()-1,Calc!$X$2:$X$1001,0)),"")</f>
        <v/>
      </c>
      <c r="E599" s="3">
        <f>IFERROR(INDEX(Calc!$P$2:$P$1001,MATCH(ROW()-1,Calc!$X$2:$X$1001,0)),"")</f>
        <v/>
      </c>
      <c r="F599" s="3">
        <f>IF(G599="","",E599-D599)</f>
        <v/>
      </c>
      <c r="G599">
        <f>IFERROR(INDEX(Calc!$S$2:$S$1001,MATCH(ROW()-1,Calc!$X$2:$X$1001,0)),"")</f>
        <v/>
      </c>
    </row>
    <row r="600">
      <c r="A600">
        <f>IFERROR(INDEX(Calc!$L$2:$L$1001,MATCH(ROW()-1,Calc!$X$2:$X$1001,0)),"")</f>
        <v/>
      </c>
      <c r="B600">
        <f>IFERROR(INDEX(Calc!$M$2:$M$1001,MATCH(ROW()-1,Calc!$X$2:$X$1001,0)),"")</f>
        <v/>
      </c>
      <c r="C600">
        <f>IFERROR(INDEX(Calc!$N$2:$N$1001,MATCH(ROW()-1,Calc!$X$2:$X$1001,0)),"")</f>
        <v/>
      </c>
      <c r="D600" s="3">
        <f>IFERROR(INDEX(Calc!$O$2:$O$1001,MATCH(ROW()-1,Calc!$X$2:$X$1001,0)),"")</f>
        <v/>
      </c>
      <c r="E600" s="3">
        <f>IFERROR(INDEX(Calc!$P$2:$P$1001,MATCH(ROW()-1,Calc!$X$2:$X$1001,0)),"")</f>
        <v/>
      </c>
      <c r="F600" s="3">
        <f>IF(G600="","",E600-D600)</f>
        <v/>
      </c>
      <c r="G600">
        <f>IFERROR(INDEX(Calc!$S$2:$S$1001,MATCH(ROW()-1,Calc!$X$2:$X$1001,0)),"")</f>
        <v/>
      </c>
    </row>
    <row r="601">
      <c r="A601">
        <f>IFERROR(INDEX(Calc!$L$2:$L$1001,MATCH(ROW()-1,Calc!$X$2:$X$1001,0)),"")</f>
        <v/>
      </c>
      <c r="B601">
        <f>IFERROR(INDEX(Calc!$M$2:$M$1001,MATCH(ROW()-1,Calc!$X$2:$X$1001,0)),"")</f>
        <v/>
      </c>
      <c r="C601">
        <f>IFERROR(INDEX(Calc!$N$2:$N$1001,MATCH(ROW()-1,Calc!$X$2:$X$1001,0)),"")</f>
        <v/>
      </c>
      <c r="D601" s="3">
        <f>IFERROR(INDEX(Calc!$O$2:$O$1001,MATCH(ROW()-1,Calc!$X$2:$X$1001,0)),"")</f>
        <v/>
      </c>
      <c r="E601" s="3">
        <f>IFERROR(INDEX(Calc!$P$2:$P$1001,MATCH(ROW()-1,Calc!$X$2:$X$1001,0)),"")</f>
        <v/>
      </c>
      <c r="F601" s="3">
        <f>IF(G601="","",E601-D601)</f>
        <v/>
      </c>
      <c r="G601">
        <f>IFERROR(INDEX(Calc!$S$2:$S$1001,MATCH(ROW()-1,Calc!$X$2:$X$1001,0)),"")</f>
        <v/>
      </c>
    </row>
    <row r="602">
      <c r="A602">
        <f>IFERROR(INDEX(Calc!$L$2:$L$1001,MATCH(ROW()-1,Calc!$X$2:$X$1001,0)),"")</f>
        <v/>
      </c>
      <c r="B602">
        <f>IFERROR(INDEX(Calc!$M$2:$M$1001,MATCH(ROW()-1,Calc!$X$2:$X$1001,0)),"")</f>
        <v/>
      </c>
      <c r="C602">
        <f>IFERROR(INDEX(Calc!$N$2:$N$1001,MATCH(ROW()-1,Calc!$X$2:$X$1001,0)),"")</f>
        <v/>
      </c>
      <c r="D602" s="3">
        <f>IFERROR(INDEX(Calc!$O$2:$O$1001,MATCH(ROW()-1,Calc!$X$2:$X$1001,0)),"")</f>
        <v/>
      </c>
      <c r="E602" s="3">
        <f>IFERROR(INDEX(Calc!$P$2:$P$1001,MATCH(ROW()-1,Calc!$X$2:$X$1001,0)),"")</f>
        <v/>
      </c>
      <c r="F602" s="3">
        <f>IF(G602="","",E602-D602)</f>
        <v/>
      </c>
      <c r="G602">
        <f>IFERROR(INDEX(Calc!$S$2:$S$1001,MATCH(ROW()-1,Calc!$X$2:$X$1001,0)),"")</f>
        <v/>
      </c>
    </row>
    <row r="603">
      <c r="A603">
        <f>IFERROR(INDEX(Calc!$L$2:$L$1001,MATCH(ROW()-1,Calc!$X$2:$X$1001,0)),"")</f>
        <v/>
      </c>
      <c r="B603">
        <f>IFERROR(INDEX(Calc!$M$2:$M$1001,MATCH(ROW()-1,Calc!$X$2:$X$1001,0)),"")</f>
        <v/>
      </c>
      <c r="C603">
        <f>IFERROR(INDEX(Calc!$N$2:$N$1001,MATCH(ROW()-1,Calc!$X$2:$X$1001,0)),"")</f>
        <v/>
      </c>
      <c r="D603" s="3">
        <f>IFERROR(INDEX(Calc!$O$2:$O$1001,MATCH(ROW()-1,Calc!$X$2:$X$1001,0)),"")</f>
        <v/>
      </c>
      <c r="E603" s="3">
        <f>IFERROR(INDEX(Calc!$P$2:$P$1001,MATCH(ROW()-1,Calc!$X$2:$X$1001,0)),"")</f>
        <v/>
      </c>
      <c r="F603" s="3">
        <f>IF(G603="","",E603-D603)</f>
        <v/>
      </c>
      <c r="G603">
        <f>IFERROR(INDEX(Calc!$S$2:$S$1001,MATCH(ROW()-1,Calc!$X$2:$X$1001,0)),"")</f>
        <v/>
      </c>
    </row>
    <row r="604">
      <c r="A604">
        <f>IFERROR(INDEX(Calc!$L$2:$L$1001,MATCH(ROW()-1,Calc!$X$2:$X$1001,0)),"")</f>
        <v/>
      </c>
      <c r="B604">
        <f>IFERROR(INDEX(Calc!$M$2:$M$1001,MATCH(ROW()-1,Calc!$X$2:$X$1001,0)),"")</f>
        <v/>
      </c>
      <c r="C604">
        <f>IFERROR(INDEX(Calc!$N$2:$N$1001,MATCH(ROW()-1,Calc!$X$2:$X$1001,0)),"")</f>
        <v/>
      </c>
      <c r="D604" s="3">
        <f>IFERROR(INDEX(Calc!$O$2:$O$1001,MATCH(ROW()-1,Calc!$X$2:$X$1001,0)),"")</f>
        <v/>
      </c>
      <c r="E604" s="3">
        <f>IFERROR(INDEX(Calc!$P$2:$P$1001,MATCH(ROW()-1,Calc!$X$2:$X$1001,0)),"")</f>
        <v/>
      </c>
      <c r="F604" s="3">
        <f>IF(G604="","",E604-D604)</f>
        <v/>
      </c>
      <c r="G604">
        <f>IFERROR(INDEX(Calc!$S$2:$S$1001,MATCH(ROW()-1,Calc!$X$2:$X$1001,0)),"")</f>
        <v/>
      </c>
    </row>
    <row r="605">
      <c r="A605">
        <f>IFERROR(INDEX(Calc!$L$2:$L$1001,MATCH(ROW()-1,Calc!$X$2:$X$1001,0)),"")</f>
        <v/>
      </c>
      <c r="B605">
        <f>IFERROR(INDEX(Calc!$M$2:$M$1001,MATCH(ROW()-1,Calc!$X$2:$X$1001,0)),"")</f>
        <v/>
      </c>
      <c r="C605">
        <f>IFERROR(INDEX(Calc!$N$2:$N$1001,MATCH(ROW()-1,Calc!$X$2:$X$1001,0)),"")</f>
        <v/>
      </c>
      <c r="D605" s="3">
        <f>IFERROR(INDEX(Calc!$O$2:$O$1001,MATCH(ROW()-1,Calc!$X$2:$X$1001,0)),"")</f>
        <v/>
      </c>
      <c r="E605" s="3">
        <f>IFERROR(INDEX(Calc!$P$2:$P$1001,MATCH(ROW()-1,Calc!$X$2:$X$1001,0)),"")</f>
        <v/>
      </c>
      <c r="F605" s="3">
        <f>IF(G605="","",E605-D605)</f>
        <v/>
      </c>
      <c r="G605">
        <f>IFERROR(INDEX(Calc!$S$2:$S$1001,MATCH(ROW()-1,Calc!$X$2:$X$1001,0)),"")</f>
        <v/>
      </c>
    </row>
    <row r="606">
      <c r="A606">
        <f>IFERROR(INDEX(Calc!$L$2:$L$1001,MATCH(ROW()-1,Calc!$X$2:$X$1001,0)),"")</f>
        <v/>
      </c>
      <c r="B606">
        <f>IFERROR(INDEX(Calc!$M$2:$M$1001,MATCH(ROW()-1,Calc!$X$2:$X$1001,0)),"")</f>
        <v/>
      </c>
      <c r="C606">
        <f>IFERROR(INDEX(Calc!$N$2:$N$1001,MATCH(ROW()-1,Calc!$X$2:$X$1001,0)),"")</f>
        <v/>
      </c>
      <c r="D606" s="3">
        <f>IFERROR(INDEX(Calc!$O$2:$O$1001,MATCH(ROW()-1,Calc!$X$2:$X$1001,0)),"")</f>
        <v/>
      </c>
      <c r="E606" s="3">
        <f>IFERROR(INDEX(Calc!$P$2:$P$1001,MATCH(ROW()-1,Calc!$X$2:$X$1001,0)),"")</f>
        <v/>
      </c>
      <c r="F606" s="3">
        <f>IF(G606="","",E606-D606)</f>
        <v/>
      </c>
      <c r="G606">
        <f>IFERROR(INDEX(Calc!$S$2:$S$1001,MATCH(ROW()-1,Calc!$X$2:$X$1001,0)),"")</f>
        <v/>
      </c>
    </row>
    <row r="607">
      <c r="A607">
        <f>IFERROR(INDEX(Calc!$L$2:$L$1001,MATCH(ROW()-1,Calc!$X$2:$X$1001,0)),"")</f>
        <v/>
      </c>
      <c r="B607">
        <f>IFERROR(INDEX(Calc!$M$2:$M$1001,MATCH(ROW()-1,Calc!$X$2:$X$1001,0)),"")</f>
        <v/>
      </c>
      <c r="C607">
        <f>IFERROR(INDEX(Calc!$N$2:$N$1001,MATCH(ROW()-1,Calc!$X$2:$X$1001,0)),"")</f>
        <v/>
      </c>
      <c r="D607" s="3">
        <f>IFERROR(INDEX(Calc!$O$2:$O$1001,MATCH(ROW()-1,Calc!$X$2:$X$1001,0)),"")</f>
        <v/>
      </c>
      <c r="E607" s="3">
        <f>IFERROR(INDEX(Calc!$P$2:$P$1001,MATCH(ROW()-1,Calc!$X$2:$X$1001,0)),"")</f>
        <v/>
      </c>
      <c r="F607" s="3">
        <f>IF(G607="","",E607-D607)</f>
        <v/>
      </c>
      <c r="G607">
        <f>IFERROR(INDEX(Calc!$S$2:$S$1001,MATCH(ROW()-1,Calc!$X$2:$X$1001,0)),"")</f>
        <v/>
      </c>
    </row>
    <row r="608">
      <c r="A608">
        <f>IFERROR(INDEX(Calc!$L$2:$L$1001,MATCH(ROW()-1,Calc!$X$2:$X$1001,0)),"")</f>
        <v/>
      </c>
      <c r="B608">
        <f>IFERROR(INDEX(Calc!$M$2:$M$1001,MATCH(ROW()-1,Calc!$X$2:$X$1001,0)),"")</f>
        <v/>
      </c>
      <c r="C608">
        <f>IFERROR(INDEX(Calc!$N$2:$N$1001,MATCH(ROW()-1,Calc!$X$2:$X$1001,0)),"")</f>
        <v/>
      </c>
      <c r="D608" s="3">
        <f>IFERROR(INDEX(Calc!$O$2:$O$1001,MATCH(ROW()-1,Calc!$X$2:$X$1001,0)),"")</f>
        <v/>
      </c>
      <c r="E608" s="3">
        <f>IFERROR(INDEX(Calc!$P$2:$P$1001,MATCH(ROW()-1,Calc!$X$2:$X$1001,0)),"")</f>
        <v/>
      </c>
      <c r="F608" s="3">
        <f>IF(G608="","",E608-D608)</f>
        <v/>
      </c>
      <c r="G608">
        <f>IFERROR(INDEX(Calc!$S$2:$S$1001,MATCH(ROW()-1,Calc!$X$2:$X$1001,0)),"")</f>
        <v/>
      </c>
    </row>
    <row r="609">
      <c r="A609">
        <f>IFERROR(INDEX(Calc!$L$2:$L$1001,MATCH(ROW()-1,Calc!$X$2:$X$1001,0)),"")</f>
        <v/>
      </c>
      <c r="B609">
        <f>IFERROR(INDEX(Calc!$M$2:$M$1001,MATCH(ROW()-1,Calc!$X$2:$X$1001,0)),"")</f>
        <v/>
      </c>
      <c r="C609">
        <f>IFERROR(INDEX(Calc!$N$2:$N$1001,MATCH(ROW()-1,Calc!$X$2:$X$1001,0)),"")</f>
        <v/>
      </c>
      <c r="D609" s="3">
        <f>IFERROR(INDEX(Calc!$O$2:$O$1001,MATCH(ROW()-1,Calc!$X$2:$X$1001,0)),"")</f>
        <v/>
      </c>
      <c r="E609" s="3">
        <f>IFERROR(INDEX(Calc!$P$2:$P$1001,MATCH(ROW()-1,Calc!$X$2:$X$1001,0)),"")</f>
        <v/>
      </c>
      <c r="F609" s="3">
        <f>IF(G609="","",E609-D609)</f>
        <v/>
      </c>
      <c r="G609">
        <f>IFERROR(INDEX(Calc!$S$2:$S$1001,MATCH(ROW()-1,Calc!$X$2:$X$1001,0)),"")</f>
        <v/>
      </c>
    </row>
    <row r="610">
      <c r="A610">
        <f>IFERROR(INDEX(Calc!$L$2:$L$1001,MATCH(ROW()-1,Calc!$X$2:$X$1001,0)),"")</f>
        <v/>
      </c>
      <c r="B610">
        <f>IFERROR(INDEX(Calc!$M$2:$M$1001,MATCH(ROW()-1,Calc!$X$2:$X$1001,0)),"")</f>
        <v/>
      </c>
      <c r="C610">
        <f>IFERROR(INDEX(Calc!$N$2:$N$1001,MATCH(ROW()-1,Calc!$X$2:$X$1001,0)),"")</f>
        <v/>
      </c>
      <c r="D610" s="3">
        <f>IFERROR(INDEX(Calc!$O$2:$O$1001,MATCH(ROW()-1,Calc!$X$2:$X$1001,0)),"")</f>
        <v/>
      </c>
      <c r="E610" s="3">
        <f>IFERROR(INDEX(Calc!$P$2:$P$1001,MATCH(ROW()-1,Calc!$X$2:$X$1001,0)),"")</f>
        <v/>
      </c>
      <c r="F610" s="3">
        <f>IF(G610="","",E610-D610)</f>
        <v/>
      </c>
      <c r="G610">
        <f>IFERROR(INDEX(Calc!$S$2:$S$1001,MATCH(ROW()-1,Calc!$X$2:$X$1001,0)),"")</f>
        <v/>
      </c>
    </row>
    <row r="611">
      <c r="A611">
        <f>IFERROR(INDEX(Calc!$L$2:$L$1001,MATCH(ROW()-1,Calc!$X$2:$X$1001,0)),"")</f>
        <v/>
      </c>
      <c r="B611">
        <f>IFERROR(INDEX(Calc!$M$2:$M$1001,MATCH(ROW()-1,Calc!$X$2:$X$1001,0)),"")</f>
        <v/>
      </c>
      <c r="C611">
        <f>IFERROR(INDEX(Calc!$N$2:$N$1001,MATCH(ROW()-1,Calc!$X$2:$X$1001,0)),"")</f>
        <v/>
      </c>
      <c r="D611" s="3">
        <f>IFERROR(INDEX(Calc!$O$2:$O$1001,MATCH(ROW()-1,Calc!$X$2:$X$1001,0)),"")</f>
        <v/>
      </c>
      <c r="E611" s="3">
        <f>IFERROR(INDEX(Calc!$P$2:$P$1001,MATCH(ROW()-1,Calc!$X$2:$X$1001,0)),"")</f>
        <v/>
      </c>
      <c r="F611" s="3">
        <f>IF(G611="","",E611-D611)</f>
        <v/>
      </c>
      <c r="G611">
        <f>IFERROR(INDEX(Calc!$S$2:$S$1001,MATCH(ROW()-1,Calc!$X$2:$X$1001,0)),"")</f>
        <v/>
      </c>
    </row>
    <row r="612">
      <c r="A612">
        <f>IFERROR(INDEX(Calc!$L$2:$L$1001,MATCH(ROW()-1,Calc!$X$2:$X$1001,0)),"")</f>
        <v/>
      </c>
      <c r="B612">
        <f>IFERROR(INDEX(Calc!$M$2:$M$1001,MATCH(ROW()-1,Calc!$X$2:$X$1001,0)),"")</f>
        <v/>
      </c>
      <c r="C612">
        <f>IFERROR(INDEX(Calc!$N$2:$N$1001,MATCH(ROW()-1,Calc!$X$2:$X$1001,0)),"")</f>
        <v/>
      </c>
      <c r="D612" s="3">
        <f>IFERROR(INDEX(Calc!$O$2:$O$1001,MATCH(ROW()-1,Calc!$X$2:$X$1001,0)),"")</f>
        <v/>
      </c>
      <c r="E612" s="3">
        <f>IFERROR(INDEX(Calc!$P$2:$P$1001,MATCH(ROW()-1,Calc!$X$2:$X$1001,0)),"")</f>
        <v/>
      </c>
      <c r="F612" s="3">
        <f>IF(G612="","",E612-D612)</f>
        <v/>
      </c>
      <c r="G612">
        <f>IFERROR(INDEX(Calc!$S$2:$S$1001,MATCH(ROW()-1,Calc!$X$2:$X$1001,0)),"")</f>
        <v/>
      </c>
    </row>
    <row r="613">
      <c r="A613">
        <f>IFERROR(INDEX(Calc!$L$2:$L$1001,MATCH(ROW()-1,Calc!$X$2:$X$1001,0)),"")</f>
        <v/>
      </c>
      <c r="B613">
        <f>IFERROR(INDEX(Calc!$M$2:$M$1001,MATCH(ROW()-1,Calc!$X$2:$X$1001,0)),"")</f>
        <v/>
      </c>
      <c r="C613">
        <f>IFERROR(INDEX(Calc!$N$2:$N$1001,MATCH(ROW()-1,Calc!$X$2:$X$1001,0)),"")</f>
        <v/>
      </c>
      <c r="D613" s="3">
        <f>IFERROR(INDEX(Calc!$O$2:$O$1001,MATCH(ROW()-1,Calc!$X$2:$X$1001,0)),"")</f>
        <v/>
      </c>
      <c r="E613" s="3">
        <f>IFERROR(INDEX(Calc!$P$2:$P$1001,MATCH(ROW()-1,Calc!$X$2:$X$1001,0)),"")</f>
        <v/>
      </c>
      <c r="F613" s="3">
        <f>IF(G613="","",E613-D613)</f>
        <v/>
      </c>
      <c r="G613">
        <f>IFERROR(INDEX(Calc!$S$2:$S$1001,MATCH(ROW()-1,Calc!$X$2:$X$1001,0)),"")</f>
        <v/>
      </c>
    </row>
    <row r="614">
      <c r="A614">
        <f>IFERROR(INDEX(Calc!$L$2:$L$1001,MATCH(ROW()-1,Calc!$X$2:$X$1001,0)),"")</f>
        <v/>
      </c>
      <c r="B614">
        <f>IFERROR(INDEX(Calc!$M$2:$M$1001,MATCH(ROW()-1,Calc!$X$2:$X$1001,0)),"")</f>
        <v/>
      </c>
      <c r="C614">
        <f>IFERROR(INDEX(Calc!$N$2:$N$1001,MATCH(ROW()-1,Calc!$X$2:$X$1001,0)),"")</f>
        <v/>
      </c>
      <c r="D614" s="3">
        <f>IFERROR(INDEX(Calc!$O$2:$O$1001,MATCH(ROW()-1,Calc!$X$2:$X$1001,0)),"")</f>
        <v/>
      </c>
      <c r="E614" s="3">
        <f>IFERROR(INDEX(Calc!$P$2:$P$1001,MATCH(ROW()-1,Calc!$X$2:$X$1001,0)),"")</f>
        <v/>
      </c>
      <c r="F614" s="3">
        <f>IF(G614="","",E614-D614)</f>
        <v/>
      </c>
      <c r="G614">
        <f>IFERROR(INDEX(Calc!$S$2:$S$1001,MATCH(ROW()-1,Calc!$X$2:$X$1001,0)),"")</f>
        <v/>
      </c>
    </row>
    <row r="615">
      <c r="A615">
        <f>IFERROR(INDEX(Calc!$L$2:$L$1001,MATCH(ROW()-1,Calc!$X$2:$X$1001,0)),"")</f>
        <v/>
      </c>
      <c r="B615">
        <f>IFERROR(INDEX(Calc!$M$2:$M$1001,MATCH(ROW()-1,Calc!$X$2:$X$1001,0)),"")</f>
        <v/>
      </c>
      <c r="C615">
        <f>IFERROR(INDEX(Calc!$N$2:$N$1001,MATCH(ROW()-1,Calc!$X$2:$X$1001,0)),"")</f>
        <v/>
      </c>
      <c r="D615" s="3">
        <f>IFERROR(INDEX(Calc!$O$2:$O$1001,MATCH(ROW()-1,Calc!$X$2:$X$1001,0)),"")</f>
        <v/>
      </c>
      <c r="E615" s="3">
        <f>IFERROR(INDEX(Calc!$P$2:$P$1001,MATCH(ROW()-1,Calc!$X$2:$X$1001,0)),"")</f>
        <v/>
      </c>
      <c r="F615" s="3">
        <f>IF(G615="","",E615-D615)</f>
        <v/>
      </c>
      <c r="G615">
        <f>IFERROR(INDEX(Calc!$S$2:$S$1001,MATCH(ROW()-1,Calc!$X$2:$X$1001,0)),"")</f>
        <v/>
      </c>
    </row>
    <row r="616">
      <c r="A616">
        <f>IFERROR(INDEX(Calc!$L$2:$L$1001,MATCH(ROW()-1,Calc!$X$2:$X$1001,0)),"")</f>
        <v/>
      </c>
      <c r="B616">
        <f>IFERROR(INDEX(Calc!$M$2:$M$1001,MATCH(ROW()-1,Calc!$X$2:$X$1001,0)),"")</f>
        <v/>
      </c>
      <c r="C616">
        <f>IFERROR(INDEX(Calc!$N$2:$N$1001,MATCH(ROW()-1,Calc!$X$2:$X$1001,0)),"")</f>
        <v/>
      </c>
      <c r="D616" s="3">
        <f>IFERROR(INDEX(Calc!$O$2:$O$1001,MATCH(ROW()-1,Calc!$X$2:$X$1001,0)),"")</f>
        <v/>
      </c>
      <c r="E616" s="3">
        <f>IFERROR(INDEX(Calc!$P$2:$P$1001,MATCH(ROW()-1,Calc!$X$2:$X$1001,0)),"")</f>
        <v/>
      </c>
      <c r="F616" s="3">
        <f>IF(G616="","",E616-D616)</f>
        <v/>
      </c>
      <c r="G616">
        <f>IFERROR(INDEX(Calc!$S$2:$S$1001,MATCH(ROW()-1,Calc!$X$2:$X$1001,0)),"")</f>
        <v/>
      </c>
    </row>
    <row r="617">
      <c r="A617">
        <f>IFERROR(INDEX(Calc!$L$2:$L$1001,MATCH(ROW()-1,Calc!$X$2:$X$1001,0)),"")</f>
        <v/>
      </c>
      <c r="B617">
        <f>IFERROR(INDEX(Calc!$M$2:$M$1001,MATCH(ROW()-1,Calc!$X$2:$X$1001,0)),"")</f>
        <v/>
      </c>
      <c r="C617">
        <f>IFERROR(INDEX(Calc!$N$2:$N$1001,MATCH(ROW()-1,Calc!$X$2:$X$1001,0)),"")</f>
        <v/>
      </c>
      <c r="D617" s="3">
        <f>IFERROR(INDEX(Calc!$O$2:$O$1001,MATCH(ROW()-1,Calc!$X$2:$X$1001,0)),"")</f>
        <v/>
      </c>
      <c r="E617" s="3">
        <f>IFERROR(INDEX(Calc!$P$2:$P$1001,MATCH(ROW()-1,Calc!$X$2:$X$1001,0)),"")</f>
        <v/>
      </c>
      <c r="F617" s="3">
        <f>IF(G617="","",E617-D617)</f>
        <v/>
      </c>
      <c r="G617">
        <f>IFERROR(INDEX(Calc!$S$2:$S$1001,MATCH(ROW()-1,Calc!$X$2:$X$1001,0)),"")</f>
        <v/>
      </c>
    </row>
    <row r="618">
      <c r="A618">
        <f>IFERROR(INDEX(Calc!$L$2:$L$1001,MATCH(ROW()-1,Calc!$X$2:$X$1001,0)),"")</f>
        <v/>
      </c>
      <c r="B618">
        <f>IFERROR(INDEX(Calc!$M$2:$M$1001,MATCH(ROW()-1,Calc!$X$2:$X$1001,0)),"")</f>
        <v/>
      </c>
      <c r="C618">
        <f>IFERROR(INDEX(Calc!$N$2:$N$1001,MATCH(ROW()-1,Calc!$X$2:$X$1001,0)),"")</f>
        <v/>
      </c>
      <c r="D618" s="3">
        <f>IFERROR(INDEX(Calc!$O$2:$O$1001,MATCH(ROW()-1,Calc!$X$2:$X$1001,0)),"")</f>
        <v/>
      </c>
      <c r="E618" s="3">
        <f>IFERROR(INDEX(Calc!$P$2:$P$1001,MATCH(ROW()-1,Calc!$X$2:$X$1001,0)),"")</f>
        <v/>
      </c>
      <c r="F618" s="3">
        <f>IF(G618="","",E618-D618)</f>
        <v/>
      </c>
      <c r="G618">
        <f>IFERROR(INDEX(Calc!$S$2:$S$1001,MATCH(ROW()-1,Calc!$X$2:$X$1001,0)),"")</f>
        <v/>
      </c>
    </row>
    <row r="619">
      <c r="A619">
        <f>IFERROR(INDEX(Calc!$L$2:$L$1001,MATCH(ROW()-1,Calc!$X$2:$X$1001,0)),"")</f>
        <v/>
      </c>
      <c r="B619">
        <f>IFERROR(INDEX(Calc!$M$2:$M$1001,MATCH(ROW()-1,Calc!$X$2:$X$1001,0)),"")</f>
        <v/>
      </c>
      <c r="C619">
        <f>IFERROR(INDEX(Calc!$N$2:$N$1001,MATCH(ROW()-1,Calc!$X$2:$X$1001,0)),"")</f>
        <v/>
      </c>
      <c r="D619" s="3">
        <f>IFERROR(INDEX(Calc!$O$2:$O$1001,MATCH(ROW()-1,Calc!$X$2:$X$1001,0)),"")</f>
        <v/>
      </c>
      <c r="E619" s="3">
        <f>IFERROR(INDEX(Calc!$P$2:$P$1001,MATCH(ROW()-1,Calc!$X$2:$X$1001,0)),"")</f>
        <v/>
      </c>
      <c r="F619" s="3">
        <f>IF(G619="","",E619-D619)</f>
        <v/>
      </c>
      <c r="G619">
        <f>IFERROR(INDEX(Calc!$S$2:$S$1001,MATCH(ROW()-1,Calc!$X$2:$X$1001,0)),"")</f>
        <v/>
      </c>
    </row>
    <row r="620">
      <c r="A620">
        <f>IFERROR(INDEX(Calc!$L$2:$L$1001,MATCH(ROW()-1,Calc!$X$2:$X$1001,0)),"")</f>
        <v/>
      </c>
      <c r="B620">
        <f>IFERROR(INDEX(Calc!$M$2:$M$1001,MATCH(ROW()-1,Calc!$X$2:$X$1001,0)),"")</f>
        <v/>
      </c>
      <c r="C620">
        <f>IFERROR(INDEX(Calc!$N$2:$N$1001,MATCH(ROW()-1,Calc!$X$2:$X$1001,0)),"")</f>
        <v/>
      </c>
      <c r="D620" s="3">
        <f>IFERROR(INDEX(Calc!$O$2:$O$1001,MATCH(ROW()-1,Calc!$X$2:$X$1001,0)),"")</f>
        <v/>
      </c>
      <c r="E620" s="3">
        <f>IFERROR(INDEX(Calc!$P$2:$P$1001,MATCH(ROW()-1,Calc!$X$2:$X$1001,0)),"")</f>
        <v/>
      </c>
      <c r="F620" s="3">
        <f>IF(G620="","",E620-D620)</f>
        <v/>
      </c>
      <c r="G620">
        <f>IFERROR(INDEX(Calc!$S$2:$S$1001,MATCH(ROW()-1,Calc!$X$2:$X$1001,0)),"")</f>
        <v/>
      </c>
    </row>
    <row r="621">
      <c r="A621">
        <f>IFERROR(INDEX(Calc!$L$2:$L$1001,MATCH(ROW()-1,Calc!$X$2:$X$1001,0)),"")</f>
        <v/>
      </c>
      <c r="B621">
        <f>IFERROR(INDEX(Calc!$M$2:$M$1001,MATCH(ROW()-1,Calc!$X$2:$X$1001,0)),"")</f>
        <v/>
      </c>
      <c r="C621">
        <f>IFERROR(INDEX(Calc!$N$2:$N$1001,MATCH(ROW()-1,Calc!$X$2:$X$1001,0)),"")</f>
        <v/>
      </c>
      <c r="D621" s="3">
        <f>IFERROR(INDEX(Calc!$O$2:$O$1001,MATCH(ROW()-1,Calc!$X$2:$X$1001,0)),"")</f>
        <v/>
      </c>
      <c r="E621" s="3">
        <f>IFERROR(INDEX(Calc!$P$2:$P$1001,MATCH(ROW()-1,Calc!$X$2:$X$1001,0)),"")</f>
        <v/>
      </c>
      <c r="F621" s="3">
        <f>IF(G621="","",E621-D621)</f>
        <v/>
      </c>
      <c r="G621">
        <f>IFERROR(INDEX(Calc!$S$2:$S$1001,MATCH(ROW()-1,Calc!$X$2:$X$1001,0)),"")</f>
        <v/>
      </c>
    </row>
    <row r="622">
      <c r="A622">
        <f>IFERROR(INDEX(Calc!$L$2:$L$1001,MATCH(ROW()-1,Calc!$X$2:$X$1001,0)),"")</f>
        <v/>
      </c>
      <c r="B622">
        <f>IFERROR(INDEX(Calc!$M$2:$M$1001,MATCH(ROW()-1,Calc!$X$2:$X$1001,0)),"")</f>
        <v/>
      </c>
      <c r="C622">
        <f>IFERROR(INDEX(Calc!$N$2:$N$1001,MATCH(ROW()-1,Calc!$X$2:$X$1001,0)),"")</f>
        <v/>
      </c>
      <c r="D622" s="3">
        <f>IFERROR(INDEX(Calc!$O$2:$O$1001,MATCH(ROW()-1,Calc!$X$2:$X$1001,0)),"")</f>
        <v/>
      </c>
      <c r="E622" s="3">
        <f>IFERROR(INDEX(Calc!$P$2:$P$1001,MATCH(ROW()-1,Calc!$X$2:$X$1001,0)),"")</f>
        <v/>
      </c>
      <c r="F622" s="3">
        <f>IF(G622="","",E622-D622)</f>
        <v/>
      </c>
      <c r="G622">
        <f>IFERROR(INDEX(Calc!$S$2:$S$1001,MATCH(ROW()-1,Calc!$X$2:$X$1001,0)),"")</f>
        <v/>
      </c>
    </row>
    <row r="623">
      <c r="A623">
        <f>IFERROR(INDEX(Calc!$L$2:$L$1001,MATCH(ROW()-1,Calc!$X$2:$X$1001,0)),"")</f>
        <v/>
      </c>
      <c r="B623">
        <f>IFERROR(INDEX(Calc!$M$2:$M$1001,MATCH(ROW()-1,Calc!$X$2:$X$1001,0)),"")</f>
        <v/>
      </c>
      <c r="C623">
        <f>IFERROR(INDEX(Calc!$N$2:$N$1001,MATCH(ROW()-1,Calc!$X$2:$X$1001,0)),"")</f>
        <v/>
      </c>
      <c r="D623" s="3">
        <f>IFERROR(INDEX(Calc!$O$2:$O$1001,MATCH(ROW()-1,Calc!$X$2:$X$1001,0)),"")</f>
        <v/>
      </c>
      <c r="E623" s="3">
        <f>IFERROR(INDEX(Calc!$P$2:$P$1001,MATCH(ROW()-1,Calc!$X$2:$X$1001,0)),"")</f>
        <v/>
      </c>
      <c r="F623" s="3">
        <f>IF(G623="","",E623-D623)</f>
        <v/>
      </c>
      <c r="G623">
        <f>IFERROR(INDEX(Calc!$S$2:$S$1001,MATCH(ROW()-1,Calc!$X$2:$X$1001,0)),"")</f>
        <v/>
      </c>
    </row>
    <row r="624">
      <c r="A624">
        <f>IFERROR(INDEX(Calc!$L$2:$L$1001,MATCH(ROW()-1,Calc!$X$2:$X$1001,0)),"")</f>
        <v/>
      </c>
      <c r="B624">
        <f>IFERROR(INDEX(Calc!$M$2:$M$1001,MATCH(ROW()-1,Calc!$X$2:$X$1001,0)),"")</f>
        <v/>
      </c>
      <c r="C624">
        <f>IFERROR(INDEX(Calc!$N$2:$N$1001,MATCH(ROW()-1,Calc!$X$2:$X$1001,0)),"")</f>
        <v/>
      </c>
      <c r="D624" s="3">
        <f>IFERROR(INDEX(Calc!$O$2:$O$1001,MATCH(ROW()-1,Calc!$X$2:$X$1001,0)),"")</f>
        <v/>
      </c>
      <c r="E624" s="3">
        <f>IFERROR(INDEX(Calc!$P$2:$P$1001,MATCH(ROW()-1,Calc!$X$2:$X$1001,0)),"")</f>
        <v/>
      </c>
      <c r="F624" s="3">
        <f>IF(G624="","",E624-D624)</f>
        <v/>
      </c>
      <c r="G624">
        <f>IFERROR(INDEX(Calc!$S$2:$S$1001,MATCH(ROW()-1,Calc!$X$2:$X$1001,0)),"")</f>
        <v/>
      </c>
    </row>
    <row r="625">
      <c r="A625">
        <f>IFERROR(INDEX(Calc!$L$2:$L$1001,MATCH(ROW()-1,Calc!$X$2:$X$1001,0)),"")</f>
        <v/>
      </c>
      <c r="B625">
        <f>IFERROR(INDEX(Calc!$M$2:$M$1001,MATCH(ROW()-1,Calc!$X$2:$X$1001,0)),"")</f>
        <v/>
      </c>
      <c r="C625">
        <f>IFERROR(INDEX(Calc!$N$2:$N$1001,MATCH(ROW()-1,Calc!$X$2:$X$1001,0)),"")</f>
        <v/>
      </c>
      <c r="D625" s="3">
        <f>IFERROR(INDEX(Calc!$O$2:$O$1001,MATCH(ROW()-1,Calc!$X$2:$X$1001,0)),"")</f>
        <v/>
      </c>
      <c r="E625" s="3">
        <f>IFERROR(INDEX(Calc!$P$2:$P$1001,MATCH(ROW()-1,Calc!$X$2:$X$1001,0)),"")</f>
        <v/>
      </c>
      <c r="F625" s="3">
        <f>IF(G625="","",E625-D625)</f>
        <v/>
      </c>
      <c r="G625">
        <f>IFERROR(INDEX(Calc!$S$2:$S$1001,MATCH(ROW()-1,Calc!$X$2:$X$1001,0)),"")</f>
        <v/>
      </c>
    </row>
    <row r="626">
      <c r="A626">
        <f>IFERROR(INDEX(Calc!$L$2:$L$1001,MATCH(ROW()-1,Calc!$X$2:$X$1001,0)),"")</f>
        <v/>
      </c>
      <c r="B626">
        <f>IFERROR(INDEX(Calc!$M$2:$M$1001,MATCH(ROW()-1,Calc!$X$2:$X$1001,0)),"")</f>
        <v/>
      </c>
      <c r="C626">
        <f>IFERROR(INDEX(Calc!$N$2:$N$1001,MATCH(ROW()-1,Calc!$X$2:$X$1001,0)),"")</f>
        <v/>
      </c>
      <c r="D626" s="3">
        <f>IFERROR(INDEX(Calc!$O$2:$O$1001,MATCH(ROW()-1,Calc!$X$2:$X$1001,0)),"")</f>
        <v/>
      </c>
      <c r="E626" s="3">
        <f>IFERROR(INDEX(Calc!$P$2:$P$1001,MATCH(ROW()-1,Calc!$X$2:$X$1001,0)),"")</f>
        <v/>
      </c>
      <c r="F626" s="3">
        <f>IF(G626="","",E626-D626)</f>
        <v/>
      </c>
      <c r="G626">
        <f>IFERROR(INDEX(Calc!$S$2:$S$1001,MATCH(ROW()-1,Calc!$X$2:$X$1001,0)),"")</f>
        <v/>
      </c>
    </row>
    <row r="627">
      <c r="A627">
        <f>IFERROR(INDEX(Calc!$L$2:$L$1001,MATCH(ROW()-1,Calc!$X$2:$X$1001,0)),"")</f>
        <v/>
      </c>
      <c r="B627">
        <f>IFERROR(INDEX(Calc!$M$2:$M$1001,MATCH(ROW()-1,Calc!$X$2:$X$1001,0)),"")</f>
        <v/>
      </c>
      <c r="C627">
        <f>IFERROR(INDEX(Calc!$N$2:$N$1001,MATCH(ROW()-1,Calc!$X$2:$X$1001,0)),"")</f>
        <v/>
      </c>
      <c r="D627" s="3">
        <f>IFERROR(INDEX(Calc!$O$2:$O$1001,MATCH(ROW()-1,Calc!$X$2:$X$1001,0)),"")</f>
        <v/>
      </c>
      <c r="E627" s="3">
        <f>IFERROR(INDEX(Calc!$P$2:$P$1001,MATCH(ROW()-1,Calc!$X$2:$X$1001,0)),"")</f>
        <v/>
      </c>
      <c r="F627" s="3">
        <f>IF(G627="","",E627-D627)</f>
        <v/>
      </c>
      <c r="G627">
        <f>IFERROR(INDEX(Calc!$S$2:$S$1001,MATCH(ROW()-1,Calc!$X$2:$X$1001,0)),"")</f>
        <v/>
      </c>
    </row>
    <row r="628">
      <c r="A628">
        <f>IFERROR(INDEX(Calc!$L$2:$L$1001,MATCH(ROW()-1,Calc!$X$2:$X$1001,0)),"")</f>
        <v/>
      </c>
      <c r="B628">
        <f>IFERROR(INDEX(Calc!$M$2:$M$1001,MATCH(ROW()-1,Calc!$X$2:$X$1001,0)),"")</f>
        <v/>
      </c>
      <c r="C628">
        <f>IFERROR(INDEX(Calc!$N$2:$N$1001,MATCH(ROW()-1,Calc!$X$2:$X$1001,0)),"")</f>
        <v/>
      </c>
      <c r="D628" s="3">
        <f>IFERROR(INDEX(Calc!$O$2:$O$1001,MATCH(ROW()-1,Calc!$X$2:$X$1001,0)),"")</f>
        <v/>
      </c>
      <c r="E628" s="3">
        <f>IFERROR(INDEX(Calc!$P$2:$P$1001,MATCH(ROW()-1,Calc!$X$2:$X$1001,0)),"")</f>
        <v/>
      </c>
      <c r="F628" s="3">
        <f>IF(G628="","",E628-D628)</f>
        <v/>
      </c>
      <c r="G628">
        <f>IFERROR(INDEX(Calc!$S$2:$S$1001,MATCH(ROW()-1,Calc!$X$2:$X$1001,0)),"")</f>
        <v/>
      </c>
    </row>
    <row r="629">
      <c r="A629">
        <f>IFERROR(INDEX(Calc!$L$2:$L$1001,MATCH(ROW()-1,Calc!$X$2:$X$1001,0)),"")</f>
        <v/>
      </c>
      <c r="B629">
        <f>IFERROR(INDEX(Calc!$M$2:$M$1001,MATCH(ROW()-1,Calc!$X$2:$X$1001,0)),"")</f>
        <v/>
      </c>
      <c r="C629">
        <f>IFERROR(INDEX(Calc!$N$2:$N$1001,MATCH(ROW()-1,Calc!$X$2:$X$1001,0)),"")</f>
        <v/>
      </c>
      <c r="D629" s="3">
        <f>IFERROR(INDEX(Calc!$O$2:$O$1001,MATCH(ROW()-1,Calc!$X$2:$X$1001,0)),"")</f>
        <v/>
      </c>
      <c r="E629" s="3">
        <f>IFERROR(INDEX(Calc!$P$2:$P$1001,MATCH(ROW()-1,Calc!$X$2:$X$1001,0)),"")</f>
        <v/>
      </c>
      <c r="F629" s="3">
        <f>IF(G629="","",E629-D629)</f>
        <v/>
      </c>
      <c r="G629">
        <f>IFERROR(INDEX(Calc!$S$2:$S$1001,MATCH(ROW()-1,Calc!$X$2:$X$1001,0)),"")</f>
        <v/>
      </c>
    </row>
    <row r="630">
      <c r="A630">
        <f>IFERROR(INDEX(Calc!$L$2:$L$1001,MATCH(ROW()-1,Calc!$X$2:$X$1001,0)),"")</f>
        <v/>
      </c>
      <c r="B630">
        <f>IFERROR(INDEX(Calc!$M$2:$M$1001,MATCH(ROW()-1,Calc!$X$2:$X$1001,0)),"")</f>
        <v/>
      </c>
      <c r="C630">
        <f>IFERROR(INDEX(Calc!$N$2:$N$1001,MATCH(ROW()-1,Calc!$X$2:$X$1001,0)),"")</f>
        <v/>
      </c>
      <c r="D630" s="3">
        <f>IFERROR(INDEX(Calc!$O$2:$O$1001,MATCH(ROW()-1,Calc!$X$2:$X$1001,0)),"")</f>
        <v/>
      </c>
      <c r="E630" s="3">
        <f>IFERROR(INDEX(Calc!$P$2:$P$1001,MATCH(ROW()-1,Calc!$X$2:$X$1001,0)),"")</f>
        <v/>
      </c>
      <c r="F630" s="3">
        <f>IF(G630="","",E630-D630)</f>
        <v/>
      </c>
      <c r="G630">
        <f>IFERROR(INDEX(Calc!$S$2:$S$1001,MATCH(ROW()-1,Calc!$X$2:$X$1001,0)),"")</f>
        <v/>
      </c>
    </row>
    <row r="631">
      <c r="A631">
        <f>IFERROR(INDEX(Calc!$L$2:$L$1001,MATCH(ROW()-1,Calc!$X$2:$X$1001,0)),"")</f>
        <v/>
      </c>
      <c r="B631">
        <f>IFERROR(INDEX(Calc!$M$2:$M$1001,MATCH(ROW()-1,Calc!$X$2:$X$1001,0)),"")</f>
        <v/>
      </c>
      <c r="C631">
        <f>IFERROR(INDEX(Calc!$N$2:$N$1001,MATCH(ROW()-1,Calc!$X$2:$X$1001,0)),"")</f>
        <v/>
      </c>
      <c r="D631" s="3">
        <f>IFERROR(INDEX(Calc!$O$2:$O$1001,MATCH(ROW()-1,Calc!$X$2:$X$1001,0)),"")</f>
        <v/>
      </c>
      <c r="E631" s="3">
        <f>IFERROR(INDEX(Calc!$P$2:$P$1001,MATCH(ROW()-1,Calc!$X$2:$X$1001,0)),"")</f>
        <v/>
      </c>
      <c r="F631" s="3">
        <f>IF(G631="","",E631-D631)</f>
        <v/>
      </c>
      <c r="G631">
        <f>IFERROR(INDEX(Calc!$S$2:$S$1001,MATCH(ROW()-1,Calc!$X$2:$X$1001,0)),"")</f>
        <v/>
      </c>
    </row>
    <row r="632">
      <c r="A632">
        <f>IFERROR(INDEX(Calc!$L$2:$L$1001,MATCH(ROW()-1,Calc!$X$2:$X$1001,0)),"")</f>
        <v/>
      </c>
      <c r="B632">
        <f>IFERROR(INDEX(Calc!$M$2:$M$1001,MATCH(ROW()-1,Calc!$X$2:$X$1001,0)),"")</f>
        <v/>
      </c>
      <c r="C632">
        <f>IFERROR(INDEX(Calc!$N$2:$N$1001,MATCH(ROW()-1,Calc!$X$2:$X$1001,0)),"")</f>
        <v/>
      </c>
      <c r="D632" s="3">
        <f>IFERROR(INDEX(Calc!$O$2:$O$1001,MATCH(ROW()-1,Calc!$X$2:$X$1001,0)),"")</f>
        <v/>
      </c>
      <c r="E632" s="3">
        <f>IFERROR(INDEX(Calc!$P$2:$P$1001,MATCH(ROW()-1,Calc!$X$2:$X$1001,0)),"")</f>
        <v/>
      </c>
      <c r="F632" s="3">
        <f>IF(G632="","",E632-D632)</f>
        <v/>
      </c>
      <c r="G632">
        <f>IFERROR(INDEX(Calc!$S$2:$S$1001,MATCH(ROW()-1,Calc!$X$2:$X$1001,0)),"")</f>
        <v/>
      </c>
    </row>
    <row r="633">
      <c r="A633">
        <f>IFERROR(INDEX(Calc!$L$2:$L$1001,MATCH(ROW()-1,Calc!$X$2:$X$1001,0)),"")</f>
        <v/>
      </c>
      <c r="B633">
        <f>IFERROR(INDEX(Calc!$M$2:$M$1001,MATCH(ROW()-1,Calc!$X$2:$X$1001,0)),"")</f>
        <v/>
      </c>
      <c r="C633">
        <f>IFERROR(INDEX(Calc!$N$2:$N$1001,MATCH(ROW()-1,Calc!$X$2:$X$1001,0)),"")</f>
        <v/>
      </c>
      <c r="D633" s="3">
        <f>IFERROR(INDEX(Calc!$O$2:$O$1001,MATCH(ROW()-1,Calc!$X$2:$X$1001,0)),"")</f>
        <v/>
      </c>
      <c r="E633" s="3">
        <f>IFERROR(INDEX(Calc!$P$2:$P$1001,MATCH(ROW()-1,Calc!$X$2:$X$1001,0)),"")</f>
        <v/>
      </c>
      <c r="F633" s="3">
        <f>IF(G633="","",E633-D633)</f>
        <v/>
      </c>
      <c r="G633">
        <f>IFERROR(INDEX(Calc!$S$2:$S$1001,MATCH(ROW()-1,Calc!$X$2:$X$1001,0)),"")</f>
        <v/>
      </c>
    </row>
    <row r="634">
      <c r="A634">
        <f>IFERROR(INDEX(Calc!$L$2:$L$1001,MATCH(ROW()-1,Calc!$X$2:$X$1001,0)),"")</f>
        <v/>
      </c>
      <c r="B634">
        <f>IFERROR(INDEX(Calc!$M$2:$M$1001,MATCH(ROW()-1,Calc!$X$2:$X$1001,0)),"")</f>
        <v/>
      </c>
      <c r="C634">
        <f>IFERROR(INDEX(Calc!$N$2:$N$1001,MATCH(ROW()-1,Calc!$X$2:$X$1001,0)),"")</f>
        <v/>
      </c>
      <c r="D634" s="3">
        <f>IFERROR(INDEX(Calc!$O$2:$O$1001,MATCH(ROW()-1,Calc!$X$2:$X$1001,0)),"")</f>
        <v/>
      </c>
      <c r="E634" s="3">
        <f>IFERROR(INDEX(Calc!$P$2:$P$1001,MATCH(ROW()-1,Calc!$X$2:$X$1001,0)),"")</f>
        <v/>
      </c>
      <c r="F634" s="3">
        <f>IF(G634="","",E634-D634)</f>
        <v/>
      </c>
      <c r="G634">
        <f>IFERROR(INDEX(Calc!$S$2:$S$1001,MATCH(ROW()-1,Calc!$X$2:$X$1001,0)),"")</f>
        <v/>
      </c>
    </row>
    <row r="635">
      <c r="A635">
        <f>IFERROR(INDEX(Calc!$L$2:$L$1001,MATCH(ROW()-1,Calc!$X$2:$X$1001,0)),"")</f>
        <v/>
      </c>
      <c r="B635">
        <f>IFERROR(INDEX(Calc!$M$2:$M$1001,MATCH(ROW()-1,Calc!$X$2:$X$1001,0)),"")</f>
        <v/>
      </c>
      <c r="C635">
        <f>IFERROR(INDEX(Calc!$N$2:$N$1001,MATCH(ROW()-1,Calc!$X$2:$X$1001,0)),"")</f>
        <v/>
      </c>
      <c r="D635" s="3">
        <f>IFERROR(INDEX(Calc!$O$2:$O$1001,MATCH(ROW()-1,Calc!$X$2:$X$1001,0)),"")</f>
        <v/>
      </c>
      <c r="E635" s="3">
        <f>IFERROR(INDEX(Calc!$P$2:$P$1001,MATCH(ROW()-1,Calc!$X$2:$X$1001,0)),"")</f>
        <v/>
      </c>
      <c r="F635" s="3">
        <f>IF(G635="","",E635-D635)</f>
        <v/>
      </c>
      <c r="G635">
        <f>IFERROR(INDEX(Calc!$S$2:$S$1001,MATCH(ROW()-1,Calc!$X$2:$X$1001,0)),"")</f>
        <v/>
      </c>
    </row>
    <row r="636">
      <c r="A636">
        <f>IFERROR(INDEX(Calc!$L$2:$L$1001,MATCH(ROW()-1,Calc!$X$2:$X$1001,0)),"")</f>
        <v/>
      </c>
      <c r="B636">
        <f>IFERROR(INDEX(Calc!$M$2:$M$1001,MATCH(ROW()-1,Calc!$X$2:$X$1001,0)),"")</f>
        <v/>
      </c>
      <c r="C636">
        <f>IFERROR(INDEX(Calc!$N$2:$N$1001,MATCH(ROW()-1,Calc!$X$2:$X$1001,0)),"")</f>
        <v/>
      </c>
      <c r="D636" s="3">
        <f>IFERROR(INDEX(Calc!$O$2:$O$1001,MATCH(ROW()-1,Calc!$X$2:$X$1001,0)),"")</f>
        <v/>
      </c>
      <c r="E636" s="3">
        <f>IFERROR(INDEX(Calc!$P$2:$P$1001,MATCH(ROW()-1,Calc!$X$2:$X$1001,0)),"")</f>
        <v/>
      </c>
      <c r="F636" s="3">
        <f>IF(G636="","",E636-D636)</f>
        <v/>
      </c>
      <c r="G636">
        <f>IFERROR(INDEX(Calc!$S$2:$S$1001,MATCH(ROW()-1,Calc!$X$2:$X$1001,0)),"")</f>
        <v/>
      </c>
    </row>
    <row r="637">
      <c r="A637">
        <f>IFERROR(INDEX(Calc!$L$2:$L$1001,MATCH(ROW()-1,Calc!$X$2:$X$1001,0)),"")</f>
        <v/>
      </c>
      <c r="B637">
        <f>IFERROR(INDEX(Calc!$M$2:$M$1001,MATCH(ROW()-1,Calc!$X$2:$X$1001,0)),"")</f>
        <v/>
      </c>
      <c r="C637">
        <f>IFERROR(INDEX(Calc!$N$2:$N$1001,MATCH(ROW()-1,Calc!$X$2:$X$1001,0)),"")</f>
        <v/>
      </c>
      <c r="D637" s="3">
        <f>IFERROR(INDEX(Calc!$O$2:$O$1001,MATCH(ROW()-1,Calc!$X$2:$X$1001,0)),"")</f>
        <v/>
      </c>
      <c r="E637" s="3">
        <f>IFERROR(INDEX(Calc!$P$2:$P$1001,MATCH(ROW()-1,Calc!$X$2:$X$1001,0)),"")</f>
        <v/>
      </c>
      <c r="F637" s="3">
        <f>IF(G637="","",E637-D637)</f>
        <v/>
      </c>
      <c r="G637">
        <f>IFERROR(INDEX(Calc!$S$2:$S$1001,MATCH(ROW()-1,Calc!$X$2:$X$1001,0)),"")</f>
        <v/>
      </c>
    </row>
    <row r="638">
      <c r="A638">
        <f>IFERROR(INDEX(Calc!$L$2:$L$1001,MATCH(ROW()-1,Calc!$X$2:$X$1001,0)),"")</f>
        <v/>
      </c>
      <c r="B638">
        <f>IFERROR(INDEX(Calc!$M$2:$M$1001,MATCH(ROW()-1,Calc!$X$2:$X$1001,0)),"")</f>
        <v/>
      </c>
      <c r="C638">
        <f>IFERROR(INDEX(Calc!$N$2:$N$1001,MATCH(ROW()-1,Calc!$X$2:$X$1001,0)),"")</f>
        <v/>
      </c>
      <c r="D638" s="3">
        <f>IFERROR(INDEX(Calc!$O$2:$O$1001,MATCH(ROW()-1,Calc!$X$2:$X$1001,0)),"")</f>
        <v/>
      </c>
      <c r="E638" s="3">
        <f>IFERROR(INDEX(Calc!$P$2:$P$1001,MATCH(ROW()-1,Calc!$X$2:$X$1001,0)),"")</f>
        <v/>
      </c>
      <c r="F638" s="3">
        <f>IF(G638="","",E638-D638)</f>
        <v/>
      </c>
      <c r="G638">
        <f>IFERROR(INDEX(Calc!$S$2:$S$1001,MATCH(ROW()-1,Calc!$X$2:$X$1001,0)),"")</f>
        <v/>
      </c>
    </row>
    <row r="639">
      <c r="A639">
        <f>IFERROR(INDEX(Calc!$L$2:$L$1001,MATCH(ROW()-1,Calc!$X$2:$X$1001,0)),"")</f>
        <v/>
      </c>
      <c r="B639">
        <f>IFERROR(INDEX(Calc!$M$2:$M$1001,MATCH(ROW()-1,Calc!$X$2:$X$1001,0)),"")</f>
        <v/>
      </c>
      <c r="C639">
        <f>IFERROR(INDEX(Calc!$N$2:$N$1001,MATCH(ROW()-1,Calc!$X$2:$X$1001,0)),"")</f>
        <v/>
      </c>
      <c r="D639" s="3">
        <f>IFERROR(INDEX(Calc!$O$2:$O$1001,MATCH(ROW()-1,Calc!$X$2:$X$1001,0)),"")</f>
        <v/>
      </c>
      <c r="E639" s="3">
        <f>IFERROR(INDEX(Calc!$P$2:$P$1001,MATCH(ROW()-1,Calc!$X$2:$X$1001,0)),"")</f>
        <v/>
      </c>
      <c r="F639" s="3">
        <f>IF(G639="","",E639-D639)</f>
        <v/>
      </c>
      <c r="G639">
        <f>IFERROR(INDEX(Calc!$S$2:$S$1001,MATCH(ROW()-1,Calc!$X$2:$X$1001,0)),"")</f>
        <v/>
      </c>
    </row>
    <row r="640">
      <c r="A640">
        <f>IFERROR(INDEX(Calc!$L$2:$L$1001,MATCH(ROW()-1,Calc!$X$2:$X$1001,0)),"")</f>
        <v/>
      </c>
      <c r="B640">
        <f>IFERROR(INDEX(Calc!$M$2:$M$1001,MATCH(ROW()-1,Calc!$X$2:$X$1001,0)),"")</f>
        <v/>
      </c>
      <c r="C640">
        <f>IFERROR(INDEX(Calc!$N$2:$N$1001,MATCH(ROW()-1,Calc!$X$2:$X$1001,0)),"")</f>
        <v/>
      </c>
      <c r="D640" s="3">
        <f>IFERROR(INDEX(Calc!$O$2:$O$1001,MATCH(ROW()-1,Calc!$X$2:$X$1001,0)),"")</f>
        <v/>
      </c>
      <c r="E640" s="3">
        <f>IFERROR(INDEX(Calc!$P$2:$P$1001,MATCH(ROW()-1,Calc!$X$2:$X$1001,0)),"")</f>
        <v/>
      </c>
      <c r="F640" s="3">
        <f>IF(G640="","",E640-D640)</f>
        <v/>
      </c>
      <c r="G640">
        <f>IFERROR(INDEX(Calc!$S$2:$S$1001,MATCH(ROW()-1,Calc!$X$2:$X$1001,0)),"")</f>
        <v/>
      </c>
    </row>
    <row r="641">
      <c r="A641">
        <f>IFERROR(INDEX(Calc!$L$2:$L$1001,MATCH(ROW()-1,Calc!$X$2:$X$1001,0)),"")</f>
        <v/>
      </c>
      <c r="B641">
        <f>IFERROR(INDEX(Calc!$M$2:$M$1001,MATCH(ROW()-1,Calc!$X$2:$X$1001,0)),"")</f>
        <v/>
      </c>
      <c r="C641">
        <f>IFERROR(INDEX(Calc!$N$2:$N$1001,MATCH(ROW()-1,Calc!$X$2:$X$1001,0)),"")</f>
        <v/>
      </c>
      <c r="D641" s="3">
        <f>IFERROR(INDEX(Calc!$O$2:$O$1001,MATCH(ROW()-1,Calc!$X$2:$X$1001,0)),"")</f>
        <v/>
      </c>
      <c r="E641" s="3">
        <f>IFERROR(INDEX(Calc!$P$2:$P$1001,MATCH(ROW()-1,Calc!$X$2:$X$1001,0)),"")</f>
        <v/>
      </c>
      <c r="F641" s="3">
        <f>IF(G641="","",E641-D641)</f>
        <v/>
      </c>
      <c r="G641">
        <f>IFERROR(INDEX(Calc!$S$2:$S$1001,MATCH(ROW()-1,Calc!$X$2:$X$1001,0)),"")</f>
        <v/>
      </c>
    </row>
    <row r="642">
      <c r="A642">
        <f>IFERROR(INDEX(Calc!$L$2:$L$1001,MATCH(ROW()-1,Calc!$X$2:$X$1001,0)),"")</f>
        <v/>
      </c>
      <c r="B642">
        <f>IFERROR(INDEX(Calc!$M$2:$M$1001,MATCH(ROW()-1,Calc!$X$2:$X$1001,0)),"")</f>
        <v/>
      </c>
      <c r="C642">
        <f>IFERROR(INDEX(Calc!$N$2:$N$1001,MATCH(ROW()-1,Calc!$X$2:$X$1001,0)),"")</f>
        <v/>
      </c>
      <c r="D642" s="3">
        <f>IFERROR(INDEX(Calc!$O$2:$O$1001,MATCH(ROW()-1,Calc!$X$2:$X$1001,0)),"")</f>
        <v/>
      </c>
      <c r="E642" s="3">
        <f>IFERROR(INDEX(Calc!$P$2:$P$1001,MATCH(ROW()-1,Calc!$X$2:$X$1001,0)),"")</f>
        <v/>
      </c>
      <c r="F642" s="3">
        <f>IF(G642="","",E642-D642)</f>
        <v/>
      </c>
      <c r="G642">
        <f>IFERROR(INDEX(Calc!$S$2:$S$1001,MATCH(ROW()-1,Calc!$X$2:$X$1001,0)),"")</f>
        <v/>
      </c>
    </row>
    <row r="643">
      <c r="A643">
        <f>IFERROR(INDEX(Calc!$L$2:$L$1001,MATCH(ROW()-1,Calc!$X$2:$X$1001,0)),"")</f>
        <v/>
      </c>
      <c r="B643">
        <f>IFERROR(INDEX(Calc!$M$2:$M$1001,MATCH(ROW()-1,Calc!$X$2:$X$1001,0)),"")</f>
        <v/>
      </c>
      <c r="C643">
        <f>IFERROR(INDEX(Calc!$N$2:$N$1001,MATCH(ROW()-1,Calc!$X$2:$X$1001,0)),"")</f>
        <v/>
      </c>
      <c r="D643" s="3">
        <f>IFERROR(INDEX(Calc!$O$2:$O$1001,MATCH(ROW()-1,Calc!$X$2:$X$1001,0)),"")</f>
        <v/>
      </c>
      <c r="E643" s="3">
        <f>IFERROR(INDEX(Calc!$P$2:$P$1001,MATCH(ROW()-1,Calc!$X$2:$X$1001,0)),"")</f>
        <v/>
      </c>
      <c r="F643" s="3">
        <f>IF(G643="","",E643-D643)</f>
        <v/>
      </c>
      <c r="G643">
        <f>IFERROR(INDEX(Calc!$S$2:$S$1001,MATCH(ROW()-1,Calc!$X$2:$X$1001,0)),"")</f>
        <v/>
      </c>
    </row>
    <row r="644">
      <c r="A644">
        <f>IFERROR(INDEX(Calc!$L$2:$L$1001,MATCH(ROW()-1,Calc!$X$2:$X$1001,0)),"")</f>
        <v/>
      </c>
      <c r="B644">
        <f>IFERROR(INDEX(Calc!$M$2:$M$1001,MATCH(ROW()-1,Calc!$X$2:$X$1001,0)),"")</f>
        <v/>
      </c>
      <c r="C644">
        <f>IFERROR(INDEX(Calc!$N$2:$N$1001,MATCH(ROW()-1,Calc!$X$2:$X$1001,0)),"")</f>
        <v/>
      </c>
      <c r="D644" s="3">
        <f>IFERROR(INDEX(Calc!$O$2:$O$1001,MATCH(ROW()-1,Calc!$X$2:$X$1001,0)),"")</f>
        <v/>
      </c>
      <c r="E644" s="3">
        <f>IFERROR(INDEX(Calc!$P$2:$P$1001,MATCH(ROW()-1,Calc!$X$2:$X$1001,0)),"")</f>
        <v/>
      </c>
      <c r="F644" s="3">
        <f>IF(G644="","",E644-D644)</f>
        <v/>
      </c>
      <c r="G644">
        <f>IFERROR(INDEX(Calc!$S$2:$S$1001,MATCH(ROW()-1,Calc!$X$2:$X$1001,0)),"")</f>
        <v/>
      </c>
    </row>
    <row r="645">
      <c r="A645">
        <f>IFERROR(INDEX(Calc!$L$2:$L$1001,MATCH(ROW()-1,Calc!$X$2:$X$1001,0)),"")</f>
        <v/>
      </c>
      <c r="B645">
        <f>IFERROR(INDEX(Calc!$M$2:$M$1001,MATCH(ROW()-1,Calc!$X$2:$X$1001,0)),"")</f>
        <v/>
      </c>
      <c r="C645">
        <f>IFERROR(INDEX(Calc!$N$2:$N$1001,MATCH(ROW()-1,Calc!$X$2:$X$1001,0)),"")</f>
        <v/>
      </c>
      <c r="D645" s="3">
        <f>IFERROR(INDEX(Calc!$O$2:$O$1001,MATCH(ROW()-1,Calc!$X$2:$X$1001,0)),"")</f>
        <v/>
      </c>
      <c r="E645" s="3">
        <f>IFERROR(INDEX(Calc!$P$2:$P$1001,MATCH(ROW()-1,Calc!$X$2:$X$1001,0)),"")</f>
        <v/>
      </c>
      <c r="F645" s="3">
        <f>IF(G645="","",E645-D645)</f>
        <v/>
      </c>
      <c r="G645">
        <f>IFERROR(INDEX(Calc!$S$2:$S$1001,MATCH(ROW()-1,Calc!$X$2:$X$1001,0)),"")</f>
        <v/>
      </c>
    </row>
    <row r="646">
      <c r="A646">
        <f>IFERROR(INDEX(Calc!$L$2:$L$1001,MATCH(ROW()-1,Calc!$X$2:$X$1001,0)),"")</f>
        <v/>
      </c>
      <c r="B646">
        <f>IFERROR(INDEX(Calc!$M$2:$M$1001,MATCH(ROW()-1,Calc!$X$2:$X$1001,0)),"")</f>
        <v/>
      </c>
      <c r="C646">
        <f>IFERROR(INDEX(Calc!$N$2:$N$1001,MATCH(ROW()-1,Calc!$X$2:$X$1001,0)),"")</f>
        <v/>
      </c>
      <c r="D646" s="3">
        <f>IFERROR(INDEX(Calc!$O$2:$O$1001,MATCH(ROW()-1,Calc!$X$2:$X$1001,0)),"")</f>
        <v/>
      </c>
      <c r="E646" s="3">
        <f>IFERROR(INDEX(Calc!$P$2:$P$1001,MATCH(ROW()-1,Calc!$X$2:$X$1001,0)),"")</f>
        <v/>
      </c>
      <c r="F646" s="3">
        <f>IF(G646="","",E646-D646)</f>
        <v/>
      </c>
      <c r="G646">
        <f>IFERROR(INDEX(Calc!$S$2:$S$1001,MATCH(ROW()-1,Calc!$X$2:$X$1001,0)),"")</f>
        <v/>
      </c>
    </row>
    <row r="647">
      <c r="A647">
        <f>IFERROR(INDEX(Calc!$L$2:$L$1001,MATCH(ROW()-1,Calc!$X$2:$X$1001,0)),"")</f>
        <v/>
      </c>
      <c r="B647">
        <f>IFERROR(INDEX(Calc!$M$2:$M$1001,MATCH(ROW()-1,Calc!$X$2:$X$1001,0)),"")</f>
        <v/>
      </c>
      <c r="C647">
        <f>IFERROR(INDEX(Calc!$N$2:$N$1001,MATCH(ROW()-1,Calc!$X$2:$X$1001,0)),"")</f>
        <v/>
      </c>
      <c r="D647" s="3">
        <f>IFERROR(INDEX(Calc!$O$2:$O$1001,MATCH(ROW()-1,Calc!$X$2:$X$1001,0)),"")</f>
        <v/>
      </c>
      <c r="E647" s="3">
        <f>IFERROR(INDEX(Calc!$P$2:$P$1001,MATCH(ROW()-1,Calc!$X$2:$X$1001,0)),"")</f>
        <v/>
      </c>
      <c r="F647" s="3">
        <f>IF(G647="","",E647-D647)</f>
        <v/>
      </c>
      <c r="G647">
        <f>IFERROR(INDEX(Calc!$S$2:$S$1001,MATCH(ROW()-1,Calc!$X$2:$X$1001,0)),"")</f>
        <v/>
      </c>
    </row>
    <row r="648">
      <c r="A648">
        <f>IFERROR(INDEX(Calc!$L$2:$L$1001,MATCH(ROW()-1,Calc!$X$2:$X$1001,0)),"")</f>
        <v/>
      </c>
      <c r="B648">
        <f>IFERROR(INDEX(Calc!$M$2:$M$1001,MATCH(ROW()-1,Calc!$X$2:$X$1001,0)),"")</f>
        <v/>
      </c>
      <c r="C648">
        <f>IFERROR(INDEX(Calc!$N$2:$N$1001,MATCH(ROW()-1,Calc!$X$2:$X$1001,0)),"")</f>
        <v/>
      </c>
      <c r="D648" s="3">
        <f>IFERROR(INDEX(Calc!$O$2:$O$1001,MATCH(ROW()-1,Calc!$X$2:$X$1001,0)),"")</f>
        <v/>
      </c>
      <c r="E648" s="3">
        <f>IFERROR(INDEX(Calc!$P$2:$P$1001,MATCH(ROW()-1,Calc!$X$2:$X$1001,0)),"")</f>
        <v/>
      </c>
      <c r="F648" s="3">
        <f>IF(G648="","",E648-D648)</f>
        <v/>
      </c>
      <c r="G648">
        <f>IFERROR(INDEX(Calc!$S$2:$S$1001,MATCH(ROW()-1,Calc!$X$2:$X$1001,0)),"")</f>
        <v/>
      </c>
    </row>
    <row r="649">
      <c r="A649">
        <f>IFERROR(INDEX(Calc!$L$2:$L$1001,MATCH(ROW()-1,Calc!$X$2:$X$1001,0)),"")</f>
        <v/>
      </c>
      <c r="B649">
        <f>IFERROR(INDEX(Calc!$M$2:$M$1001,MATCH(ROW()-1,Calc!$X$2:$X$1001,0)),"")</f>
        <v/>
      </c>
      <c r="C649">
        <f>IFERROR(INDEX(Calc!$N$2:$N$1001,MATCH(ROW()-1,Calc!$X$2:$X$1001,0)),"")</f>
        <v/>
      </c>
      <c r="D649" s="3">
        <f>IFERROR(INDEX(Calc!$O$2:$O$1001,MATCH(ROW()-1,Calc!$X$2:$X$1001,0)),"")</f>
        <v/>
      </c>
      <c r="E649" s="3">
        <f>IFERROR(INDEX(Calc!$P$2:$P$1001,MATCH(ROW()-1,Calc!$X$2:$X$1001,0)),"")</f>
        <v/>
      </c>
      <c r="F649" s="3">
        <f>IF(G649="","",E649-D649)</f>
        <v/>
      </c>
      <c r="G649">
        <f>IFERROR(INDEX(Calc!$S$2:$S$1001,MATCH(ROW()-1,Calc!$X$2:$X$1001,0)),"")</f>
        <v/>
      </c>
    </row>
    <row r="650">
      <c r="A650">
        <f>IFERROR(INDEX(Calc!$L$2:$L$1001,MATCH(ROW()-1,Calc!$X$2:$X$1001,0)),"")</f>
        <v/>
      </c>
      <c r="B650">
        <f>IFERROR(INDEX(Calc!$M$2:$M$1001,MATCH(ROW()-1,Calc!$X$2:$X$1001,0)),"")</f>
        <v/>
      </c>
      <c r="C650">
        <f>IFERROR(INDEX(Calc!$N$2:$N$1001,MATCH(ROW()-1,Calc!$X$2:$X$1001,0)),"")</f>
        <v/>
      </c>
      <c r="D650" s="3">
        <f>IFERROR(INDEX(Calc!$O$2:$O$1001,MATCH(ROW()-1,Calc!$X$2:$X$1001,0)),"")</f>
        <v/>
      </c>
      <c r="E650" s="3">
        <f>IFERROR(INDEX(Calc!$P$2:$P$1001,MATCH(ROW()-1,Calc!$X$2:$X$1001,0)),"")</f>
        <v/>
      </c>
      <c r="F650" s="3">
        <f>IF(G650="","",E650-D650)</f>
        <v/>
      </c>
      <c r="G650">
        <f>IFERROR(INDEX(Calc!$S$2:$S$1001,MATCH(ROW()-1,Calc!$X$2:$X$1001,0)),"")</f>
        <v/>
      </c>
    </row>
    <row r="651">
      <c r="A651">
        <f>IFERROR(INDEX(Calc!$L$2:$L$1001,MATCH(ROW()-1,Calc!$X$2:$X$1001,0)),"")</f>
        <v/>
      </c>
      <c r="B651">
        <f>IFERROR(INDEX(Calc!$M$2:$M$1001,MATCH(ROW()-1,Calc!$X$2:$X$1001,0)),"")</f>
        <v/>
      </c>
      <c r="C651">
        <f>IFERROR(INDEX(Calc!$N$2:$N$1001,MATCH(ROW()-1,Calc!$X$2:$X$1001,0)),"")</f>
        <v/>
      </c>
      <c r="D651" s="3">
        <f>IFERROR(INDEX(Calc!$O$2:$O$1001,MATCH(ROW()-1,Calc!$X$2:$X$1001,0)),"")</f>
        <v/>
      </c>
      <c r="E651" s="3">
        <f>IFERROR(INDEX(Calc!$P$2:$P$1001,MATCH(ROW()-1,Calc!$X$2:$X$1001,0)),"")</f>
        <v/>
      </c>
      <c r="F651" s="3">
        <f>IF(G651="","",E651-D651)</f>
        <v/>
      </c>
      <c r="G651">
        <f>IFERROR(INDEX(Calc!$S$2:$S$1001,MATCH(ROW()-1,Calc!$X$2:$X$1001,0)),"")</f>
        <v/>
      </c>
    </row>
    <row r="652">
      <c r="A652">
        <f>IFERROR(INDEX(Calc!$L$2:$L$1001,MATCH(ROW()-1,Calc!$X$2:$X$1001,0)),"")</f>
        <v/>
      </c>
      <c r="B652">
        <f>IFERROR(INDEX(Calc!$M$2:$M$1001,MATCH(ROW()-1,Calc!$X$2:$X$1001,0)),"")</f>
        <v/>
      </c>
      <c r="C652">
        <f>IFERROR(INDEX(Calc!$N$2:$N$1001,MATCH(ROW()-1,Calc!$X$2:$X$1001,0)),"")</f>
        <v/>
      </c>
      <c r="D652" s="3">
        <f>IFERROR(INDEX(Calc!$O$2:$O$1001,MATCH(ROW()-1,Calc!$X$2:$X$1001,0)),"")</f>
        <v/>
      </c>
      <c r="E652" s="3">
        <f>IFERROR(INDEX(Calc!$P$2:$P$1001,MATCH(ROW()-1,Calc!$X$2:$X$1001,0)),"")</f>
        <v/>
      </c>
      <c r="F652" s="3">
        <f>IF(G652="","",E652-D652)</f>
        <v/>
      </c>
      <c r="G652">
        <f>IFERROR(INDEX(Calc!$S$2:$S$1001,MATCH(ROW()-1,Calc!$X$2:$X$1001,0)),"")</f>
        <v/>
      </c>
    </row>
    <row r="653">
      <c r="A653">
        <f>IFERROR(INDEX(Calc!$L$2:$L$1001,MATCH(ROW()-1,Calc!$X$2:$X$1001,0)),"")</f>
        <v/>
      </c>
      <c r="B653">
        <f>IFERROR(INDEX(Calc!$M$2:$M$1001,MATCH(ROW()-1,Calc!$X$2:$X$1001,0)),"")</f>
        <v/>
      </c>
      <c r="C653">
        <f>IFERROR(INDEX(Calc!$N$2:$N$1001,MATCH(ROW()-1,Calc!$X$2:$X$1001,0)),"")</f>
        <v/>
      </c>
      <c r="D653" s="3">
        <f>IFERROR(INDEX(Calc!$O$2:$O$1001,MATCH(ROW()-1,Calc!$X$2:$X$1001,0)),"")</f>
        <v/>
      </c>
      <c r="E653" s="3">
        <f>IFERROR(INDEX(Calc!$P$2:$P$1001,MATCH(ROW()-1,Calc!$X$2:$X$1001,0)),"")</f>
        <v/>
      </c>
      <c r="F653" s="3">
        <f>IF(G653="","",E653-D653)</f>
        <v/>
      </c>
      <c r="G653">
        <f>IFERROR(INDEX(Calc!$S$2:$S$1001,MATCH(ROW()-1,Calc!$X$2:$X$1001,0)),"")</f>
        <v/>
      </c>
    </row>
    <row r="654">
      <c r="A654">
        <f>IFERROR(INDEX(Calc!$L$2:$L$1001,MATCH(ROW()-1,Calc!$X$2:$X$1001,0)),"")</f>
        <v/>
      </c>
      <c r="B654">
        <f>IFERROR(INDEX(Calc!$M$2:$M$1001,MATCH(ROW()-1,Calc!$X$2:$X$1001,0)),"")</f>
        <v/>
      </c>
      <c r="C654">
        <f>IFERROR(INDEX(Calc!$N$2:$N$1001,MATCH(ROW()-1,Calc!$X$2:$X$1001,0)),"")</f>
        <v/>
      </c>
      <c r="D654" s="3">
        <f>IFERROR(INDEX(Calc!$O$2:$O$1001,MATCH(ROW()-1,Calc!$X$2:$X$1001,0)),"")</f>
        <v/>
      </c>
      <c r="E654" s="3">
        <f>IFERROR(INDEX(Calc!$P$2:$P$1001,MATCH(ROW()-1,Calc!$X$2:$X$1001,0)),"")</f>
        <v/>
      </c>
      <c r="F654" s="3">
        <f>IF(G654="","",E654-D654)</f>
        <v/>
      </c>
      <c r="G654">
        <f>IFERROR(INDEX(Calc!$S$2:$S$1001,MATCH(ROW()-1,Calc!$X$2:$X$1001,0)),"")</f>
        <v/>
      </c>
    </row>
    <row r="655">
      <c r="A655">
        <f>IFERROR(INDEX(Calc!$L$2:$L$1001,MATCH(ROW()-1,Calc!$X$2:$X$1001,0)),"")</f>
        <v/>
      </c>
      <c r="B655">
        <f>IFERROR(INDEX(Calc!$M$2:$M$1001,MATCH(ROW()-1,Calc!$X$2:$X$1001,0)),"")</f>
        <v/>
      </c>
      <c r="C655">
        <f>IFERROR(INDEX(Calc!$N$2:$N$1001,MATCH(ROW()-1,Calc!$X$2:$X$1001,0)),"")</f>
        <v/>
      </c>
      <c r="D655" s="3">
        <f>IFERROR(INDEX(Calc!$O$2:$O$1001,MATCH(ROW()-1,Calc!$X$2:$X$1001,0)),"")</f>
        <v/>
      </c>
      <c r="E655" s="3">
        <f>IFERROR(INDEX(Calc!$P$2:$P$1001,MATCH(ROW()-1,Calc!$X$2:$X$1001,0)),"")</f>
        <v/>
      </c>
      <c r="F655" s="3">
        <f>IF(G655="","",E655-D655)</f>
        <v/>
      </c>
      <c r="G655">
        <f>IFERROR(INDEX(Calc!$S$2:$S$1001,MATCH(ROW()-1,Calc!$X$2:$X$1001,0)),"")</f>
        <v/>
      </c>
    </row>
    <row r="656">
      <c r="A656">
        <f>IFERROR(INDEX(Calc!$L$2:$L$1001,MATCH(ROW()-1,Calc!$X$2:$X$1001,0)),"")</f>
        <v/>
      </c>
      <c r="B656">
        <f>IFERROR(INDEX(Calc!$M$2:$M$1001,MATCH(ROW()-1,Calc!$X$2:$X$1001,0)),"")</f>
        <v/>
      </c>
      <c r="C656">
        <f>IFERROR(INDEX(Calc!$N$2:$N$1001,MATCH(ROW()-1,Calc!$X$2:$X$1001,0)),"")</f>
        <v/>
      </c>
      <c r="D656" s="3">
        <f>IFERROR(INDEX(Calc!$O$2:$O$1001,MATCH(ROW()-1,Calc!$X$2:$X$1001,0)),"")</f>
        <v/>
      </c>
      <c r="E656" s="3">
        <f>IFERROR(INDEX(Calc!$P$2:$P$1001,MATCH(ROW()-1,Calc!$X$2:$X$1001,0)),"")</f>
        <v/>
      </c>
      <c r="F656" s="3">
        <f>IF(G656="","",E656-D656)</f>
        <v/>
      </c>
      <c r="G656">
        <f>IFERROR(INDEX(Calc!$S$2:$S$1001,MATCH(ROW()-1,Calc!$X$2:$X$1001,0)),"")</f>
        <v/>
      </c>
    </row>
    <row r="657">
      <c r="A657">
        <f>IFERROR(INDEX(Calc!$L$2:$L$1001,MATCH(ROW()-1,Calc!$X$2:$X$1001,0)),"")</f>
        <v/>
      </c>
      <c r="B657">
        <f>IFERROR(INDEX(Calc!$M$2:$M$1001,MATCH(ROW()-1,Calc!$X$2:$X$1001,0)),"")</f>
        <v/>
      </c>
      <c r="C657">
        <f>IFERROR(INDEX(Calc!$N$2:$N$1001,MATCH(ROW()-1,Calc!$X$2:$X$1001,0)),"")</f>
        <v/>
      </c>
      <c r="D657" s="3">
        <f>IFERROR(INDEX(Calc!$O$2:$O$1001,MATCH(ROW()-1,Calc!$X$2:$X$1001,0)),"")</f>
        <v/>
      </c>
      <c r="E657" s="3">
        <f>IFERROR(INDEX(Calc!$P$2:$P$1001,MATCH(ROW()-1,Calc!$X$2:$X$1001,0)),"")</f>
        <v/>
      </c>
      <c r="F657" s="3">
        <f>IF(G657="","",E657-D657)</f>
        <v/>
      </c>
      <c r="G657">
        <f>IFERROR(INDEX(Calc!$S$2:$S$1001,MATCH(ROW()-1,Calc!$X$2:$X$1001,0)),"")</f>
        <v/>
      </c>
    </row>
    <row r="658">
      <c r="A658">
        <f>IFERROR(INDEX(Calc!$L$2:$L$1001,MATCH(ROW()-1,Calc!$X$2:$X$1001,0)),"")</f>
        <v/>
      </c>
      <c r="B658">
        <f>IFERROR(INDEX(Calc!$M$2:$M$1001,MATCH(ROW()-1,Calc!$X$2:$X$1001,0)),"")</f>
        <v/>
      </c>
      <c r="C658">
        <f>IFERROR(INDEX(Calc!$N$2:$N$1001,MATCH(ROW()-1,Calc!$X$2:$X$1001,0)),"")</f>
        <v/>
      </c>
      <c r="D658" s="3">
        <f>IFERROR(INDEX(Calc!$O$2:$O$1001,MATCH(ROW()-1,Calc!$X$2:$X$1001,0)),"")</f>
        <v/>
      </c>
      <c r="E658" s="3">
        <f>IFERROR(INDEX(Calc!$P$2:$P$1001,MATCH(ROW()-1,Calc!$X$2:$X$1001,0)),"")</f>
        <v/>
      </c>
      <c r="F658" s="3">
        <f>IF(G658="","",E658-D658)</f>
        <v/>
      </c>
      <c r="G658">
        <f>IFERROR(INDEX(Calc!$S$2:$S$1001,MATCH(ROW()-1,Calc!$X$2:$X$1001,0)),"")</f>
        <v/>
      </c>
    </row>
    <row r="659">
      <c r="A659">
        <f>IFERROR(INDEX(Calc!$L$2:$L$1001,MATCH(ROW()-1,Calc!$X$2:$X$1001,0)),"")</f>
        <v/>
      </c>
      <c r="B659">
        <f>IFERROR(INDEX(Calc!$M$2:$M$1001,MATCH(ROW()-1,Calc!$X$2:$X$1001,0)),"")</f>
        <v/>
      </c>
      <c r="C659">
        <f>IFERROR(INDEX(Calc!$N$2:$N$1001,MATCH(ROW()-1,Calc!$X$2:$X$1001,0)),"")</f>
        <v/>
      </c>
      <c r="D659" s="3">
        <f>IFERROR(INDEX(Calc!$O$2:$O$1001,MATCH(ROW()-1,Calc!$X$2:$X$1001,0)),"")</f>
        <v/>
      </c>
      <c r="E659" s="3">
        <f>IFERROR(INDEX(Calc!$P$2:$P$1001,MATCH(ROW()-1,Calc!$X$2:$X$1001,0)),"")</f>
        <v/>
      </c>
      <c r="F659" s="3">
        <f>IF(G659="","",E659-D659)</f>
        <v/>
      </c>
      <c r="G659">
        <f>IFERROR(INDEX(Calc!$S$2:$S$1001,MATCH(ROW()-1,Calc!$X$2:$X$1001,0)),"")</f>
        <v/>
      </c>
    </row>
    <row r="660">
      <c r="A660">
        <f>IFERROR(INDEX(Calc!$L$2:$L$1001,MATCH(ROW()-1,Calc!$X$2:$X$1001,0)),"")</f>
        <v/>
      </c>
      <c r="B660">
        <f>IFERROR(INDEX(Calc!$M$2:$M$1001,MATCH(ROW()-1,Calc!$X$2:$X$1001,0)),"")</f>
        <v/>
      </c>
      <c r="C660">
        <f>IFERROR(INDEX(Calc!$N$2:$N$1001,MATCH(ROW()-1,Calc!$X$2:$X$1001,0)),"")</f>
        <v/>
      </c>
      <c r="D660" s="3">
        <f>IFERROR(INDEX(Calc!$O$2:$O$1001,MATCH(ROW()-1,Calc!$X$2:$X$1001,0)),"")</f>
        <v/>
      </c>
      <c r="E660" s="3">
        <f>IFERROR(INDEX(Calc!$P$2:$P$1001,MATCH(ROW()-1,Calc!$X$2:$X$1001,0)),"")</f>
        <v/>
      </c>
      <c r="F660" s="3">
        <f>IF(G660="","",E660-D660)</f>
        <v/>
      </c>
      <c r="G660">
        <f>IFERROR(INDEX(Calc!$S$2:$S$1001,MATCH(ROW()-1,Calc!$X$2:$X$1001,0)),"")</f>
        <v/>
      </c>
    </row>
    <row r="661">
      <c r="A661">
        <f>IFERROR(INDEX(Calc!$L$2:$L$1001,MATCH(ROW()-1,Calc!$X$2:$X$1001,0)),"")</f>
        <v/>
      </c>
      <c r="B661">
        <f>IFERROR(INDEX(Calc!$M$2:$M$1001,MATCH(ROW()-1,Calc!$X$2:$X$1001,0)),"")</f>
        <v/>
      </c>
      <c r="C661">
        <f>IFERROR(INDEX(Calc!$N$2:$N$1001,MATCH(ROW()-1,Calc!$X$2:$X$1001,0)),"")</f>
        <v/>
      </c>
      <c r="D661" s="3">
        <f>IFERROR(INDEX(Calc!$O$2:$O$1001,MATCH(ROW()-1,Calc!$X$2:$X$1001,0)),"")</f>
        <v/>
      </c>
      <c r="E661" s="3">
        <f>IFERROR(INDEX(Calc!$P$2:$P$1001,MATCH(ROW()-1,Calc!$X$2:$X$1001,0)),"")</f>
        <v/>
      </c>
      <c r="F661" s="3">
        <f>IF(G661="","",E661-D661)</f>
        <v/>
      </c>
      <c r="G661">
        <f>IFERROR(INDEX(Calc!$S$2:$S$1001,MATCH(ROW()-1,Calc!$X$2:$X$1001,0)),"")</f>
        <v/>
      </c>
    </row>
    <row r="662">
      <c r="A662">
        <f>IFERROR(INDEX(Calc!$L$2:$L$1001,MATCH(ROW()-1,Calc!$X$2:$X$1001,0)),"")</f>
        <v/>
      </c>
      <c r="B662">
        <f>IFERROR(INDEX(Calc!$M$2:$M$1001,MATCH(ROW()-1,Calc!$X$2:$X$1001,0)),"")</f>
        <v/>
      </c>
      <c r="C662">
        <f>IFERROR(INDEX(Calc!$N$2:$N$1001,MATCH(ROW()-1,Calc!$X$2:$X$1001,0)),"")</f>
        <v/>
      </c>
      <c r="D662" s="3">
        <f>IFERROR(INDEX(Calc!$O$2:$O$1001,MATCH(ROW()-1,Calc!$X$2:$X$1001,0)),"")</f>
        <v/>
      </c>
      <c r="E662" s="3">
        <f>IFERROR(INDEX(Calc!$P$2:$P$1001,MATCH(ROW()-1,Calc!$X$2:$X$1001,0)),"")</f>
        <v/>
      </c>
      <c r="F662" s="3">
        <f>IF(G662="","",E662-D662)</f>
        <v/>
      </c>
      <c r="G662">
        <f>IFERROR(INDEX(Calc!$S$2:$S$1001,MATCH(ROW()-1,Calc!$X$2:$X$1001,0)),"")</f>
        <v/>
      </c>
    </row>
    <row r="663">
      <c r="A663">
        <f>IFERROR(INDEX(Calc!$L$2:$L$1001,MATCH(ROW()-1,Calc!$X$2:$X$1001,0)),"")</f>
        <v/>
      </c>
      <c r="B663">
        <f>IFERROR(INDEX(Calc!$M$2:$M$1001,MATCH(ROW()-1,Calc!$X$2:$X$1001,0)),"")</f>
        <v/>
      </c>
      <c r="C663">
        <f>IFERROR(INDEX(Calc!$N$2:$N$1001,MATCH(ROW()-1,Calc!$X$2:$X$1001,0)),"")</f>
        <v/>
      </c>
      <c r="D663" s="3">
        <f>IFERROR(INDEX(Calc!$O$2:$O$1001,MATCH(ROW()-1,Calc!$X$2:$X$1001,0)),"")</f>
        <v/>
      </c>
      <c r="E663" s="3">
        <f>IFERROR(INDEX(Calc!$P$2:$P$1001,MATCH(ROW()-1,Calc!$X$2:$X$1001,0)),"")</f>
        <v/>
      </c>
      <c r="F663" s="3">
        <f>IF(G663="","",E663-D663)</f>
        <v/>
      </c>
      <c r="G663">
        <f>IFERROR(INDEX(Calc!$S$2:$S$1001,MATCH(ROW()-1,Calc!$X$2:$X$1001,0)),"")</f>
        <v/>
      </c>
    </row>
    <row r="664">
      <c r="A664">
        <f>IFERROR(INDEX(Calc!$L$2:$L$1001,MATCH(ROW()-1,Calc!$X$2:$X$1001,0)),"")</f>
        <v/>
      </c>
      <c r="B664">
        <f>IFERROR(INDEX(Calc!$M$2:$M$1001,MATCH(ROW()-1,Calc!$X$2:$X$1001,0)),"")</f>
        <v/>
      </c>
      <c r="C664">
        <f>IFERROR(INDEX(Calc!$N$2:$N$1001,MATCH(ROW()-1,Calc!$X$2:$X$1001,0)),"")</f>
        <v/>
      </c>
      <c r="D664" s="3">
        <f>IFERROR(INDEX(Calc!$O$2:$O$1001,MATCH(ROW()-1,Calc!$X$2:$X$1001,0)),"")</f>
        <v/>
      </c>
      <c r="E664" s="3">
        <f>IFERROR(INDEX(Calc!$P$2:$P$1001,MATCH(ROW()-1,Calc!$X$2:$X$1001,0)),"")</f>
        <v/>
      </c>
      <c r="F664" s="3">
        <f>IF(G664="","",E664-D664)</f>
        <v/>
      </c>
      <c r="G664">
        <f>IFERROR(INDEX(Calc!$S$2:$S$1001,MATCH(ROW()-1,Calc!$X$2:$X$1001,0)),"")</f>
        <v/>
      </c>
    </row>
    <row r="665">
      <c r="A665">
        <f>IFERROR(INDEX(Calc!$L$2:$L$1001,MATCH(ROW()-1,Calc!$X$2:$X$1001,0)),"")</f>
        <v/>
      </c>
      <c r="B665">
        <f>IFERROR(INDEX(Calc!$M$2:$M$1001,MATCH(ROW()-1,Calc!$X$2:$X$1001,0)),"")</f>
        <v/>
      </c>
      <c r="C665">
        <f>IFERROR(INDEX(Calc!$N$2:$N$1001,MATCH(ROW()-1,Calc!$X$2:$X$1001,0)),"")</f>
        <v/>
      </c>
      <c r="D665" s="3">
        <f>IFERROR(INDEX(Calc!$O$2:$O$1001,MATCH(ROW()-1,Calc!$X$2:$X$1001,0)),"")</f>
        <v/>
      </c>
      <c r="E665" s="3">
        <f>IFERROR(INDEX(Calc!$P$2:$P$1001,MATCH(ROW()-1,Calc!$X$2:$X$1001,0)),"")</f>
        <v/>
      </c>
      <c r="F665" s="3">
        <f>IF(G665="","",E665-D665)</f>
        <v/>
      </c>
      <c r="G665">
        <f>IFERROR(INDEX(Calc!$S$2:$S$1001,MATCH(ROW()-1,Calc!$X$2:$X$1001,0)),"")</f>
        <v/>
      </c>
    </row>
    <row r="666">
      <c r="A666">
        <f>IFERROR(INDEX(Calc!$L$2:$L$1001,MATCH(ROW()-1,Calc!$X$2:$X$1001,0)),"")</f>
        <v/>
      </c>
      <c r="B666">
        <f>IFERROR(INDEX(Calc!$M$2:$M$1001,MATCH(ROW()-1,Calc!$X$2:$X$1001,0)),"")</f>
        <v/>
      </c>
      <c r="C666">
        <f>IFERROR(INDEX(Calc!$N$2:$N$1001,MATCH(ROW()-1,Calc!$X$2:$X$1001,0)),"")</f>
        <v/>
      </c>
      <c r="D666" s="3">
        <f>IFERROR(INDEX(Calc!$O$2:$O$1001,MATCH(ROW()-1,Calc!$X$2:$X$1001,0)),"")</f>
        <v/>
      </c>
      <c r="E666" s="3">
        <f>IFERROR(INDEX(Calc!$P$2:$P$1001,MATCH(ROW()-1,Calc!$X$2:$X$1001,0)),"")</f>
        <v/>
      </c>
      <c r="F666" s="3">
        <f>IF(G666="","",E666-D666)</f>
        <v/>
      </c>
      <c r="G666">
        <f>IFERROR(INDEX(Calc!$S$2:$S$1001,MATCH(ROW()-1,Calc!$X$2:$X$1001,0)),"")</f>
        <v/>
      </c>
    </row>
    <row r="667">
      <c r="A667">
        <f>IFERROR(INDEX(Calc!$L$2:$L$1001,MATCH(ROW()-1,Calc!$X$2:$X$1001,0)),"")</f>
        <v/>
      </c>
      <c r="B667">
        <f>IFERROR(INDEX(Calc!$M$2:$M$1001,MATCH(ROW()-1,Calc!$X$2:$X$1001,0)),"")</f>
        <v/>
      </c>
      <c r="C667">
        <f>IFERROR(INDEX(Calc!$N$2:$N$1001,MATCH(ROW()-1,Calc!$X$2:$X$1001,0)),"")</f>
        <v/>
      </c>
      <c r="D667" s="3">
        <f>IFERROR(INDEX(Calc!$O$2:$O$1001,MATCH(ROW()-1,Calc!$X$2:$X$1001,0)),"")</f>
        <v/>
      </c>
      <c r="E667" s="3">
        <f>IFERROR(INDEX(Calc!$P$2:$P$1001,MATCH(ROW()-1,Calc!$X$2:$X$1001,0)),"")</f>
        <v/>
      </c>
      <c r="F667" s="3">
        <f>IF(G667="","",E667-D667)</f>
        <v/>
      </c>
      <c r="G667">
        <f>IFERROR(INDEX(Calc!$S$2:$S$1001,MATCH(ROW()-1,Calc!$X$2:$X$1001,0)),"")</f>
        <v/>
      </c>
    </row>
    <row r="668">
      <c r="A668">
        <f>IFERROR(INDEX(Calc!$L$2:$L$1001,MATCH(ROW()-1,Calc!$X$2:$X$1001,0)),"")</f>
        <v/>
      </c>
      <c r="B668">
        <f>IFERROR(INDEX(Calc!$M$2:$M$1001,MATCH(ROW()-1,Calc!$X$2:$X$1001,0)),"")</f>
        <v/>
      </c>
      <c r="C668">
        <f>IFERROR(INDEX(Calc!$N$2:$N$1001,MATCH(ROW()-1,Calc!$X$2:$X$1001,0)),"")</f>
        <v/>
      </c>
      <c r="D668" s="3">
        <f>IFERROR(INDEX(Calc!$O$2:$O$1001,MATCH(ROW()-1,Calc!$X$2:$X$1001,0)),"")</f>
        <v/>
      </c>
      <c r="E668" s="3">
        <f>IFERROR(INDEX(Calc!$P$2:$P$1001,MATCH(ROW()-1,Calc!$X$2:$X$1001,0)),"")</f>
        <v/>
      </c>
      <c r="F668" s="3">
        <f>IF(G668="","",E668-D668)</f>
        <v/>
      </c>
      <c r="G668">
        <f>IFERROR(INDEX(Calc!$S$2:$S$1001,MATCH(ROW()-1,Calc!$X$2:$X$1001,0)),"")</f>
        <v/>
      </c>
    </row>
    <row r="669">
      <c r="A669">
        <f>IFERROR(INDEX(Calc!$L$2:$L$1001,MATCH(ROW()-1,Calc!$X$2:$X$1001,0)),"")</f>
        <v/>
      </c>
      <c r="B669">
        <f>IFERROR(INDEX(Calc!$M$2:$M$1001,MATCH(ROW()-1,Calc!$X$2:$X$1001,0)),"")</f>
        <v/>
      </c>
      <c r="C669">
        <f>IFERROR(INDEX(Calc!$N$2:$N$1001,MATCH(ROW()-1,Calc!$X$2:$X$1001,0)),"")</f>
        <v/>
      </c>
      <c r="D669" s="3">
        <f>IFERROR(INDEX(Calc!$O$2:$O$1001,MATCH(ROW()-1,Calc!$X$2:$X$1001,0)),"")</f>
        <v/>
      </c>
      <c r="E669" s="3">
        <f>IFERROR(INDEX(Calc!$P$2:$P$1001,MATCH(ROW()-1,Calc!$X$2:$X$1001,0)),"")</f>
        <v/>
      </c>
      <c r="F669" s="3">
        <f>IF(G669="","",E669-D669)</f>
        <v/>
      </c>
      <c r="G669">
        <f>IFERROR(INDEX(Calc!$S$2:$S$1001,MATCH(ROW()-1,Calc!$X$2:$X$1001,0)),"")</f>
        <v/>
      </c>
    </row>
    <row r="670">
      <c r="A670">
        <f>IFERROR(INDEX(Calc!$L$2:$L$1001,MATCH(ROW()-1,Calc!$X$2:$X$1001,0)),"")</f>
        <v/>
      </c>
      <c r="B670">
        <f>IFERROR(INDEX(Calc!$M$2:$M$1001,MATCH(ROW()-1,Calc!$X$2:$X$1001,0)),"")</f>
        <v/>
      </c>
      <c r="C670">
        <f>IFERROR(INDEX(Calc!$N$2:$N$1001,MATCH(ROW()-1,Calc!$X$2:$X$1001,0)),"")</f>
        <v/>
      </c>
      <c r="D670" s="3">
        <f>IFERROR(INDEX(Calc!$O$2:$O$1001,MATCH(ROW()-1,Calc!$X$2:$X$1001,0)),"")</f>
        <v/>
      </c>
      <c r="E670" s="3">
        <f>IFERROR(INDEX(Calc!$P$2:$P$1001,MATCH(ROW()-1,Calc!$X$2:$X$1001,0)),"")</f>
        <v/>
      </c>
      <c r="F670" s="3">
        <f>IF(G670="","",E670-D670)</f>
        <v/>
      </c>
      <c r="G670">
        <f>IFERROR(INDEX(Calc!$S$2:$S$1001,MATCH(ROW()-1,Calc!$X$2:$X$1001,0)),"")</f>
        <v/>
      </c>
    </row>
    <row r="671">
      <c r="A671">
        <f>IFERROR(INDEX(Calc!$L$2:$L$1001,MATCH(ROW()-1,Calc!$X$2:$X$1001,0)),"")</f>
        <v/>
      </c>
      <c r="B671">
        <f>IFERROR(INDEX(Calc!$M$2:$M$1001,MATCH(ROW()-1,Calc!$X$2:$X$1001,0)),"")</f>
        <v/>
      </c>
      <c r="C671">
        <f>IFERROR(INDEX(Calc!$N$2:$N$1001,MATCH(ROW()-1,Calc!$X$2:$X$1001,0)),"")</f>
        <v/>
      </c>
      <c r="D671" s="3">
        <f>IFERROR(INDEX(Calc!$O$2:$O$1001,MATCH(ROW()-1,Calc!$X$2:$X$1001,0)),"")</f>
        <v/>
      </c>
      <c r="E671" s="3">
        <f>IFERROR(INDEX(Calc!$P$2:$P$1001,MATCH(ROW()-1,Calc!$X$2:$X$1001,0)),"")</f>
        <v/>
      </c>
      <c r="F671" s="3">
        <f>IF(G671="","",E671-D671)</f>
        <v/>
      </c>
      <c r="G671">
        <f>IFERROR(INDEX(Calc!$S$2:$S$1001,MATCH(ROW()-1,Calc!$X$2:$X$1001,0)),"")</f>
        <v/>
      </c>
    </row>
    <row r="672">
      <c r="A672">
        <f>IFERROR(INDEX(Calc!$L$2:$L$1001,MATCH(ROW()-1,Calc!$X$2:$X$1001,0)),"")</f>
        <v/>
      </c>
      <c r="B672">
        <f>IFERROR(INDEX(Calc!$M$2:$M$1001,MATCH(ROW()-1,Calc!$X$2:$X$1001,0)),"")</f>
        <v/>
      </c>
      <c r="C672">
        <f>IFERROR(INDEX(Calc!$N$2:$N$1001,MATCH(ROW()-1,Calc!$X$2:$X$1001,0)),"")</f>
        <v/>
      </c>
      <c r="D672" s="3">
        <f>IFERROR(INDEX(Calc!$O$2:$O$1001,MATCH(ROW()-1,Calc!$X$2:$X$1001,0)),"")</f>
        <v/>
      </c>
      <c r="E672" s="3">
        <f>IFERROR(INDEX(Calc!$P$2:$P$1001,MATCH(ROW()-1,Calc!$X$2:$X$1001,0)),"")</f>
        <v/>
      </c>
      <c r="F672" s="3">
        <f>IF(G672="","",E672-D672)</f>
        <v/>
      </c>
      <c r="G672">
        <f>IFERROR(INDEX(Calc!$S$2:$S$1001,MATCH(ROW()-1,Calc!$X$2:$X$1001,0)),"")</f>
        <v/>
      </c>
    </row>
    <row r="673">
      <c r="A673">
        <f>IFERROR(INDEX(Calc!$L$2:$L$1001,MATCH(ROW()-1,Calc!$X$2:$X$1001,0)),"")</f>
        <v/>
      </c>
      <c r="B673">
        <f>IFERROR(INDEX(Calc!$M$2:$M$1001,MATCH(ROW()-1,Calc!$X$2:$X$1001,0)),"")</f>
        <v/>
      </c>
      <c r="C673">
        <f>IFERROR(INDEX(Calc!$N$2:$N$1001,MATCH(ROW()-1,Calc!$X$2:$X$1001,0)),"")</f>
        <v/>
      </c>
      <c r="D673" s="3">
        <f>IFERROR(INDEX(Calc!$O$2:$O$1001,MATCH(ROW()-1,Calc!$X$2:$X$1001,0)),"")</f>
        <v/>
      </c>
      <c r="E673" s="3">
        <f>IFERROR(INDEX(Calc!$P$2:$P$1001,MATCH(ROW()-1,Calc!$X$2:$X$1001,0)),"")</f>
        <v/>
      </c>
      <c r="F673" s="3">
        <f>IF(G673="","",E673-D673)</f>
        <v/>
      </c>
      <c r="G673">
        <f>IFERROR(INDEX(Calc!$S$2:$S$1001,MATCH(ROW()-1,Calc!$X$2:$X$1001,0)),"")</f>
        <v/>
      </c>
    </row>
    <row r="674">
      <c r="A674">
        <f>IFERROR(INDEX(Calc!$L$2:$L$1001,MATCH(ROW()-1,Calc!$X$2:$X$1001,0)),"")</f>
        <v/>
      </c>
      <c r="B674">
        <f>IFERROR(INDEX(Calc!$M$2:$M$1001,MATCH(ROW()-1,Calc!$X$2:$X$1001,0)),"")</f>
        <v/>
      </c>
      <c r="C674">
        <f>IFERROR(INDEX(Calc!$N$2:$N$1001,MATCH(ROW()-1,Calc!$X$2:$X$1001,0)),"")</f>
        <v/>
      </c>
      <c r="D674" s="3">
        <f>IFERROR(INDEX(Calc!$O$2:$O$1001,MATCH(ROW()-1,Calc!$X$2:$X$1001,0)),"")</f>
        <v/>
      </c>
      <c r="E674" s="3">
        <f>IFERROR(INDEX(Calc!$P$2:$P$1001,MATCH(ROW()-1,Calc!$X$2:$X$1001,0)),"")</f>
        <v/>
      </c>
      <c r="F674" s="3">
        <f>IF(G674="","",E674-D674)</f>
        <v/>
      </c>
      <c r="G674">
        <f>IFERROR(INDEX(Calc!$S$2:$S$1001,MATCH(ROW()-1,Calc!$X$2:$X$1001,0)),"")</f>
        <v/>
      </c>
    </row>
    <row r="675">
      <c r="A675">
        <f>IFERROR(INDEX(Calc!$L$2:$L$1001,MATCH(ROW()-1,Calc!$X$2:$X$1001,0)),"")</f>
        <v/>
      </c>
      <c r="B675">
        <f>IFERROR(INDEX(Calc!$M$2:$M$1001,MATCH(ROW()-1,Calc!$X$2:$X$1001,0)),"")</f>
        <v/>
      </c>
      <c r="C675">
        <f>IFERROR(INDEX(Calc!$N$2:$N$1001,MATCH(ROW()-1,Calc!$X$2:$X$1001,0)),"")</f>
        <v/>
      </c>
      <c r="D675" s="3">
        <f>IFERROR(INDEX(Calc!$O$2:$O$1001,MATCH(ROW()-1,Calc!$X$2:$X$1001,0)),"")</f>
        <v/>
      </c>
      <c r="E675" s="3">
        <f>IFERROR(INDEX(Calc!$P$2:$P$1001,MATCH(ROW()-1,Calc!$X$2:$X$1001,0)),"")</f>
        <v/>
      </c>
      <c r="F675" s="3">
        <f>IF(G675="","",E675-D675)</f>
        <v/>
      </c>
      <c r="G675">
        <f>IFERROR(INDEX(Calc!$S$2:$S$1001,MATCH(ROW()-1,Calc!$X$2:$X$1001,0)),"")</f>
        <v/>
      </c>
    </row>
    <row r="676">
      <c r="A676">
        <f>IFERROR(INDEX(Calc!$L$2:$L$1001,MATCH(ROW()-1,Calc!$X$2:$X$1001,0)),"")</f>
        <v/>
      </c>
      <c r="B676">
        <f>IFERROR(INDEX(Calc!$M$2:$M$1001,MATCH(ROW()-1,Calc!$X$2:$X$1001,0)),"")</f>
        <v/>
      </c>
      <c r="C676">
        <f>IFERROR(INDEX(Calc!$N$2:$N$1001,MATCH(ROW()-1,Calc!$X$2:$X$1001,0)),"")</f>
        <v/>
      </c>
      <c r="D676" s="3">
        <f>IFERROR(INDEX(Calc!$O$2:$O$1001,MATCH(ROW()-1,Calc!$X$2:$X$1001,0)),"")</f>
        <v/>
      </c>
      <c r="E676" s="3">
        <f>IFERROR(INDEX(Calc!$P$2:$P$1001,MATCH(ROW()-1,Calc!$X$2:$X$1001,0)),"")</f>
        <v/>
      </c>
      <c r="F676" s="3">
        <f>IF(G676="","",E676-D676)</f>
        <v/>
      </c>
      <c r="G676">
        <f>IFERROR(INDEX(Calc!$S$2:$S$1001,MATCH(ROW()-1,Calc!$X$2:$X$1001,0)),"")</f>
        <v/>
      </c>
    </row>
    <row r="677">
      <c r="A677">
        <f>IFERROR(INDEX(Calc!$L$2:$L$1001,MATCH(ROW()-1,Calc!$X$2:$X$1001,0)),"")</f>
        <v/>
      </c>
      <c r="B677">
        <f>IFERROR(INDEX(Calc!$M$2:$M$1001,MATCH(ROW()-1,Calc!$X$2:$X$1001,0)),"")</f>
        <v/>
      </c>
      <c r="C677">
        <f>IFERROR(INDEX(Calc!$N$2:$N$1001,MATCH(ROW()-1,Calc!$X$2:$X$1001,0)),"")</f>
        <v/>
      </c>
      <c r="D677" s="3">
        <f>IFERROR(INDEX(Calc!$O$2:$O$1001,MATCH(ROW()-1,Calc!$X$2:$X$1001,0)),"")</f>
        <v/>
      </c>
      <c r="E677" s="3">
        <f>IFERROR(INDEX(Calc!$P$2:$P$1001,MATCH(ROW()-1,Calc!$X$2:$X$1001,0)),"")</f>
        <v/>
      </c>
      <c r="F677" s="3">
        <f>IF(G677="","",E677-D677)</f>
        <v/>
      </c>
      <c r="G677">
        <f>IFERROR(INDEX(Calc!$S$2:$S$1001,MATCH(ROW()-1,Calc!$X$2:$X$1001,0)),"")</f>
        <v/>
      </c>
    </row>
    <row r="678">
      <c r="A678">
        <f>IFERROR(INDEX(Calc!$L$2:$L$1001,MATCH(ROW()-1,Calc!$X$2:$X$1001,0)),"")</f>
        <v/>
      </c>
      <c r="B678">
        <f>IFERROR(INDEX(Calc!$M$2:$M$1001,MATCH(ROW()-1,Calc!$X$2:$X$1001,0)),"")</f>
        <v/>
      </c>
      <c r="C678">
        <f>IFERROR(INDEX(Calc!$N$2:$N$1001,MATCH(ROW()-1,Calc!$X$2:$X$1001,0)),"")</f>
        <v/>
      </c>
      <c r="D678" s="3">
        <f>IFERROR(INDEX(Calc!$O$2:$O$1001,MATCH(ROW()-1,Calc!$X$2:$X$1001,0)),"")</f>
        <v/>
      </c>
      <c r="E678" s="3">
        <f>IFERROR(INDEX(Calc!$P$2:$P$1001,MATCH(ROW()-1,Calc!$X$2:$X$1001,0)),"")</f>
        <v/>
      </c>
      <c r="F678" s="3">
        <f>IF(G678="","",E678-D678)</f>
        <v/>
      </c>
      <c r="G678">
        <f>IFERROR(INDEX(Calc!$S$2:$S$1001,MATCH(ROW()-1,Calc!$X$2:$X$1001,0)),"")</f>
        <v/>
      </c>
    </row>
    <row r="679">
      <c r="A679">
        <f>IFERROR(INDEX(Calc!$L$2:$L$1001,MATCH(ROW()-1,Calc!$X$2:$X$1001,0)),"")</f>
        <v/>
      </c>
      <c r="B679">
        <f>IFERROR(INDEX(Calc!$M$2:$M$1001,MATCH(ROW()-1,Calc!$X$2:$X$1001,0)),"")</f>
        <v/>
      </c>
      <c r="C679">
        <f>IFERROR(INDEX(Calc!$N$2:$N$1001,MATCH(ROW()-1,Calc!$X$2:$X$1001,0)),"")</f>
        <v/>
      </c>
      <c r="D679" s="3">
        <f>IFERROR(INDEX(Calc!$O$2:$O$1001,MATCH(ROW()-1,Calc!$X$2:$X$1001,0)),"")</f>
        <v/>
      </c>
      <c r="E679" s="3">
        <f>IFERROR(INDEX(Calc!$P$2:$P$1001,MATCH(ROW()-1,Calc!$X$2:$X$1001,0)),"")</f>
        <v/>
      </c>
      <c r="F679" s="3">
        <f>IF(G679="","",E679-D679)</f>
        <v/>
      </c>
      <c r="G679">
        <f>IFERROR(INDEX(Calc!$S$2:$S$1001,MATCH(ROW()-1,Calc!$X$2:$X$1001,0)),"")</f>
        <v/>
      </c>
    </row>
    <row r="680">
      <c r="A680">
        <f>IFERROR(INDEX(Calc!$L$2:$L$1001,MATCH(ROW()-1,Calc!$X$2:$X$1001,0)),"")</f>
        <v/>
      </c>
      <c r="B680">
        <f>IFERROR(INDEX(Calc!$M$2:$M$1001,MATCH(ROW()-1,Calc!$X$2:$X$1001,0)),"")</f>
        <v/>
      </c>
      <c r="C680">
        <f>IFERROR(INDEX(Calc!$N$2:$N$1001,MATCH(ROW()-1,Calc!$X$2:$X$1001,0)),"")</f>
        <v/>
      </c>
      <c r="D680" s="3">
        <f>IFERROR(INDEX(Calc!$O$2:$O$1001,MATCH(ROW()-1,Calc!$X$2:$X$1001,0)),"")</f>
        <v/>
      </c>
      <c r="E680" s="3">
        <f>IFERROR(INDEX(Calc!$P$2:$P$1001,MATCH(ROW()-1,Calc!$X$2:$X$1001,0)),"")</f>
        <v/>
      </c>
      <c r="F680" s="3">
        <f>IF(G680="","",E680-D680)</f>
        <v/>
      </c>
      <c r="G680">
        <f>IFERROR(INDEX(Calc!$S$2:$S$1001,MATCH(ROW()-1,Calc!$X$2:$X$1001,0)),"")</f>
        <v/>
      </c>
    </row>
    <row r="681">
      <c r="A681">
        <f>IFERROR(INDEX(Calc!$L$2:$L$1001,MATCH(ROW()-1,Calc!$X$2:$X$1001,0)),"")</f>
        <v/>
      </c>
      <c r="B681">
        <f>IFERROR(INDEX(Calc!$M$2:$M$1001,MATCH(ROW()-1,Calc!$X$2:$X$1001,0)),"")</f>
        <v/>
      </c>
      <c r="C681">
        <f>IFERROR(INDEX(Calc!$N$2:$N$1001,MATCH(ROW()-1,Calc!$X$2:$X$1001,0)),"")</f>
        <v/>
      </c>
      <c r="D681" s="3">
        <f>IFERROR(INDEX(Calc!$O$2:$O$1001,MATCH(ROW()-1,Calc!$X$2:$X$1001,0)),"")</f>
        <v/>
      </c>
      <c r="E681" s="3">
        <f>IFERROR(INDEX(Calc!$P$2:$P$1001,MATCH(ROW()-1,Calc!$X$2:$X$1001,0)),"")</f>
        <v/>
      </c>
      <c r="F681" s="3">
        <f>IF(G681="","",E681-D681)</f>
        <v/>
      </c>
      <c r="G681">
        <f>IFERROR(INDEX(Calc!$S$2:$S$1001,MATCH(ROW()-1,Calc!$X$2:$X$1001,0)),"")</f>
        <v/>
      </c>
    </row>
    <row r="682">
      <c r="A682">
        <f>IFERROR(INDEX(Calc!$L$2:$L$1001,MATCH(ROW()-1,Calc!$X$2:$X$1001,0)),"")</f>
        <v/>
      </c>
      <c r="B682">
        <f>IFERROR(INDEX(Calc!$M$2:$M$1001,MATCH(ROW()-1,Calc!$X$2:$X$1001,0)),"")</f>
        <v/>
      </c>
      <c r="C682">
        <f>IFERROR(INDEX(Calc!$N$2:$N$1001,MATCH(ROW()-1,Calc!$X$2:$X$1001,0)),"")</f>
        <v/>
      </c>
      <c r="D682" s="3">
        <f>IFERROR(INDEX(Calc!$O$2:$O$1001,MATCH(ROW()-1,Calc!$X$2:$X$1001,0)),"")</f>
        <v/>
      </c>
      <c r="E682" s="3">
        <f>IFERROR(INDEX(Calc!$P$2:$P$1001,MATCH(ROW()-1,Calc!$X$2:$X$1001,0)),"")</f>
        <v/>
      </c>
      <c r="F682" s="3">
        <f>IF(G682="","",E682-D682)</f>
        <v/>
      </c>
      <c r="G682">
        <f>IFERROR(INDEX(Calc!$S$2:$S$1001,MATCH(ROW()-1,Calc!$X$2:$X$1001,0)),"")</f>
        <v/>
      </c>
    </row>
    <row r="683">
      <c r="A683">
        <f>IFERROR(INDEX(Calc!$L$2:$L$1001,MATCH(ROW()-1,Calc!$X$2:$X$1001,0)),"")</f>
        <v/>
      </c>
      <c r="B683">
        <f>IFERROR(INDEX(Calc!$M$2:$M$1001,MATCH(ROW()-1,Calc!$X$2:$X$1001,0)),"")</f>
        <v/>
      </c>
      <c r="C683">
        <f>IFERROR(INDEX(Calc!$N$2:$N$1001,MATCH(ROW()-1,Calc!$X$2:$X$1001,0)),"")</f>
        <v/>
      </c>
      <c r="D683" s="3">
        <f>IFERROR(INDEX(Calc!$O$2:$O$1001,MATCH(ROW()-1,Calc!$X$2:$X$1001,0)),"")</f>
        <v/>
      </c>
      <c r="E683" s="3">
        <f>IFERROR(INDEX(Calc!$P$2:$P$1001,MATCH(ROW()-1,Calc!$X$2:$X$1001,0)),"")</f>
        <v/>
      </c>
      <c r="F683" s="3">
        <f>IF(G683="","",E683-D683)</f>
        <v/>
      </c>
      <c r="G683">
        <f>IFERROR(INDEX(Calc!$S$2:$S$1001,MATCH(ROW()-1,Calc!$X$2:$X$1001,0)),"")</f>
        <v/>
      </c>
    </row>
    <row r="684">
      <c r="A684">
        <f>IFERROR(INDEX(Calc!$L$2:$L$1001,MATCH(ROW()-1,Calc!$X$2:$X$1001,0)),"")</f>
        <v/>
      </c>
      <c r="B684">
        <f>IFERROR(INDEX(Calc!$M$2:$M$1001,MATCH(ROW()-1,Calc!$X$2:$X$1001,0)),"")</f>
        <v/>
      </c>
      <c r="C684">
        <f>IFERROR(INDEX(Calc!$N$2:$N$1001,MATCH(ROW()-1,Calc!$X$2:$X$1001,0)),"")</f>
        <v/>
      </c>
      <c r="D684" s="3">
        <f>IFERROR(INDEX(Calc!$O$2:$O$1001,MATCH(ROW()-1,Calc!$X$2:$X$1001,0)),"")</f>
        <v/>
      </c>
      <c r="E684" s="3">
        <f>IFERROR(INDEX(Calc!$P$2:$P$1001,MATCH(ROW()-1,Calc!$X$2:$X$1001,0)),"")</f>
        <v/>
      </c>
      <c r="F684" s="3">
        <f>IF(G684="","",E684-D684)</f>
        <v/>
      </c>
      <c r="G684">
        <f>IFERROR(INDEX(Calc!$S$2:$S$1001,MATCH(ROW()-1,Calc!$X$2:$X$1001,0)),"")</f>
        <v/>
      </c>
    </row>
    <row r="685">
      <c r="A685">
        <f>IFERROR(INDEX(Calc!$L$2:$L$1001,MATCH(ROW()-1,Calc!$X$2:$X$1001,0)),"")</f>
        <v/>
      </c>
      <c r="B685">
        <f>IFERROR(INDEX(Calc!$M$2:$M$1001,MATCH(ROW()-1,Calc!$X$2:$X$1001,0)),"")</f>
        <v/>
      </c>
      <c r="C685">
        <f>IFERROR(INDEX(Calc!$N$2:$N$1001,MATCH(ROW()-1,Calc!$X$2:$X$1001,0)),"")</f>
        <v/>
      </c>
      <c r="D685" s="3">
        <f>IFERROR(INDEX(Calc!$O$2:$O$1001,MATCH(ROW()-1,Calc!$X$2:$X$1001,0)),"")</f>
        <v/>
      </c>
      <c r="E685" s="3">
        <f>IFERROR(INDEX(Calc!$P$2:$P$1001,MATCH(ROW()-1,Calc!$X$2:$X$1001,0)),"")</f>
        <v/>
      </c>
      <c r="F685" s="3">
        <f>IF(G685="","",E685-D685)</f>
        <v/>
      </c>
      <c r="G685">
        <f>IFERROR(INDEX(Calc!$S$2:$S$1001,MATCH(ROW()-1,Calc!$X$2:$X$1001,0)),"")</f>
        <v/>
      </c>
    </row>
    <row r="686">
      <c r="A686">
        <f>IFERROR(INDEX(Calc!$L$2:$L$1001,MATCH(ROW()-1,Calc!$X$2:$X$1001,0)),"")</f>
        <v/>
      </c>
      <c r="B686">
        <f>IFERROR(INDEX(Calc!$M$2:$M$1001,MATCH(ROW()-1,Calc!$X$2:$X$1001,0)),"")</f>
        <v/>
      </c>
      <c r="C686">
        <f>IFERROR(INDEX(Calc!$N$2:$N$1001,MATCH(ROW()-1,Calc!$X$2:$X$1001,0)),"")</f>
        <v/>
      </c>
      <c r="D686" s="3">
        <f>IFERROR(INDEX(Calc!$O$2:$O$1001,MATCH(ROW()-1,Calc!$X$2:$X$1001,0)),"")</f>
        <v/>
      </c>
      <c r="E686" s="3">
        <f>IFERROR(INDEX(Calc!$P$2:$P$1001,MATCH(ROW()-1,Calc!$X$2:$X$1001,0)),"")</f>
        <v/>
      </c>
      <c r="F686" s="3">
        <f>IF(G686="","",E686-D686)</f>
        <v/>
      </c>
      <c r="G686">
        <f>IFERROR(INDEX(Calc!$S$2:$S$1001,MATCH(ROW()-1,Calc!$X$2:$X$1001,0)),"")</f>
        <v/>
      </c>
    </row>
    <row r="687">
      <c r="A687">
        <f>IFERROR(INDEX(Calc!$L$2:$L$1001,MATCH(ROW()-1,Calc!$X$2:$X$1001,0)),"")</f>
        <v/>
      </c>
      <c r="B687">
        <f>IFERROR(INDEX(Calc!$M$2:$M$1001,MATCH(ROW()-1,Calc!$X$2:$X$1001,0)),"")</f>
        <v/>
      </c>
      <c r="C687">
        <f>IFERROR(INDEX(Calc!$N$2:$N$1001,MATCH(ROW()-1,Calc!$X$2:$X$1001,0)),"")</f>
        <v/>
      </c>
      <c r="D687" s="3">
        <f>IFERROR(INDEX(Calc!$O$2:$O$1001,MATCH(ROW()-1,Calc!$X$2:$X$1001,0)),"")</f>
        <v/>
      </c>
      <c r="E687" s="3">
        <f>IFERROR(INDEX(Calc!$P$2:$P$1001,MATCH(ROW()-1,Calc!$X$2:$X$1001,0)),"")</f>
        <v/>
      </c>
      <c r="F687" s="3">
        <f>IF(G687="","",E687-D687)</f>
        <v/>
      </c>
      <c r="G687">
        <f>IFERROR(INDEX(Calc!$S$2:$S$1001,MATCH(ROW()-1,Calc!$X$2:$X$1001,0)),"")</f>
        <v/>
      </c>
    </row>
    <row r="688">
      <c r="A688">
        <f>IFERROR(INDEX(Calc!$L$2:$L$1001,MATCH(ROW()-1,Calc!$X$2:$X$1001,0)),"")</f>
        <v/>
      </c>
      <c r="B688">
        <f>IFERROR(INDEX(Calc!$M$2:$M$1001,MATCH(ROW()-1,Calc!$X$2:$X$1001,0)),"")</f>
        <v/>
      </c>
      <c r="C688">
        <f>IFERROR(INDEX(Calc!$N$2:$N$1001,MATCH(ROW()-1,Calc!$X$2:$X$1001,0)),"")</f>
        <v/>
      </c>
      <c r="D688" s="3">
        <f>IFERROR(INDEX(Calc!$O$2:$O$1001,MATCH(ROW()-1,Calc!$X$2:$X$1001,0)),"")</f>
        <v/>
      </c>
      <c r="E688" s="3">
        <f>IFERROR(INDEX(Calc!$P$2:$P$1001,MATCH(ROW()-1,Calc!$X$2:$X$1001,0)),"")</f>
        <v/>
      </c>
      <c r="F688" s="3">
        <f>IF(G688="","",E688-D688)</f>
        <v/>
      </c>
      <c r="G688">
        <f>IFERROR(INDEX(Calc!$S$2:$S$1001,MATCH(ROW()-1,Calc!$X$2:$X$1001,0)),"")</f>
        <v/>
      </c>
    </row>
    <row r="689">
      <c r="A689">
        <f>IFERROR(INDEX(Calc!$L$2:$L$1001,MATCH(ROW()-1,Calc!$X$2:$X$1001,0)),"")</f>
        <v/>
      </c>
      <c r="B689">
        <f>IFERROR(INDEX(Calc!$M$2:$M$1001,MATCH(ROW()-1,Calc!$X$2:$X$1001,0)),"")</f>
        <v/>
      </c>
      <c r="C689">
        <f>IFERROR(INDEX(Calc!$N$2:$N$1001,MATCH(ROW()-1,Calc!$X$2:$X$1001,0)),"")</f>
        <v/>
      </c>
      <c r="D689" s="3">
        <f>IFERROR(INDEX(Calc!$O$2:$O$1001,MATCH(ROW()-1,Calc!$X$2:$X$1001,0)),"")</f>
        <v/>
      </c>
      <c r="E689" s="3">
        <f>IFERROR(INDEX(Calc!$P$2:$P$1001,MATCH(ROW()-1,Calc!$X$2:$X$1001,0)),"")</f>
        <v/>
      </c>
      <c r="F689" s="3">
        <f>IF(G689="","",E689-D689)</f>
        <v/>
      </c>
      <c r="G689">
        <f>IFERROR(INDEX(Calc!$S$2:$S$1001,MATCH(ROW()-1,Calc!$X$2:$X$1001,0)),"")</f>
        <v/>
      </c>
    </row>
    <row r="690">
      <c r="A690">
        <f>IFERROR(INDEX(Calc!$L$2:$L$1001,MATCH(ROW()-1,Calc!$X$2:$X$1001,0)),"")</f>
        <v/>
      </c>
      <c r="B690">
        <f>IFERROR(INDEX(Calc!$M$2:$M$1001,MATCH(ROW()-1,Calc!$X$2:$X$1001,0)),"")</f>
        <v/>
      </c>
      <c r="C690">
        <f>IFERROR(INDEX(Calc!$N$2:$N$1001,MATCH(ROW()-1,Calc!$X$2:$X$1001,0)),"")</f>
        <v/>
      </c>
      <c r="D690" s="3">
        <f>IFERROR(INDEX(Calc!$O$2:$O$1001,MATCH(ROW()-1,Calc!$X$2:$X$1001,0)),"")</f>
        <v/>
      </c>
      <c r="E690" s="3">
        <f>IFERROR(INDEX(Calc!$P$2:$P$1001,MATCH(ROW()-1,Calc!$X$2:$X$1001,0)),"")</f>
        <v/>
      </c>
      <c r="F690" s="3">
        <f>IF(G690="","",E690-D690)</f>
        <v/>
      </c>
      <c r="G690">
        <f>IFERROR(INDEX(Calc!$S$2:$S$1001,MATCH(ROW()-1,Calc!$X$2:$X$1001,0)),"")</f>
        <v/>
      </c>
    </row>
    <row r="691">
      <c r="A691">
        <f>IFERROR(INDEX(Calc!$L$2:$L$1001,MATCH(ROW()-1,Calc!$X$2:$X$1001,0)),"")</f>
        <v/>
      </c>
      <c r="B691">
        <f>IFERROR(INDEX(Calc!$M$2:$M$1001,MATCH(ROW()-1,Calc!$X$2:$X$1001,0)),"")</f>
        <v/>
      </c>
      <c r="C691">
        <f>IFERROR(INDEX(Calc!$N$2:$N$1001,MATCH(ROW()-1,Calc!$X$2:$X$1001,0)),"")</f>
        <v/>
      </c>
      <c r="D691" s="3">
        <f>IFERROR(INDEX(Calc!$O$2:$O$1001,MATCH(ROW()-1,Calc!$X$2:$X$1001,0)),"")</f>
        <v/>
      </c>
      <c r="E691" s="3">
        <f>IFERROR(INDEX(Calc!$P$2:$P$1001,MATCH(ROW()-1,Calc!$X$2:$X$1001,0)),"")</f>
        <v/>
      </c>
      <c r="F691" s="3">
        <f>IF(G691="","",E691-D691)</f>
        <v/>
      </c>
      <c r="G691">
        <f>IFERROR(INDEX(Calc!$S$2:$S$1001,MATCH(ROW()-1,Calc!$X$2:$X$1001,0)),"")</f>
        <v/>
      </c>
    </row>
    <row r="692">
      <c r="A692">
        <f>IFERROR(INDEX(Calc!$L$2:$L$1001,MATCH(ROW()-1,Calc!$X$2:$X$1001,0)),"")</f>
        <v/>
      </c>
      <c r="B692">
        <f>IFERROR(INDEX(Calc!$M$2:$M$1001,MATCH(ROW()-1,Calc!$X$2:$X$1001,0)),"")</f>
        <v/>
      </c>
      <c r="C692">
        <f>IFERROR(INDEX(Calc!$N$2:$N$1001,MATCH(ROW()-1,Calc!$X$2:$X$1001,0)),"")</f>
        <v/>
      </c>
      <c r="D692" s="3">
        <f>IFERROR(INDEX(Calc!$O$2:$O$1001,MATCH(ROW()-1,Calc!$X$2:$X$1001,0)),"")</f>
        <v/>
      </c>
      <c r="E692" s="3">
        <f>IFERROR(INDEX(Calc!$P$2:$P$1001,MATCH(ROW()-1,Calc!$X$2:$X$1001,0)),"")</f>
        <v/>
      </c>
      <c r="F692" s="3">
        <f>IF(G692="","",E692-D692)</f>
        <v/>
      </c>
      <c r="G692">
        <f>IFERROR(INDEX(Calc!$S$2:$S$1001,MATCH(ROW()-1,Calc!$X$2:$X$1001,0)),"")</f>
        <v/>
      </c>
    </row>
    <row r="693">
      <c r="A693">
        <f>IFERROR(INDEX(Calc!$L$2:$L$1001,MATCH(ROW()-1,Calc!$X$2:$X$1001,0)),"")</f>
        <v/>
      </c>
      <c r="B693">
        <f>IFERROR(INDEX(Calc!$M$2:$M$1001,MATCH(ROW()-1,Calc!$X$2:$X$1001,0)),"")</f>
        <v/>
      </c>
      <c r="C693">
        <f>IFERROR(INDEX(Calc!$N$2:$N$1001,MATCH(ROW()-1,Calc!$X$2:$X$1001,0)),"")</f>
        <v/>
      </c>
      <c r="D693" s="3">
        <f>IFERROR(INDEX(Calc!$O$2:$O$1001,MATCH(ROW()-1,Calc!$X$2:$X$1001,0)),"")</f>
        <v/>
      </c>
      <c r="E693" s="3">
        <f>IFERROR(INDEX(Calc!$P$2:$P$1001,MATCH(ROW()-1,Calc!$X$2:$X$1001,0)),"")</f>
        <v/>
      </c>
      <c r="F693" s="3">
        <f>IF(G693="","",E693-D693)</f>
        <v/>
      </c>
      <c r="G693">
        <f>IFERROR(INDEX(Calc!$S$2:$S$1001,MATCH(ROW()-1,Calc!$X$2:$X$1001,0)),"")</f>
        <v/>
      </c>
    </row>
    <row r="694">
      <c r="A694">
        <f>IFERROR(INDEX(Calc!$L$2:$L$1001,MATCH(ROW()-1,Calc!$X$2:$X$1001,0)),"")</f>
        <v/>
      </c>
      <c r="B694">
        <f>IFERROR(INDEX(Calc!$M$2:$M$1001,MATCH(ROW()-1,Calc!$X$2:$X$1001,0)),"")</f>
        <v/>
      </c>
      <c r="C694">
        <f>IFERROR(INDEX(Calc!$N$2:$N$1001,MATCH(ROW()-1,Calc!$X$2:$X$1001,0)),"")</f>
        <v/>
      </c>
      <c r="D694" s="3">
        <f>IFERROR(INDEX(Calc!$O$2:$O$1001,MATCH(ROW()-1,Calc!$X$2:$X$1001,0)),"")</f>
        <v/>
      </c>
      <c r="E694" s="3">
        <f>IFERROR(INDEX(Calc!$P$2:$P$1001,MATCH(ROW()-1,Calc!$X$2:$X$1001,0)),"")</f>
        <v/>
      </c>
      <c r="F694" s="3">
        <f>IF(G694="","",E694-D694)</f>
        <v/>
      </c>
      <c r="G694">
        <f>IFERROR(INDEX(Calc!$S$2:$S$1001,MATCH(ROW()-1,Calc!$X$2:$X$1001,0)),"")</f>
        <v/>
      </c>
    </row>
    <row r="695">
      <c r="A695">
        <f>IFERROR(INDEX(Calc!$L$2:$L$1001,MATCH(ROW()-1,Calc!$X$2:$X$1001,0)),"")</f>
        <v/>
      </c>
      <c r="B695">
        <f>IFERROR(INDEX(Calc!$M$2:$M$1001,MATCH(ROW()-1,Calc!$X$2:$X$1001,0)),"")</f>
        <v/>
      </c>
      <c r="C695">
        <f>IFERROR(INDEX(Calc!$N$2:$N$1001,MATCH(ROW()-1,Calc!$X$2:$X$1001,0)),"")</f>
        <v/>
      </c>
      <c r="D695" s="3">
        <f>IFERROR(INDEX(Calc!$O$2:$O$1001,MATCH(ROW()-1,Calc!$X$2:$X$1001,0)),"")</f>
        <v/>
      </c>
      <c r="E695" s="3">
        <f>IFERROR(INDEX(Calc!$P$2:$P$1001,MATCH(ROW()-1,Calc!$X$2:$X$1001,0)),"")</f>
        <v/>
      </c>
      <c r="F695" s="3">
        <f>IF(G695="","",E695-D695)</f>
        <v/>
      </c>
      <c r="G695">
        <f>IFERROR(INDEX(Calc!$S$2:$S$1001,MATCH(ROW()-1,Calc!$X$2:$X$1001,0)),"")</f>
        <v/>
      </c>
    </row>
    <row r="696">
      <c r="A696">
        <f>IFERROR(INDEX(Calc!$L$2:$L$1001,MATCH(ROW()-1,Calc!$X$2:$X$1001,0)),"")</f>
        <v/>
      </c>
      <c r="B696">
        <f>IFERROR(INDEX(Calc!$M$2:$M$1001,MATCH(ROW()-1,Calc!$X$2:$X$1001,0)),"")</f>
        <v/>
      </c>
      <c r="C696">
        <f>IFERROR(INDEX(Calc!$N$2:$N$1001,MATCH(ROW()-1,Calc!$X$2:$X$1001,0)),"")</f>
        <v/>
      </c>
      <c r="D696" s="3">
        <f>IFERROR(INDEX(Calc!$O$2:$O$1001,MATCH(ROW()-1,Calc!$X$2:$X$1001,0)),"")</f>
        <v/>
      </c>
      <c r="E696" s="3">
        <f>IFERROR(INDEX(Calc!$P$2:$P$1001,MATCH(ROW()-1,Calc!$X$2:$X$1001,0)),"")</f>
        <v/>
      </c>
      <c r="F696" s="3">
        <f>IF(G696="","",E696-D696)</f>
        <v/>
      </c>
      <c r="G696">
        <f>IFERROR(INDEX(Calc!$S$2:$S$1001,MATCH(ROW()-1,Calc!$X$2:$X$1001,0)),"")</f>
        <v/>
      </c>
    </row>
    <row r="697">
      <c r="A697">
        <f>IFERROR(INDEX(Calc!$L$2:$L$1001,MATCH(ROW()-1,Calc!$X$2:$X$1001,0)),"")</f>
        <v/>
      </c>
      <c r="B697">
        <f>IFERROR(INDEX(Calc!$M$2:$M$1001,MATCH(ROW()-1,Calc!$X$2:$X$1001,0)),"")</f>
        <v/>
      </c>
      <c r="C697">
        <f>IFERROR(INDEX(Calc!$N$2:$N$1001,MATCH(ROW()-1,Calc!$X$2:$X$1001,0)),"")</f>
        <v/>
      </c>
      <c r="D697" s="3">
        <f>IFERROR(INDEX(Calc!$O$2:$O$1001,MATCH(ROW()-1,Calc!$X$2:$X$1001,0)),"")</f>
        <v/>
      </c>
      <c r="E697" s="3">
        <f>IFERROR(INDEX(Calc!$P$2:$P$1001,MATCH(ROW()-1,Calc!$X$2:$X$1001,0)),"")</f>
        <v/>
      </c>
      <c r="F697" s="3">
        <f>IF(G697="","",E697-D697)</f>
        <v/>
      </c>
      <c r="G697">
        <f>IFERROR(INDEX(Calc!$S$2:$S$1001,MATCH(ROW()-1,Calc!$X$2:$X$1001,0)),"")</f>
        <v/>
      </c>
    </row>
    <row r="698">
      <c r="A698">
        <f>IFERROR(INDEX(Calc!$L$2:$L$1001,MATCH(ROW()-1,Calc!$X$2:$X$1001,0)),"")</f>
        <v/>
      </c>
      <c r="B698">
        <f>IFERROR(INDEX(Calc!$M$2:$M$1001,MATCH(ROW()-1,Calc!$X$2:$X$1001,0)),"")</f>
        <v/>
      </c>
      <c r="C698">
        <f>IFERROR(INDEX(Calc!$N$2:$N$1001,MATCH(ROW()-1,Calc!$X$2:$X$1001,0)),"")</f>
        <v/>
      </c>
      <c r="D698" s="3">
        <f>IFERROR(INDEX(Calc!$O$2:$O$1001,MATCH(ROW()-1,Calc!$X$2:$X$1001,0)),"")</f>
        <v/>
      </c>
      <c r="E698" s="3">
        <f>IFERROR(INDEX(Calc!$P$2:$P$1001,MATCH(ROW()-1,Calc!$X$2:$X$1001,0)),"")</f>
        <v/>
      </c>
      <c r="F698" s="3">
        <f>IF(G698="","",E698-D698)</f>
        <v/>
      </c>
      <c r="G698">
        <f>IFERROR(INDEX(Calc!$S$2:$S$1001,MATCH(ROW()-1,Calc!$X$2:$X$1001,0)),"")</f>
        <v/>
      </c>
    </row>
    <row r="699">
      <c r="A699">
        <f>IFERROR(INDEX(Calc!$L$2:$L$1001,MATCH(ROW()-1,Calc!$X$2:$X$1001,0)),"")</f>
        <v/>
      </c>
      <c r="B699">
        <f>IFERROR(INDEX(Calc!$M$2:$M$1001,MATCH(ROW()-1,Calc!$X$2:$X$1001,0)),"")</f>
        <v/>
      </c>
      <c r="C699">
        <f>IFERROR(INDEX(Calc!$N$2:$N$1001,MATCH(ROW()-1,Calc!$X$2:$X$1001,0)),"")</f>
        <v/>
      </c>
      <c r="D699" s="3">
        <f>IFERROR(INDEX(Calc!$O$2:$O$1001,MATCH(ROW()-1,Calc!$X$2:$X$1001,0)),"")</f>
        <v/>
      </c>
      <c r="E699" s="3">
        <f>IFERROR(INDEX(Calc!$P$2:$P$1001,MATCH(ROW()-1,Calc!$X$2:$X$1001,0)),"")</f>
        <v/>
      </c>
      <c r="F699" s="3">
        <f>IF(G699="","",E699-D699)</f>
        <v/>
      </c>
      <c r="G699">
        <f>IFERROR(INDEX(Calc!$S$2:$S$1001,MATCH(ROW()-1,Calc!$X$2:$X$1001,0)),"")</f>
        <v/>
      </c>
    </row>
    <row r="700">
      <c r="A700">
        <f>IFERROR(INDEX(Calc!$L$2:$L$1001,MATCH(ROW()-1,Calc!$X$2:$X$1001,0)),"")</f>
        <v/>
      </c>
      <c r="B700">
        <f>IFERROR(INDEX(Calc!$M$2:$M$1001,MATCH(ROW()-1,Calc!$X$2:$X$1001,0)),"")</f>
        <v/>
      </c>
      <c r="C700">
        <f>IFERROR(INDEX(Calc!$N$2:$N$1001,MATCH(ROW()-1,Calc!$X$2:$X$1001,0)),"")</f>
        <v/>
      </c>
      <c r="D700" s="3">
        <f>IFERROR(INDEX(Calc!$O$2:$O$1001,MATCH(ROW()-1,Calc!$X$2:$X$1001,0)),"")</f>
        <v/>
      </c>
      <c r="E700" s="3">
        <f>IFERROR(INDEX(Calc!$P$2:$P$1001,MATCH(ROW()-1,Calc!$X$2:$X$1001,0)),"")</f>
        <v/>
      </c>
      <c r="F700" s="3">
        <f>IF(G700="","",E700-D700)</f>
        <v/>
      </c>
      <c r="G700">
        <f>IFERROR(INDEX(Calc!$S$2:$S$1001,MATCH(ROW()-1,Calc!$X$2:$X$1001,0)),"")</f>
        <v/>
      </c>
    </row>
    <row r="701">
      <c r="A701">
        <f>IFERROR(INDEX(Calc!$L$2:$L$1001,MATCH(ROW()-1,Calc!$X$2:$X$1001,0)),"")</f>
        <v/>
      </c>
      <c r="B701">
        <f>IFERROR(INDEX(Calc!$M$2:$M$1001,MATCH(ROW()-1,Calc!$X$2:$X$1001,0)),"")</f>
        <v/>
      </c>
      <c r="C701">
        <f>IFERROR(INDEX(Calc!$N$2:$N$1001,MATCH(ROW()-1,Calc!$X$2:$X$1001,0)),"")</f>
        <v/>
      </c>
      <c r="D701" s="3">
        <f>IFERROR(INDEX(Calc!$O$2:$O$1001,MATCH(ROW()-1,Calc!$X$2:$X$1001,0)),"")</f>
        <v/>
      </c>
      <c r="E701" s="3">
        <f>IFERROR(INDEX(Calc!$P$2:$P$1001,MATCH(ROW()-1,Calc!$X$2:$X$1001,0)),"")</f>
        <v/>
      </c>
      <c r="F701" s="3">
        <f>IF(G701="","",E701-D701)</f>
        <v/>
      </c>
      <c r="G701">
        <f>IFERROR(INDEX(Calc!$S$2:$S$1001,MATCH(ROW()-1,Calc!$X$2:$X$1001,0)),"")</f>
        <v/>
      </c>
    </row>
    <row r="702">
      <c r="A702">
        <f>IFERROR(INDEX(Calc!$L$2:$L$1001,MATCH(ROW()-1,Calc!$X$2:$X$1001,0)),"")</f>
        <v/>
      </c>
      <c r="B702">
        <f>IFERROR(INDEX(Calc!$M$2:$M$1001,MATCH(ROW()-1,Calc!$X$2:$X$1001,0)),"")</f>
        <v/>
      </c>
      <c r="C702">
        <f>IFERROR(INDEX(Calc!$N$2:$N$1001,MATCH(ROW()-1,Calc!$X$2:$X$1001,0)),"")</f>
        <v/>
      </c>
      <c r="D702" s="3">
        <f>IFERROR(INDEX(Calc!$O$2:$O$1001,MATCH(ROW()-1,Calc!$X$2:$X$1001,0)),"")</f>
        <v/>
      </c>
      <c r="E702" s="3">
        <f>IFERROR(INDEX(Calc!$P$2:$P$1001,MATCH(ROW()-1,Calc!$X$2:$X$1001,0)),"")</f>
        <v/>
      </c>
      <c r="F702" s="3">
        <f>IF(G702="","",E702-D702)</f>
        <v/>
      </c>
      <c r="G702">
        <f>IFERROR(INDEX(Calc!$S$2:$S$1001,MATCH(ROW()-1,Calc!$X$2:$X$1001,0)),"")</f>
        <v/>
      </c>
    </row>
    <row r="703">
      <c r="A703">
        <f>IFERROR(INDEX(Calc!$L$2:$L$1001,MATCH(ROW()-1,Calc!$X$2:$X$1001,0)),"")</f>
        <v/>
      </c>
      <c r="B703">
        <f>IFERROR(INDEX(Calc!$M$2:$M$1001,MATCH(ROW()-1,Calc!$X$2:$X$1001,0)),"")</f>
        <v/>
      </c>
      <c r="C703">
        <f>IFERROR(INDEX(Calc!$N$2:$N$1001,MATCH(ROW()-1,Calc!$X$2:$X$1001,0)),"")</f>
        <v/>
      </c>
      <c r="D703" s="3">
        <f>IFERROR(INDEX(Calc!$O$2:$O$1001,MATCH(ROW()-1,Calc!$X$2:$X$1001,0)),"")</f>
        <v/>
      </c>
      <c r="E703" s="3">
        <f>IFERROR(INDEX(Calc!$P$2:$P$1001,MATCH(ROW()-1,Calc!$X$2:$X$1001,0)),"")</f>
        <v/>
      </c>
      <c r="F703" s="3">
        <f>IF(G703="","",E703-D703)</f>
        <v/>
      </c>
      <c r="G703">
        <f>IFERROR(INDEX(Calc!$S$2:$S$1001,MATCH(ROW()-1,Calc!$X$2:$X$1001,0)),"")</f>
        <v/>
      </c>
    </row>
    <row r="704">
      <c r="A704">
        <f>IFERROR(INDEX(Calc!$L$2:$L$1001,MATCH(ROW()-1,Calc!$X$2:$X$1001,0)),"")</f>
        <v/>
      </c>
      <c r="B704">
        <f>IFERROR(INDEX(Calc!$M$2:$M$1001,MATCH(ROW()-1,Calc!$X$2:$X$1001,0)),"")</f>
        <v/>
      </c>
      <c r="C704">
        <f>IFERROR(INDEX(Calc!$N$2:$N$1001,MATCH(ROW()-1,Calc!$X$2:$X$1001,0)),"")</f>
        <v/>
      </c>
      <c r="D704" s="3">
        <f>IFERROR(INDEX(Calc!$O$2:$O$1001,MATCH(ROW()-1,Calc!$X$2:$X$1001,0)),"")</f>
        <v/>
      </c>
      <c r="E704" s="3">
        <f>IFERROR(INDEX(Calc!$P$2:$P$1001,MATCH(ROW()-1,Calc!$X$2:$X$1001,0)),"")</f>
        <v/>
      </c>
      <c r="F704" s="3">
        <f>IF(G704="","",E704-D704)</f>
        <v/>
      </c>
      <c r="G704">
        <f>IFERROR(INDEX(Calc!$S$2:$S$1001,MATCH(ROW()-1,Calc!$X$2:$X$1001,0)),"")</f>
        <v/>
      </c>
    </row>
    <row r="705">
      <c r="A705">
        <f>IFERROR(INDEX(Calc!$L$2:$L$1001,MATCH(ROW()-1,Calc!$X$2:$X$1001,0)),"")</f>
        <v/>
      </c>
      <c r="B705">
        <f>IFERROR(INDEX(Calc!$M$2:$M$1001,MATCH(ROW()-1,Calc!$X$2:$X$1001,0)),"")</f>
        <v/>
      </c>
      <c r="C705">
        <f>IFERROR(INDEX(Calc!$N$2:$N$1001,MATCH(ROW()-1,Calc!$X$2:$X$1001,0)),"")</f>
        <v/>
      </c>
      <c r="D705" s="3">
        <f>IFERROR(INDEX(Calc!$O$2:$O$1001,MATCH(ROW()-1,Calc!$X$2:$X$1001,0)),"")</f>
        <v/>
      </c>
      <c r="E705" s="3">
        <f>IFERROR(INDEX(Calc!$P$2:$P$1001,MATCH(ROW()-1,Calc!$X$2:$X$1001,0)),"")</f>
        <v/>
      </c>
      <c r="F705" s="3">
        <f>IF(G705="","",E705-D705)</f>
        <v/>
      </c>
      <c r="G705">
        <f>IFERROR(INDEX(Calc!$S$2:$S$1001,MATCH(ROW()-1,Calc!$X$2:$X$1001,0)),"")</f>
        <v/>
      </c>
    </row>
    <row r="706">
      <c r="A706">
        <f>IFERROR(INDEX(Calc!$L$2:$L$1001,MATCH(ROW()-1,Calc!$X$2:$X$1001,0)),"")</f>
        <v/>
      </c>
      <c r="B706">
        <f>IFERROR(INDEX(Calc!$M$2:$M$1001,MATCH(ROW()-1,Calc!$X$2:$X$1001,0)),"")</f>
        <v/>
      </c>
      <c r="C706">
        <f>IFERROR(INDEX(Calc!$N$2:$N$1001,MATCH(ROW()-1,Calc!$X$2:$X$1001,0)),"")</f>
        <v/>
      </c>
      <c r="D706" s="3">
        <f>IFERROR(INDEX(Calc!$O$2:$O$1001,MATCH(ROW()-1,Calc!$X$2:$X$1001,0)),"")</f>
        <v/>
      </c>
      <c r="E706" s="3">
        <f>IFERROR(INDEX(Calc!$P$2:$P$1001,MATCH(ROW()-1,Calc!$X$2:$X$1001,0)),"")</f>
        <v/>
      </c>
      <c r="F706" s="3">
        <f>IF(G706="","",E706-D706)</f>
        <v/>
      </c>
      <c r="G706">
        <f>IFERROR(INDEX(Calc!$S$2:$S$1001,MATCH(ROW()-1,Calc!$X$2:$X$1001,0)),"")</f>
        <v/>
      </c>
    </row>
    <row r="707">
      <c r="A707">
        <f>IFERROR(INDEX(Calc!$L$2:$L$1001,MATCH(ROW()-1,Calc!$X$2:$X$1001,0)),"")</f>
        <v/>
      </c>
      <c r="B707">
        <f>IFERROR(INDEX(Calc!$M$2:$M$1001,MATCH(ROW()-1,Calc!$X$2:$X$1001,0)),"")</f>
        <v/>
      </c>
      <c r="C707">
        <f>IFERROR(INDEX(Calc!$N$2:$N$1001,MATCH(ROW()-1,Calc!$X$2:$X$1001,0)),"")</f>
        <v/>
      </c>
      <c r="D707" s="3">
        <f>IFERROR(INDEX(Calc!$O$2:$O$1001,MATCH(ROW()-1,Calc!$X$2:$X$1001,0)),"")</f>
        <v/>
      </c>
      <c r="E707" s="3">
        <f>IFERROR(INDEX(Calc!$P$2:$P$1001,MATCH(ROW()-1,Calc!$X$2:$X$1001,0)),"")</f>
        <v/>
      </c>
      <c r="F707" s="3">
        <f>IF(G707="","",E707-D707)</f>
        <v/>
      </c>
      <c r="G707">
        <f>IFERROR(INDEX(Calc!$S$2:$S$1001,MATCH(ROW()-1,Calc!$X$2:$X$1001,0)),"")</f>
        <v/>
      </c>
    </row>
    <row r="708">
      <c r="A708">
        <f>IFERROR(INDEX(Calc!$L$2:$L$1001,MATCH(ROW()-1,Calc!$X$2:$X$1001,0)),"")</f>
        <v/>
      </c>
      <c r="B708">
        <f>IFERROR(INDEX(Calc!$M$2:$M$1001,MATCH(ROW()-1,Calc!$X$2:$X$1001,0)),"")</f>
        <v/>
      </c>
      <c r="C708">
        <f>IFERROR(INDEX(Calc!$N$2:$N$1001,MATCH(ROW()-1,Calc!$X$2:$X$1001,0)),"")</f>
        <v/>
      </c>
      <c r="D708" s="3">
        <f>IFERROR(INDEX(Calc!$O$2:$O$1001,MATCH(ROW()-1,Calc!$X$2:$X$1001,0)),"")</f>
        <v/>
      </c>
      <c r="E708" s="3">
        <f>IFERROR(INDEX(Calc!$P$2:$P$1001,MATCH(ROW()-1,Calc!$X$2:$X$1001,0)),"")</f>
        <v/>
      </c>
      <c r="F708" s="3">
        <f>IF(G708="","",E708-D708)</f>
        <v/>
      </c>
      <c r="G708">
        <f>IFERROR(INDEX(Calc!$S$2:$S$1001,MATCH(ROW()-1,Calc!$X$2:$X$1001,0)),"")</f>
        <v/>
      </c>
    </row>
    <row r="709">
      <c r="A709">
        <f>IFERROR(INDEX(Calc!$L$2:$L$1001,MATCH(ROW()-1,Calc!$X$2:$X$1001,0)),"")</f>
        <v/>
      </c>
      <c r="B709">
        <f>IFERROR(INDEX(Calc!$M$2:$M$1001,MATCH(ROW()-1,Calc!$X$2:$X$1001,0)),"")</f>
        <v/>
      </c>
      <c r="C709">
        <f>IFERROR(INDEX(Calc!$N$2:$N$1001,MATCH(ROW()-1,Calc!$X$2:$X$1001,0)),"")</f>
        <v/>
      </c>
      <c r="D709" s="3">
        <f>IFERROR(INDEX(Calc!$O$2:$O$1001,MATCH(ROW()-1,Calc!$X$2:$X$1001,0)),"")</f>
        <v/>
      </c>
      <c r="E709" s="3">
        <f>IFERROR(INDEX(Calc!$P$2:$P$1001,MATCH(ROW()-1,Calc!$X$2:$X$1001,0)),"")</f>
        <v/>
      </c>
      <c r="F709" s="3">
        <f>IF(G709="","",E709-D709)</f>
        <v/>
      </c>
      <c r="G709">
        <f>IFERROR(INDEX(Calc!$S$2:$S$1001,MATCH(ROW()-1,Calc!$X$2:$X$1001,0)),"")</f>
        <v/>
      </c>
    </row>
    <row r="710">
      <c r="A710">
        <f>IFERROR(INDEX(Calc!$L$2:$L$1001,MATCH(ROW()-1,Calc!$X$2:$X$1001,0)),"")</f>
        <v/>
      </c>
      <c r="B710">
        <f>IFERROR(INDEX(Calc!$M$2:$M$1001,MATCH(ROW()-1,Calc!$X$2:$X$1001,0)),"")</f>
        <v/>
      </c>
      <c r="C710">
        <f>IFERROR(INDEX(Calc!$N$2:$N$1001,MATCH(ROW()-1,Calc!$X$2:$X$1001,0)),"")</f>
        <v/>
      </c>
      <c r="D710" s="3">
        <f>IFERROR(INDEX(Calc!$O$2:$O$1001,MATCH(ROW()-1,Calc!$X$2:$X$1001,0)),"")</f>
        <v/>
      </c>
      <c r="E710" s="3">
        <f>IFERROR(INDEX(Calc!$P$2:$P$1001,MATCH(ROW()-1,Calc!$X$2:$X$1001,0)),"")</f>
        <v/>
      </c>
      <c r="F710" s="3">
        <f>IF(G710="","",E710-D710)</f>
        <v/>
      </c>
      <c r="G710">
        <f>IFERROR(INDEX(Calc!$S$2:$S$1001,MATCH(ROW()-1,Calc!$X$2:$X$1001,0)),"")</f>
        <v/>
      </c>
    </row>
    <row r="711">
      <c r="A711">
        <f>IFERROR(INDEX(Calc!$L$2:$L$1001,MATCH(ROW()-1,Calc!$X$2:$X$1001,0)),"")</f>
        <v/>
      </c>
      <c r="B711">
        <f>IFERROR(INDEX(Calc!$M$2:$M$1001,MATCH(ROW()-1,Calc!$X$2:$X$1001,0)),"")</f>
        <v/>
      </c>
      <c r="C711">
        <f>IFERROR(INDEX(Calc!$N$2:$N$1001,MATCH(ROW()-1,Calc!$X$2:$X$1001,0)),"")</f>
        <v/>
      </c>
      <c r="D711" s="3">
        <f>IFERROR(INDEX(Calc!$O$2:$O$1001,MATCH(ROW()-1,Calc!$X$2:$X$1001,0)),"")</f>
        <v/>
      </c>
      <c r="E711" s="3">
        <f>IFERROR(INDEX(Calc!$P$2:$P$1001,MATCH(ROW()-1,Calc!$X$2:$X$1001,0)),"")</f>
        <v/>
      </c>
      <c r="F711" s="3">
        <f>IF(G711="","",E711-D711)</f>
        <v/>
      </c>
      <c r="G711">
        <f>IFERROR(INDEX(Calc!$S$2:$S$1001,MATCH(ROW()-1,Calc!$X$2:$X$1001,0)),"")</f>
        <v/>
      </c>
    </row>
    <row r="712">
      <c r="A712">
        <f>IFERROR(INDEX(Calc!$L$2:$L$1001,MATCH(ROW()-1,Calc!$X$2:$X$1001,0)),"")</f>
        <v/>
      </c>
      <c r="B712">
        <f>IFERROR(INDEX(Calc!$M$2:$M$1001,MATCH(ROW()-1,Calc!$X$2:$X$1001,0)),"")</f>
        <v/>
      </c>
      <c r="C712">
        <f>IFERROR(INDEX(Calc!$N$2:$N$1001,MATCH(ROW()-1,Calc!$X$2:$X$1001,0)),"")</f>
        <v/>
      </c>
      <c r="D712" s="3">
        <f>IFERROR(INDEX(Calc!$O$2:$O$1001,MATCH(ROW()-1,Calc!$X$2:$X$1001,0)),"")</f>
        <v/>
      </c>
      <c r="E712" s="3">
        <f>IFERROR(INDEX(Calc!$P$2:$P$1001,MATCH(ROW()-1,Calc!$X$2:$X$1001,0)),"")</f>
        <v/>
      </c>
      <c r="F712" s="3">
        <f>IF(G712="","",E712-D712)</f>
        <v/>
      </c>
      <c r="G712">
        <f>IFERROR(INDEX(Calc!$S$2:$S$1001,MATCH(ROW()-1,Calc!$X$2:$X$1001,0)),"")</f>
        <v/>
      </c>
    </row>
    <row r="713">
      <c r="A713">
        <f>IFERROR(INDEX(Calc!$L$2:$L$1001,MATCH(ROW()-1,Calc!$X$2:$X$1001,0)),"")</f>
        <v/>
      </c>
      <c r="B713">
        <f>IFERROR(INDEX(Calc!$M$2:$M$1001,MATCH(ROW()-1,Calc!$X$2:$X$1001,0)),"")</f>
        <v/>
      </c>
      <c r="C713">
        <f>IFERROR(INDEX(Calc!$N$2:$N$1001,MATCH(ROW()-1,Calc!$X$2:$X$1001,0)),"")</f>
        <v/>
      </c>
      <c r="D713" s="3">
        <f>IFERROR(INDEX(Calc!$O$2:$O$1001,MATCH(ROW()-1,Calc!$X$2:$X$1001,0)),"")</f>
        <v/>
      </c>
      <c r="E713" s="3">
        <f>IFERROR(INDEX(Calc!$P$2:$P$1001,MATCH(ROW()-1,Calc!$X$2:$X$1001,0)),"")</f>
        <v/>
      </c>
      <c r="F713" s="3">
        <f>IF(G713="","",E713-D713)</f>
        <v/>
      </c>
      <c r="G713">
        <f>IFERROR(INDEX(Calc!$S$2:$S$1001,MATCH(ROW()-1,Calc!$X$2:$X$1001,0)),"")</f>
        <v/>
      </c>
    </row>
    <row r="714">
      <c r="A714">
        <f>IFERROR(INDEX(Calc!$L$2:$L$1001,MATCH(ROW()-1,Calc!$X$2:$X$1001,0)),"")</f>
        <v/>
      </c>
      <c r="B714">
        <f>IFERROR(INDEX(Calc!$M$2:$M$1001,MATCH(ROW()-1,Calc!$X$2:$X$1001,0)),"")</f>
        <v/>
      </c>
      <c r="C714">
        <f>IFERROR(INDEX(Calc!$N$2:$N$1001,MATCH(ROW()-1,Calc!$X$2:$X$1001,0)),"")</f>
        <v/>
      </c>
      <c r="D714" s="3">
        <f>IFERROR(INDEX(Calc!$O$2:$O$1001,MATCH(ROW()-1,Calc!$X$2:$X$1001,0)),"")</f>
        <v/>
      </c>
      <c r="E714" s="3">
        <f>IFERROR(INDEX(Calc!$P$2:$P$1001,MATCH(ROW()-1,Calc!$X$2:$X$1001,0)),"")</f>
        <v/>
      </c>
      <c r="F714" s="3">
        <f>IF(G714="","",E714-D714)</f>
        <v/>
      </c>
      <c r="G714">
        <f>IFERROR(INDEX(Calc!$S$2:$S$1001,MATCH(ROW()-1,Calc!$X$2:$X$1001,0)),"")</f>
        <v/>
      </c>
    </row>
    <row r="715">
      <c r="A715">
        <f>IFERROR(INDEX(Calc!$L$2:$L$1001,MATCH(ROW()-1,Calc!$X$2:$X$1001,0)),"")</f>
        <v/>
      </c>
      <c r="B715">
        <f>IFERROR(INDEX(Calc!$M$2:$M$1001,MATCH(ROW()-1,Calc!$X$2:$X$1001,0)),"")</f>
        <v/>
      </c>
      <c r="C715">
        <f>IFERROR(INDEX(Calc!$N$2:$N$1001,MATCH(ROW()-1,Calc!$X$2:$X$1001,0)),"")</f>
        <v/>
      </c>
      <c r="D715" s="3">
        <f>IFERROR(INDEX(Calc!$O$2:$O$1001,MATCH(ROW()-1,Calc!$X$2:$X$1001,0)),"")</f>
        <v/>
      </c>
      <c r="E715" s="3">
        <f>IFERROR(INDEX(Calc!$P$2:$P$1001,MATCH(ROW()-1,Calc!$X$2:$X$1001,0)),"")</f>
        <v/>
      </c>
      <c r="F715" s="3">
        <f>IF(G715="","",E715-D715)</f>
        <v/>
      </c>
      <c r="G715">
        <f>IFERROR(INDEX(Calc!$S$2:$S$1001,MATCH(ROW()-1,Calc!$X$2:$X$1001,0)),"")</f>
        <v/>
      </c>
    </row>
    <row r="716">
      <c r="A716">
        <f>IFERROR(INDEX(Calc!$L$2:$L$1001,MATCH(ROW()-1,Calc!$X$2:$X$1001,0)),"")</f>
        <v/>
      </c>
      <c r="B716">
        <f>IFERROR(INDEX(Calc!$M$2:$M$1001,MATCH(ROW()-1,Calc!$X$2:$X$1001,0)),"")</f>
        <v/>
      </c>
      <c r="C716">
        <f>IFERROR(INDEX(Calc!$N$2:$N$1001,MATCH(ROW()-1,Calc!$X$2:$X$1001,0)),"")</f>
        <v/>
      </c>
      <c r="D716" s="3">
        <f>IFERROR(INDEX(Calc!$O$2:$O$1001,MATCH(ROW()-1,Calc!$X$2:$X$1001,0)),"")</f>
        <v/>
      </c>
      <c r="E716" s="3">
        <f>IFERROR(INDEX(Calc!$P$2:$P$1001,MATCH(ROW()-1,Calc!$X$2:$X$1001,0)),"")</f>
        <v/>
      </c>
      <c r="F716" s="3">
        <f>IF(G716="","",E716-D716)</f>
        <v/>
      </c>
      <c r="G716">
        <f>IFERROR(INDEX(Calc!$S$2:$S$1001,MATCH(ROW()-1,Calc!$X$2:$X$1001,0)),"")</f>
        <v/>
      </c>
    </row>
    <row r="717">
      <c r="A717">
        <f>IFERROR(INDEX(Calc!$L$2:$L$1001,MATCH(ROW()-1,Calc!$X$2:$X$1001,0)),"")</f>
        <v/>
      </c>
      <c r="B717">
        <f>IFERROR(INDEX(Calc!$M$2:$M$1001,MATCH(ROW()-1,Calc!$X$2:$X$1001,0)),"")</f>
        <v/>
      </c>
      <c r="C717">
        <f>IFERROR(INDEX(Calc!$N$2:$N$1001,MATCH(ROW()-1,Calc!$X$2:$X$1001,0)),"")</f>
        <v/>
      </c>
      <c r="D717" s="3">
        <f>IFERROR(INDEX(Calc!$O$2:$O$1001,MATCH(ROW()-1,Calc!$X$2:$X$1001,0)),"")</f>
        <v/>
      </c>
      <c r="E717" s="3">
        <f>IFERROR(INDEX(Calc!$P$2:$P$1001,MATCH(ROW()-1,Calc!$X$2:$X$1001,0)),"")</f>
        <v/>
      </c>
      <c r="F717" s="3">
        <f>IF(G717="","",E717-D717)</f>
        <v/>
      </c>
      <c r="G717">
        <f>IFERROR(INDEX(Calc!$S$2:$S$1001,MATCH(ROW()-1,Calc!$X$2:$X$1001,0)),"")</f>
        <v/>
      </c>
    </row>
    <row r="718">
      <c r="A718">
        <f>IFERROR(INDEX(Calc!$L$2:$L$1001,MATCH(ROW()-1,Calc!$X$2:$X$1001,0)),"")</f>
        <v/>
      </c>
      <c r="B718">
        <f>IFERROR(INDEX(Calc!$M$2:$M$1001,MATCH(ROW()-1,Calc!$X$2:$X$1001,0)),"")</f>
        <v/>
      </c>
      <c r="C718">
        <f>IFERROR(INDEX(Calc!$N$2:$N$1001,MATCH(ROW()-1,Calc!$X$2:$X$1001,0)),"")</f>
        <v/>
      </c>
      <c r="D718" s="3">
        <f>IFERROR(INDEX(Calc!$O$2:$O$1001,MATCH(ROW()-1,Calc!$X$2:$X$1001,0)),"")</f>
        <v/>
      </c>
      <c r="E718" s="3">
        <f>IFERROR(INDEX(Calc!$P$2:$P$1001,MATCH(ROW()-1,Calc!$X$2:$X$1001,0)),"")</f>
        <v/>
      </c>
      <c r="F718" s="3">
        <f>IF(G718="","",E718-D718)</f>
        <v/>
      </c>
      <c r="G718">
        <f>IFERROR(INDEX(Calc!$S$2:$S$1001,MATCH(ROW()-1,Calc!$X$2:$X$1001,0)),"")</f>
        <v/>
      </c>
    </row>
    <row r="719">
      <c r="A719">
        <f>IFERROR(INDEX(Calc!$L$2:$L$1001,MATCH(ROW()-1,Calc!$X$2:$X$1001,0)),"")</f>
        <v/>
      </c>
      <c r="B719">
        <f>IFERROR(INDEX(Calc!$M$2:$M$1001,MATCH(ROW()-1,Calc!$X$2:$X$1001,0)),"")</f>
        <v/>
      </c>
      <c r="C719">
        <f>IFERROR(INDEX(Calc!$N$2:$N$1001,MATCH(ROW()-1,Calc!$X$2:$X$1001,0)),"")</f>
        <v/>
      </c>
      <c r="D719" s="3">
        <f>IFERROR(INDEX(Calc!$O$2:$O$1001,MATCH(ROW()-1,Calc!$X$2:$X$1001,0)),"")</f>
        <v/>
      </c>
      <c r="E719" s="3">
        <f>IFERROR(INDEX(Calc!$P$2:$P$1001,MATCH(ROW()-1,Calc!$X$2:$X$1001,0)),"")</f>
        <v/>
      </c>
      <c r="F719" s="3">
        <f>IF(G719="","",E719-D719)</f>
        <v/>
      </c>
      <c r="G719">
        <f>IFERROR(INDEX(Calc!$S$2:$S$1001,MATCH(ROW()-1,Calc!$X$2:$X$1001,0)),"")</f>
        <v/>
      </c>
    </row>
    <row r="720">
      <c r="A720">
        <f>IFERROR(INDEX(Calc!$L$2:$L$1001,MATCH(ROW()-1,Calc!$X$2:$X$1001,0)),"")</f>
        <v/>
      </c>
      <c r="B720">
        <f>IFERROR(INDEX(Calc!$M$2:$M$1001,MATCH(ROW()-1,Calc!$X$2:$X$1001,0)),"")</f>
        <v/>
      </c>
      <c r="C720">
        <f>IFERROR(INDEX(Calc!$N$2:$N$1001,MATCH(ROW()-1,Calc!$X$2:$X$1001,0)),"")</f>
        <v/>
      </c>
      <c r="D720" s="3">
        <f>IFERROR(INDEX(Calc!$O$2:$O$1001,MATCH(ROW()-1,Calc!$X$2:$X$1001,0)),"")</f>
        <v/>
      </c>
      <c r="E720" s="3">
        <f>IFERROR(INDEX(Calc!$P$2:$P$1001,MATCH(ROW()-1,Calc!$X$2:$X$1001,0)),"")</f>
        <v/>
      </c>
      <c r="F720" s="3">
        <f>IF(G720="","",E720-D720)</f>
        <v/>
      </c>
      <c r="G720">
        <f>IFERROR(INDEX(Calc!$S$2:$S$1001,MATCH(ROW()-1,Calc!$X$2:$X$1001,0)),"")</f>
        <v/>
      </c>
    </row>
    <row r="721">
      <c r="A721">
        <f>IFERROR(INDEX(Calc!$L$2:$L$1001,MATCH(ROW()-1,Calc!$X$2:$X$1001,0)),"")</f>
        <v/>
      </c>
      <c r="B721">
        <f>IFERROR(INDEX(Calc!$M$2:$M$1001,MATCH(ROW()-1,Calc!$X$2:$X$1001,0)),"")</f>
        <v/>
      </c>
      <c r="C721">
        <f>IFERROR(INDEX(Calc!$N$2:$N$1001,MATCH(ROW()-1,Calc!$X$2:$X$1001,0)),"")</f>
        <v/>
      </c>
      <c r="D721" s="3">
        <f>IFERROR(INDEX(Calc!$O$2:$O$1001,MATCH(ROW()-1,Calc!$X$2:$X$1001,0)),"")</f>
        <v/>
      </c>
      <c r="E721" s="3">
        <f>IFERROR(INDEX(Calc!$P$2:$P$1001,MATCH(ROW()-1,Calc!$X$2:$X$1001,0)),"")</f>
        <v/>
      </c>
      <c r="F721" s="3">
        <f>IF(G721="","",E721-D721)</f>
        <v/>
      </c>
      <c r="G721">
        <f>IFERROR(INDEX(Calc!$S$2:$S$1001,MATCH(ROW()-1,Calc!$X$2:$X$1001,0)),"")</f>
        <v/>
      </c>
    </row>
    <row r="722">
      <c r="A722">
        <f>IFERROR(INDEX(Calc!$L$2:$L$1001,MATCH(ROW()-1,Calc!$X$2:$X$1001,0)),"")</f>
        <v/>
      </c>
      <c r="B722">
        <f>IFERROR(INDEX(Calc!$M$2:$M$1001,MATCH(ROW()-1,Calc!$X$2:$X$1001,0)),"")</f>
        <v/>
      </c>
      <c r="C722">
        <f>IFERROR(INDEX(Calc!$N$2:$N$1001,MATCH(ROW()-1,Calc!$X$2:$X$1001,0)),"")</f>
        <v/>
      </c>
      <c r="D722" s="3">
        <f>IFERROR(INDEX(Calc!$O$2:$O$1001,MATCH(ROW()-1,Calc!$X$2:$X$1001,0)),"")</f>
        <v/>
      </c>
      <c r="E722" s="3">
        <f>IFERROR(INDEX(Calc!$P$2:$P$1001,MATCH(ROW()-1,Calc!$X$2:$X$1001,0)),"")</f>
        <v/>
      </c>
      <c r="F722" s="3">
        <f>IF(G722="","",E722-D722)</f>
        <v/>
      </c>
      <c r="G722">
        <f>IFERROR(INDEX(Calc!$S$2:$S$1001,MATCH(ROW()-1,Calc!$X$2:$X$1001,0)),"")</f>
        <v/>
      </c>
    </row>
    <row r="723">
      <c r="A723">
        <f>IFERROR(INDEX(Calc!$L$2:$L$1001,MATCH(ROW()-1,Calc!$X$2:$X$1001,0)),"")</f>
        <v/>
      </c>
      <c r="B723">
        <f>IFERROR(INDEX(Calc!$M$2:$M$1001,MATCH(ROW()-1,Calc!$X$2:$X$1001,0)),"")</f>
        <v/>
      </c>
      <c r="C723">
        <f>IFERROR(INDEX(Calc!$N$2:$N$1001,MATCH(ROW()-1,Calc!$X$2:$X$1001,0)),"")</f>
        <v/>
      </c>
      <c r="D723" s="3">
        <f>IFERROR(INDEX(Calc!$O$2:$O$1001,MATCH(ROW()-1,Calc!$X$2:$X$1001,0)),"")</f>
        <v/>
      </c>
      <c r="E723" s="3">
        <f>IFERROR(INDEX(Calc!$P$2:$P$1001,MATCH(ROW()-1,Calc!$X$2:$X$1001,0)),"")</f>
        <v/>
      </c>
      <c r="F723" s="3">
        <f>IF(G723="","",E723-D723)</f>
        <v/>
      </c>
      <c r="G723">
        <f>IFERROR(INDEX(Calc!$S$2:$S$1001,MATCH(ROW()-1,Calc!$X$2:$X$1001,0)),"")</f>
        <v/>
      </c>
    </row>
    <row r="724">
      <c r="A724">
        <f>IFERROR(INDEX(Calc!$L$2:$L$1001,MATCH(ROW()-1,Calc!$X$2:$X$1001,0)),"")</f>
        <v/>
      </c>
      <c r="B724">
        <f>IFERROR(INDEX(Calc!$M$2:$M$1001,MATCH(ROW()-1,Calc!$X$2:$X$1001,0)),"")</f>
        <v/>
      </c>
      <c r="C724">
        <f>IFERROR(INDEX(Calc!$N$2:$N$1001,MATCH(ROW()-1,Calc!$X$2:$X$1001,0)),"")</f>
        <v/>
      </c>
      <c r="D724" s="3">
        <f>IFERROR(INDEX(Calc!$O$2:$O$1001,MATCH(ROW()-1,Calc!$X$2:$X$1001,0)),"")</f>
        <v/>
      </c>
      <c r="E724" s="3">
        <f>IFERROR(INDEX(Calc!$P$2:$P$1001,MATCH(ROW()-1,Calc!$X$2:$X$1001,0)),"")</f>
        <v/>
      </c>
      <c r="F724" s="3">
        <f>IF(G724="","",E724-D724)</f>
        <v/>
      </c>
      <c r="G724">
        <f>IFERROR(INDEX(Calc!$S$2:$S$1001,MATCH(ROW()-1,Calc!$X$2:$X$1001,0)),"")</f>
        <v/>
      </c>
    </row>
    <row r="725">
      <c r="A725">
        <f>IFERROR(INDEX(Calc!$L$2:$L$1001,MATCH(ROW()-1,Calc!$X$2:$X$1001,0)),"")</f>
        <v/>
      </c>
      <c r="B725">
        <f>IFERROR(INDEX(Calc!$M$2:$M$1001,MATCH(ROW()-1,Calc!$X$2:$X$1001,0)),"")</f>
        <v/>
      </c>
      <c r="C725">
        <f>IFERROR(INDEX(Calc!$N$2:$N$1001,MATCH(ROW()-1,Calc!$X$2:$X$1001,0)),"")</f>
        <v/>
      </c>
      <c r="D725" s="3">
        <f>IFERROR(INDEX(Calc!$O$2:$O$1001,MATCH(ROW()-1,Calc!$X$2:$X$1001,0)),"")</f>
        <v/>
      </c>
      <c r="E725" s="3">
        <f>IFERROR(INDEX(Calc!$P$2:$P$1001,MATCH(ROW()-1,Calc!$X$2:$X$1001,0)),"")</f>
        <v/>
      </c>
      <c r="F725" s="3">
        <f>IF(G725="","",E725-D725)</f>
        <v/>
      </c>
      <c r="G725">
        <f>IFERROR(INDEX(Calc!$S$2:$S$1001,MATCH(ROW()-1,Calc!$X$2:$X$1001,0)),"")</f>
        <v/>
      </c>
    </row>
    <row r="726">
      <c r="A726">
        <f>IFERROR(INDEX(Calc!$L$2:$L$1001,MATCH(ROW()-1,Calc!$X$2:$X$1001,0)),"")</f>
        <v/>
      </c>
      <c r="B726">
        <f>IFERROR(INDEX(Calc!$M$2:$M$1001,MATCH(ROW()-1,Calc!$X$2:$X$1001,0)),"")</f>
        <v/>
      </c>
      <c r="C726">
        <f>IFERROR(INDEX(Calc!$N$2:$N$1001,MATCH(ROW()-1,Calc!$X$2:$X$1001,0)),"")</f>
        <v/>
      </c>
      <c r="D726" s="3">
        <f>IFERROR(INDEX(Calc!$O$2:$O$1001,MATCH(ROW()-1,Calc!$X$2:$X$1001,0)),"")</f>
        <v/>
      </c>
      <c r="E726" s="3">
        <f>IFERROR(INDEX(Calc!$P$2:$P$1001,MATCH(ROW()-1,Calc!$X$2:$X$1001,0)),"")</f>
        <v/>
      </c>
      <c r="F726" s="3">
        <f>IF(G726="","",E726-D726)</f>
        <v/>
      </c>
      <c r="G726">
        <f>IFERROR(INDEX(Calc!$S$2:$S$1001,MATCH(ROW()-1,Calc!$X$2:$X$1001,0)),"")</f>
        <v/>
      </c>
    </row>
    <row r="727">
      <c r="A727">
        <f>IFERROR(INDEX(Calc!$L$2:$L$1001,MATCH(ROW()-1,Calc!$X$2:$X$1001,0)),"")</f>
        <v/>
      </c>
      <c r="B727">
        <f>IFERROR(INDEX(Calc!$M$2:$M$1001,MATCH(ROW()-1,Calc!$X$2:$X$1001,0)),"")</f>
        <v/>
      </c>
      <c r="C727">
        <f>IFERROR(INDEX(Calc!$N$2:$N$1001,MATCH(ROW()-1,Calc!$X$2:$X$1001,0)),"")</f>
        <v/>
      </c>
      <c r="D727" s="3">
        <f>IFERROR(INDEX(Calc!$O$2:$O$1001,MATCH(ROW()-1,Calc!$X$2:$X$1001,0)),"")</f>
        <v/>
      </c>
      <c r="E727" s="3">
        <f>IFERROR(INDEX(Calc!$P$2:$P$1001,MATCH(ROW()-1,Calc!$X$2:$X$1001,0)),"")</f>
        <v/>
      </c>
      <c r="F727" s="3">
        <f>IF(G727="","",E727-D727)</f>
        <v/>
      </c>
      <c r="G727">
        <f>IFERROR(INDEX(Calc!$S$2:$S$1001,MATCH(ROW()-1,Calc!$X$2:$X$1001,0)),"")</f>
        <v/>
      </c>
    </row>
    <row r="728">
      <c r="A728">
        <f>IFERROR(INDEX(Calc!$L$2:$L$1001,MATCH(ROW()-1,Calc!$X$2:$X$1001,0)),"")</f>
        <v/>
      </c>
      <c r="B728">
        <f>IFERROR(INDEX(Calc!$M$2:$M$1001,MATCH(ROW()-1,Calc!$X$2:$X$1001,0)),"")</f>
        <v/>
      </c>
      <c r="C728">
        <f>IFERROR(INDEX(Calc!$N$2:$N$1001,MATCH(ROW()-1,Calc!$X$2:$X$1001,0)),"")</f>
        <v/>
      </c>
      <c r="D728" s="3">
        <f>IFERROR(INDEX(Calc!$O$2:$O$1001,MATCH(ROW()-1,Calc!$X$2:$X$1001,0)),"")</f>
        <v/>
      </c>
      <c r="E728" s="3">
        <f>IFERROR(INDEX(Calc!$P$2:$P$1001,MATCH(ROW()-1,Calc!$X$2:$X$1001,0)),"")</f>
        <v/>
      </c>
      <c r="F728" s="3">
        <f>IF(G728="","",E728-D728)</f>
        <v/>
      </c>
      <c r="G728">
        <f>IFERROR(INDEX(Calc!$S$2:$S$1001,MATCH(ROW()-1,Calc!$X$2:$X$1001,0)),"")</f>
        <v/>
      </c>
    </row>
    <row r="729">
      <c r="A729">
        <f>IFERROR(INDEX(Calc!$L$2:$L$1001,MATCH(ROW()-1,Calc!$X$2:$X$1001,0)),"")</f>
        <v/>
      </c>
      <c r="B729">
        <f>IFERROR(INDEX(Calc!$M$2:$M$1001,MATCH(ROW()-1,Calc!$X$2:$X$1001,0)),"")</f>
        <v/>
      </c>
      <c r="C729">
        <f>IFERROR(INDEX(Calc!$N$2:$N$1001,MATCH(ROW()-1,Calc!$X$2:$X$1001,0)),"")</f>
        <v/>
      </c>
      <c r="D729" s="3">
        <f>IFERROR(INDEX(Calc!$O$2:$O$1001,MATCH(ROW()-1,Calc!$X$2:$X$1001,0)),"")</f>
        <v/>
      </c>
      <c r="E729" s="3">
        <f>IFERROR(INDEX(Calc!$P$2:$P$1001,MATCH(ROW()-1,Calc!$X$2:$X$1001,0)),"")</f>
        <v/>
      </c>
      <c r="F729" s="3">
        <f>IF(G729="","",E729-D729)</f>
        <v/>
      </c>
      <c r="G729">
        <f>IFERROR(INDEX(Calc!$S$2:$S$1001,MATCH(ROW()-1,Calc!$X$2:$X$1001,0)),"")</f>
        <v/>
      </c>
    </row>
    <row r="730">
      <c r="A730">
        <f>IFERROR(INDEX(Calc!$L$2:$L$1001,MATCH(ROW()-1,Calc!$X$2:$X$1001,0)),"")</f>
        <v/>
      </c>
      <c r="B730">
        <f>IFERROR(INDEX(Calc!$M$2:$M$1001,MATCH(ROW()-1,Calc!$X$2:$X$1001,0)),"")</f>
        <v/>
      </c>
      <c r="C730">
        <f>IFERROR(INDEX(Calc!$N$2:$N$1001,MATCH(ROW()-1,Calc!$X$2:$X$1001,0)),"")</f>
        <v/>
      </c>
      <c r="D730" s="3">
        <f>IFERROR(INDEX(Calc!$O$2:$O$1001,MATCH(ROW()-1,Calc!$X$2:$X$1001,0)),"")</f>
        <v/>
      </c>
      <c r="E730" s="3">
        <f>IFERROR(INDEX(Calc!$P$2:$P$1001,MATCH(ROW()-1,Calc!$X$2:$X$1001,0)),"")</f>
        <v/>
      </c>
      <c r="F730" s="3">
        <f>IF(G730="","",E730-D730)</f>
        <v/>
      </c>
      <c r="G730">
        <f>IFERROR(INDEX(Calc!$S$2:$S$1001,MATCH(ROW()-1,Calc!$X$2:$X$1001,0)),"")</f>
        <v/>
      </c>
    </row>
    <row r="731">
      <c r="A731">
        <f>IFERROR(INDEX(Calc!$L$2:$L$1001,MATCH(ROW()-1,Calc!$X$2:$X$1001,0)),"")</f>
        <v/>
      </c>
      <c r="B731">
        <f>IFERROR(INDEX(Calc!$M$2:$M$1001,MATCH(ROW()-1,Calc!$X$2:$X$1001,0)),"")</f>
        <v/>
      </c>
      <c r="C731">
        <f>IFERROR(INDEX(Calc!$N$2:$N$1001,MATCH(ROW()-1,Calc!$X$2:$X$1001,0)),"")</f>
        <v/>
      </c>
      <c r="D731" s="3">
        <f>IFERROR(INDEX(Calc!$O$2:$O$1001,MATCH(ROW()-1,Calc!$X$2:$X$1001,0)),"")</f>
        <v/>
      </c>
      <c r="E731" s="3">
        <f>IFERROR(INDEX(Calc!$P$2:$P$1001,MATCH(ROW()-1,Calc!$X$2:$X$1001,0)),"")</f>
        <v/>
      </c>
      <c r="F731" s="3">
        <f>IF(G731="","",E731-D731)</f>
        <v/>
      </c>
      <c r="G731">
        <f>IFERROR(INDEX(Calc!$S$2:$S$1001,MATCH(ROW()-1,Calc!$X$2:$X$1001,0)),"")</f>
        <v/>
      </c>
    </row>
    <row r="732">
      <c r="A732">
        <f>IFERROR(INDEX(Calc!$L$2:$L$1001,MATCH(ROW()-1,Calc!$X$2:$X$1001,0)),"")</f>
        <v/>
      </c>
      <c r="B732">
        <f>IFERROR(INDEX(Calc!$M$2:$M$1001,MATCH(ROW()-1,Calc!$X$2:$X$1001,0)),"")</f>
        <v/>
      </c>
      <c r="C732">
        <f>IFERROR(INDEX(Calc!$N$2:$N$1001,MATCH(ROW()-1,Calc!$X$2:$X$1001,0)),"")</f>
        <v/>
      </c>
      <c r="D732" s="3">
        <f>IFERROR(INDEX(Calc!$O$2:$O$1001,MATCH(ROW()-1,Calc!$X$2:$X$1001,0)),"")</f>
        <v/>
      </c>
      <c r="E732" s="3">
        <f>IFERROR(INDEX(Calc!$P$2:$P$1001,MATCH(ROW()-1,Calc!$X$2:$X$1001,0)),"")</f>
        <v/>
      </c>
      <c r="F732" s="3">
        <f>IF(G732="","",E732-D732)</f>
        <v/>
      </c>
      <c r="G732">
        <f>IFERROR(INDEX(Calc!$S$2:$S$1001,MATCH(ROW()-1,Calc!$X$2:$X$1001,0)),"")</f>
        <v/>
      </c>
    </row>
    <row r="733">
      <c r="A733">
        <f>IFERROR(INDEX(Calc!$L$2:$L$1001,MATCH(ROW()-1,Calc!$X$2:$X$1001,0)),"")</f>
        <v/>
      </c>
      <c r="B733">
        <f>IFERROR(INDEX(Calc!$M$2:$M$1001,MATCH(ROW()-1,Calc!$X$2:$X$1001,0)),"")</f>
        <v/>
      </c>
      <c r="C733">
        <f>IFERROR(INDEX(Calc!$N$2:$N$1001,MATCH(ROW()-1,Calc!$X$2:$X$1001,0)),"")</f>
        <v/>
      </c>
      <c r="D733" s="3">
        <f>IFERROR(INDEX(Calc!$O$2:$O$1001,MATCH(ROW()-1,Calc!$X$2:$X$1001,0)),"")</f>
        <v/>
      </c>
      <c r="E733" s="3">
        <f>IFERROR(INDEX(Calc!$P$2:$P$1001,MATCH(ROW()-1,Calc!$X$2:$X$1001,0)),"")</f>
        <v/>
      </c>
      <c r="F733" s="3">
        <f>IF(G733="","",E733-D733)</f>
        <v/>
      </c>
      <c r="G733">
        <f>IFERROR(INDEX(Calc!$S$2:$S$1001,MATCH(ROW()-1,Calc!$X$2:$X$1001,0)),"")</f>
        <v/>
      </c>
    </row>
    <row r="734">
      <c r="A734">
        <f>IFERROR(INDEX(Calc!$L$2:$L$1001,MATCH(ROW()-1,Calc!$X$2:$X$1001,0)),"")</f>
        <v/>
      </c>
      <c r="B734">
        <f>IFERROR(INDEX(Calc!$M$2:$M$1001,MATCH(ROW()-1,Calc!$X$2:$X$1001,0)),"")</f>
        <v/>
      </c>
      <c r="C734">
        <f>IFERROR(INDEX(Calc!$N$2:$N$1001,MATCH(ROW()-1,Calc!$X$2:$X$1001,0)),"")</f>
        <v/>
      </c>
      <c r="D734" s="3">
        <f>IFERROR(INDEX(Calc!$O$2:$O$1001,MATCH(ROW()-1,Calc!$X$2:$X$1001,0)),"")</f>
        <v/>
      </c>
      <c r="E734" s="3">
        <f>IFERROR(INDEX(Calc!$P$2:$P$1001,MATCH(ROW()-1,Calc!$X$2:$X$1001,0)),"")</f>
        <v/>
      </c>
      <c r="F734" s="3">
        <f>IF(G734="","",E734-D734)</f>
        <v/>
      </c>
      <c r="G734">
        <f>IFERROR(INDEX(Calc!$S$2:$S$1001,MATCH(ROW()-1,Calc!$X$2:$X$1001,0)),"")</f>
        <v/>
      </c>
    </row>
    <row r="735">
      <c r="A735">
        <f>IFERROR(INDEX(Calc!$L$2:$L$1001,MATCH(ROW()-1,Calc!$X$2:$X$1001,0)),"")</f>
        <v/>
      </c>
      <c r="B735">
        <f>IFERROR(INDEX(Calc!$M$2:$M$1001,MATCH(ROW()-1,Calc!$X$2:$X$1001,0)),"")</f>
        <v/>
      </c>
      <c r="C735">
        <f>IFERROR(INDEX(Calc!$N$2:$N$1001,MATCH(ROW()-1,Calc!$X$2:$X$1001,0)),"")</f>
        <v/>
      </c>
      <c r="D735" s="3">
        <f>IFERROR(INDEX(Calc!$O$2:$O$1001,MATCH(ROW()-1,Calc!$X$2:$X$1001,0)),"")</f>
        <v/>
      </c>
      <c r="E735" s="3">
        <f>IFERROR(INDEX(Calc!$P$2:$P$1001,MATCH(ROW()-1,Calc!$X$2:$X$1001,0)),"")</f>
        <v/>
      </c>
      <c r="F735" s="3">
        <f>IF(G735="","",E735-D735)</f>
        <v/>
      </c>
      <c r="G735">
        <f>IFERROR(INDEX(Calc!$S$2:$S$1001,MATCH(ROW()-1,Calc!$X$2:$X$1001,0)),"")</f>
        <v/>
      </c>
    </row>
    <row r="736">
      <c r="A736">
        <f>IFERROR(INDEX(Calc!$L$2:$L$1001,MATCH(ROW()-1,Calc!$X$2:$X$1001,0)),"")</f>
        <v/>
      </c>
      <c r="B736">
        <f>IFERROR(INDEX(Calc!$M$2:$M$1001,MATCH(ROW()-1,Calc!$X$2:$X$1001,0)),"")</f>
        <v/>
      </c>
      <c r="C736">
        <f>IFERROR(INDEX(Calc!$N$2:$N$1001,MATCH(ROW()-1,Calc!$X$2:$X$1001,0)),"")</f>
        <v/>
      </c>
      <c r="D736" s="3">
        <f>IFERROR(INDEX(Calc!$O$2:$O$1001,MATCH(ROW()-1,Calc!$X$2:$X$1001,0)),"")</f>
        <v/>
      </c>
      <c r="E736" s="3">
        <f>IFERROR(INDEX(Calc!$P$2:$P$1001,MATCH(ROW()-1,Calc!$X$2:$X$1001,0)),"")</f>
        <v/>
      </c>
      <c r="F736" s="3">
        <f>IF(G736="","",E736-D736)</f>
        <v/>
      </c>
      <c r="G736">
        <f>IFERROR(INDEX(Calc!$S$2:$S$1001,MATCH(ROW()-1,Calc!$X$2:$X$1001,0)),"")</f>
        <v/>
      </c>
    </row>
    <row r="737">
      <c r="A737">
        <f>IFERROR(INDEX(Calc!$L$2:$L$1001,MATCH(ROW()-1,Calc!$X$2:$X$1001,0)),"")</f>
        <v/>
      </c>
      <c r="B737">
        <f>IFERROR(INDEX(Calc!$M$2:$M$1001,MATCH(ROW()-1,Calc!$X$2:$X$1001,0)),"")</f>
        <v/>
      </c>
      <c r="C737">
        <f>IFERROR(INDEX(Calc!$N$2:$N$1001,MATCH(ROW()-1,Calc!$X$2:$X$1001,0)),"")</f>
        <v/>
      </c>
      <c r="D737" s="3">
        <f>IFERROR(INDEX(Calc!$O$2:$O$1001,MATCH(ROW()-1,Calc!$X$2:$X$1001,0)),"")</f>
        <v/>
      </c>
      <c r="E737" s="3">
        <f>IFERROR(INDEX(Calc!$P$2:$P$1001,MATCH(ROW()-1,Calc!$X$2:$X$1001,0)),"")</f>
        <v/>
      </c>
      <c r="F737" s="3">
        <f>IF(G737="","",E737-D737)</f>
        <v/>
      </c>
      <c r="G737">
        <f>IFERROR(INDEX(Calc!$S$2:$S$1001,MATCH(ROW()-1,Calc!$X$2:$X$1001,0)),"")</f>
        <v/>
      </c>
    </row>
    <row r="738">
      <c r="A738">
        <f>IFERROR(INDEX(Calc!$L$2:$L$1001,MATCH(ROW()-1,Calc!$X$2:$X$1001,0)),"")</f>
        <v/>
      </c>
      <c r="B738">
        <f>IFERROR(INDEX(Calc!$M$2:$M$1001,MATCH(ROW()-1,Calc!$X$2:$X$1001,0)),"")</f>
        <v/>
      </c>
      <c r="C738">
        <f>IFERROR(INDEX(Calc!$N$2:$N$1001,MATCH(ROW()-1,Calc!$X$2:$X$1001,0)),"")</f>
        <v/>
      </c>
      <c r="D738" s="3">
        <f>IFERROR(INDEX(Calc!$O$2:$O$1001,MATCH(ROW()-1,Calc!$X$2:$X$1001,0)),"")</f>
        <v/>
      </c>
      <c r="E738" s="3">
        <f>IFERROR(INDEX(Calc!$P$2:$P$1001,MATCH(ROW()-1,Calc!$X$2:$X$1001,0)),"")</f>
        <v/>
      </c>
      <c r="F738" s="3">
        <f>IF(G738="","",E738-D738)</f>
        <v/>
      </c>
      <c r="G738">
        <f>IFERROR(INDEX(Calc!$S$2:$S$1001,MATCH(ROW()-1,Calc!$X$2:$X$1001,0)),"")</f>
        <v/>
      </c>
    </row>
    <row r="739">
      <c r="A739">
        <f>IFERROR(INDEX(Calc!$L$2:$L$1001,MATCH(ROW()-1,Calc!$X$2:$X$1001,0)),"")</f>
        <v/>
      </c>
      <c r="B739">
        <f>IFERROR(INDEX(Calc!$M$2:$M$1001,MATCH(ROW()-1,Calc!$X$2:$X$1001,0)),"")</f>
        <v/>
      </c>
      <c r="C739">
        <f>IFERROR(INDEX(Calc!$N$2:$N$1001,MATCH(ROW()-1,Calc!$X$2:$X$1001,0)),"")</f>
        <v/>
      </c>
      <c r="D739" s="3">
        <f>IFERROR(INDEX(Calc!$O$2:$O$1001,MATCH(ROW()-1,Calc!$X$2:$X$1001,0)),"")</f>
        <v/>
      </c>
      <c r="E739" s="3">
        <f>IFERROR(INDEX(Calc!$P$2:$P$1001,MATCH(ROW()-1,Calc!$X$2:$X$1001,0)),"")</f>
        <v/>
      </c>
      <c r="F739" s="3">
        <f>IF(G739="","",E739-D739)</f>
        <v/>
      </c>
      <c r="G739">
        <f>IFERROR(INDEX(Calc!$S$2:$S$1001,MATCH(ROW()-1,Calc!$X$2:$X$1001,0)),"")</f>
        <v/>
      </c>
    </row>
    <row r="740">
      <c r="A740">
        <f>IFERROR(INDEX(Calc!$L$2:$L$1001,MATCH(ROW()-1,Calc!$X$2:$X$1001,0)),"")</f>
        <v/>
      </c>
      <c r="B740">
        <f>IFERROR(INDEX(Calc!$M$2:$M$1001,MATCH(ROW()-1,Calc!$X$2:$X$1001,0)),"")</f>
        <v/>
      </c>
      <c r="C740">
        <f>IFERROR(INDEX(Calc!$N$2:$N$1001,MATCH(ROW()-1,Calc!$X$2:$X$1001,0)),"")</f>
        <v/>
      </c>
      <c r="D740" s="3">
        <f>IFERROR(INDEX(Calc!$O$2:$O$1001,MATCH(ROW()-1,Calc!$X$2:$X$1001,0)),"")</f>
        <v/>
      </c>
      <c r="E740" s="3">
        <f>IFERROR(INDEX(Calc!$P$2:$P$1001,MATCH(ROW()-1,Calc!$X$2:$X$1001,0)),"")</f>
        <v/>
      </c>
      <c r="F740" s="3">
        <f>IF(G740="","",E740-D740)</f>
        <v/>
      </c>
      <c r="G740">
        <f>IFERROR(INDEX(Calc!$S$2:$S$1001,MATCH(ROW()-1,Calc!$X$2:$X$1001,0)),"")</f>
        <v/>
      </c>
    </row>
    <row r="741">
      <c r="A741">
        <f>IFERROR(INDEX(Calc!$L$2:$L$1001,MATCH(ROW()-1,Calc!$X$2:$X$1001,0)),"")</f>
        <v/>
      </c>
      <c r="B741">
        <f>IFERROR(INDEX(Calc!$M$2:$M$1001,MATCH(ROW()-1,Calc!$X$2:$X$1001,0)),"")</f>
        <v/>
      </c>
      <c r="C741">
        <f>IFERROR(INDEX(Calc!$N$2:$N$1001,MATCH(ROW()-1,Calc!$X$2:$X$1001,0)),"")</f>
        <v/>
      </c>
      <c r="D741" s="3">
        <f>IFERROR(INDEX(Calc!$O$2:$O$1001,MATCH(ROW()-1,Calc!$X$2:$X$1001,0)),"")</f>
        <v/>
      </c>
      <c r="E741" s="3">
        <f>IFERROR(INDEX(Calc!$P$2:$P$1001,MATCH(ROW()-1,Calc!$X$2:$X$1001,0)),"")</f>
        <v/>
      </c>
      <c r="F741" s="3">
        <f>IF(G741="","",E741-D741)</f>
        <v/>
      </c>
      <c r="G741">
        <f>IFERROR(INDEX(Calc!$S$2:$S$1001,MATCH(ROW()-1,Calc!$X$2:$X$1001,0)),"")</f>
        <v/>
      </c>
    </row>
    <row r="742">
      <c r="A742">
        <f>IFERROR(INDEX(Calc!$L$2:$L$1001,MATCH(ROW()-1,Calc!$X$2:$X$1001,0)),"")</f>
        <v/>
      </c>
      <c r="B742">
        <f>IFERROR(INDEX(Calc!$M$2:$M$1001,MATCH(ROW()-1,Calc!$X$2:$X$1001,0)),"")</f>
        <v/>
      </c>
      <c r="C742">
        <f>IFERROR(INDEX(Calc!$N$2:$N$1001,MATCH(ROW()-1,Calc!$X$2:$X$1001,0)),"")</f>
        <v/>
      </c>
      <c r="D742" s="3">
        <f>IFERROR(INDEX(Calc!$O$2:$O$1001,MATCH(ROW()-1,Calc!$X$2:$X$1001,0)),"")</f>
        <v/>
      </c>
      <c r="E742" s="3">
        <f>IFERROR(INDEX(Calc!$P$2:$P$1001,MATCH(ROW()-1,Calc!$X$2:$X$1001,0)),"")</f>
        <v/>
      </c>
      <c r="F742" s="3">
        <f>IF(G742="","",E742-D742)</f>
        <v/>
      </c>
      <c r="G742">
        <f>IFERROR(INDEX(Calc!$S$2:$S$1001,MATCH(ROW()-1,Calc!$X$2:$X$1001,0)),"")</f>
        <v/>
      </c>
    </row>
    <row r="743">
      <c r="A743">
        <f>IFERROR(INDEX(Calc!$L$2:$L$1001,MATCH(ROW()-1,Calc!$X$2:$X$1001,0)),"")</f>
        <v/>
      </c>
      <c r="B743">
        <f>IFERROR(INDEX(Calc!$M$2:$M$1001,MATCH(ROW()-1,Calc!$X$2:$X$1001,0)),"")</f>
        <v/>
      </c>
      <c r="C743">
        <f>IFERROR(INDEX(Calc!$N$2:$N$1001,MATCH(ROW()-1,Calc!$X$2:$X$1001,0)),"")</f>
        <v/>
      </c>
      <c r="D743" s="3">
        <f>IFERROR(INDEX(Calc!$O$2:$O$1001,MATCH(ROW()-1,Calc!$X$2:$X$1001,0)),"")</f>
        <v/>
      </c>
      <c r="E743" s="3">
        <f>IFERROR(INDEX(Calc!$P$2:$P$1001,MATCH(ROW()-1,Calc!$X$2:$X$1001,0)),"")</f>
        <v/>
      </c>
      <c r="F743" s="3">
        <f>IF(G743="","",E743-D743)</f>
        <v/>
      </c>
      <c r="G743">
        <f>IFERROR(INDEX(Calc!$S$2:$S$1001,MATCH(ROW()-1,Calc!$X$2:$X$1001,0)),"")</f>
        <v/>
      </c>
    </row>
    <row r="744">
      <c r="A744">
        <f>IFERROR(INDEX(Calc!$L$2:$L$1001,MATCH(ROW()-1,Calc!$X$2:$X$1001,0)),"")</f>
        <v/>
      </c>
      <c r="B744">
        <f>IFERROR(INDEX(Calc!$M$2:$M$1001,MATCH(ROW()-1,Calc!$X$2:$X$1001,0)),"")</f>
        <v/>
      </c>
      <c r="C744">
        <f>IFERROR(INDEX(Calc!$N$2:$N$1001,MATCH(ROW()-1,Calc!$X$2:$X$1001,0)),"")</f>
        <v/>
      </c>
      <c r="D744" s="3">
        <f>IFERROR(INDEX(Calc!$O$2:$O$1001,MATCH(ROW()-1,Calc!$X$2:$X$1001,0)),"")</f>
        <v/>
      </c>
      <c r="E744" s="3">
        <f>IFERROR(INDEX(Calc!$P$2:$P$1001,MATCH(ROW()-1,Calc!$X$2:$X$1001,0)),"")</f>
        <v/>
      </c>
      <c r="F744" s="3">
        <f>IF(G744="","",E744-D744)</f>
        <v/>
      </c>
      <c r="G744">
        <f>IFERROR(INDEX(Calc!$S$2:$S$1001,MATCH(ROW()-1,Calc!$X$2:$X$1001,0)),"")</f>
        <v/>
      </c>
    </row>
    <row r="745">
      <c r="A745">
        <f>IFERROR(INDEX(Calc!$L$2:$L$1001,MATCH(ROW()-1,Calc!$X$2:$X$1001,0)),"")</f>
        <v/>
      </c>
      <c r="B745">
        <f>IFERROR(INDEX(Calc!$M$2:$M$1001,MATCH(ROW()-1,Calc!$X$2:$X$1001,0)),"")</f>
        <v/>
      </c>
      <c r="C745">
        <f>IFERROR(INDEX(Calc!$N$2:$N$1001,MATCH(ROW()-1,Calc!$X$2:$X$1001,0)),"")</f>
        <v/>
      </c>
      <c r="D745" s="3">
        <f>IFERROR(INDEX(Calc!$O$2:$O$1001,MATCH(ROW()-1,Calc!$X$2:$X$1001,0)),"")</f>
        <v/>
      </c>
      <c r="E745" s="3">
        <f>IFERROR(INDEX(Calc!$P$2:$P$1001,MATCH(ROW()-1,Calc!$X$2:$X$1001,0)),"")</f>
        <v/>
      </c>
      <c r="F745" s="3">
        <f>IF(G745="","",E745-D745)</f>
        <v/>
      </c>
      <c r="G745">
        <f>IFERROR(INDEX(Calc!$S$2:$S$1001,MATCH(ROW()-1,Calc!$X$2:$X$1001,0)),"")</f>
        <v/>
      </c>
    </row>
    <row r="746">
      <c r="A746">
        <f>IFERROR(INDEX(Calc!$L$2:$L$1001,MATCH(ROW()-1,Calc!$X$2:$X$1001,0)),"")</f>
        <v/>
      </c>
      <c r="B746">
        <f>IFERROR(INDEX(Calc!$M$2:$M$1001,MATCH(ROW()-1,Calc!$X$2:$X$1001,0)),"")</f>
        <v/>
      </c>
      <c r="C746">
        <f>IFERROR(INDEX(Calc!$N$2:$N$1001,MATCH(ROW()-1,Calc!$X$2:$X$1001,0)),"")</f>
        <v/>
      </c>
      <c r="D746" s="3">
        <f>IFERROR(INDEX(Calc!$O$2:$O$1001,MATCH(ROW()-1,Calc!$X$2:$X$1001,0)),"")</f>
        <v/>
      </c>
      <c r="E746" s="3">
        <f>IFERROR(INDEX(Calc!$P$2:$P$1001,MATCH(ROW()-1,Calc!$X$2:$X$1001,0)),"")</f>
        <v/>
      </c>
      <c r="F746" s="3">
        <f>IF(G746="","",E746-D746)</f>
        <v/>
      </c>
      <c r="G746">
        <f>IFERROR(INDEX(Calc!$S$2:$S$1001,MATCH(ROW()-1,Calc!$X$2:$X$1001,0)),"")</f>
        <v/>
      </c>
    </row>
    <row r="747">
      <c r="A747">
        <f>IFERROR(INDEX(Calc!$L$2:$L$1001,MATCH(ROW()-1,Calc!$X$2:$X$1001,0)),"")</f>
        <v/>
      </c>
      <c r="B747">
        <f>IFERROR(INDEX(Calc!$M$2:$M$1001,MATCH(ROW()-1,Calc!$X$2:$X$1001,0)),"")</f>
        <v/>
      </c>
      <c r="C747">
        <f>IFERROR(INDEX(Calc!$N$2:$N$1001,MATCH(ROW()-1,Calc!$X$2:$X$1001,0)),"")</f>
        <v/>
      </c>
      <c r="D747" s="3">
        <f>IFERROR(INDEX(Calc!$O$2:$O$1001,MATCH(ROW()-1,Calc!$X$2:$X$1001,0)),"")</f>
        <v/>
      </c>
      <c r="E747" s="3">
        <f>IFERROR(INDEX(Calc!$P$2:$P$1001,MATCH(ROW()-1,Calc!$X$2:$X$1001,0)),"")</f>
        <v/>
      </c>
      <c r="F747" s="3">
        <f>IF(G747="","",E747-D747)</f>
        <v/>
      </c>
      <c r="G747">
        <f>IFERROR(INDEX(Calc!$S$2:$S$1001,MATCH(ROW()-1,Calc!$X$2:$X$1001,0)),"")</f>
        <v/>
      </c>
    </row>
    <row r="748">
      <c r="A748">
        <f>IFERROR(INDEX(Calc!$L$2:$L$1001,MATCH(ROW()-1,Calc!$X$2:$X$1001,0)),"")</f>
        <v/>
      </c>
      <c r="B748">
        <f>IFERROR(INDEX(Calc!$M$2:$M$1001,MATCH(ROW()-1,Calc!$X$2:$X$1001,0)),"")</f>
        <v/>
      </c>
      <c r="C748">
        <f>IFERROR(INDEX(Calc!$N$2:$N$1001,MATCH(ROW()-1,Calc!$X$2:$X$1001,0)),"")</f>
        <v/>
      </c>
      <c r="D748" s="3">
        <f>IFERROR(INDEX(Calc!$O$2:$O$1001,MATCH(ROW()-1,Calc!$X$2:$X$1001,0)),"")</f>
        <v/>
      </c>
      <c r="E748" s="3">
        <f>IFERROR(INDEX(Calc!$P$2:$P$1001,MATCH(ROW()-1,Calc!$X$2:$X$1001,0)),"")</f>
        <v/>
      </c>
      <c r="F748" s="3">
        <f>IF(G748="","",E748-D748)</f>
        <v/>
      </c>
      <c r="G748">
        <f>IFERROR(INDEX(Calc!$S$2:$S$1001,MATCH(ROW()-1,Calc!$X$2:$X$1001,0)),"")</f>
        <v/>
      </c>
    </row>
    <row r="749">
      <c r="A749">
        <f>IFERROR(INDEX(Calc!$L$2:$L$1001,MATCH(ROW()-1,Calc!$X$2:$X$1001,0)),"")</f>
        <v/>
      </c>
      <c r="B749">
        <f>IFERROR(INDEX(Calc!$M$2:$M$1001,MATCH(ROW()-1,Calc!$X$2:$X$1001,0)),"")</f>
        <v/>
      </c>
      <c r="C749">
        <f>IFERROR(INDEX(Calc!$N$2:$N$1001,MATCH(ROW()-1,Calc!$X$2:$X$1001,0)),"")</f>
        <v/>
      </c>
      <c r="D749" s="3">
        <f>IFERROR(INDEX(Calc!$O$2:$O$1001,MATCH(ROW()-1,Calc!$X$2:$X$1001,0)),"")</f>
        <v/>
      </c>
      <c r="E749" s="3">
        <f>IFERROR(INDEX(Calc!$P$2:$P$1001,MATCH(ROW()-1,Calc!$X$2:$X$1001,0)),"")</f>
        <v/>
      </c>
      <c r="F749" s="3">
        <f>IF(G749="","",E749-D749)</f>
        <v/>
      </c>
      <c r="G749">
        <f>IFERROR(INDEX(Calc!$S$2:$S$1001,MATCH(ROW()-1,Calc!$X$2:$X$1001,0)),"")</f>
        <v/>
      </c>
    </row>
    <row r="750">
      <c r="A750">
        <f>IFERROR(INDEX(Calc!$L$2:$L$1001,MATCH(ROW()-1,Calc!$X$2:$X$1001,0)),"")</f>
        <v/>
      </c>
      <c r="B750">
        <f>IFERROR(INDEX(Calc!$M$2:$M$1001,MATCH(ROW()-1,Calc!$X$2:$X$1001,0)),"")</f>
        <v/>
      </c>
      <c r="C750">
        <f>IFERROR(INDEX(Calc!$N$2:$N$1001,MATCH(ROW()-1,Calc!$X$2:$X$1001,0)),"")</f>
        <v/>
      </c>
      <c r="D750" s="3">
        <f>IFERROR(INDEX(Calc!$O$2:$O$1001,MATCH(ROW()-1,Calc!$X$2:$X$1001,0)),"")</f>
        <v/>
      </c>
      <c r="E750" s="3">
        <f>IFERROR(INDEX(Calc!$P$2:$P$1001,MATCH(ROW()-1,Calc!$X$2:$X$1001,0)),"")</f>
        <v/>
      </c>
      <c r="F750" s="3">
        <f>IF(G750="","",E750-D750)</f>
        <v/>
      </c>
      <c r="G750">
        <f>IFERROR(INDEX(Calc!$S$2:$S$1001,MATCH(ROW()-1,Calc!$X$2:$X$1001,0)),"")</f>
        <v/>
      </c>
    </row>
    <row r="751">
      <c r="A751">
        <f>IFERROR(INDEX(Calc!$L$2:$L$1001,MATCH(ROW()-1,Calc!$X$2:$X$1001,0)),"")</f>
        <v/>
      </c>
      <c r="B751">
        <f>IFERROR(INDEX(Calc!$M$2:$M$1001,MATCH(ROW()-1,Calc!$X$2:$X$1001,0)),"")</f>
        <v/>
      </c>
      <c r="C751">
        <f>IFERROR(INDEX(Calc!$N$2:$N$1001,MATCH(ROW()-1,Calc!$X$2:$X$1001,0)),"")</f>
        <v/>
      </c>
      <c r="D751" s="3">
        <f>IFERROR(INDEX(Calc!$O$2:$O$1001,MATCH(ROW()-1,Calc!$X$2:$X$1001,0)),"")</f>
        <v/>
      </c>
      <c r="E751" s="3">
        <f>IFERROR(INDEX(Calc!$P$2:$P$1001,MATCH(ROW()-1,Calc!$X$2:$X$1001,0)),"")</f>
        <v/>
      </c>
      <c r="F751" s="3">
        <f>IF(G751="","",E751-D751)</f>
        <v/>
      </c>
      <c r="G751">
        <f>IFERROR(INDEX(Calc!$S$2:$S$1001,MATCH(ROW()-1,Calc!$X$2:$X$1001,0)),"")</f>
        <v/>
      </c>
    </row>
    <row r="752">
      <c r="A752">
        <f>IFERROR(INDEX(Calc!$L$2:$L$1001,MATCH(ROW()-1,Calc!$X$2:$X$1001,0)),"")</f>
        <v/>
      </c>
      <c r="B752">
        <f>IFERROR(INDEX(Calc!$M$2:$M$1001,MATCH(ROW()-1,Calc!$X$2:$X$1001,0)),"")</f>
        <v/>
      </c>
      <c r="C752">
        <f>IFERROR(INDEX(Calc!$N$2:$N$1001,MATCH(ROW()-1,Calc!$X$2:$X$1001,0)),"")</f>
        <v/>
      </c>
      <c r="D752" s="3">
        <f>IFERROR(INDEX(Calc!$O$2:$O$1001,MATCH(ROW()-1,Calc!$X$2:$X$1001,0)),"")</f>
        <v/>
      </c>
      <c r="E752" s="3">
        <f>IFERROR(INDEX(Calc!$P$2:$P$1001,MATCH(ROW()-1,Calc!$X$2:$X$1001,0)),"")</f>
        <v/>
      </c>
      <c r="F752" s="3">
        <f>IF(G752="","",E752-D752)</f>
        <v/>
      </c>
      <c r="G752">
        <f>IFERROR(INDEX(Calc!$S$2:$S$1001,MATCH(ROW()-1,Calc!$X$2:$X$1001,0)),"")</f>
        <v/>
      </c>
    </row>
    <row r="753">
      <c r="A753">
        <f>IFERROR(INDEX(Calc!$L$2:$L$1001,MATCH(ROW()-1,Calc!$X$2:$X$1001,0)),"")</f>
        <v/>
      </c>
      <c r="B753">
        <f>IFERROR(INDEX(Calc!$M$2:$M$1001,MATCH(ROW()-1,Calc!$X$2:$X$1001,0)),"")</f>
        <v/>
      </c>
      <c r="C753">
        <f>IFERROR(INDEX(Calc!$N$2:$N$1001,MATCH(ROW()-1,Calc!$X$2:$X$1001,0)),"")</f>
        <v/>
      </c>
      <c r="D753" s="3">
        <f>IFERROR(INDEX(Calc!$O$2:$O$1001,MATCH(ROW()-1,Calc!$X$2:$X$1001,0)),"")</f>
        <v/>
      </c>
      <c r="E753" s="3">
        <f>IFERROR(INDEX(Calc!$P$2:$P$1001,MATCH(ROW()-1,Calc!$X$2:$X$1001,0)),"")</f>
        <v/>
      </c>
      <c r="F753" s="3">
        <f>IF(G753="","",E753-D753)</f>
        <v/>
      </c>
      <c r="G753">
        <f>IFERROR(INDEX(Calc!$S$2:$S$1001,MATCH(ROW()-1,Calc!$X$2:$X$1001,0)),"")</f>
        <v/>
      </c>
    </row>
    <row r="754">
      <c r="A754">
        <f>IFERROR(INDEX(Calc!$L$2:$L$1001,MATCH(ROW()-1,Calc!$X$2:$X$1001,0)),"")</f>
        <v/>
      </c>
      <c r="B754">
        <f>IFERROR(INDEX(Calc!$M$2:$M$1001,MATCH(ROW()-1,Calc!$X$2:$X$1001,0)),"")</f>
        <v/>
      </c>
      <c r="C754">
        <f>IFERROR(INDEX(Calc!$N$2:$N$1001,MATCH(ROW()-1,Calc!$X$2:$X$1001,0)),"")</f>
        <v/>
      </c>
      <c r="D754" s="3">
        <f>IFERROR(INDEX(Calc!$O$2:$O$1001,MATCH(ROW()-1,Calc!$X$2:$X$1001,0)),"")</f>
        <v/>
      </c>
      <c r="E754" s="3">
        <f>IFERROR(INDEX(Calc!$P$2:$P$1001,MATCH(ROW()-1,Calc!$X$2:$X$1001,0)),"")</f>
        <v/>
      </c>
      <c r="F754" s="3">
        <f>IF(G754="","",E754-D754)</f>
        <v/>
      </c>
      <c r="G754">
        <f>IFERROR(INDEX(Calc!$S$2:$S$1001,MATCH(ROW()-1,Calc!$X$2:$X$1001,0)),"")</f>
        <v/>
      </c>
    </row>
    <row r="755">
      <c r="A755">
        <f>IFERROR(INDEX(Calc!$L$2:$L$1001,MATCH(ROW()-1,Calc!$X$2:$X$1001,0)),"")</f>
        <v/>
      </c>
      <c r="B755">
        <f>IFERROR(INDEX(Calc!$M$2:$M$1001,MATCH(ROW()-1,Calc!$X$2:$X$1001,0)),"")</f>
        <v/>
      </c>
      <c r="C755">
        <f>IFERROR(INDEX(Calc!$N$2:$N$1001,MATCH(ROW()-1,Calc!$X$2:$X$1001,0)),"")</f>
        <v/>
      </c>
      <c r="D755" s="3">
        <f>IFERROR(INDEX(Calc!$O$2:$O$1001,MATCH(ROW()-1,Calc!$X$2:$X$1001,0)),"")</f>
        <v/>
      </c>
      <c r="E755" s="3">
        <f>IFERROR(INDEX(Calc!$P$2:$P$1001,MATCH(ROW()-1,Calc!$X$2:$X$1001,0)),"")</f>
        <v/>
      </c>
      <c r="F755" s="3">
        <f>IF(G755="","",E755-D755)</f>
        <v/>
      </c>
      <c r="G755">
        <f>IFERROR(INDEX(Calc!$S$2:$S$1001,MATCH(ROW()-1,Calc!$X$2:$X$1001,0)),"")</f>
        <v/>
      </c>
    </row>
    <row r="756">
      <c r="A756">
        <f>IFERROR(INDEX(Calc!$L$2:$L$1001,MATCH(ROW()-1,Calc!$X$2:$X$1001,0)),"")</f>
        <v/>
      </c>
      <c r="B756">
        <f>IFERROR(INDEX(Calc!$M$2:$M$1001,MATCH(ROW()-1,Calc!$X$2:$X$1001,0)),"")</f>
        <v/>
      </c>
      <c r="C756">
        <f>IFERROR(INDEX(Calc!$N$2:$N$1001,MATCH(ROW()-1,Calc!$X$2:$X$1001,0)),"")</f>
        <v/>
      </c>
      <c r="D756" s="3">
        <f>IFERROR(INDEX(Calc!$O$2:$O$1001,MATCH(ROW()-1,Calc!$X$2:$X$1001,0)),"")</f>
        <v/>
      </c>
      <c r="E756" s="3">
        <f>IFERROR(INDEX(Calc!$P$2:$P$1001,MATCH(ROW()-1,Calc!$X$2:$X$1001,0)),"")</f>
        <v/>
      </c>
      <c r="F756" s="3">
        <f>IF(G756="","",E756-D756)</f>
        <v/>
      </c>
      <c r="G756">
        <f>IFERROR(INDEX(Calc!$S$2:$S$1001,MATCH(ROW()-1,Calc!$X$2:$X$1001,0)),"")</f>
        <v/>
      </c>
    </row>
    <row r="757">
      <c r="A757">
        <f>IFERROR(INDEX(Calc!$L$2:$L$1001,MATCH(ROW()-1,Calc!$X$2:$X$1001,0)),"")</f>
        <v/>
      </c>
      <c r="B757">
        <f>IFERROR(INDEX(Calc!$M$2:$M$1001,MATCH(ROW()-1,Calc!$X$2:$X$1001,0)),"")</f>
        <v/>
      </c>
      <c r="C757">
        <f>IFERROR(INDEX(Calc!$N$2:$N$1001,MATCH(ROW()-1,Calc!$X$2:$X$1001,0)),"")</f>
        <v/>
      </c>
      <c r="D757" s="3">
        <f>IFERROR(INDEX(Calc!$O$2:$O$1001,MATCH(ROW()-1,Calc!$X$2:$X$1001,0)),"")</f>
        <v/>
      </c>
      <c r="E757" s="3">
        <f>IFERROR(INDEX(Calc!$P$2:$P$1001,MATCH(ROW()-1,Calc!$X$2:$X$1001,0)),"")</f>
        <v/>
      </c>
      <c r="F757" s="3">
        <f>IF(G757="","",E757-D757)</f>
        <v/>
      </c>
      <c r="G757">
        <f>IFERROR(INDEX(Calc!$S$2:$S$1001,MATCH(ROW()-1,Calc!$X$2:$X$1001,0)),"")</f>
        <v/>
      </c>
    </row>
    <row r="758">
      <c r="A758">
        <f>IFERROR(INDEX(Calc!$L$2:$L$1001,MATCH(ROW()-1,Calc!$X$2:$X$1001,0)),"")</f>
        <v/>
      </c>
      <c r="B758">
        <f>IFERROR(INDEX(Calc!$M$2:$M$1001,MATCH(ROW()-1,Calc!$X$2:$X$1001,0)),"")</f>
        <v/>
      </c>
      <c r="C758">
        <f>IFERROR(INDEX(Calc!$N$2:$N$1001,MATCH(ROW()-1,Calc!$X$2:$X$1001,0)),"")</f>
        <v/>
      </c>
      <c r="D758" s="3">
        <f>IFERROR(INDEX(Calc!$O$2:$O$1001,MATCH(ROW()-1,Calc!$X$2:$X$1001,0)),"")</f>
        <v/>
      </c>
      <c r="E758" s="3">
        <f>IFERROR(INDEX(Calc!$P$2:$P$1001,MATCH(ROW()-1,Calc!$X$2:$X$1001,0)),"")</f>
        <v/>
      </c>
      <c r="F758" s="3">
        <f>IF(G758="","",E758-D758)</f>
        <v/>
      </c>
      <c r="G758">
        <f>IFERROR(INDEX(Calc!$S$2:$S$1001,MATCH(ROW()-1,Calc!$X$2:$X$1001,0)),"")</f>
        <v/>
      </c>
    </row>
    <row r="759">
      <c r="A759">
        <f>IFERROR(INDEX(Calc!$L$2:$L$1001,MATCH(ROW()-1,Calc!$X$2:$X$1001,0)),"")</f>
        <v/>
      </c>
      <c r="B759">
        <f>IFERROR(INDEX(Calc!$M$2:$M$1001,MATCH(ROW()-1,Calc!$X$2:$X$1001,0)),"")</f>
        <v/>
      </c>
      <c r="C759">
        <f>IFERROR(INDEX(Calc!$N$2:$N$1001,MATCH(ROW()-1,Calc!$X$2:$X$1001,0)),"")</f>
        <v/>
      </c>
      <c r="D759" s="3">
        <f>IFERROR(INDEX(Calc!$O$2:$O$1001,MATCH(ROW()-1,Calc!$X$2:$X$1001,0)),"")</f>
        <v/>
      </c>
      <c r="E759" s="3">
        <f>IFERROR(INDEX(Calc!$P$2:$P$1001,MATCH(ROW()-1,Calc!$X$2:$X$1001,0)),"")</f>
        <v/>
      </c>
      <c r="F759" s="3">
        <f>IF(G759="","",E759-D759)</f>
        <v/>
      </c>
      <c r="G759">
        <f>IFERROR(INDEX(Calc!$S$2:$S$1001,MATCH(ROW()-1,Calc!$X$2:$X$1001,0)),"")</f>
        <v/>
      </c>
    </row>
    <row r="760">
      <c r="A760">
        <f>IFERROR(INDEX(Calc!$L$2:$L$1001,MATCH(ROW()-1,Calc!$X$2:$X$1001,0)),"")</f>
        <v/>
      </c>
      <c r="B760">
        <f>IFERROR(INDEX(Calc!$M$2:$M$1001,MATCH(ROW()-1,Calc!$X$2:$X$1001,0)),"")</f>
        <v/>
      </c>
      <c r="C760">
        <f>IFERROR(INDEX(Calc!$N$2:$N$1001,MATCH(ROW()-1,Calc!$X$2:$X$1001,0)),"")</f>
        <v/>
      </c>
      <c r="D760" s="3">
        <f>IFERROR(INDEX(Calc!$O$2:$O$1001,MATCH(ROW()-1,Calc!$X$2:$X$1001,0)),"")</f>
        <v/>
      </c>
      <c r="E760" s="3">
        <f>IFERROR(INDEX(Calc!$P$2:$P$1001,MATCH(ROW()-1,Calc!$X$2:$X$1001,0)),"")</f>
        <v/>
      </c>
      <c r="F760" s="3">
        <f>IF(G760="","",E760-D760)</f>
        <v/>
      </c>
      <c r="G760">
        <f>IFERROR(INDEX(Calc!$S$2:$S$1001,MATCH(ROW()-1,Calc!$X$2:$X$1001,0)),"")</f>
        <v/>
      </c>
    </row>
    <row r="761">
      <c r="A761">
        <f>IFERROR(INDEX(Calc!$L$2:$L$1001,MATCH(ROW()-1,Calc!$X$2:$X$1001,0)),"")</f>
        <v/>
      </c>
      <c r="B761">
        <f>IFERROR(INDEX(Calc!$M$2:$M$1001,MATCH(ROW()-1,Calc!$X$2:$X$1001,0)),"")</f>
        <v/>
      </c>
      <c r="C761">
        <f>IFERROR(INDEX(Calc!$N$2:$N$1001,MATCH(ROW()-1,Calc!$X$2:$X$1001,0)),"")</f>
        <v/>
      </c>
      <c r="D761" s="3">
        <f>IFERROR(INDEX(Calc!$O$2:$O$1001,MATCH(ROW()-1,Calc!$X$2:$X$1001,0)),"")</f>
        <v/>
      </c>
      <c r="E761" s="3">
        <f>IFERROR(INDEX(Calc!$P$2:$P$1001,MATCH(ROW()-1,Calc!$X$2:$X$1001,0)),"")</f>
        <v/>
      </c>
      <c r="F761" s="3">
        <f>IF(G761="","",E761-D761)</f>
        <v/>
      </c>
      <c r="G761">
        <f>IFERROR(INDEX(Calc!$S$2:$S$1001,MATCH(ROW()-1,Calc!$X$2:$X$1001,0)),"")</f>
        <v/>
      </c>
    </row>
    <row r="762">
      <c r="A762">
        <f>IFERROR(INDEX(Calc!$L$2:$L$1001,MATCH(ROW()-1,Calc!$X$2:$X$1001,0)),"")</f>
        <v/>
      </c>
      <c r="B762">
        <f>IFERROR(INDEX(Calc!$M$2:$M$1001,MATCH(ROW()-1,Calc!$X$2:$X$1001,0)),"")</f>
        <v/>
      </c>
      <c r="C762">
        <f>IFERROR(INDEX(Calc!$N$2:$N$1001,MATCH(ROW()-1,Calc!$X$2:$X$1001,0)),"")</f>
        <v/>
      </c>
      <c r="D762" s="3">
        <f>IFERROR(INDEX(Calc!$O$2:$O$1001,MATCH(ROW()-1,Calc!$X$2:$X$1001,0)),"")</f>
        <v/>
      </c>
      <c r="E762" s="3">
        <f>IFERROR(INDEX(Calc!$P$2:$P$1001,MATCH(ROW()-1,Calc!$X$2:$X$1001,0)),"")</f>
        <v/>
      </c>
      <c r="F762" s="3">
        <f>IF(G762="","",E762-D762)</f>
        <v/>
      </c>
      <c r="G762">
        <f>IFERROR(INDEX(Calc!$S$2:$S$1001,MATCH(ROW()-1,Calc!$X$2:$X$1001,0)),"")</f>
        <v/>
      </c>
    </row>
    <row r="763">
      <c r="A763">
        <f>IFERROR(INDEX(Calc!$L$2:$L$1001,MATCH(ROW()-1,Calc!$X$2:$X$1001,0)),"")</f>
        <v/>
      </c>
      <c r="B763">
        <f>IFERROR(INDEX(Calc!$M$2:$M$1001,MATCH(ROW()-1,Calc!$X$2:$X$1001,0)),"")</f>
        <v/>
      </c>
      <c r="C763">
        <f>IFERROR(INDEX(Calc!$N$2:$N$1001,MATCH(ROW()-1,Calc!$X$2:$X$1001,0)),"")</f>
        <v/>
      </c>
      <c r="D763" s="3">
        <f>IFERROR(INDEX(Calc!$O$2:$O$1001,MATCH(ROW()-1,Calc!$X$2:$X$1001,0)),"")</f>
        <v/>
      </c>
      <c r="E763" s="3">
        <f>IFERROR(INDEX(Calc!$P$2:$P$1001,MATCH(ROW()-1,Calc!$X$2:$X$1001,0)),"")</f>
        <v/>
      </c>
      <c r="F763" s="3">
        <f>IF(G763="","",E763-D763)</f>
        <v/>
      </c>
      <c r="G763">
        <f>IFERROR(INDEX(Calc!$S$2:$S$1001,MATCH(ROW()-1,Calc!$X$2:$X$1001,0)),"")</f>
        <v/>
      </c>
    </row>
    <row r="764">
      <c r="A764">
        <f>IFERROR(INDEX(Calc!$L$2:$L$1001,MATCH(ROW()-1,Calc!$X$2:$X$1001,0)),"")</f>
        <v/>
      </c>
      <c r="B764">
        <f>IFERROR(INDEX(Calc!$M$2:$M$1001,MATCH(ROW()-1,Calc!$X$2:$X$1001,0)),"")</f>
        <v/>
      </c>
      <c r="C764">
        <f>IFERROR(INDEX(Calc!$N$2:$N$1001,MATCH(ROW()-1,Calc!$X$2:$X$1001,0)),"")</f>
        <v/>
      </c>
      <c r="D764" s="3">
        <f>IFERROR(INDEX(Calc!$O$2:$O$1001,MATCH(ROW()-1,Calc!$X$2:$X$1001,0)),"")</f>
        <v/>
      </c>
      <c r="E764" s="3">
        <f>IFERROR(INDEX(Calc!$P$2:$P$1001,MATCH(ROW()-1,Calc!$X$2:$X$1001,0)),"")</f>
        <v/>
      </c>
      <c r="F764" s="3">
        <f>IF(G764="","",E764-D764)</f>
        <v/>
      </c>
      <c r="G764">
        <f>IFERROR(INDEX(Calc!$S$2:$S$1001,MATCH(ROW()-1,Calc!$X$2:$X$1001,0)),"")</f>
        <v/>
      </c>
    </row>
    <row r="765">
      <c r="A765">
        <f>IFERROR(INDEX(Calc!$L$2:$L$1001,MATCH(ROW()-1,Calc!$X$2:$X$1001,0)),"")</f>
        <v/>
      </c>
      <c r="B765">
        <f>IFERROR(INDEX(Calc!$M$2:$M$1001,MATCH(ROW()-1,Calc!$X$2:$X$1001,0)),"")</f>
        <v/>
      </c>
      <c r="C765">
        <f>IFERROR(INDEX(Calc!$N$2:$N$1001,MATCH(ROW()-1,Calc!$X$2:$X$1001,0)),"")</f>
        <v/>
      </c>
      <c r="D765" s="3">
        <f>IFERROR(INDEX(Calc!$O$2:$O$1001,MATCH(ROW()-1,Calc!$X$2:$X$1001,0)),"")</f>
        <v/>
      </c>
      <c r="E765" s="3">
        <f>IFERROR(INDEX(Calc!$P$2:$P$1001,MATCH(ROW()-1,Calc!$X$2:$X$1001,0)),"")</f>
        <v/>
      </c>
      <c r="F765" s="3">
        <f>IF(G765="","",E765-D765)</f>
        <v/>
      </c>
      <c r="G765">
        <f>IFERROR(INDEX(Calc!$S$2:$S$1001,MATCH(ROW()-1,Calc!$X$2:$X$1001,0)),"")</f>
        <v/>
      </c>
    </row>
    <row r="766">
      <c r="A766">
        <f>IFERROR(INDEX(Calc!$L$2:$L$1001,MATCH(ROW()-1,Calc!$X$2:$X$1001,0)),"")</f>
        <v/>
      </c>
      <c r="B766">
        <f>IFERROR(INDEX(Calc!$M$2:$M$1001,MATCH(ROW()-1,Calc!$X$2:$X$1001,0)),"")</f>
        <v/>
      </c>
      <c r="C766">
        <f>IFERROR(INDEX(Calc!$N$2:$N$1001,MATCH(ROW()-1,Calc!$X$2:$X$1001,0)),"")</f>
        <v/>
      </c>
      <c r="D766" s="3">
        <f>IFERROR(INDEX(Calc!$O$2:$O$1001,MATCH(ROW()-1,Calc!$X$2:$X$1001,0)),"")</f>
        <v/>
      </c>
      <c r="E766" s="3">
        <f>IFERROR(INDEX(Calc!$P$2:$P$1001,MATCH(ROW()-1,Calc!$X$2:$X$1001,0)),"")</f>
        <v/>
      </c>
      <c r="F766" s="3">
        <f>IF(G766="","",E766-D766)</f>
        <v/>
      </c>
      <c r="G766">
        <f>IFERROR(INDEX(Calc!$S$2:$S$1001,MATCH(ROW()-1,Calc!$X$2:$X$1001,0)),"")</f>
        <v/>
      </c>
    </row>
    <row r="767">
      <c r="A767">
        <f>IFERROR(INDEX(Calc!$L$2:$L$1001,MATCH(ROW()-1,Calc!$X$2:$X$1001,0)),"")</f>
        <v/>
      </c>
      <c r="B767">
        <f>IFERROR(INDEX(Calc!$M$2:$M$1001,MATCH(ROW()-1,Calc!$X$2:$X$1001,0)),"")</f>
        <v/>
      </c>
      <c r="C767">
        <f>IFERROR(INDEX(Calc!$N$2:$N$1001,MATCH(ROW()-1,Calc!$X$2:$X$1001,0)),"")</f>
        <v/>
      </c>
      <c r="D767" s="3">
        <f>IFERROR(INDEX(Calc!$O$2:$O$1001,MATCH(ROW()-1,Calc!$X$2:$X$1001,0)),"")</f>
        <v/>
      </c>
      <c r="E767" s="3">
        <f>IFERROR(INDEX(Calc!$P$2:$P$1001,MATCH(ROW()-1,Calc!$X$2:$X$1001,0)),"")</f>
        <v/>
      </c>
      <c r="F767" s="3">
        <f>IF(G767="","",E767-D767)</f>
        <v/>
      </c>
      <c r="G767">
        <f>IFERROR(INDEX(Calc!$S$2:$S$1001,MATCH(ROW()-1,Calc!$X$2:$X$1001,0)),"")</f>
        <v/>
      </c>
    </row>
    <row r="768">
      <c r="A768">
        <f>IFERROR(INDEX(Calc!$L$2:$L$1001,MATCH(ROW()-1,Calc!$X$2:$X$1001,0)),"")</f>
        <v/>
      </c>
      <c r="B768">
        <f>IFERROR(INDEX(Calc!$M$2:$M$1001,MATCH(ROW()-1,Calc!$X$2:$X$1001,0)),"")</f>
        <v/>
      </c>
      <c r="C768">
        <f>IFERROR(INDEX(Calc!$N$2:$N$1001,MATCH(ROW()-1,Calc!$X$2:$X$1001,0)),"")</f>
        <v/>
      </c>
      <c r="D768" s="3">
        <f>IFERROR(INDEX(Calc!$O$2:$O$1001,MATCH(ROW()-1,Calc!$X$2:$X$1001,0)),"")</f>
        <v/>
      </c>
      <c r="E768" s="3">
        <f>IFERROR(INDEX(Calc!$P$2:$P$1001,MATCH(ROW()-1,Calc!$X$2:$X$1001,0)),"")</f>
        <v/>
      </c>
      <c r="F768" s="3">
        <f>IF(G768="","",E768-D768)</f>
        <v/>
      </c>
      <c r="G768">
        <f>IFERROR(INDEX(Calc!$S$2:$S$1001,MATCH(ROW()-1,Calc!$X$2:$X$1001,0)),"")</f>
        <v/>
      </c>
    </row>
    <row r="769">
      <c r="A769">
        <f>IFERROR(INDEX(Calc!$L$2:$L$1001,MATCH(ROW()-1,Calc!$X$2:$X$1001,0)),"")</f>
        <v/>
      </c>
      <c r="B769">
        <f>IFERROR(INDEX(Calc!$M$2:$M$1001,MATCH(ROW()-1,Calc!$X$2:$X$1001,0)),"")</f>
        <v/>
      </c>
      <c r="C769">
        <f>IFERROR(INDEX(Calc!$N$2:$N$1001,MATCH(ROW()-1,Calc!$X$2:$X$1001,0)),"")</f>
        <v/>
      </c>
      <c r="D769" s="3">
        <f>IFERROR(INDEX(Calc!$O$2:$O$1001,MATCH(ROW()-1,Calc!$X$2:$X$1001,0)),"")</f>
        <v/>
      </c>
      <c r="E769" s="3">
        <f>IFERROR(INDEX(Calc!$P$2:$P$1001,MATCH(ROW()-1,Calc!$X$2:$X$1001,0)),"")</f>
        <v/>
      </c>
      <c r="F769" s="3">
        <f>IF(G769="","",E769-D769)</f>
        <v/>
      </c>
      <c r="G769">
        <f>IFERROR(INDEX(Calc!$S$2:$S$1001,MATCH(ROW()-1,Calc!$X$2:$X$1001,0)),"")</f>
        <v/>
      </c>
    </row>
    <row r="770">
      <c r="A770">
        <f>IFERROR(INDEX(Calc!$L$2:$L$1001,MATCH(ROW()-1,Calc!$X$2:$X$1001,0)),"")</f>
        <v/>
      </c>
      <c r="B770">
        <f>IFERROR(INDEX(Calc!$M$2:$M$1001,MATCH(ROW()-1,Calc!$X$2:$X$1001,0)),"")</f>
        <v/>
      </c>
      <c r="C770">
        <f>IFERROR(INDEX(Calc!$N$2:$N$1001,MATCH(ROW()-1,Calc!$X$2:$X$1001,0)),"")</f>
        <v/>
      </c>
      <c r="D770" s="3">
        <f>IFERROR(INDEX(Calc!$O$2:$O$1001,MATCH(ROW()-1,Calc!$X$2:$X$1001,0)),"")</f>
        <v/>
      </c>
      <c r="E770" s="3">
        <f>IFERROR(INDEX(Calc!$P$2:$P$1001,MATCH(ROW()-1,Calc!$X$2:$X$1001,0)),"")</f>
        <v/>
      </c>
      <c r="F770" s="3">
        <f>IF(G770="","",E770-D770)</f>
        <v/>
      </c>
      <c r="G770">
        <f>IFERROR(INDEX(Calc!$S$2:$S$1001,MATCH(ROW()-1,Calc!$X$2:$X$1001,0)),"")</f>
        <v/>
      </c>
    </row>
    <row r="771">
      <c r="A771">
        <f>IFERROR(INDEX(Calc!$L$2:$L$1001,MATCH(ROW()-1,Calc!$X$2:$X$1001,0)),"")</f>
        <v/>
      </c>
      <c r="B771">
        <f>IFERROR(INDEX(Calc!$M$2:$M$1001,MATCH(ROW()-1,Calc!$X$2:$X$1001,0)),"")</f>
        <v/>
      </c>
      <c r="C771">
        <f>IFERROR(INDEX(Calc!$N$2:$N$1001,MATCH(ROW()-1,Calc!$X$2:$X$1001,0)),"")</f>
        <v/>
      </c>
      <c r="D771" s="3">
        <f>IFERROR(INDEX(Calc!$O$2:$O$1001,MATCH(ROW()-1,Calc!$X$2:$X$1001,0)),"")</f>
        <v/>
      </c>
      <c r="E771" s="3">
        <f>IFERROR(INDEX(Calc!$P$2:$P$1001,MATCH(ROW()-1,Calc!$X$2:$X$1001,0)),"")</f>
        <v/>
      </c>
      <c r="F771" s="3">
        <f>IF(G771="","",E771-D771)</f>
        <v/>
      </c>
      <c r="G771">
        <f>IFERROR(INDEX(Calc!$S$2:$S$1001,MATCH(ROW()-1,Calc!$X$2:$X$1001,0)),"")</f>
        <v/>
      </c>
    </row>
    <row r="772">
      <c r="A772">
        <f>IFERROR(INDEX(Calc!$L$2:$L$1001,MATCH(ROW()-1,Calc!$X$2:$X$1001,0)),"")</f>
        <v/>
      </c>
      <c r="B772">
        <f>IFERROR(INDEX(Calc!$M$2:$M$1001,MATCH(ROW()-1,Calc!$X$2:$X$1001,0)),"")</f>
        <v/>
      </c>
      <c r="C772">
        <f>IFERROR(INDEX(Calc!$N$2:$N$1001,MATCH(ROW()-1,Calc!$X$2:$X$1001,0)),"")</f>
        <v/>
      </c>
      <c r="D772" s="3">
        <f>IFERROR(INDEX(Calc!$O$2:$O$1001,MATCH(ROW()-1,Calc!$X$2:$X$1001,0)),"")</f>
        <v/>
      </c>
      <c r="E772" s="3">
        <f>IFERROR(INDEX(Calc!$P$2:$P$1001,MATCH(ROW()-1,Calc!$X$2:$X$1001,0)),"")</f>
        <v/>
      </c>
      <c r="F772" s="3">
        <f>IF(G772="","",E772-D772)</f>
        <v/>
      </c>
      <c r="G772">
        <f>IFERROR(INDEX(Calc!$S$2:$S$1001,MATCH(ROW()-1,Calc!$X$2:$X$1001,0)),"")</f>
        <v/>
      </c>
    </row>
    <row r="773">
      <c r="A773">
        <f>IFERROR(INDEX(Calc!$L$2:$L$1001,MATCH(ROW()-1,Calc!$X$2:$X$1001,0)),"")</f>
        <v/>
      </c>
      <c r="B773">
        <f>IFERROR(INDEX(Calc!$M$2:$M$1001,MATCH(ROW()-1,Calc!$X$2:$X$1001,0)),"")</f>
        <v/>
      </c>
      <c r="C773">
        <f>IFERROR(INDEX(Calc!$N$2:$N$1001,MATCH(ROW()-1,Calc!$X$2:$X$1001,0)),"")</f>
        <v/>
      </c>
      <c r="D773" s="3">
        <f>IFERROR(INDEX(Calc!$O$2:$O$1001,MATCH(ROW()-1,Calc!$X$2:$X$1001,0)),"")</f>
        <v/>
      </c>
      <c r="E773" s="3">
        <f>IFERROR(INDEX(Calc!$P$2:$P$1001,MATCH(ROW()-1,Calc!$X$2:$X$1001,0)),"")</f>
        <v/>
      </c>
      <c r="F773" s="3">
        <f>IF(G773="","",E773-D773)</f>
        <v/>
      </c>
      <c r="G773">
        <f>IFERROR(INDEX(Calc!$S$2:$S$1001,MATCH(ROW()-1,Calc!$X$2:$X$1001,0)),"")</f>
        <v/>
      </c>
    </row>
    <row r="774">
      <c r="A774">
        <f>IFERROR(INDEX(Calc!$L$2:$L$1001,MATCH(ROW()-1,Calc!$X$2:$X$1001,0)),"")</f>
        <v/>
      </c>
      <c r="B774">
        <f>IFERROR(INDEX(Calc!$M$2:$M$1001,MATCH(ROW()-1,Calc!$X$2:$X$1001,0)),"")</f>
        <v/>
      </c>
      <c r="C774">
        <f>IFERROR(INDEX(Calc!$N$2:$N$1001,MATCH(ROW()-1,Calc!$X$2:$X$1001,0)),"")</f>
        <v/>
      </c>
      <c r="D774" s="3">
        <f>IFERROR(INDEX(Calc!$O$2:$O$1001,MATCH(ROW()-1,Calc!$X$2:$X$1001,0)),"")</f>
        <v/>
      </c>
      <c r="E774" s="3">
        <f>IFERROR(INDEX(Calc!$P$2:$P$1001,MATCH(ROW()-1,Calc!$X$2:$X$1001,0)),"")</f>
        <v/>
      </c>
      <c r="F774" s="3">
        <f>IF(G774="","",E774-D774)</f>
        <v/>
      </c>
      <c r="G774">
        <f>IFERROR(INDEX(Calc!$S$2:$S$1001,MATCH(ROW()-1,Calc!$X$2:$X$1001,0)),"")</f>
        <v/>
      </c>
    </row>
    <row r="775">
      <c r="A775">
        <f>IFERROR(INDEX(Calc!$L$2:$L$1001,MATCH(ROW()-1,Calc!$X$2:$X$1001,0)),"")</f>
        <v/>
      </c>
      <c r="B775">
        <f>IFERROR(INDEX(Calc!$M$2:$M$1001,MATCH(ROW()-1,Calc!$X$2:$X$1001,0)),"")</f>
        <v/>
      </c>
      <c r="C775">
        <f>IFERROR(INDEX(Calc!$N$2:$N$1001,MATCH(ROW()-1,Calc!$X$2:$X$1001,0)),"")</f>
        <v/>
      </c>
      <c r="D775" s="3">
        <f>IFERROR(INDEX(Calc!$O$2:$O$1001,MATCH(ROW()-1,Calc!$X$2:$X$1001,0)),"")</f>
        <v/>
      </c>
      <c r="E775" s="3">
        <f>IFERROR(INDEX(Calc!$P$2:$P$1001,MATCH(ROW()-1,Calc!$X$2:$X$1001,0)),"")</f>
        <v/>
      </c>
      <c r="F775" s="3">
        <f>IF(G775="","",E775-D775)</f>
        <v/>
      </c>
      <c r="G775">
        <f>IFERROR(INDEX(Calc!$S$2:$S$1001,MATCH(ROW()-1,Calc!$X$2:$X$1001,0)),"")</f>
        <v/>
      </c>
    </row>
    <row r="776">
      <c r="A776">
        <f>IFERROR(INDEX(Calc!$L$2:$L$1001,MATCH(ROW()-1,Calc!$X$2:$X$1001,0)),"")</f>
        <v/>
      </c>
      <c r="B776">
        <f>IFERROR(INDEX(Calc!$M$2:$M$1001,MATCH(ROW()-1,Calc!$X$2:$X$1001,0)),"")</f>
        <v/>
      </c>
      <c r="C776">
        <f>IFERROR(INDEX(Calc!$N$2:$N$1001,MATCH(ROW()-1,Calc!$X$2:$X$1001,0)),"")</f>
        <v/>
      </c>
      <c r="D776" s="3">
        <f>IFERROR(INDEX(Calc!$O$2:$O$1001,MATCH(ROW()-1,Calc!$X$2:$X$1001,0)),"")</f>
        <v/>
      </c>
      <c r="E776" s="3">
        <f>IFERROR(INDEX(Calc!$P$2:$P$1001,MATCH(ROW()-1,Calc!$X$2:$X$1001,0)),"")</f>
        <v/>
      </c>
      <c r="F776" s="3">
        <f>IF(G776="","",E776-D776)</f>
        <v/>
      </c>
      <c r="G776">
        <f>IFERROR(INDEX(Calc!$S$2:$S$1001,MATCH(ROW()-1,Calc!$X$2:$X$1001,0)),"")</f>
        <v/>
      </c>
    </row>
    <row r="777">
      <c r="A777">
        <f>IFERROR(INDEX(Calc!$L$2:$L$1001,MATCH(ROW()-1,Calc!$X$2:$X$1001,0)),"")</f>
        <v/>
      </c>
      <c r="B777">
        <f>IFERROR(INDEX(Calc!$M$2:$M$1001,MATCH(ROW()-1,Calc!$X$2:$X$1001,0)),"")</f>
        <v/>
      </c>
      <c r="C777">
        <f>IFERROR(INDEX(Calc!$N$2:$N$1001,MATCH(ROW()-1,Calc!$X$2:$X$1001,0)),"")</f>
        <v/>
      </c>
      <c r="D777" s="3">
        <f>IFERROR(INDEX(Calc!$O$2:$O$1001,MATCH(ROW()-1,Calc!$X$2:$X$1001,0)),"")</f>
        <v/>
      </c>
      <c r="E777" s="3">
        <f>IFERROR(INDEX(Calc!$P$2:$P$1001,MATCH(ROW()-1,Calc!$X$2:$X$1001,0)),"")</f>
        <v/>
      </c>
      <c r="F777" s="3">
        <f>IF(G777="","",E777-D777)</f>
        <v/>
      </c>
      <c r="G777">
        <f>IFERROR(INDEX(Calc!$S$2:$S$1001,MATCH(ROW()-1,Calc!$X$2:$X$1001,0)),"")</f>
        <v/>
      </c>
    </row>
    <row r="778">
      <c r="A778">
        <f>IFERROR(INDEX(Calc!$L$2:$L$1001,MATCH(ROW()-1,Calc!$X$2:$X$1001,0)),"")</f>
        <v/>
      </c>
      <c r="B778">
        <f>IFERROR(INDEX(Calc!$M$2:$M$1001,MATCH(ROW()-1,Calc!$X$2:$X$1001,0)),"")</f>
        <v/>
      </c>
      <c r="C778">
        <f>IFERROR(INDEX(Calc!$N$2:$N$1001,MATCH(ROW()-1,Calc!$X$2:$X$1001,0)),"")</f>
        <v/>
      </c>
      <c r="D778" s="3">
        <f>IFERROR(INDEX(Calc!$O$2:$O$1001,MATCH(ROW()-1,Calc!$X$2:$X$1001,0)),"")</f>
        <v/>
      </c>
      <c r="E778" s="3">
        <f>IFERROR(INDEX(Calc!$P$2:$P$1001,MATCH(ROW()-1,Calc!$X$2:$X$1001,0)),"")</f>
        <v/>
      </c>
      <c r="F778" s="3">
        <f>IF(G778="","",E778-D778)</f>
        <v/>
      </c>
      <c r="G778">
        <f>IFERROR(INDEX(Calc!$S$2:$S$1001,MATCH(ROW()-1,Calc!$X$2:$X$1001,0)),"")</f>
        <v/>
      </c>
    </row>
    <row r="779">
      <c r="A779">
        <f>IFERROR(INDEX(Calc!$L$2:$L$1001,MATCH(ROW()-1,Calc!$X$2:$X$1001,0)),"")</f>
        <v/>
      </c>
      <c r="B779">
        <f>IFERROR(INDEX(Calc!$M$2:$M$1001,MATCH(ROW()-1,Calc!$X$2:$X$1001,0)),"")</f>
        <v/>
      </c>
      <c r="C779">
        <f>IFERROR(INDEX(Calc!$N$2:$N$1001,MATCH(ROW()-1,Calc!$X$2:$X$1001,0)),"")</f>
        <v/>
      </c>
      <c r="D779" s="3">
        <f>IFERROR(INDEX(Calc!$O$2:$O$1001,MATCH(ROW()-1,Calc!$X$2:$X$1001,0)),"")</f>
        <v/>
      </c>
      <c r="E779" s="3">
        <f>IFERROR(INDEX(Calc!$P$2:$P$1001,MATCH(ROW()-1,Calc!$X$2:$X$1001,0)),"")</f>
        <v/>
      </c>
      <c r="F779" s="3">
        <f>IF(G779="","",E779-D779)</f>
        <v/>
      </c>
      <c r="G779">
        <f>IFERROR(INDEX(Calc!$S$2:$S$1001,MATCH(ROW()-1,Calc!$X$2:$X$1001,0)),"")</f>
        <v/>
      </c>
    </row>
    <row r="780">
      <c r="A780">
        <f>IFERROR(INDEX(Calc!$L$2:$L$1001,MATCH(ROW()-1,Calc!$X$2:$X$1001,0)),"")</f>
        <v/>
      </c>
      <c r="B780">
        <f>IFERROR(INDEX(Calc!$M$2:$M$1001,MATCH(ROW()-1,Calc!$X$2:$X$1001,0)),"")</f>
        <v/>
      </c>
      <c r="C780">
        <f>IFERROR(INDEX(Calc!$N$2:$N$1001,MATCH(ROW()-1,Calc!$X$2:$X$1001,0)),"")</f>
        <v/>
      </c>
      <c r="D780" s="3">
        <f>IFERROR(INDEX(Calc!$O$2:$O$1001,MATCH(ROW()-1,Calc!$X$2:$X$1001,0)),"")</f>
        <v/>
      </c>
      <c r="E780" s="3">
        <f>IFERROR(INDEX(Calc!$P$2:$P$1001,MATCH(ROW()-1,Calc!$X$2:$X$1001,0)),"")</f>
        <v/>
      </c>
      <c r="F780" s="3">
        <f>IF(G780="","",E780-D780)</f>
        <v/>
      </c>
      <c r="G780">
        <f>IFERROR(INDEX(Calc!$S$2:$S$1001,MATCH(ROW()-1,Calc!$X$2:$X$1001,0)),"")</f>
        <v/>
      </c>
    </row>
    <row r="781">
      <c r="A781">
        <f>IFERROR(INDEX(Calc!$L$2:$L$1001,MATCH(ROW()-1,Calc!$X$2:$X$1001,0)),"")</f>
        <v/>
      </c>
      <c r="B781">
        <f>IFERROR(INDEX(Calc!$M$2:$M$1001,MATCH(ROW()-1,Calc!$X$2:$X$1001,0)),"")</f>
        <v/>
      </c>
      <c r="C781">
        <f>IFERROR(INDEX(Calc!$N$2:$N$1001,MATCH(ROW()-1,Calc!$X$2:$X$1001,0)),"")</f>
        <v/>
      </c>
      <c r="D781" s="3">
        <f>IFERROR(INDEX(Calc!$O$2:$O$1001,MATCH(ROW()-1,Calc!$X$2:$X$1001,0)),"")</f>
        <v/>
      </c>
      <c r="E781" s="3">
        <f>IFERROR(INDEX(Calc!$P$2:$P$1001,MATCH(ROW()-1,Calc!$X$2:$X$1001,0)),"")</f>
        <v/>
      </c>
      <c r="F781" s="3">
        <f>IF(G781="","",E781-D781)</f>
        <v/>
      </c>
      <c r="G781">
        <f>IFERROR(INDEX(Calc!$S$2:$S$1001,MATCH(ROW()-1,Calc!$X$2:$X$1001,0)),"")</f>
        <v/>
      </c>
    </row>
    <row r="782">
      <c r="A782">
        <f>IFERROR(INDEX(Calc!$L$2:$L$1001,MATCH(ROW()-1,Calc!$X$2:$X$1001,0)),"")</f>
        <v/>
      </c>
      <c r="B782">
        <f>IFERROR(INDEX(Calc!$M$2:$M$1001,MATCH(ROW()-1,Calc!$X$2:$X$1001,0)),"")</f>
        <v/>
      </c>
      <c r="C782">
        <f>IFERROR(INDEX(Calc!$N$2:$N$1001,MATCH(ROW()-1,Calc!$X$2:$X$1001,0)),"")</f>
        <v/>
      </c>
      <c r="D782" s="3">
        <f>IFERROR(INDEX(Calc!$O$2:$O$1001,MATCH(ROW()-1,Calc!$X$2:$X$1001,0)),"")</f>
        <v/>
      </c>
      <c r="E782" s="3">
        <f>IFERROR(INDEX(Calc!$P$2:$P$1001,MATCH(ROW()-1,Calc!$X$2:$X$1001,0)),"")</f>
        <v/>
      </c>
      <c r="F782" s="3">
        <f>IF(G782="","",E782-D782)</f>
        <v/>
      </c>
      <c r="G782">
        <f>IFERROR(INDEX(Calc!$S$2:$S$1001,MATCH(ROW()-1,Calc!$X$2:$X$1001,0)),"")</f>
        <v/>
      </c>
    </row>
    <row r="783">
      <c r="A783">
        <f>IFERROR(INDEX(Calc!$L$2:$L$1001,MATCH(ROW()-1,Calc!$X$2:$X$1001,0)),"")</f>
        <v/>
      </c>
      <c r="B783">
        <f>IFERROR(INDEX(Calc!$M$2:$M$1001,MATCH(ROW()-1,Calc!$X$2:$X$1001,0)),"")</f>
        <v/>
      </c>
      <c r="C783">
        <f>IFERROR(INDEX(Calc!$N$2:$N$1001,MATCH(ROW()-1,Calc!$X$2:$X$1001,0)),"")</f>
        <v/>
      </c>
      <c r="D783" s="3">
        <f>IFERROR(INDEX(Calc!$O$2:$O$1001,MATCH(ROW()-1,Calc!$X$2:$X$1001,0)),"")</f>
        <v/>
      </c>
      <c r="E783" s="3">
        <f>IFERROR(INDEX(Calc!$P$2:$P$1001,MATCH(ROW()-1,Calc!$X$2:$X$1001,0)),"")</f>
        <v/>
      </c>
      <c r="F783" s="3">
        <f>IF(G783="","",E783-D783)</f>
        <v/>
      </c>
      <c r="G783">
        <f>IFERROR(INDEX(Calc!$S$2:$S$1001,MATCH(ROW()-1,Calc!$X$2:$X$1001,0)),"")</f>
        <v/>
      </c>
    </row>
    <row r="784">
      <c r="A784">
        <f>IFERROR(INDEX(Calc!$L$2:$L$1001,MATCH(ROW()-1,Calc!$X$2:$X$1001,0)),"")</f>
        <v/>
      </c>
      <c r="B784">
        <f>IFERROR(INDEX(Calc!$M$2:$M$1001,MATCH(ROW()-1,Calc!$X$2:$X$1001,0)),"")</f>
        <v/>
      </c>
      <c r="C784">
        <f>IFERROR(INDEX(Calc!$N$2:$N$1001,MATCH(ROW()-1,Calc!$X$2:$X$1001,0)),"")</f>
        <v/>
      </c>
      <c r="D784" s="3">
        <f>IFERROR(INDEX(Calc!$O$2:$O$1001,MATCH(ROW()-1,Calc!$X$2:$X$1001,0)),"")</f>
        <v/>
      </c>
      <c r="E784" s="3">
        <f>IFERROR(INDEX(Calc!$P$2:$P$1001,MATCH(ROW()-1,Calc!$X$2:$X$1001,0)),"")</f>
        <v/>
      </c>
      <c r="F784" s="3">
        <f>IF(G784="","",E784-D784)</f>
        <v/>
      </c>
      <c r="G784">
        <f>IFERROR(INDEX(Calc!$S$2:$S$1001,MATCH(ROW()-1,Calc!$X$2:$X$1001,0)),"")</f>
        <v/>
      </c>
    </row>
    <row r="785">
      <c r="A785">
        <f>IFERROR(INDEX(Calc!$L$2:$L$1001,MATCH(ROW()-1,Calc!$X$2:$X$1001,0)),"")</f>
        <v/>
      </c>
      <c r="B785">
        <f>IFERROR(INDEX(Calc!$M$2:$M$1001,MATCH(ROW()-1,Calc!$X$2:$X$1001,0)),"")</f>
        <v/>
      </c>
      <c r="C785">
        <f>IFERROR(INDEX(Calc!$N$2:$N$1001,MATCH(ROW()-1,Calc!$X$2:$X$1001,0)),"")</f>
        <v/>
      </c>
      <c r="D785" s="3">
        <f>IFERROR(INDEX(Calc!$O$2:$O$1001,MATCH(ROW()-1,Calc!$X$2:$X$1001,0)),"")</f>
        <v/>
      </c>
      <c r="E785" s="3">
        <f>IFERROR(INDEX(Calc!$P$2:$P$1001,MATCH(ROW()-1,Calc!$X$2:$X$1001,0)),"")</f>
        <v/>
      </c>
      <c r="F785" s="3">
        <f>IF(G785="","",E785-D785)</f>
        <v/>
      </c>
      <c r="G785">
        <f>IFERROR(INDEX(Calc!$S$2:$S$1001,MATCH(ROW()-1,Calc!$X$2:$X$1001,0)),"")</f>
        <v/>
      </c>
    </row>
    <row r="786">
      <c r="A786">
        <f>IFERROR(INDEX(Calc!$L$2:$L$1001,MATCH(ROW()-1,Calc!$X$2:$X$1001,0)),"")</f>
        <v/>
      </c>
      <c r="B786">
        <f>IFERROR(INDEX(Calc!$M$2:$M$1001,MATCH(ROW()-1,Calc!$X$2:$X$1001,0)),"")</f>
        <v/>
      </c>
      <c r="C786">
        <f>IFERROR(INDEX(Calc!$N$2:$N$1001,MATCH(ROW()-1,Calc!$X$2:$X$1001,0)),"")</f>
        <v/>
      </c>
      <c r="D786" s="3">
        <f>IFERROR(INDEX(Calc!$O$2:$O$1001,MATCH(ROW()-1,Calc!$X$2:$X$1001,0)),"")</f>
        <v/>
      </c>
      <c r="E786" s="3">
        <f>IFERROR(INDEX(Calc!$P$2:$P$1001,MATCH(ROW()-1,Calc!$X$2:$X$1001,0)),"")</f>
        <v/>
      </c>
      <c r="F786" s="3">
        <f>IF(G786="","",E786-D786)</f>
        <v/>
      </c>
      <c r="G786">
        <f>IFERROR(INDEX(Calc!$S$2:$S$1001,MATCH(ROW()-1,Calc!$X$2:$X$1001,0)),"")</f>
        <v/>
      </c>
    </row>
    <row r="787">
      <c r="A787">
        <f>IFERROR(INDEX(Calc!$L$2:$L$1001,MATCH(ROW()-1,Calc!$X$2:$X$1001,0)),"")</f>
        <v/>
      </c>
      <c r="B787">
        <f>IFERROR(INDEX(Calc!$M$2:$M$1001,MATCH(ROW()-1,Calc!$X$2:$X$1001,0)),"")</f>
        <v/>
      </c>
      <c r="C787">
        <f>IFERROR(INDEX(Calc!$N$2:$N$1001,MATCH(ROW()-1,Calc!$X$2:$X$1001,0)),"")</f>
        <v/>
      </c>
      <c r="D787" s="3">
        <f>IFERROR(INDEX(Calc!$O$2:$O$1001,MATCH(ROW()-1,Calc!$X$2:$X$1001,0)),"")</f>
        <v/>
      </c>
      <c r="E787" s="3">
        <f>IFERROR(INDEX(Calc!$P$2:$P$1001,MATCH(ROW()-1,Calc!$X$2:$X$1001,0)),"")</f>
        <v/>
      </c>
      <c r="F787" s="3">
        <f>IF(G787="","",E787-D787)</f>
        <v/>
      </c>
      <c r="G787">
        <f>IFERROR(INDEX(Calc!$S$2:$S$1001,MATCH(ROW()-1,Calc!$X$2:$X$1001,0)),"")</f>
        <v/>
      </c>
    </row>
    <row r="788">
      <c r="A788">
        <f>IFERROR(INDEX(Calc!$L$2:$L$1001,MATCH(ROW()-1,Calc!$X$2:$X$1001,0)),"")</f>
        <v/>
      </c>
      <c r="B788">
        <f>IFERROR(INDEX(Calc!$M$2:$M$1001,MATCH(ROW()-1,Calc!$X$2:$X$1001,0)),"")</f>
        <v/>
      </c>
      <c r="C788">
        <f>IFERROR(INDEX(Calc!$N$2:$N$1001,MATCH(ROW()-1,Calc!$X$2:$X$1001,0)),"")</f>
        <v/>
      </c>
      <c r="D788" s="3">
        <f>IFERROR(INDEX(Calc!$O$2:$O$1001,MATCH(ROW()-1,Calc!$X$2:$X$1001,0)),"")</f>
        <v/>
      </c>
      <c r="E788" s="3">
        <f>IFERROR(INDEX(Calc!$P$2:$P$1001,MATCH(ROW()-1,Calc!$X$2:$X$1001,0)),"")</f>
        <v/>
      </c>
      <c r="F788" s="3">
        <f>IF(G788="","",E788-D788)</f>
        <v/>
      </c>
      <c r="G788">
        <f>IFERROR(INDEX(Calc!$S$2:$S$1001,MATCH(ROW()-1,Calc!$X$2:$X$1001,0)),"")</f>
        <v/>
      </c>
    </row>
    <row r="789">
      <c r="A789">
        <f>IFERROR(INDEX(Calc!$L$2:$L$1001,MATCH(ROW()-1,Calc!$X$2:$X$1001,0)),"")</f>
        <v/>
      </c>
      <c r="B789">
        <f>IFERROR(INDEX(Calc!$M$2:$M$1001,MATCH(ROW()-1,Calc!$X$2:$X$1001,0)),"")</f>
        <v/>
      </c>
      <c r="C789">
        <f>IFERROR(INDEX(Calc!$N$2:$N$1001,MATCH(ROW()-1,Calc!$X$2:$X$1001,0)),"")</f>
        <v/>
      </c>
      <c r="D789" s="3">
        <f>IFERROR(INDEX(Calc!$O$2:$O$1001,MATCH(ROW()-1,Calc!$X$2:$X$1001,0)),"")</f>
        <v/>
      </c>
      <c r="E789" s="3">
        <f>IFERROR(INDEX(Calc!$P$2:$P$1001,MATCH(ROW()-1,Calc!$X$2:$X$1001,0)),"")</f>
        <v/>
      </c>
      <c r="F789" s="3">
        <f>IF(G789="","",E789-D789)</f>
        <v/>
      </c>
      <c r="G789">
        <f>IFERROR(INDEX(Calc!$S$2:$S$1001,MATCH(ROW()-1,Calc!$X$2:$X$1001,0)),"")</f>
        <v/>
      </c>
    </row>
    <row r="790">
      <c r="A790">
        <f>IFERROR(INDEX(Calc!$L$2:$L$1001,MATCH(ROW()-1,Calc!$X$2:$X$1001,0)),"")</f>
        <v/>
      </c>
      <c r="B790">
        <f>IFERROR(INDEX(Calc!$M$2:$M$1001,MATCH(ROW()-1,Calc!$X$2:$X$1001,0)),"")</f>
        <v/>
      </c>
      <c r="C790">
        <f>IFERROR(INDEX(Calc!$N$2:$N$1001,MATCH(ROW()-1,Calc!$X$2:$X$1001,0)),"")</f>
        <v/>
      </c>
      <c r="D790" s="3">
        <f>IFERROR(INDEX(Calc!$O$2:$O$1001,MATCH(ROW()-1,Calc!$X$2:$X$1001,0)),"")</f>
        <v/>
      </c>
      <c r="E790" s="3">
        <f>IFERROR(INDEX(Calc!$P$2:$P$1001,MATCH(ROW()-1,Calc!$X$2:$X$1001,0)),"")</f>
        <v/>
      </c>
      <c r="F790" s="3">
        <f>IF(G790="","",E790-D790)</f>
        <v/>
      </c>
      <c r="G790">
        <f>IFERROR(INDEX(Calc!$S$2:$S$1001,MATCH(ROW()-1,Calc!$X$2:$X$1001,0)),"")</f>
        <v/>
      </c>
    </row>
    <row r="791">
      <c r="A791">
        <f>IFERROR(INDEX(Calc!$L$2:$L$1001,MATCH(ROW()-1,Calc!$X$2:$X$1001,0)),"")</f>
        <v/>
      </c>
      <c r="B791">
        <f>IFERROR(INDEX(Calc!$M$2:$M$1001,MATCH(ROW()-1,Calc!$X$2:$X$1001,0)),"")</f>
        <v/>
      </c>
      <c r="C791">
        <f>IFERROR(INDEX(Calc!$N$2:$N$1001,MATCH(ROW()-1,Calc!$X$2:$X$1001,0)),"")</f>
        <v/>
      </c>
      <c r="D791" s="3">
        <f>IFERROR(INDEX(Calc!$O$2:$O$1001,MATCH(ROW()-1,Calc!$X$2:$X$1001,0)),"")</f>
        <v/>
      </c>
      <c r="E791" s="3">
        <f>IFERROR(INDEX(Calc!$P$2:$P$1001,MATCH(ROW()-1,Calc!$X$2:$X$1001,0)),"")</f>
        <v/>
      </c>
      <c r="F791" s="3">
        <f>IF(G791="","",E791-D791)</f>
        <v/>
      </c>
      <c r="G791">
        <f>IFERROR(INDEX(Calc!$S$2:$S$1001,MATCH(ROW()-1,Calc!$X$2:$X$1001,0)),"")</f>
        <v/>
      </c>
    </row>
    <row r="792">
      <c r="A792">
        <f>IFERROR(INDEX(Calc!$L$2:$L$1001,MATCH(ROW()-1,Calc!$X$2:$X$1001,0)),"")</f>
        <v/>
      </c>
      <c r="B792">
        <f>IFERROR(INDEX(Calc!$M$2:$M$1001,MATCH(ROW()-1,Calc!$X$2:$X$1001,0)),"")</f>
        <v/>
      </c>
      <c r="C792">
        <f>IFERROR(INDEX(Calc!$N$2:$N$1001,MATCH(ROW()-1,Calc!$X$2:$X$1001,0)),"")</f>
        <v/>
      </c>
      <c r="D792" s="3">
        <f>IFERROR(INDEX(Calc!$O$2:$O$1001,MATCH(ROW()-1,Calc!$X$2:$X$1001,0)),"")</f>
        <v/>
      </c>
      <c r="E792" s="3">
        <f>IFERROR(INDEX(Calc!$P$2:$P$1001,MATCH(ROW()-1,Calc!$X$2:$X$1001,0)),"")</f>
        <v/>
      </c>
      <c r="F792" s="3">
        <f>IF(G792="","",E792-D792)</f>
        <v/>
      </c>
      <c r="G792">
        <f>IFERROR(INDEX(Calc!$S$2:$S$1001,MATCH(ROW()-1,Calc!$X$2:$X$1001,0)),"")</f>
        <v/>
      </c>
    </row>
    <row r="793">
      <c r="A793">
        <f>IFERROR(INDEX(Calc!$L$2:$L$1001,MATCH(ROW()-1,Calc!$X$2:$X$1001,0)),"")</f>
        <v/>
      </c>
      <c r="B793">
        <f>IFERROR(INDEX(Calc!$M$2:$M$1001,MATCH(ROW()-1,Calc!$X$2:$X$1001,0)),"")</f>
        <v/>
      </c>
      <c r="C793">
        <f>IFERROR(INDEX(Calc!$N$2:$N$1001,MATCH(ROW()-1,Calc!$X$2:$X$1001,0)),"")</f>
        <v/>
      </c>
      <c r="D793" s="3">
        <f>IFERROR(INDEX(Calc!$O$2:$O$1001,MATCH(ROW()-1,Calc!$X$2:$X$1001,0)),"")</f>
        <v/>
      </c>
      <c r="E793" s="3">
        <f>IFERROR(INDEX(Calc!$P$2:$P$1001,MATCH(ROW()-1,Calc!$X$2:$X$1001,0)),"")</f>
        <v/>
      </c>
      <c r="F793" s="3">
        <f>IF(G793="","",E793-D793)</f>
        <v/>
      </c>
      <c r="G793">
        <f>IFERROR(INDEX(Calc!$S$2:$S$1001,MATCH(ROW()-1,Calc!$X$2:$X$1001,0)),"")</f>
        <v/>
      </c>
    </row>
    <row r="794">
      <c r="A794">
        <f>IFERROR(INDEX(Calc!$L$2:$L$1001,MATCH(ROW()-1,Calc!$X$2:$X$1001,0)),"")</f>
        <v/>
      </c>
      <c r="B794">
        <f>IFERROR(INDEX(Calc!$M$2:$M$1001,MATCH(ROW()-1,Calc!$X$2:$X$1001,0)),"")</f>
        <v/>
      </c>
      <c r="C794">
        <f>IFERROR(INDEX(Calc!$N$2:$N$1001,MATCH(ROW()-1,Calc!$X$2:$X$1001,0)),"")</f>
        <v/>
      </c>
      <c r="D794" s="3">
        <f>IFERROR(INDEX(Calc!$O$2:$O$1001,MATCH(ROW()-1,Calc!$X$2:$X$1001,0)),"")</f>
        <v/>
      </c>
      <c r="E794" s="3">
        <f>IFERROR(INDEX(Calc!$P$2:$P$1001,MATCH(ROW()-1,Calc!$X$2:$X$1001,0)),"")</f>
        <v/>
      </c>
      <c r="F794" s="3">
        <f>IF(G794="","",E794-D794)</f>
        <v/>
      </c>
      <c r="G794">
        <f>IFERROR(INDEX(Calc!$S$2:$S$1001,MATCH(ROW()-1,Calc!$X$2:$X$1001,0)),"")</f>
        <v/>
      </c>
    </row>
    <row r="795">
      <c r="A795">
        <f>IFERROR(INDEX(Calc!$L$2:$L$1001,MATCH(ROW()-1,Calc!$X$2:$X$1001,0)),"")</f>
        <v/>
      </c>
      <c r="B795">
        <f>IFERROR(INDEX(Calc!$M$2:$M$1001,MATCH(ROW()-1,Calc!$X$2:$X$1001,0)),"")</f>
        <v/>
      </c>
      <c r="C795">
        <f>IFERROR(INDEX(Calc!$N$2:$N$1001,MATCH(ROW()-1,Calc!$X$2:$X$1001,0)),"")</f>
        <v/>
      </c>
      <c r="D795" s="3">
        <f>IFERROR(INDEX(Calc!$O$2:$O$1001,MATCH(ROW()-1,Calc!$X$2:$X$1001,0)),"")</f>
        <v/>
      </c>
      <c r="E795" s="3">
        <f>IFERROR(INDEX(Calc!$P$2:$P$1001,MATCH(ROW()-1,Calc!$X$2:$X$1001,0)),"")</f>
        <v/>
      </c>
      <c r="F795" s="3">
        <f>IF(G795="","",E795-D795)</f>
        <v/>
      </c>
      <c r="G795">
        <f>IFERROR(INDEX(Calc!$S$2:$S$1001,MATCH(ROW()-1,Calc!$X$2:$X$1001,0)),"")</f>
        <v/>
      </c>
    </row>
    <row r="796">
      <c r="A796">
        <f>IFERROR(INDEX(Calc!$L$2:$L$1001,MATCH(ROW()-1,Calc!$X$2:$X$1001,0)),"")</f>
        <v/>
      </c>
      <c r="B796">
        <f>IFERROR(INDEX(Calc!$M$2:$M$1001,MATCH(ROW()-1,Calc!$X$2:$X$1001,0)),"")</f>
        <v/>
      </c>
      <c r="C796">
        <f>IFERROR(INDEX(Calc!$N$2:$N$1001,MATCH(ROW()-1,Calc!$X$2:$X$1001,0)),"")</f>
        <v/>
      </c>
      <c r="D796" s="3">
        <f>IFERROR(INDEX(Calc!$O$2:$O$1001,MATCH(ROW()-1,Calc!$X$2:$X$1001,0)),"")</f>
        <v/>
      </c>
      <c r="E796" s="3">
        <f>IFERROR(INDEX(Calc!$P$2:$P$1001,MATCH(ROW()-1,Calc!$X$2:$X$1001,0)),"")</f>
        <v/>
      </c>
      <c r="F796" s="3">
        <f>IF(G796="","",E796-D796)</f>
        <v/>
      </c>
      <c r="G796">
        <f>IFERROR(INDEX(Calc!$S$2:$S$1001,MATCH(ROW()-1,Calc!$X$2:$X$1001,0)),"")</f>
        <v/>
      </c>
    </row>
    <row r="797">
      <c r="A797">
        <f>IFERROR(INDEX(Calc!$L$2:$L$1001,MATCH(ROW()-1,Calc!$X$2:$X$1001,0)),"")</f>
        <v/>
      </c>
      <c r="B797">
        <f>IFERROR(INDEX(Calc!$M$2:$M$1001,MATCH(ROW()-1,Calc!$X$2:$X$1001,0)),"")</f>
        <v/>
      </c>
      <c r="C797">
        <f>IFERROR(INDEX(Calc!$N$2:$N$1001,MATCH(ROW()-1,Calc!$X$2:$X$1001,0)),"")</f>
        <v/>
      </c>
      <c r="D797" s="3">
        <f>IFERROR(INDEX(Calc!$O$2:$O$1001,MATCH(ROW()-1,Calc!$X$2:$X$1001,0)),"")</f>
        <v/>
      </c>
      <c r="E797" s="3">
        <f>IFERROR(INDEX(Calc!$P$2:$P$1001,MATCH(ROW()-1,Calc!$X$2:$X$1001,0)),"")</f>
        <v/>
      </c>
      <c r="F797" s="3">
        <f>IF(G797="","",E797-D797)</f>
        <v/>
      </c>
      <c r="G797">
        <f>IFERROR(INDEX(Calc!$S$2:$S$1001,MATCH(ROW()-1,Calc!$X$2:$X$1001,0)),"")</f>
        <v/>
      </c>
    </row>
    <row r="798">
      <c r="A798">
        <f>IFERROR(INDEX(Calc!$L$2:$L$1001,MATCH(ROW()-1,Calc!$X$2:$X$1001,0)),"")</f>
        <v/>
      </c>
      <c r="B798">
        <f>IFERROR(INDEX(Calc!$M$2:$M$1001,MATCH(ROW()-1,Calc!$X$2:$X$1001,0)),"")</f>
        <v/>
      </c>
      <c r="C798">
        <f>IFERROR(INDEX(Calc!$N$2:$N$1001,MATCH(ROW()-1,Calc!$X$2:$X$1001,0)),"")</f>
        <v/>
      </c>
      <c r="D798" s="3">
        <f>IFERROR(INDEX(Calc!$O$2:$O$1001,MATCH(ROW()-1,Calc!$X$2:$X$1001,0)),"")</f>
        <v/>
      </c>
      <c r="E798" s="3">
        <f>IFERROR(INDEX(Calc!$P$2:$P$1001,MATCH(ROW()-1,Calc!$X$2:$X$1001,0)),"")</f>
        <v/>
      </c>
      <c r="F798" s="3">
        <f>IF(G798="","",E798-D798)</f>
        <v/>
      </c>
      <c r="G798">
        <f>IFERROR(INDEX(Calc!$S$2:$S$1001,MATCH(ROW()-1,Calc!$X$2:$X$1001,0)),"")</f>
        <v/>
      </c>
    </row>
    <row r="799">
      <c r="A799">
        <f>IFERROR(INDEX(Calc!$L$2:$L$1001,MATCH(ROW()-1,Calc!$X$2:$X$1001,0)),"")</f>
        <v/>
      </c>
      <c r="B799">
        <f>IFERROR(INDEX(Calc!$M$2:$M$1001,MATCH(ROW()-1,Calc!$X$2:$X$1001,0)),"")</f>
        <v/>
      </c>
      <c r="C799">
        <f>IFERROR(INDEX(Calc!$N$2:$N$1001,MATCH(ROW()-1,Calc!$X$2:$X$1001,0)),"")</f>
        <v/>
      </c>
      <c r="D799" s="3">
        <f>IFERROR(INDEX(Calc!$O$2:$O$1001,MATCH(ROW()-1,Calc!$X$2:$X$1001,0)),"")</f>
        <v/>
      </c>
      <c r="E799" s="3">
        <f>IFERROR(INDEX(Calc!$P$2:$P$1001,MATCH(ROW()-1,Calc!$X$2:$X$1001,0)),"")</f>
        <v/>
      </c>
      <c r="F799" s="3">
        <f>IF(G799="","",E799-D799)</f>
        <v/>
      </c>
      <c r="G799">
        <f>IFERROR(INDEX(Calc!$S$2:$S$1001,MATCH(ROW()-1,Calc!$X$2:$X$1001,0)),"")</f>
        <v/>
      </c>
    </row>
    <row r="800">
      <c r="A800">
        <f>IFERROR(INDEX(Calc!$L$2:$L$1001,MATCH(ROW()-1,Calc!$X$2:$X$1001,0)),"")</f>
        <v/>
      </c>
      <c r="B800">
        <f>IFERROR(INDEX(Calc!$M$2:$M$1001,MATCH(ROW()-1,Calc!$X$2:$X$1001,0)),"")</f>
        <v/>
      </c>
      <c r="C800">
        <f>IFERROR(INDEX(Calc!$N$2:$N$1001,MATCH(ROW()-1,Calc!$X$2:$X$1001,0)),"")</f>
        <v/>
      </c>
      <c r="D800" s="3">
        <f>IFERROR(INDEX(Calc!$O$2:$O$1001,MATCH(ROW()-1,Calc!$X$2:$X$1001,0)),"")</f>
        <v/>
      </c>
      <c r="E800" s="3">
        <f>IFERROR(INDEX(Calc!$P$2:$P$1001,MATCH(ROW()-1,Calc!$X$2:$X$1001,0)),"")</f>
        <v/>
      </c>
      <c r="F800" s="3">
        <f>IF(G800="","",E800-D800)</f>
        <v/>
      </c>
      <c r="G800">
        <f>IFERROR(INDEX(Calc!$S$2:$S$1001,MATCH(ROW()-1,Calc!$X$2:$X$1001,0)),"")</f>
        <v/>
      </c>
    </row>
    <row r="801">
      <c r="A801">
        <f>IFERROR(INDEX(Calc!$L$2:$L$1001,MATCH(ROW()-1,Calc!$X$2:$X$1001,0)),"")</f>
        <v/>
      </c>
      <c r="B801">
        <f>IFERROR(INDEX(Calc!$M$2:$M$1001,MATCH(ROW()-1,Calc!$X$2:$X$1001,0)),"")</f>
        <v/>
      </c>
      <c r="C801">
        <f>IFERROR(INDEX(Calc!$N$2:$N$1001,MATCH(ROW()-1,Calc!$X$2:$X$1001,0)),"")</f>
        <v/>
      </c>
      <c r="D801" s="3">
        <f>IFERROR(INDEX(Calc!$O$2:$O$1001,MATCH(ROW()-1,Calc!$X$2:$X$1001,0)),"")</f>
        <v/>
      </c>
      <c r="E801" s="3">
        <f>IFERROR(INDEX(Calc!$P$2:$P$1001,MATCH(ROW()-1,Calc!$X$2:$X$1001,0)),"")</f>
        <v/>
      </c>
      <c r="F801" s="3">
        <f>IF(G801="","",E801-D801)</f>
        <v/>
      </c>
      <c r="G801">
        <f>IFERROR(INDEX(Calc!$S$2:$S$1001,MATCH(ROW()-1,Calc!$X$2:$X$1001,0)),"")</f>
        <v/>
      </c>
    </row>
    <row r="802">
      <c r="A802">
        <f>IFERROR(INDEX(Calc!$L$2:$L$1001,MATCH(ROW()-1,Calc!$X$2:$X$1001,0)),"")</f>
        <v/>
      </c>
      <c r="B802">
        <f>IFERROR(INDEX(Calc!$M$2:$M$1001,MATCH(ROW()-1,Calc!$X$2:$X$1001,0)),"")</f>
        <v/>
      </c>
      <c r="C802">
        <f>IFERROR(INDEX(Calc!$N$2:$N$1001,MATCH(ROW()-1,Calc!$X$2:$X$1001,0)),"")</f>
        <v/>
      </c>
      <c r="D802" s="3">
        <f>IFERROR(INDEX(Calc!$O$2:$O$1001,MATCH(ROW()-1,Calc!$X$2:$X$1001,0)),"")</f>
        <v/>
      </c>
      <c r="E802" s="3">
        <f>IFERROR(INDEX(Calc!$P$2:$P$1001,MATCH(ROW()-1,Calc!$X$2:$X$1001,0)),"")</f>
        <v/>
      </c>
      <c r="F802" s="3">
        <f>IF(G802="","",E802-D802)</f>
        <v/>
      </c>
      <c r="G802">
        <f>IFERROR(INDEX(Calc!$S$2:$S$1001,MATCH(ROW()-1,Calc!$X$2:$X$1001,0)),"")</f>
        <v/>
      </c>
    </row>
    <row r="803">
      <c r="A803">
        <f>IFERROR(INDEX(Calc!$L$2:$L$1001,MATCH(ROW()-1,Calc!$X$2:$X$1001,0)),"")</f>
        <v/>
      </c>
      <c r="B803">
        <f>IFERROR(INDEX(Calc!$M$2:$M$1001,MATCH(ROW()-1,Calc!$X$2:$X$1001,0)),"")</f>
        <v/>
      </c>
      <c r="C803">
        <f>IFERROR(INDEX(Calc!$N$2:$N$1001,MATCH(ROW()-1,Calc!$X$2:$X$1001,0)),"")</f>
        <v/>
      </c>
      <c r="D803" s="3">
        <f>IFERROR(INDEX(Calc!$O$2:$O$1001,MATCH(ROW()-1,Calc!$X$2:$X$1001,0)),"")</f>
        <v/>
      </c>
      <c r="E803" s="3">
        <f>IFERROR(INDEX(Calc!$P$2:$P$1001,MATCH(ROW()-1,Calc!$X$2:$X$1001,0)),"")</f>
        <v/>
      </c>
      <c r="F803" s="3">
        <f>IF(G803="","",E803-D803)</f>
        <v/>
      </c>
      <c r="G803">
        <f>IFERROR(INDEX(Calc!$S$2:$S$1001,MATCH(ROW()-1,Calc!$X$2:$X$1001,0)),"")</f>
        <v/>
      </c>
    </row>
    <row r="804">
      <c r="A804">
        <f>IFERROR(INDEX(Calc!$L$2:$L$1001,MATCH(ROW()-1,Calc!$X$2:$X$1001,0)),"")</f>
        <v/>
      </c>
      <c r="B804">
        <f>IFERROR(INDEX(Calc!$M$2:$M$1001,MATCH(ROW()-1,Calc!$X$2:$X$1001,0)),"")</f>
        <v/>
      </c>
      <c r="C804">
        <f>IFERROR(INDEX(Calc!$N$2:$N$1001,MATCH(ROW()-1,Calc!$X$2:$X$1001,0)),"")</f>
        <v/>
      </c>
      <c r="D804" s="3">
        <f>IFERROR(INDEX(Calc!$O$2:$O$1001,MATCH(ROW()-1,Calc!$X$2:$X$1001,0)),"")</f>
        <v/>
      </c>
      <c r="E804" s="3">
        <f>IFERROR(INDEX(Calc!$P$2:$P$1001,MATCH(ROW()-1,Calc!$X$2:$X$1001,0)),"")</f>
        <v/>
      </c>
      <c r="F804" s="3">
        <f>IF(G804="","",E804-D804)</f>
        <v/>
      </c>
      <c r="G804">
        <f>IFERROR(INDEX(Calc!$S$2:$S$1001,MATCH(ROW()-1,Calc!$X$2:$X$1001,0)),"")</f>
        <v/>
      </c>
    </row>
    <row r="805">
      <c r="A805">
        <f>IFERROR(INDEX(Calc!$L$2:$L$1001,MATCH(ROW()-1,Calc!$X$2:$X$1001,0)),"")</f>
        <v/>
      </c>
      <c r="B805">
        <f>IFERROR(INDEX(Calc!$M$2:$M$1001,MATCH(ROW()-1,Calc!$X$2:$X$1001,0)),"")</f>
        <v/>
      </c>
      <c r="C805">
        <f>IFERROR(INDEX(Calc!$N$2:$N$1001,MATCH(ROW()-1,Calc!$X$2:$X$1001,0)),"")</f>
        <v/>
      </c>
      <c r="D805" s="3">
        <f>IFERROR(INDEX(Calc!$O$2:$O$1001,MATCH(ROW()-1,Calc!$X$2:$X$1001,0)),"")</f>
        <v/>
      </c>
      <c r="E805" s="3">
        <f>IFERROR(INDEX(Calc!$P$2:$P$1001,MATCH(ROW()-1,Calc!$X$2:$X$1001,0)),"")</f>
        <v/>
      </c>
      <c r="F805" s="3">
        <f>IF(G805="","",E805-D805)</f>
        <v/>
      </c>
      <c r="G805">
        <f>IFERROR(INDEX(Calc!$S$2:$S$1001,MATCH(ROW()-1,Calc!$X$2:$X$1001,0)),"")</f>
        <v/>
      </c>
    </row>
    <row r="806">
      <c r="A806">
        <f>IFERROR(INDEX(Calc!$L$2:$L$1001,MATCH(ROW()-1,Calc!$X$2:$X$1001,0)),"")</f>
        <v/>
      </c>
      <c r="B806">
        <f>IFERROR(INDEX(Calc!$M$2:$M$1001,MATCH(ROW()-1,Calc!$X$2:$X$1001,0)),"")</f>
        <v/>
      </c>
      <c r="C806">
        <f>IFERROR(INDEX(Calc!$N$2:$N$1001,MATCH(ROW()-1,Calc!$X$2:$X$1001,0)),"")</f>
        <v/>
      </c>
      <c r="D806" s="3">
        <f>IFERROR(INDEX(Calc!$O$2:$O$1001,MATCH(ROW()-1,Calc!$X$2:$X$1001,0)),"")</f>
        <v/>
      </c>
      <c r="E806" s="3">
        <f>IFERROR(INDEX(Calc!$P$2:$P$1001,MATCH(ROW()-1,Calc!$X$2:$X$1001,0)),"")</f>
        <v/>
      </c>
      <c r="F806" s="3">
        <f>IF(G806="","",E806-D806)</f>
        <v/>
      </c>
      <c r="G806">
        <f>IFERROR(INDEX(Calc!$S$2:$S$1001,MATCH(ROW()-1,Calc!$X$2:$X$1001,0)),"")</f>
        <v/>
      </c>
    </row>
    <row r="807">
      <c r="A807">
        <f>IFERROR(INDEX(Calc!$L$2:$L$1001,MATCH(ROW()-1,Calc!$X$2:$X$1001,0)),"")</f>
        <v/>
      </c>
      <c r="B807">
        <f>IFERROR(INDEX(Calc!$M$2:$M$1001,MATCH(ROW()-1,Calc!$X$2:$X$1001,0)),"")</f>
        <v/>
      </c>
      <c r="C807">
        <f>IFERROR(INDEX(Calc!$N$2:$N$1001,MATCH(ROW()-1,Calc!$X$2:$X$1001,0)),"")</f>
        <v/>
      </c>
      <c r="D807" s="3">
        <f>IFERROR(INDEX(Calc!$O$2:$O$1001,MATCH(ROW()-1,Calc!$X$2:$X$1001,0)),"")</f>
        <v/>
      </c>
      <c r="E807" s="3">
        <f>IFERROR(INDEX(Calc!$P$2:$P$1001,MATCH(ROW()-1,Calc!$X$2:$X$1001,0)),"")</f>
        <v/>
      </c>
      <c r="F807" s="3">
        <f>IF(G807="","",E807-D807)</f>
        <v/>
      </c>
      <c r="G807">
        <f>IFERROR(INDEX(Calc!$S$2:$S$1001,MATCH(ROW()-1,Calc!$X$2:$X$1001,0)),"")</f>
        <v/>
      </c>
    </row>
    <row r="808">
      <c r="A808">
        <f>IFERROR(INDEX(Calc!$L$2:$L$1001,MATCH(ROW()-1,Calc!$X$2:$X$1001,0)),"")</f>
        <v/>
      </c>
      <c r="B808">
        <f>IFERROR(INDEX(Calc!$M$2:$M$1001,MATCH(ROW()-1,Calc!$X$2:$X$1001,0)),"")</f>
        <v/>
      </c>
      <c r="C808">
        <f>IFERROR(INDEX(Calc!$N$2:$N$1001,MATCH(ROW()-1,Calc!$X$2:$X$1001,0)),"")</f>
        <v/>
      </c>
      <c r="D808" s="3">
        <f>IFERROR(INDEX(Calc!$O$2:$O$1001,MATCH(ROW()-1,Calc!$X$2:$X$1001,0)),"")</f>
        <v/>
      </c>
      <c r="E808" s="3">
        <f>IFERROR(INDEX(Calc!$P$2:$P$1001,MATCH(ROW()-1,Calc!$X$2:$X$1001,0)),"")</f>
        <v/>
      </c>
      <c r="F808" s="3">
        <f>IF(G808="","",E808-D808)</f>
        <v/>
      </c>
      <c r="G808">
        <f>IFERROR(INDEX(Calc!$S$2:$S$1001,MATCH(ROW()-1,Calc!$X$2:$X$1001,0)),"")</f>
        <v/>
      </c>
    </row>
    <row r="809">
      <c r="A809">
        <f>IFERROR(INDEX(Calc!$L$2:$L$1001,MATCH(ROW()-1,Calc!$X$2:$X$1001,0)),"")</f>
        <v/>
      </c>
      <c r="B809">
        <f>IFERROR(INDEX(Calc!$M$2:$M$1001,MATCH(ROW()-1,Calc!$X$2:$X$1001,0)),"")</f>
        <v/>
      </c>
      <c r="C809">
        <f>IFERROR(INDEX(Calc!$N$2:$N$1001,MATCH(ROW()-1,Calc!$X$2:$X$1001,0)),"")</f>
        <v/>
      </c>
      <c r="D809" s="3">
        <f>IFERROR(INDEX(Calc!$O$2:$O$1001,MATCH(ROW()-1,Calc!$X$2:$X$1001,0)),"")</f>
        <v/>
      </c>
      <c r="E809" s="3">
        <f>IFERROR(INDEX(Calc!$P$2:$P$1001,MATCH(ROW()-1,Calc!$X$2:$X$1001,0)),"")</f>
        <v/>
      </c>
      <c r="F809" s="3">
        <f>IF(G809="","",E809-D809)</f>
        <v/>
      </c>
      <c r="G809">
        <f>IFERROR(INDEX(Calc!$S$2:$S$1001,MATCH(ROW()-1,Calc!$X$2:$X$1001,0)),"")</f>
        <v/>
      </c>
    </row>
    <row r="810">
      <c r="A810">
        <f>IFERROR(INDEX(Calc!$L$2:$L$1001,MATCH(ROW()-1,Calc!$X$2:$X$1001,0)),"")</f>
        <v/>
      </c>
      <c r="B810">
        <f>IFERROR(INDEX(Calc!$M$2:$M$1001,MATCH(ROW()-1,Calc!$X$2:$X$1001,0)),"")</f>
        <v/>
      </c>
      <c r="C810">
        <f>IFERROR(INDEX(Calc!$N$2:$N$1001,MATCH(ROW()-1,Calc!$X$2:$X$1001,0)),"")</f>
        <v/>
      </c>
      <c r="D810" s="3">
        <f>IFERROR(INDEX(Calc!$O$2:$O$1001,MATCH(ROW()-1,Calc!$X$2:$X$1001,0)),"")</f>
        <v/>
      </c>
      <c r="E810" s="3">
        <f>IFERROR(INDEX(Calc!$P$2:$P$1001,MATCH(ROW()-1,Calc!$X$2:$X$1001,0)),"")</f>
        <v/>
      </c>
      <c r="F810" s="3">
        <f>IF(G810="","",E810-D810)</f>
        <v/>
      </c>
      <c r="G810">
        <f>IFERROR(INDEX(Calc!$S$2:$S$1001,MATCH(ROW()-1,Calc!$X$2:$X$1001,0)),"")</f>
        <v/>
      </c>
    </row>
    <row r="811">
      <c r="A811">
        <f>IFERROR(INDEX(Calc!$L$2:$L$1001,MATCH(ROW()-1,Calc!$X$2:$X$1001,0)),"")</f>
        <v/>
      </c>
      <c r="B811">
        <f>IFERROR(INDEX(Calc!$M$2:$M$1001,MATCH(ROW()-1,Calc!$X$2:$X$1001,0)),"")</f>
        <v/>
      </c>
      <c r="C811">
        <f>IFERROR(INDEX(Calc!$N$2:$N$1001,MATCH(ROW()-1,Calc!$X$2:$X$1001,0)),"")</f>
        <v/>
      </c>
      <c r="D811" s="3">
        <f>IFERROR(INDEX(Calc!$O$2:$O$1001,MATCH(ROW()-1,Calc!$X$2:$X$1001,0)),"")</f>
        <v/>
      </c>
      <c r="E811" s="3">
        <f>IFERROR(INDEX(Calc!$P$2:$P$1001,MATCH(ROW()-1,Calc!$X$2:$X$1001,0)),"")</f>
        <v/>
      </c>
      <c r="F811" s="3">
        <f>IF(G811="","",E811-D811)</f>
        <v/>
      </c>
      <c r="G811">
        <f>IFERROR(INDEX(Calc!$S$2:$S$1001,MATCH(ROW()-1,Calc!$X$2:$X$1001,0)),"")</f>
        <v/>
      </c>
    </row>
    <row r="812">
      <c r="A812">
        <f>IFERROR(INDEX(Calc!$L$2:$L$1001,MATCH(ROW()-1,Calc!$X$2:$X$1001,0)),"")</f>
        <v/>
      </c>
      <c r="B812">
        <f>IFERROR(INDEX(Calc!$M$2:$M$1001,MATCH(ROW()-1,Calc!$X$2:$X$1001,0)),"")</f>
        <v/>
      </c>
      <c r="C812">
        <f>IFERROR(INDEX(Calc!$N$2:$N$1001,MATCH(ROW()-1,Calc!$X$2:$X$1001,0)),"")</f>
        <v/>
      </c>
      <c r="D812" s="3">
        <f>IFERROR(INDEX(Calc!$O$2:$O$1001,MATCH(ROW()-1,Calc!$X$2:$X$1001,0)),"")</f>
        <v/>
      </c>
      <c r="E812" s="3">
        <f>IFERROR(INDEX(Calc!$P$2:$P$1001,MATCH(ROW()-1,Calc!$X$2:$X$1001,0)),"")</f>
        <v/>
      </c>
      <c r="F812" s="3">
        <f>IF(G812="","",E812-D812)</f>
        <v/>
      </c>
      <c r="G812">
        <f>IFERROR(INDEX(Calc!$S$2:$S$1001,MATCH(ROW()-1,Calc!$X$2:$X$1001,0)),"")</f>
        <v/>
      </c>
    </row>
    <row r="813">
      <c r="A813">
        <f>IFERROR(INDEX(Calc!$L$2:$L$1001,MATCH(ROW()-1,Calc!$X$2:$X$1001,0)),"")</f>
        <v/>
      </c>
      <c r="B813">
        <f>IFERROR(INDEX(Calc!$M$2:$M$1001,MATCH(ROW()-1,Calc!$X$2:$X$1001,0)),"")</f>
        <v/>
      </c>
      <c r="C813">
        <f>IFERROR(INDEX(Calc!$N$2:$N$1001,MATCH(ROW()-1,Calc!$X$2:$X$1001,0)),"")</f>
        <v/>
      </c>
      <c r="D813" s="3">
        <f>IFERROR(INDEX(Calc!$O$2:$O$1001,MATCH(ROW()-1,Calc!$X$2:$X$1001,0)),"")</f>
        <v/>
      </c>
      <c r="E813" s="3">
        <f>IFERROR(INDEX(Calc!$P$2:$P$1001,MATCH(ROW()-1,Calc!$X$2:$X$1001,0)),"")</f>
        <v/>
      </c>
      <c r="F813" s="3">
        <f>IF(G813="","",E813-D813)</f>
        <v/>
      </c>
      <c r="G813">
        <f>IFERROR(INDEX(Calc!$S$2:$S$1001,MATCH(ROW()-1,Calc!$X$2:$X$1001,0)),"")</f>
        <v/>
      </c>
    </row>
    <row r="814">
      <c r="A814">
        <f>IFERROR(INDEX(Calc!$L$2:$L$1001,MATCH(ROW()-1,Calc!$X$2:$X$1001,0)),"")</f>
        <v/>
      </c>
      <c r="B814">
        <f>IFERROR(INDEX(Calc!$M$2:$M$1001,MATCH(ROW()-1,Calc!$X$2:$X$1001,0)),"")</f>
        <v/>
      </c>
      <c r="C814">
        <f>IFERROR(INDEX(Calc!$N$2:$N$1001,MATCH(ROW()-1,Calc!$X$2:$X$1001,0)),"")</f>
        <v/>
      </c>
      <c r="D814" s="3">
        <f>IFERROR(INDEX(Calc!$O$2:$O$1001,MATCH(ROW()-1,Calc!$X$2:$X$1001,0)),"")</f>
        <v/>
      </c>
      <c r="E814" s="3">
        <f>IFERROR(INDEX(Calc!$P$2:$P$1001,MATCH(ROW()-1,Calc!$X$2:$X$1001,0)),"")</f>
        <v/>
      </c>
      <c r="F814" s="3">
        <f>IF(G814="","",E814-D814)</f>
        <v/>
      </c>
      <c r="G814">
        <f>IFERROR(INDEX(Calc!$S$2:$S$1001,MATCH(ROW()-1,Calc!$X$2:$X$1001,0)),"")</f>
        <v/>
      </c>
    </row>
    <row r="815">
      <c r="A815">
        <f>IFERROR(INDEX(Calc!$L$2:$L$1001,MATCH(ROW()-1,Calc!$X$2:$X$1001,0)),"")</f>
        <v/>
      </c>
      <c r="B815">
        <f>IFERROR(INDEX(Calc!$M$2:$M$1001,MATCH(ROW()-1,Calc!$X$2:$X$1001,0)),"")</f>
        <v/>
      </c>
      <c r="C815">
        <f>IFERROR(INDEX(Calc!$N$2:$N$1001,MATCH(ROW()-1,Calc!$X$2:$X$1001,0)),"")</f>
        <v/>
      </c>
      <c r="D815" s="3">
        <f>IFERROR(INDEX(Calc!$O$2:$O$1001,MATCH(ROW()-1,Calc!$X$2:$X$1001,0)),"")</f>
        <v/>
      </c>
      <c r="E815" s="3">
        <f>IFERROR(INDEX(Calc!$P$2:$P$1001,MATCH(ROW()-1,Calc!$X$2:$X$1001,0)),"")</f>
        <v/>
      </c>
      <c r="F815" s="3">
        <f>IF(G815="","",E815-D815)</f>
        <v/>
      </c>
      <c r="G815">
        <f>IFERROR(INDEX(Calc!$S$2:$S$1001,MATCH(ROW()-1,Calc!$X$2:$X$1001,0)),"")</f>
        <v/>
      </c>
    </row>
    <row r="816">
      <c r="A816">
        <f>IFERROR(INDEX(Calc!$L$2:$L$1001,MATCH(ROW()-1,Calc!$X$2:$X$1001,0)),"")</f>
        <v/>
      </c>
      <c r="B816">
        <f>IFERROR(INDEX(Calc!$M$2:$M$1001,MATCH(ROW()-1,Calc!$X$2:$X$1001,0)),"")</f>
        <v/>
      </c>
      <c r="C816">
        <f>IFERROR(INDEX(Calc!$N$2:$N$1001,MATCH(ROW()-1,Calc!$X$2:$X$1001,0)),"")</f>
        <v/>
      </c>
      <c r="D816" s="3">
        <f>IFERROR(INDEX(Calc!$O$2:$O$1001,MATCH(ROW()-1,Calc!$X$2:$X$1001,0)),"")</f>
        <v/>
      </c>
      <c r="E816" s="3">
        <f>IFERROR(INDEX(Calc!$P$2:$P$1001,MATCH(ROW()-1,Calc!$X$2:$X$1001,0)),"")</f>
        <v/>
      </c>
      <c r="F816" s="3">
        <f>IF(G816="","",E816-D816)</f>
        <v/>
      </c>
      <c r="G816">
        <f>IFERROR(INDEX(Calc!$S$2:$S$1001,MATCH(ROW()-1,Calc!$X$2:$X$1001,0)),"")</f>
        <v/>
      </c>
    </row>
    <row r="817">
      <c r="A817">
        <f>IFERROR(INDEX(Calc!$L$2:$L$1001,MATCH(ROW()-1,Calc!$X$2:$X$1001,0)),"")</f>
        <v/>
      </c>
      <c r="B817">
        <f>IFERROR(INDEX(Calc!$M$2:$M$1001,MATCH(ROW()-1,Calc!$X$2:$X$1001,0)),"")</f>
        <v/>
      </c>
      <c r="C817">
        <f>IFERROR(INDEX(Calc!$N$2:$N$1001,MATCH(ROW()-1,Calc!$X$2:$X$1001,0)),"")</f>
        <v/>
      </c>
      <c r="D817" s="3">
        <f>IFERROR(INDEX(Calc!$O$2:$O$1001,MATCH(ROW()-1,Calc!$X$2:$X$1001,0)),"")</f>
        <v/>
      </c>
      <c r="E817" s="3">
        <f>IFERROR(INDEX(Calc!$P$2:$P$1001,MATCH(ROW()-1,Calc!$X$2:$X$1001,0)),"")</f>
        <v/>
      </c>
      <c r="F817" s="3">
        <f>IF(G817="","",E817-D817)</f>
        <v/>
      </c>
      <c r="G817">
        <f>IFERROR(INDEX(Calc!$S$2:$S$1001,MATCH(ROW()-1,Calc!$X$2:$X$1001,0)),"")</f>
        <v/>
      </c>
    </row>
    <row r="818">
      <c r="A818">
        <f>IFERROR(INDEX(Calc!$L$2:$L$1001,MATCH(ROW()-1,Calc!$X$2:$X$1001,0)),"")</f>
        <v/>
      </c>
      <c r="B818">
        <f>IFERROR(INDEX(Calc!$M$2:$M$1001,MATCH(ROW()-1,Calc!$X$2:$X$1001,0)),"")</f>
        <v/>
      </c>
      <c r="C818">
        <f>IFERROR(INDEX(Calc!$N$2:$N$1001,MATCH(ROW()-1,Calc!$X$2:$X$1001,0)),"")</f>
        <v/>
      </c>
      <c r="D818" s="3">
        <f>IFERROR(INDEX(Calc!$O$2:$O$1001,MATCH(ROW()-1,Calc!$X$2:$X$1001,0)),"")</f>
        <v/>
      </c>
      <c r="E818" s="3">
        <f>IFERROR(INDEX(Calc!$P$2:$P$1001,MATCH(ROW()-1,Calc!$X$2:$X$1001,0)),"")</f>
        <v/>
      </c>
      <c r="F818" s="3">
        <f>IF(G818="","",E818-D818)</f>
        <v/>
      </c>
      <c r="G818">
        <f>IFERROR(INDEX(Calc!$S$2:$S$1001,MATCH(ROW()-1,Calc!$X$2:$X$1001,0)),"")</f>
        <v/>
      </c>
    </row>
    <row r="819">
      <c r="A819">
        <f>IFERROR(INDEX(Calc!$L$2:$L$1001,MATCH(ROW()-1,Calc!$X$2:$X$1001,0)),"")</f>
        <v/>
      </c>
      <c r="B819">
        <f>IFERROR(INDEX(Calc!$M$2:$M$1001,MATCH(ROW()-1,Calc!$X$2:$X$1001,0)),"")</f>
        <v/>
      </c>
      <c r="C819">
        <f>IFERROR(INDEX(Calc!$N$2:$N$1001,MATCH(ROW()-1,Calc!$X$2:$X$1001,0)),"")</f>
        <v/>
      </c>
      <c r="D819" s="3">
        <f>IFERROR(INDEX(Calc!$O$2:$O$1001,MATCH(ROW()-1,Calc!$X$2:$X$1001,0)),"")</f>
        <v/>
      </c>
      <c r="E819" s="3">
        <f>IFERROR(INDEX(Calc!$P$2:$P$1001,MATCH(ROW()-1,Calc!$X$2:$X$1001,0)),"")</f>
        <v/>
      </c>
      <c r="F819" s="3">
        <f>IF(G819="","",E819-D819)</f>
        <v/>
      </c>
      <c r="G819">
        <f>IFERROR(INDEX(Calc!$S$2:$S$1001,MATCH(ROW()-1,Calc!$X$2:$X$1001,0)),"")</f>
        <v/>
      </c>
    </row>
    <row r="820">
      <c r="A820">
        <f>IFERROR(INDEX(Calc!$L$2:$L$1001,MATCH(ROW()-1,Calc!$X$2:$X$1001,0)),"")</f>
        <v/>
      </c>
      <c r="B820">
        <f>IFERROR(INDEX(Calc!$M$2:$M$1001,MATCH(ROW()-1,Calc!$X$2:$X$1001,0)),"")</f>
        <v/>
      </c>
      <c r="C820">
        <f>IFERROR(INDEX(Calc!$N$2:$N$1001,MATCH(ROW()-1,Calc!$X$2:$X$1001,0)),"")</f>
        <v/>
      </c>
      <c r="D820" s="3">
        <f>IFERROR(INDEX(Calc!$O$2:$O$1001,MATCH(ROW()-1,Calc!$X$2:$X$1001,0)),"")</f>
        <v/>
      </c>
      <c r="E820" s="3">
        <f>IFERROR(INDEX(Calc!$P$2:$P$1001,MATCH(ROW()-1,Calc!$X$2:$X$1001,0)),"")</f>
        <v/>
      </c>
      <c r="F820" s="3">
        <f>IF(G820="","",E820-D820)</f>
        <v/>
      </c>
      <c r="G820">
        <f>IFERROR(INDEX(Calc!$S$2:$S$1001,MATCH(ROW()-1,Calc!$X$2:$X$1001,0)),"")</f>
        <v/>
      </c>
    </row>
    <row r="821">
      <c r="A821">
        <f>IFERROR(INDEX(Calc!$L$2:$L$1001,MATCH(ROW()-1,Calc!$X$2:$X$1001,0)),"")</f>
        <v/>
      </c>
      <c r="B821">
        <f>IFERROR(INDEX(Calc!$M$2:$M$1001,MATCH(ROW()-1,Calc!$X$2:$X$1001,0)),"")</f>
        <v/>
      </c>
      <c r="C821">
        <f>IFERROR(INDEX(Calc!$N$2:$N$1001,MATCH(ROW()-1,Calc!$X$2:$X$1001,0)),"")</f>
        <v/>
      </c>
      <c r="D821" s="3">
        <f>IFERROR(INDEX(Calc!$O$2:$O$1001,MATCH(ROW()-1,Calc!$X$2:$X$1001,0)),"")</f>
        <v/>
      </c>
      <c r="E821" s="3">
        <f>IFERROR(INDEX(Calc!$P$2:$P$1001,MATCH(ROW()-1,Calc!$X$2:$X$1001,0)),"")</f>
        <v/>
      </c>
      <c r="F821" s="3">
        <f>IF(G821="","",E821-D821)</f>
        <v/>
      </c>
      <c r="G821">
        <f>IFERROR(INDEX(Calc!$S$2:$S$1001,MATCH(ROW()-1,Calc!$X$2:$X$1001,0)),"")</f>
        <v/>
      </c>
    </row>
    <row r="822">
      <c r="A822">
        <f>IFERROR(INDEX(Calc!$L$2:$L$1001,MATCH(ROW()-1,Calc!$X$2:$X$1001,0)),"")</f>
        <v/>
      </c>
      <c r="B822">
        <f>IFERROR(INDEX(Calc!$M$2:$M$1001,MATCH(ROW()-1,Calc!$X$2:$X$1001,0)),"")</f>
        <v/>
      </c>
      <c r="C822">
        <f>IFERROR(INDEX(Calc!$N$2:$N$1001,MATCH(ROW()-1,Calc!$X$2:$X$1001,0)),"")</f>
        <v/>
      </c>
      <c r="D822" s="3">
        <f>IFERROR(INDEX(Calc!$O$2:$O$1001,MATCH(ROW()-1,Calc!$X$2:$X$1001,0)),"")</f>
        <v/>
      </c>
      <c r="E822" s="3">
        <f>IFERROR(INDEX(Calc!$P$2:$P$1001,MATCH(ROW()-1,Calc!$X$2:$X$1001,0)),"")</f>
        <v/>
      </c>
      <c r="F822" s="3">
        <f>IF(G822="","",E822-D822)</f>
        <v/>
      </c>
      <c r="G822">
        <f>IFERROR(INDEX(Calc!$S$2:$S$1001,MATCH(ROW()-1,Calc!$X$2:$X$1001,0)),"")</f>
        <v/>
      </c>
    </row>
    <row r="823">
      <c r="A823">
        <f>IFERROR(INDEX(Calc!$L$2:$L$1001,MATCH(ROW()-1,Calc!$X$2:$X$1001,0)),"")</f>
        <v/>
      </c>
      <c r="B823">
        <f>IFERROR(INDEX(Calc!$M$2:$M$1001,MATCH(ROW()-1,Calc!$X$2:$X$1001,0)),"")</f>
        <v/>
      </c>
      <c r="C823">
        <f>IFERROR(INDEX(Calc!$N$2:$N$1001,MATCH(ROW()-1,Calc!$X$2:$X$1001,0)),"")</f>
        <v/>
      </c>
      <c r="D823" s="3">
        <f>IFERROR(INDEX(Calc!$O$2:$O$1001,MATCH(ROW()-1,Calc!$X$2:$X$1001,0)),"")</f>
        <v/>
      </c>
      <c r="E823" s="3">
        <f>IFERROR(INDEX(Calc!$P$2:$P$1001,MATCH(ROW()-1,Calc!$X$2:$X$1001,0)),"")</f>
        <v/>
      </c>
      <c r="F823" s="3">
        <f>IF(G823="","",E823-D823)</f>
        <v/>
      </c>
      <c r="G823">
        <f>IFERROR(INDEX(Calc!$S$2:$S$1001,MATCH(ROW()-1,Calc!$X$2:$X$1001,0)),"")</f>
        <v/>
      </c>
    </row>
    <row r="824">
      <c r="A824">
        <f>IFERROR(INDEX(Calc!$L$2:$L$1001,MATCH(ROW()-1,Calc!$X$2:$X$1001,0)),"")</f>
        <v/>
      </c>
      <c r="B824">
        <f>IFERROR(INDEX(Calc!$M$2:$M$1001,MATCH(ROW()-1,Calc!$X$2:$X$1001,0)),"")</f>
        <v/>
      </c>
      <c r="C824">
        <f>IFERROR(INDEX(Calc!$N$2:$N$1001,MATCH(ROW()-1,Calc!$X$2:$X$1001,0)),"")</f>
        <v/>
      </c>
      <c r="D824" s="3">
        <f>IFERROR(INDEX(Calc!$O$2:$O$1001,MATCH(ROW()-1,Calc!$X$2:$X$1001,0)),"")</f>
        <v/>
      </c>
      <c r="E824" s="3">
        <f>IFERROR(INDEX(Calc!$P$2:$P$1001,MATCH(ROW()-1,Calc!$X$2:$X$1001,0)),"")</f>
        <v/>
      </c>
      <c r="F824" s="3">
        <f>IF(G824="","",E824-D824)</f>
        <v/>
      </c>
      <c r="G824">
        <f>IFERROR(INDEX(Calc!$S$2:$S$1001,MATCH(ROW()-1,Calc!$X$2:$X$1001,0)),"")</f>
        <v/>
      </c>
    </row>
    <row r="825">
      <c r="A825">
        <f>IFERROR(INDEX(Calc!$L$2:$L$1001,MATCH(ROW()-1,Calc!$X$2:$X$1001,0)),"")</f>
        <v/>
      </c>
      <c r="B825">
        <f>IFERROR(INDEX(Calc!$M$2:$M$1001,MATCH(ROW()-1,Calc!$X$2:$X$1001,0)),"")</f>
        <v/>
      </c>
      <c r="C825">
        <f>IFERROR(INDEX(Calc!$N$2:$N$1001,MATCH(ROW()-1,Calc!$X$2:$X$1001,0)),"")</f>
        <v/>
      </c>
      <c r="D825" s="3">
        <f>IFERROR(INDEX(Calc!$O$2:$O$1001,MATCH(ROW()-1,Calc!$X$2:$X$1001,0)),"")</f>
        <v/>
      </c>
      <c r="E825" s="3">
        <f>IFERROR(INDEX(Calc!$P$2:$P$1001,MATCH(ROW()-1,Calc!$X$2:$X$1001,0)),"")</f>
        <v/>
      </c>
      <c r="F825" s="3">
        <f>IF(G825="","",E825-D825)</f>
        <v/>
      </c>
      <c r="G825">
        <f>IFERROR(INDEX(Calc!$S$2:$S$1001,MATCH(ROW()-1,Calc!$X$2:$X$1001,0)),"")</f>
        <v/>
      </c>
    </row>
    <row r="826">
      <c r="A826">
        <f>IFERROR(INDEX(Calc!$L$2:$L$1001,MATCH(ROW()-1,Calc!$X$2:$X$1001,0)),"")</f>
        <v/>
      </c>
      <c r="B826">
        <f>IFERROR(INDEX(Calc!$M$2:$M$1001,MATCH(ROW()-1,Calc!$X$2:$X$1001,0)),"")</f>
        <v/>
      </c>
      <c r="C826">
        <f>IFERROR(INDEX(Calc!$N$2:$N$1001,MATCH(ROW()-1,Calc!$X$2:$X$1001,0)),"")</f>
        <v/>
      </c>
      <c r="D826" s="3">
        <f>IFERROR(INDEX(Calc!$O$2:$O$1001,MATCH(ROW()-1,Calc!$X$2:$X$1001,0)),"")</f>
        <v/>
      </c>
      <c r="E826" s="3">
        <f>IFERROR(INDEX(Calc!$P$2:$P$1001,MATCH(ROW()-1,Calc!$X$2:$X$1001,0)),"")</f>
        <v/>
      </c>
      <c r="F826" s="3">
        <f>IF(G826="","",E826-D826)</f>
        <v/>
      </c>
      <c r="G826">
        <f>IFERROR(INDEX(Calc!$S$2:$S$1001,MATCH(ROW()-1,Calc!$X$2:$X$1001,0)),"")</f>
        <v/>
      </c>
    </row>
    <row r="827">
      <c r="A827">
        <f>IFERROR(INDEX(Calc!$L$2:$L$1001,MATCH(ROW()-1,Calc!$X$2:$X$1001,0)),"")</f>
        <v/>
      </c>
      <c r="B827">
        <f>IFERROR(INDEX(Calc!$M$2:$M$1001,MATCH(ROW()-1,Calc!$X$2:$X$1001,0)),"")</f>
        <v/>
      </c>
      <c r="C827">
        <f>IFERROR(INDEX(Calc!$N$2:$N$1001,MATCH(ROW()-1,Calc!$X$2:$X$1001,0)),"")</f>
        <v/>
      </c>
      <c r="D827" s="3">
        <f>IFERROR(INDEX(Calc!$O$2:$O$1001,MATCH(ROW()-1,Calc!$X$2:$X$1001,0)),"")</f>
        <v/>
      </c>
      <c r="E827" s="3">
        <f>IFERROR(INDEX(Calc!$P$2:$P$1001,MATCH(ROW()-1,Calc!$X$2:$X$1001,0)),"")</f>
        <v/>
      </c>
      <c r="F827" s="3">
        <f>IF(G827="","",E827-D827)</f>
        <v/>
      </c>
      <c r="G827">
        <f>IFERROR(INDEX(Calc!$S$2:$S$1001,MATCH(ROW()-1,Calc!$X$2:$X$1001,0)),"")</f>
        <v/>
      </c>
    </row>
    <row r="828">
      <c r="A828">
        <f>IFERROR(INDEX(Calc!$L$2:$L$1001,MATCH(ROW()-1,Calc!$X$2:$X$1001,0)),"")</f>
        <v/>
      </c>
      <c r="B828">
        <f>IFERROR(INDEX(Calc!$M$2:$M$1001,MATCH(ROW()-1,Calc!$X$2:$X$1001,0)),"")</f>
        <v/>
      </c>
      <c r="C828">
        <f>IFERROR(INDEX(Calc!$N$2:$N$1001,MATCH(ROW()-1,Calc!$X$2:$X$1001,0)),"")</f>
        <v/>
      </c>
      <c r="D828" s="3">
        <f>IFERROR(INDEX(Calc!$O$2:$O$1001,MATCH(ROW()-1,Calc!$X$2:$X$1001,0)),"")</f>
        <v/>
      </c>
      <c r="E828" s="3">
        <f>IFERROR(INDEX(Calc!$P$2:$P$1001,MATCH(ROW()-1,Calc!$X$2:$X$1001,0)),"")</f>
        <v/>
      </c>
      <c r="F828" s="3">
        <f>IF(G828="","",E828-D828)</f>
        <v/>
      </c>
      <c r="G828">
        <f>IFERROR(INDEX(Calc!$S$2:$S$1001,MATCH(ROW()-1,Calc!$X$2:$X$1001,0)),"")</f>
        <v/>
      </c>
    </row>
    <row r="829">
      <c r="A829">
        <f>IFERROR(INDEX(Calc!$L$2:$L$1001,MATCH(ROW()-1,Calc!$X$2:$X$1001,0)),"")</f>
        <v/>
      </c>
      <c r="B829">
        <f>IFERROR(INDEX(Calc!$M$2:$M$1001,MATCH(ROW()-1,Calc!$X$2:$X$1001,0)),"")</f>
        <v/>
      </c>
      <c r="C829">
        <f>IFERROR(INDEX(Calc!$N$2:$N$1001,MATCH(ROW()-1,Calc!$X$2:$X$1001,0)),"")</f>
        <v/>
      </c>
      <c r="D829" s="3">
        <f>IFERROR(INDEX(Calc!$O$2:$O$1001,MATCH(ROW()-1,Calc!$X$2:$X$1001,0)),"")</f>
        <v/>
      </c>
      <c r="E829" s="3">
        <f>IFERROR(INDEX(Calc!$P$2:$P$1001,MATCH(ROW()-1,Calc!$X$2:$X$1001,0)),"")</f>
        <v/>
      </c>
      <c r="F829" s="3">
        <f>IF(G829="","",E829-D829)</f>
        <v/>
      </c>
      <c r="G829">
        <f>IFERROR(INDEX(Calc!$S$2:$S$1001,MATCH(ROW()-1,Calc!$X$2:$X$1001,0)),"")</f>
        <v/>
      </c>
    </row>
    <row r="830">
      <c r="A830">
        <f>IFERROR(INDEX(Calc!$L$2:$L$1001,MATCH(ROW()-1,Calc!$X$2:$X$1001,0)),"")</f>
        <v/>
      </c>
      <c r="B830">
        <f>IFERROR(INDEX(Calc!$M$2:$M$1001,MATCH(ROW()-1,Calc!$X$2:$X$1001,0)),"")</f>
        <v/>
      </c>
      <c r="C830">
        <f>IFERROR(INDEX(Calc!$N$2:$N$1001,MATCH(ROW()-1,Calc!$X$2:$X$1001,0)),"")</f>
        <v/>
      </c>
      <c r="D830" s="3">
        <f>IFERROR(INDEX(Calc!$O$2:$O$1001,MATCH(ROW()-1,Calc!$X$2:$X$1001,0)),"")</f>
        <v/>
      </c>
      <c r="E830" s="3">
        <f>IFERROR(INDEX(Calc!$P$2:$P$1001,MATCH(ROW()-1,Calc!$X$2:$X$1001,0)),"")</f>
        <v/>
      </c>
      <c r="F830" s="3">
        <f>IF(G830="","",E830-D830)</f>
        <v/>
      </c>
      <c r="G830">
        <f>IFERROR(INDEX(Calc!$S$2:$S$1001,MATCH(ROW()-1,Calc!$X$2:$X$1001,0)),"")</f>
        <v/>
      </c>
    </row>
    <row r="831">
      <c r="A831">
        <f>IFERROR(INDEX(Calc!$L$2:$L$1001,MATCH(ROW()-1,Calc!$X$2:$X$1001,0)),"")</f>
        <v/>
      </c>
      <c r="B831">
        <f>IFERROR(INDEX(Calc!$M$2:$M$1001,MATCH(ROW()-1,Calc!$X$2:$X$1001,0)),"")</f>
        <v/>
      </c>
      <c r="C831">
        <f>IFERROR(INDEX(Calc!$N$2:$N$1001,MATCH(ROW()-1,Calc!$X$2:$X$1001,0)),"")</f>
        <v/>
      </c>
      <c r="D831" s="3">
        <f>IFERROR(INDEX(Calc!$O$2:$O$1001,MATCH(ROW()-1,Calc!$X$2:$X$1001,0)),"")</f>
        <v/>
      </c>
      <c r="E831" s="3">
        <f>IFERROR(INDEX(Calc!$P$2:$P$1001,MATCH(ROW()-1,Calc!$X$2:$X$1001,0)),"")</f>
        <v/>
      </c>
      <c r="F831" s="3">
        <f>IF(G831="","",E831-D831)</f>
        <v/>
      </c>
      <c r="G831">
        <f>IFERROR(INDEX(Calc!$S$2:$S$1001,MATCH(ROW()-1,Calc!$X$2:$X$1001,0)),"")</f>
        <v/>
      </c>
    </row>
    <row r="832">
      <c r="A832">
        <f>IFERROR(INDEX(Calc!$L$2:$L$1001,MATCH(ROW()-1,Calc!$X$2:$X$1001,0)),"")</f>
        <v/>
      </c>
      <c r="B832">
        <f>IFERROR(INDEX(Calc!$M$2:$M$1001,MATCH(ROW()-1,Calc!$X$2:$X$1001,0)),"")</f>
        <v/>
      </c>
      <c r="C832">
        <f>IFERROR(INDEX(Calc!$N$2:$N$1001,MATCH(ROW()-1,Calc!$X$2:$X$1001,0)),"")</f>
        <v/>
      </c>
      <c r="D832" s="3">
        <f>IFERROR(INDEX(Calc!$O$2:$O$1001,MATCH(ROW()-1,Calc!$X$2:$X$1001,0)),"")</f>
        <v/>
      </c>
      <c r="E832" s="3">
        <f>IFERROR(INDEX(Calc!$P$2:$P$1001,MATCH(ROW()-1,Calc!$X$2:$X$1001,0)),"")</f>
        <v/>
      </c>
      <c r="F832" s="3">
        <f>IF(G832="","",E832-D832)</f>
        <v/>
      </c>
      <c r="G832">
        <f>IFERROR(INDEX(Calc!$S$2:$S$1001,MATCH(ROW()-1,Calc!$X$2:$X$1001,0)),"")</f>
        <v/>
      </c>
    </row>
    <row r="833">
      <c r="A833">
        <f>IFERROR(INDEX(Calc!$L$2:$L$1001,MATCH(ROW()-1,Calc!$X$2:$X$1001,0)),"")</f>
        <v/>
      </c>
      <c r="B833">
        <f>IFERROR(INDEX(Calc!$M$2:$M$1001,MATCH(ROW()-1,Calc!$X$2:$X$1001,0)),"")</f>
        <v/>
      </c>
      <c r="C833">
        <f>IFERROR(INDEX(Calc!$N$2:$N$1001,MATCH(ROW()-1,Calc!$X$2:$X$1001,0)),"")</f>
        <v/>
      </c>
      <c r="D833" s="3">
        <f>IFERROR(INDEX(Calc!$O$2:$O$1001,MATCH(ROW()-1,Calc!$X$2:$X$1001,0)),"")</f>
        <v/>
      </c>
      <c r="E833" s="3">
        <f>IFERROR(INDEX(Calc!$P$2:$P$1001,MATCH(ROW()-1,Calc!$X$2:$X$1001,0)),"")</f>
        <v/>
      </c>
      <c r="F833" s="3">
        <f>IF(G833="","",E833-D833)</f>
        <v/>
      </c>
      <c r="G833">
        <f>IFERROR(INDEX(Calc!$S$2:$S$1001,MATCH(ROW()-1,Calc!$X$2:$X$1001,0)),"")</f>
        <v/>
      </c>
    </row>
    <row r="834">
      <c r="A834">
        <f>IFERROR(INDEX(Calc!$L$2:$L$1001,MATCH(ROW()-1,Calc!$X$2:$X$1001,0)),"")</f>
        <v/>
      </c>
      <c r="B834">
        <f>IFERROR(INDEX(Calc!$M$2:$M$1001,MATCH(ROW()-1,Calc!$X$2:$X$1001,0)),"")</f>
        <v/>
      </c>
      <c r="C834">
        <f>IFERROR(INDEX(Calc!$N$2:$N$1001,MATCH(ROW()-1,Calc!$X$2:$X$1001,0)),"")</f>
        <v/>
      </c>
      <c r="D834" s="3">
        <f>IFERROR(INDEX(Calc!$O$2:$O$1001,MATCH(ROW()-1,Calc!$X$2:$X$1001,0)),"")</f>
        <v/>
      </c>
      <c r="E834" s="3">
        <f>IFERROR(INDEX(Calc!$P$2:$P$1001,MATCH(ROW()-1,Calc!$X$2:$X$1001,0)),"")</f>
        <v/>
      </c>
      <c r="F834" s="3">
        <f>IF(G834="","",E834-D834)</f>
        <v/>
      </c>
      <c r="G834">
        <f>IFERROR(INDEX(Calc!$S$2:$S$1001,MATCH(ROW()-1,Calc!$X$2:$X$1001,0)),"")</f>
        <v/>
      </c>
    </row>
    <row r="835">
      <c r="A835">
        <f>IFERROR(INDEX(Calc!$L$2:$L$1001,MATCH(ROW()-1,Calc!$X$2:$X$1001,0)),"")</f>
        <v/>
      </c>
      <c r="B835">
        <f>IFERROR(INDEX(Calc!$M$2:$M$1001,MATCH(ROW()-1,Calc!$X$2:$X$1001,0)),"")</f>
        <v/>
      </c>
      <c r="C835">
        <f>IFERROR(INDEX(Calc!$N$2:$N$1001,MATCH(ROW()-1,Calc!$X$2:$X$1001,0)),"")</f>
        <v/>
      </c>
      <c r="D835" s="3">
        <f>IFERROR(INDEX(Calc!$O$2:$O$1001,MATCH(ROW()-1,Calc!$X$2:$X$1001,0)),"")</f>
        <v/>
      </c>
      <c r="E835" s="3">
        <f>IFERROR(INDEX(Calc!$P$2:$P$1001,MATCH(ROW()-1,Calc!$X$2:$X$1001,0)),"")</f>
        <v/>
      </c>
      <c r="F835" s="3">
        <f>IF(G835="","",E835-D835)</f>
        <v/>
      </c>
      <c r="G835">
        <f>IFERROR(INDEX(Calc!$S$2:$S$1001,MATCH(ROW()-1,Calc!$X$2:$X$1001,0)),"")</f>
        <v/>
      </c>
    </row>
    <row r="836">
      <c r="A836">
        <f>IFERROR(INDEX(Calc!$L$2:$L$1001,MATCH(ROW()-1,Calc!$X$2:$X$1001,0)),"")</f>
        <v/>
      </c>
      <c r="B836">
        <f>IFERROR(INDEX(Calc!$M$2:$M$1001,MATCH(ROW()-1,Calc!$X$2:$X$1001,0)),"")</f>
        <v/>
      </c>
      <c r="C836">
        <f>IFERROR(INDEX(Calc!$N$2:$N$1001,MATCH(ROW()-1,Calc!$X$2:$X$1001,0)),"")</f>
        <v/>
      </c>
      <c r="D836" s="3">
        <f>IFERROR(INDEX(Calc!$O$2:$O$1001,MATCH(ROW()-1,Calc!$X$2:$X$1001,0)),"")</f>
        <v/>
      </c>
      <c r="E836" s="3">
        <f>IFERROR(INDEX(Calc!$P$2:$P$1001,MATCH(ROW()-1,Calc!$X$2:$X$1001,0)),"")</f>
        <v/>
      </c>
      <c r="F836" s="3">
        <f>IF(G836="","",E836-D836)</f>
        <v/>
      </c>
      <c r="G836">
        <f>IFERROR(INDEX(Calc!$S$2:$S$1001,MATCH(ROW()-1,Calc!$X$2:$X$1001,0)),"")</f>
        <v/>
      </c>
    </row>
    <row r="837">
      <c r="A837">
        <f>IFERROR(INDEX(Calc!$L$2:$L$1001,MATCH(ROW()-1,Calc!$X$2:$X$1001,0)),"")</f>
        <v/>
      </c>
      <c r="B837">
        <f>IFERROR(INDEX(Calc!$M$2:$M$1001,MATCH(ROW()-1,Calc!$X$2:$X$1001,0)),"")</f>
        <v/>
      </c>
      <c r="C837">
        <f>IFERROR(INDEX(Calc!$N$2:$N$1001,MATCH(ROW()-1,Calc!$X$2:$X$1001,0)),"")</f>
        <v/>
      </c>
      <c r="D837" s="3">
        <f>IFERROR(INDEX(Calc!$O$2:$O$1001,MATCH(ROW()-1,Calc!$X$2:$X$1001,0)),"")</f>
        <v/>
      </c>
      <c r="E837" s="3">
        <f>IFERROR(INDEX(Calc!$P$2:$P$1001,MATCH(ROW()-1,Calc!$X$2:$X$1001,0)),"")</f>
        <v/>
      </c>
      <c r="F837" s="3">
        <f>IF(G837="","",E837-D837)</f>
        <v/>
      </c>
      <c r="G837">
        <f>IFERROR(INDEX(Calc!$S$2:$S$1001,MATCH(ROW()-1,Calc!$X$2:$X$1001,0)),"")</f>
        <v/>
      </c>
    </row>
    <row r="838">
      <c r="A838">
        <f>IFERROR(INDEX(Calc!$L$2:$L$1001,MATCH(ROW()-1,Calc!$X$2:$X$1001,0)),"")</f>
        <v/>
      </c>
      <c r="B838">
        <f>IFERROR(INDEX(Calc!$M$2:$M$1001,MATCH(ROW()-1,Calc!$X$2:$X$1001,0)),"")</f>
        <v/>
      </c>
      <c r="C838">
        <f>IFERROR(INDEX(Calc!$N$2:$N$1001,MATCH(ROW()-1,Calc!$X$2:$X$1001,0)),"")</f>
        <v/>
      </c>
      <c r="D838" s="3">
        <f>IFERROR(INDEX(Calc!$O$2:$O$1001,MATCH(ROW()-1,Calc!$X$2:$X$1001,0)),"")</f>
        <v/>
      </c>
      <c r="E838" s="3">
        <f>IFERROR(INDEX(Calc!$P$2:$P$1001,MATCH(ROW()-1,Calc!$X$2:$X$1001,0)),"")</f>
        <v/>
      </c>
      <c r="F838" s="3">
        <f>IF(G838="","",E838-D838)</f>
        <v/>
      </c>
      <c r="G838">
        <f>IFERROR(INDEX(Calc!$S$2:$S$1001,MATCH(ROW()-1,Calc!$X$2:$X$1001,0)),"")</f>
        <v/>
      </c>
    </row>
    <row r="839">
      <c r="A839">
        <f>IFERROR(INDEX(Calc!$L$2:$L$1001,MATCH(ROW()-1,Calc!$X$2:$X$1001,0)),"")</f>
        <v/>
      </c>
      <c r="B839">
        <f>IFERROR(INDEX(Calc!$M$2:$M$1001,MATCH(ROW()-1,Calc!$X$2:$X$1001,0)),"")</f>
        <v/>
      </c>
      <c r="C839">
        <f>IFERROR(INDEX(Calc!$N$2:$N$1001,MATCH(ROW()-1,Calc!$X$2:$X$1001,0)),"")</f>
        <v/>
      </c>
      <c r="D839" s="3">
        <f>IFERROR(INDEX(Calc!$O$2:$O$1001,MATCH(ROW()-1,Calc!$X$2:$X$1001,0)),"")</f>
        <v/>
      </c>
      <c r="E839" s="3">
        <f>IFERROR(INDEX(Calc!$P$2:$P$1001,MATCH(ROW()-1,Calc!$X$2:$X$1001,0)),"")</f>
        <v/>
      </c>
      <c r="F839" s="3">
        <f>IF(G839="","",E839-D839)</f>
        <v/>
      </c>
      <c r="G839">
        <f>IFERROR(INDEX(Calc!$S$2:$S$1001,MATCH(ROW()-1,Calc!$X$2:$X$1001,0)),"")</f>
        <v/>
      </c>
    </row>
    <row r="840">
      <c r="A840">
        <f>IFERROR(INDEX(Calc!$L$2:$L$1001,MATCH(ROW()-1,Calc!$X$2:$X$1001,0)),"")</f>
        <v/>
      </c>
      <c r="B840">
        <f>IFERROR(INDEX(Calc!$M$2:$M$1001,MATCH(ROW()-1,Calc!$X$2:$X$1001,0)),"")</f>
        <v/>
      </c>
      <c r="C840">
        <f>IFERROR(INDEX(Calc!$N$2:$N$1001,MATCH(ROW()-1,Calc!$X$2:$X$1001,0)),"")</f>
        <v/>
      </c>
      <c r="D840" s="3">
        <f>IFERROR(INDEX(Calc!$O$2:$O$1001,MATCH(ROW()-1,Calc!$X$2:$X$1001,0)),"")</f>
        <v/>
      </c>
      <c r="E840" s="3">
        <f>IFERROR(INDEX(Calc!$P$2:$P$1001,MATCH(ROW()-1,Calc!$X$2:$X$1001,0)),"")</f>
        <v/>
      </c>
      <c r="F840" s="3">
        <f>IF(G840="","",E840-D840)</f>
        <v/>
      </c>
      <c r="G840">
        <f>IFERROR(INDEX(Calc!$S$2:$S$1001,MATCH(ROW()-1,Calc!$X$2:$X$1001,0)),"")</f>
        <v/>
      </c>
    </row>
    <row r="841">
      <c r="A841">
        <f>IFERROR(INDEX(Calc!$L$2:$L$1001,MATCH(ROW()-1,Calc!$X$2:$X$1001,0)),"")</f>
        <v/>
      </c>
      <c r="B841">
        <f>IFERROR(INDEX(Calc!$M$2:$M$1001,MATCH(ROW()-1,Calc!$X$2:$X$1001,0)),"")</f>
        <v/>
      </c>
      <c r="C841">
        <f>IFERROR(INDEX(Calc!$N$2:$N$1001,MATCH(ROW()-1,Calc!$X$2:$X$1001,0)),"")</f>
        <v/>
      </c>
      <c r="D841" s="3">
        <f>IFERROR(INDEX(Calc!$O$2:$O$1001,MATCH(ROW()-1,Calc!$X$2:$X$1001,0)),"")</f>
        <v/>
      </c>
      <c r="E841" s="3">
        <f>IFERROR(INDEX(Calc!$P$2:$P$1001,MATCH(ROW()-1,Calc!$X$2:$X$1001,0)),"")</f>
        <v/>
      </c>
      <c r="F841" s="3">
        <f>IF(G841="","",E841-D841)</f>
        <v/>
      </c>
      <c r="G841">
        <f>IFERROR(INDEX(Calc!$S$2:$S$1001,MATCH(ROW()-1,Calc!$X$2:$X$1001,0)),"")</f>
        <v/>
      </c>
    </row>
    <row r="842">
      <c r="A842">
        <f>IFERROR(INDEX(Calc!$L$2:$L$1001,MATCH(ROW()-1,Calc!$X$2:$X$1001,0)),"")</f>
        <v/>
      </c>
      <c r="B842">
        <f>IFERROR(INDEX(Calc!$M$2:$M$1001,MATCH(ROW()-1,Calc!$X$2:$X$1001,0)),"")</f>
        <v/>
      </c>
      <c r="C842">
        <f>IFERROR(INDEX(Calc!$N$2:$N$1001,MATCH(ROW()-1,Calc!$X$2:$X$1001,0)),"")</f>
        <v/>
      </c>
      <c r="D842" s="3">
        <f>IFERROR(INDEX(Calc!$O$2:$O$1001,MATCH(ROW()-1,Calc!$X$2:$X$1001,0)),"")</f>
        <v/>
      </c>
      <c r="E842" s="3">
        <f>IFERROR(INDEX(Calc!$P$2:$P$1001,MATCH(ROW()-1,Calc!$X$2:$X$1001,0)),"")</f>
        <v/>
      </c>
      <c r="F842" s="3">
        <f>IF(G842="","",E842-D842)</f>
        <v/>
      </c>
      <c r="G842">
        <f>IFERROR(INDEX(Calc!$S$2:$S$1001,MATCH(ROW()-1,Calc!$X$2:$X$1001,0)),"")</f>
        <v/>
      </c>
    </row>
    <row r="843">
      <c r="A843">
        <f>IFERROR(INDEX(Calc!$L$2:$L$1001,MATCH(ROW()-1,Calc!$X$2:$X$1001,0)),"")</f>
        <v/>
      </c>
      <c r="B843">
        <f>IFERROR(INDEX(Calc!$M$2:$M$1001,MATCH(ROW()-1,Calc!$X$2:$X$1001,0)),"")</f>
        <v/>
      </c>
      <c r="C843">
        <f>IFERROR(INDEX(Calc!$N$2:$N$1001,MATCH(ROW()-1,Calc!$X$2:$X$1001,0)),"")</f>
        <v/>
      </c>
      <c r="D843" s="3">
        <f>IFERROR(INDEX(Calc!$O$2:$O$1001,MATCH(ROW()-1,Calc!$X$2:$X$1001,0)),"")</f>
        <v/>
      </c>
      <c r="E843" s="3">
        <f>IFERROR(INDEX(Calc!$P$2:$P$1001,MATCH(ROW()-1,Calc!$X$2:$X$1001,0)),"")</f>
        <v/>
      </c>
      <c r="F843" s="3">
        <f>IF(G843="","",E843-D843)</f>
        <v/>
      </c>
      <c r="G843">
        <f>IFERROR(INDEX(Calc!$S$2:$S$1001,MATCH(ROW()-1,Calc!$X$2:$X$1001,0)),"")</f>
        <v/>
      </c>
    </row>
    <row r="844">
      <c r="A844">
        <f>IFERROR(INDEX(Calc!$L$2:$L$1001,MATCH(ROW()-1,Calc!$X$2:$X$1001,0)),"")</f>
        <v/>
      </c>
      <c r="B844">
        <f>IFERROR(INDEX(Calc!$M$2:$M$1001,MATCH(ROW()-1,Calc!$X$2:$X$1001,0)),"")</f>
        <v/>
      </c>
      <c r="C844">
        <f>IFERROR(INDEX(Calc!$N$2:$N$1001,MATCH(ROW()-1,Calc!$X$2:$X$1001,0)),"")</f>
        <v/>
      </c>
      <c r="D844" s="3">
        <f>IFERROR(INDEX(Calc!$O$2:$O$1001,MATCH(ROW()-1,Calc!$X$2:$X$1001,0)),"")</f>
        <v/>
      </c>
      <c r="E844" s="3">
        <f>IFERROR(INDEX(Calc!$P$2:$P$1001,MATCH(ROW()-1,Calc!$X$2:$X$1001,0)),"")</f>
        <v/>
      </c>
      <c r="F844" s="3">
        <f>IF(G844="","",E844-D844)</f>
        <v/>
      </c>
      <c r="G844">
        <f>IFERROR(INDEX(Calc!$S$2:$S$1001,MATCH(ROW()-1,Calc!$X$2:$X$1001,0)),"")</f>
        <v/>
      </c>
    </row>
    <row r="845">
      <c r="A845">
        <f>IFERROR(INDEX(Calc!$L$2:$L$1001,MATCH(ROW()-1,Calc!$X$2:$X$1001,0)),"")</f>
        <v/>
      </c>
      <c r="B845">
        <f>IFERROR(INDEX(Calc!$M$2:$M$1001,MATCH(ROW()-1,Calc!$X$2:$X$1001,0)),"")</f>
        <v/>
      </c>
      <c r="C845">
        <f>IFERROR(INDEX(Calc!$N$2:$N$1001,MATCH(ROW()-1,Calc!$X$2:$X$1001,0)),"")</f>
        <v/>
      </c>
      <c r="D845" s="3">
        <f>IFERROR(INDEX(Calc!$O$2:$O$1001,MATCH(ROW()-1,Calc!$X$2:$X$1001,0)),"")</f>
        <v/>
      </c>
      <c r="E845" s="3">
        <f>IFERROR(INDEX(Calc!$P$2:$P$1001,MATCH(ROW()-1,Calc!$X$2:$X$1001,0)),"")</f>
        <v/>
      </c>
      <c r="F845" s="3">
        <f>IF(G845="","",E845-D845)</f>
        <v/>
      </c>
      <c r="G845">
        <f>IFERROR(INDEX(Calc!$S$2:$S$1001,MATCH(ROW()-1,Calc!$X$2:$X$1001,0)),"")</f>
        <v/>
      </c>
    </row>
    <row r="846">
      <c r="A846">
        <f>IFERROR(INDEX(Calc!$L$2:$L$1001,MATCH(ROW()-1,Calc!$X$2:$X$1001,0)),"")</f>
        <v/>
      </c>
      <c r="B846">
        <f>IFERROR(INDEX(Calc!$M$2:$M$1001,MATCH(ROW()-1,Calc!$X$2:$X$1001,0)),"")</f>
        <v/>
      </c>
      <c r="C846">
        <f>IFERROR(INDEX(Calc!$N$2:$N$1001,MATCH(ROW()-1,Calc!$X$2:$X$1001,0)),"")</f>
        <v/>
      </c>
      <c r="D846" s="3">
        <f>IFERROR(INDEX(Calc!$O$2:$O$1001,MATCH(ROW()-1,Calc!$X$2:$X$1001,0)),"")</f>
        <v/>
      </c>
      <c r="E846" s="3">
        <f>IFERROR(INDEX(Calc!$P$2:$P$1001,MATCH(ROW()-1,Calc!$X$2:$X$1001,0)),"")</f>
        <v/>
      </c>
      <c r="F846" s="3">
        <f>IF(G846="","",E846-D846)</f>
        <v/>
      </c>
      <c r="G846">
        <f>IFERROR(INDEX(Calc!$S$2:$S$1001,MATCH(ROW()-1,Calc!$X$2:$X$1001,0)),"")</f>
        <v/>
      </c>
    </row>
    <row r="847">
      <c r="A847">
        <f>IFERROR(INDEX(Calc!$L$2:$L$1001,MATCH(ROW()-1,Calc!$X$2:$X$1001,0)),"")</f>
        <v/>
      </c>
      <c r="B847">
        <f>IFERROR(INDEX(Calc!$M$2:$M$1001,MATCH(ROW()-1,Calc!$X$2:$X$1001,0)),"")</f>
        <v/>
      </c>
      <c r="C847">
        <f>IFERROR(INDEX(Calc!$N$2:$N$1001,MATCH(ROW()-1,Calc!$X$2:$X$1001,0)),"")</f>
        <v/>
      </c>
      <c r="D847" s="3">
        <f>IFERROR(INDEX(Calc!$O$2:$O$1001,MATCH(ROW()-1,Calc!$X$2:$X$1001,0)),"")</f>
        <v/>
      </c>
      <c r="E847" s="3">
        <f>IFERROR(INDEX(Calc!$P$2:$P$1001,MATCH(ROW()-1,Calc!$X$2:$X$1001,0)),"")</f>
        <v/>
      </c>
      <c r="F847" s="3">
        <f>IF(G847="","",E847-D847)</f>
        <v/>
      </c>
      <c r="G847">
        <f>IFERROR(INDEX(Calc!$S$2:$S$1001,MATCH(ROW()-1,Calc!$X$2:$X$1001,0)),"")</f>
        <v/>
      </c>
    </row>
    <row r="848">
      <c r="A848">
        <f>IFERROR(INDEX(Calc!$L$2:$L$1001,MATCH(ROW()-1,Calc!$X$2:$X$1001,0)),"")</f>
        <v/>
      </c>
      <c r="B848">
        <f>IFERROR(INDEX(Calc!$M$2:$M$1001,MATCH(ROW()-1,Calc!$X$2:$X$1001,0)),"")</f>
        <v/>
      </c>
      <c r="C848">
        <f>IFERROR(INDEX(Calc!$N$2:$N$1001,MATCH(ROW()-1,Calc!$X$2:$X$1001,0)),"")</f>
        <v/>
      </c>
      <c r="D848" s="3">
        <f>IFERROR(INDEX(Calc!$O$2:$O$1001,MATCH(ROW()-1,Calc!$X$2:$X$1001,0)),"")</f>
        <v/>
      </c>
      <c r="E848" s="3">
        <f>IFERROR(INDEX(Calc!$P$2:$P$1001,MATCH(ROW()-1,Calc!$X$2:$X$1001,0)),"")</f>
        <v/>
      </c>
      <c r="F848" s="3">
        <f>IF(G848="","",E848-D848)</f>
        <v/>
      </c>
      <c r="G848">
        <f>IFERROR(INDEX(Calc!$S$2:$S$1001,MATCH(ROW()-1,Calc!$X$2:$X$1001,0)),"")</f>
        <v/>
      </c>
    </row>
    <row r="849">
      <c r="A849">
        <f>IFERROR(INDEX(Calc!$L$2:$L$1001,MATCH(ROW()-1,Calc!$X$2:$X$1001,0)),"")</f>
        <v/>
      </c>
      <c r="B849">
        <f>IFERROR(INDEX(Calc!$M$2:$M$1001,MATCH(ROW()-1,Calc!$X$2:$X$1001,0)),"")</f>
        <v/>
      </c>
      <c r="C849">
        <f>IFERROR(INDEX(Calc!$N$2:$N$1001,MATCH(ROW()-1,Calc!$X$2:$X$1001,0)),"")</f>
        <v/>
      </c>
      <c r="D849" s="3">
        <f>IFERROR(INDEX(Calc!$O$2:$O$1001,MATCH(ROW()-1,Calc!$X$2:$X$1001,0)),"")</f>
        <v/>
      </c>
      <c r="E849" s="3">
        <f>IFERROR(INDEX(Calc!$P$2:$P$1001,MATCH(ROW()-1,Calc!$X$2:$X$1001,0)),"")</f>
        <v/>
      </c>
      <c r="F849" s="3">
        <f>IF(G849="","",E849-D849)</f>
        <v/>
      </c>
      <c r="G849">
        <f>IFERROR(INDEX(Calc!$S$2:$S$1001,MATCH(ROW()-1,Calc!$X$2:$X$1001,0)),"")</f>
        <v/>
      </c>
    </row>
    <row r="850">
      <c r="A850">
        <f>IFERROR(INDEX(Calc!$L$2:$L$1001,MATCH(ROW()-1,Calc!$X$2:$X$1001,0)),"")</f>
        <v/>
      </c>
      <c r="B850">
        <f>IFERROR(INDEX(Calc!$M$2:$M$1001,MATCH(ROW()-1,Calc!$X$2:$X$1001,0)),"")</f>
        <v/>
      </c>
      <c r="C850">
        <f>IFERROR(INDEX(Calc!$N$2:$N$1001,MATCH(ROW()-1,Calc!$X$2:$X$1001,0)),"")</f>
        <v/>
      </c>
      <c r="D850" s="3">
        <f>IFERROR(INDEX(Calc!$O$2:$O$1001,MATCH(ROW()-1,Calc!$X$2:$X$1001,0)),"")</f>
        <v/>
      </c>
      <c r="E850" s="3">
        <f>IFERROR(INDEX(Calc!$P$2:$P$1001,MATCH(ROW()-1,Calc!$X$2:$X$1001,0)),"")</f>
        <v/>
      </c>
      <c r="F850" s="3">
        <f>IF(G850="","",E850-D850)</f>
        <v/>
      </c>
      <c r="G850">
        <f>IFERROR(INDEX(Calc!$S$2:$S$1001,MATCH(ROW()-1,Calc!$X$2:$X$1001,0)),"")</f>
        <v/>
      </c>
    </row>
    <row r="851">
      <c r="A851">
        <f>IFERROR(INDEX(Calc!$L$2:$L$1001,MATCH(ROW()-1,Calc!$X$2:$X$1001,0)),"")</f>
        <v/>
      </c>
      <c r="B851">
        <f>IFERROR(INDEX(Calc!$M$2:$M$1001,MATCH(ROW()-1,Calc!$X$2:$X$1001,0)),"")</f>
        <v/>
      </c>
      <c r="C851">
        <f>IFERROR(INDEX(Calc!$N$2:$N$1001,MATCH(ROW()-1,Calc!$X$2:$X$1001,0)),"")</f>
        <v/>
      </c>
      <c r="D851" s="3">
        <f>IFERROR(INDEX(Calc!$O$2:$O$1001,MATCH(ROW()-1,Calc!$X$2:$X$1001,0)),"")</f>
        <v/>
      </c>
      <c r="E851" s="3">
        <f>IFERROR(INDEX(Calc!$P$2:$P$1001,MATCH(ROW()-1,Calc!$X$2:$X$1001,0)),"")</f>
        <v/>
      </c>
      <c r="F851" s="3">
        <f>IF(G851="","",E851-D851)</f>
        <v/>
      </c>
      <c r="G851">
        <f>IFERROR(INDEX(Calc!$S$2:$S$1001,MATCH(ROW()-1,Calc!$X$2:$X$1001,0)),"")</f>
        <v/>
      </c>
    </row>
    <row r="852">
      <c r="A852">
        <f>IFERROR(INDEX(Calc!$L$2:$L$1001,MATCH(ROW()-1,Calc!$X$2:$X$1001,0)),"")</f>
        <v/>
      </c>
      <c r="B852">
        <f>IFERROR(INDEX(Calc!$M$2:$M$1001,MATCH(ROW()-1,Calc!$X$2:$X$1001,0)),"")</f>
        <v/>
      </c>
      <c r="C852">
        <f>IFERROR(INDEX(Calc!$N$2:$N$1001,MATCH(ROW()-1,Calc!$X$2:$X$1001,0)),"")</f>
        <v/>
      </c>
      <c r="D852" s="3">
        <f>IFERROR(INDEX(Calc!$O$2:$O$1001,MATCH(ROW()-1,Calc!$X$2:$X$1001,0)),"")</f>
        <v/>
      </c>
      <c r="E852" s="3">
        <f>IFERROR(INDEX(Calc!$P$2:$P$1001,MATCH(ROW()-1,Calc!$X$2:$X$1001,0)),"")</f>
        <v/>
      </c>
      <c r="F852" s="3">
        <f>IF(G852="","",E852-D852)</f>
        <v/>
      </c>
      <c r="G852">
        <f>IFERROR(INDEX(Calc!$S$2:$S$1001,MATCH(ROW()-1,Calc!$X$2:$X$1001,0)),"")</f>
        <v/>
      </c>
    </row>
    <row r="853">
      <c r="A853">
        <f>IFERROR(INDEX(Calc!$L$2:$L$1001,MATCH(ROW()-1,Calc!$X$2:$X$1001,0)),"")</f>
        <v/>
      </c>
      <c r="B853">
        <f>IFERROR(INDEX(Calc!$M$2:$M$1001,MATCH(ROW()-1,Calc!$X$2:$X$1001,0)),"")</f>
        <v/>
      </c>
      <c r="C853">
        <f>IFERROR(INDEX(Calc!$N$2:$N$1001,MATCH(ROW()-1,Calc!$X$2:$X$1001,0)),"")</f>
        <v/>
      </c>
      <c r="D853" s="3">
        <f>IFERROR(INDEX(Calc!$O$2:$O$1001,MATCH(ROW()-1,Calc!$X$2:$X$1001,0)),"")</f>
        <v/>
      </c>
      <c r="E853" s="3">
        <f>IFERROR(INDEX(Calc!$P$2:$P$1001,MATCH(ROW()-1,Calc!$X$2:$X$1001,0)),"")</f>
        <v/>
      </c>
      <c r="F853" s="3">
        <f>IF(G853="","",E853-D853)</f>
        <v/>
      </c>
      <c r="G853">
        <f>IFERROR(INDEX(Calc!$S$2:$S$1001,MATCH(ROW()-1,Calc!$X$2:$X$1001,0)),"")</f>
        <v/>
      </c>
    </row>
    <row r="854">
      <c r="A854">
        <f>IFERROR(INDEX(Calc!$L$2:$L$1001,MATCH(ROW()-1,Calc!$X$2:$X$1001,0)),"")</f>
        <v/>
      </c>
      <c r="B854">
        <f>IFERROR(INDEX(Calc!$M$2:$M$1001,MATCH(ROW()-1,Calc!$X$2:$X$1001,0)),"")</f>
        <v/>
      </c>
      <c r="C854">
        <f>IFERROR(INDEX(Calc!$N$2:$N$1001,MATCH(ROW()-1,Calc!$X$2:$X$1001,0)),"")</f>
        <v/>
      </c>
      <c r="D854" s="3">
        <f>IFERROR(INDEX(Calc!$O$2:$O$1001,MATCH(ROW()-1,Calc!$X$2:$X$1001,0)),"")</f>
        <v/>
      </c>
      <c r="E854" s="3">
        <f>IFERROR(INDEX(Calc!$P$2:$P$1001,MATCH(ROW()-1,Calc!$X$2:$X$1001,0)),"")</f>
        <v/>
      </c>
      <c r="F854" s="3">
        <f>IF(G854="","",E854-D854)</f>
        <v/>
      </c>
      <c r="G854">
        <f>IFERROR(INDEX(Calc!$S$2:$S$1001,MATCH(ROW()-1,Calc!$X$2:$X$1001,0)),"")</f>
        <v/>
      </c>
    </row>
    <row r="855">
      <c r="A855">
        <f>IFERROR(INDEX(Calc!$L$2:$L$1001,MATCH(ROW()-1,Calc!$X$2:$X$1001,0)),"")</f>
        <v/>
      </c>
      <c r="B855">
        <f>IFERROR(INDEX(Calc!$M$2:$M$1001,MATCH(ROW()-1,Calc!$X$2:$X$1001,0)),"")</f>
        <v/>
      </c>
      <c r="C855">
        <f>IFERROR(INDEX(Calc!$N$2:$N$1001,MATCH(ROW()-1,Calc!$X$2:$X$1001,0)),"")</f>
        <v/>
      </c>
      <c r="D855" s="3">
        <f>IFERROR(INDEX(Calc!$O$2:$O$1001,MATCH(ROW()-1,Calc!$X$2:$X$1001,0)),"")</f>
        <v/>
      </c>
      <c r="E855" s="3">
        <f>IFERROR(INDEX(Calc!$P$2:$P$1001,MATCH(ROW()-1,Calc!$X$2:$X$1001,0)),"")</f>
        <v/>
      </c>
      <c r="F855" s="3">
        <f>IF(G855="","",E855-D855)</f>
        <v/>
      </c>
      <c r="G855">
        <f>IFERROR(INDEX(Calc!$S$2:$S$1001,MATCH(ROW()-1,Calc!$X$2:$X$1001,0)),"")</f>
        <v/>
      </c>
    </row>
    <row r="856">
      <c r="A856">
        <f>IFERROR(INDEX(Calc!$L$2:$L$1001,MATCH(ROW()-1,Calc!$X$2:$X$1001,0)),"")</f>
        <v/>
      </c>
      <c r="B856">
        <f>IFERROR(INDEX(Calc!$M$2:$M$1001,MATCH(ROW()-1,Calc!$X$2:$X$1001,0)),"")</f>
        <v/>
      </c>
      <c r="C856">
        <f>IFERROR(INDEX(Calc!$N$2:$N$1001,MATCH(ROW()-1,Calc!$X$2:$X$1001,0)),"")</f>
        <v/>
      </c>
      <c r="D856" s="3">
        <f>IFERROR(INDEX(Calc!$O$2:$O$1001,MATCH(ROW()-1,Calc!$X$2:$X$1001,0)),"")</f>
        <v/>
      </c>
      <c r="E856" s="3">
        <f>IFERROR(INDEX(Calc!$P$2:$P$1001,MATCH(ROW()-1,Calc!$X$2:$X$1001,0)),"")</f>
        <v/>
      </c>
      <c r="F856" s="3">
        <f>IF(G856="","",E856-D856)</f>
        <v/>
      </c>
      <c r="G856">
        <f>IFERROR(INDEX(Calc!$S$2:$S$1001,MATCH(ROW()-1,Calc!$X$2:$X$1001,0)),"")</f>
        <v/>
      </c>
    </row>
    <row r="857">
      <c r="A857">
        <f>IFERROR(INDEX(Calc!$L$2:$L$1001,MATCH(ROW()-1,Calc!$X$2:$X$1001,0)),"")</f>
        <v/>
      </c>
      <c r="B857">
        <f>IFERROR(INDEX(Calc!$M$2:$M$1001,MATCH(ROW()-1,Calc!$X$2:$X$1001,0)),"")</f>
        <v/>
      </c>
      <c r="C857">
        <f>IFERROR(INDEX(Calc!$N$2:$N$1001,MATCH(ROW()-1,Calc!$X$2:$X$1001,0)),"")</f>
        <v/>
      </c>
      <c r="D857" s="3">
        <f>IFERROR(INDEX(Calc!$O$2:$O$1001,MATCH(ROW()-1,Calc!$X$2:$X$1001,0)),"")</f>
        <v/>
      </c>
      <c r="E857" s="3">
        <f>IFERROR(INDEX(Calc!$P$2:$P$1001,MATCH(ROW()-1,Calc!$X$2:$X$1001,0)),"")</f>
        <v/>
      </c>
      <c r="F857" s="3">
        <f>IF(G857="","",E857-D857)</f>
        <v/>
      </c>
      <c r="G857">
        <f>IFERROR(INDEX(Calc!$S$2:$S$1001,MATCH(ROW()-1,Calc!$X$2:$X$1001,0)),"")</f>
        <v/>
      </c>
    </row>
    <row r="858">
      <c r="A858">
        <f>IFERROR(INDEX(Calc!$L$2:$L$1001,MATCH(ROW()-1,Calc!$X$2:$X$1001,0)),"")</f>
        <v/>
      </c>
      <c r="B858">
        <f>IFERROR(INDEX(Calc!$M$2:$M$1001,MATCH(ROW()-1,Calc!$X$2:$X$1001,0)),"")</f>
        <v/>
      </c>
      <c r="C858">
        <f>IFERROR(INDEX(Calc!$N$2:$N$1001,MATCH(ROW()-1,Calc!$X$2:$X$1001,0)),"")</f>
        <v/>
      </c>
      <c r="D858" s="3">
        <f>IFERROR(INDEX(Calc!$O$2:$O$1001,MATCH(ROW()-1,Calc!$X$2:$X$1001,0)),"")</f>
        <v/>
      </c>
      <c r="E858" s="3">
        <f>IFERROR(INDEX(Calc!$P$2:$P$1001,MATCH(ROW()-1,Calc!$X$2:$X$1001,0)),"")</f>
        <v/>
      </c>
      <c r="F858" s="3">
        <f>IF(G858="","",E858-D858)</f>
        <v/>
      </c>
      <c r="G858">
        <f>IFERROR(INDEX(Calc!$S$2:$S$1001,MATCH(ROW()-1,Calc!$X$2:$X$1001,0)),"")</f>
        <v/>
      </c>
    </row>
    <row r="859">
      <c r="A859">
        <f>IFERROR(INDEX(Calc!$L$2:$L$1001,MATCH(ROW()-1,Calc!$X$2:$X$1001,0)),"")</f>
        <v/>
      </c>
      <c r="B859">
        <f>IFERROR(INDEX(Calc!$M$2:$M$1001,MATCH(ROW()-1,Calc!$X$2:$X$1001,0)),"")</f>
        <v/>
      </c>
      <c r="C859">
        <f>IFERROR(INDEX(Calc!$N$2:$N$1001,MATCH(ROW()-1,Calc!$X$2:$X$1001,0)),"")</f>
        <v/>
      </c>
      <c r="D859" s="3">
        <f>IFERROR(INDEX(Calc!$O$2:$O$1001,MATCH(ROW()-1,Calc!$X$2:$X$1001,0)),"")</f>
        <v/>
      </c>
      <c r="E859" s="3">
        <f>IFERROR(INDEX(Calc!$P$2:$P$1001,MATCH(ROW()-1,Calc!$X$2:$X$1001,0)),"")</f>
        <v/>
      </c>
      <c r="F859" s="3">
        <f>IF(G859="","",E859-D859)</f>
        <v/>
      </c>
      <c r="G859">
        <f>IFERROR(INDEX(Calc!$S$2:$S$1001,MATCH(ROW()-1,Calc!$X$2:$X$1001,0)),"")</f>
        <v/>
      </c>
    </row>
    <row r="860">
      <c r="A860">
        <f>IFERROR(INDEX(Calc!$L$2:$L$1001,MATCH(ROW()-1,Calc!$X$2:$X$1001,0)),"")</f>
        <v/>
      </c>
      <c r="B860">
        <f>IFERROR(INDEX(Calc!$M$2:$M$1001,MATCH(ROW()-1,Calc!$X$2:$X$1001,0)),"")</f>
        <v/>
      </c>
      <c r="C860">
        <f>IFERROR(INDEX(Calc!$N$2:$N$1001,MATCH(ROW()-1,Calc!$X$2:$X$1001,0)),"")</f>
        <v/>
      </c>
      <c r="D860" s="3">
        <f>IFERROR(INDEX(Calc!$O$2:$O$1001,MATCH(ROW()-1,Calc!$X$2:$X$1001,0)),"")</f>
        <v/>
      </c>
      <c r="E860" s="3">
        <f>IFERROR(INDEX(Calc!$P$2:$P$1001,MATCH(ROW()-1,Calc!$X$2:$X$1001,0)),"")</f>
        <v/>
      </c>
      <c r="F860" s="3">
        <f>IF(G860="","",E860-D860)</f>
        <v/>
      </c>
      <c r="G860">
        <f>IFERROR(INDEX(Calc!$S$2:$S$1001,MATCH(ROW()-1,Calc!$X$2:$X$1001,0)),"")</f>
        <v/>
      </c>
    </row>
    <row r="861">
      <c r="A861">
        <f>IFERROR(INDEX(Calc!$L$2:$L$1001,MATCH(ROW()-1,Calc!$X$2:$X$1001,0)),"")</f>
        <v/>
      </c>
      <c r="B861">
        <f>IFERROR(INDEX(Calc!$M$2:$M$1001,MATCH(ROW()-1,Calc!$X$2:$X$1001,0)),"")</f>
        <v/>
      </c>
      <c r="C861">
        <f>IFERROR(INDEX(Calc!$N$2:$N$1001,MATCH(ROW()-1,Calc!$X$2:$X$1001,0)),"")</f>
        <v/>
      </c>
      <c r="D861" s="3">
        <f>IFERROR(INDEX(Calc!$O$2:$O$1001,MATCH(ROW()-1,Calc!$X$2:$X$1001,0)),"")</f>
        <v/>
      </c>
      <c r="E861" s="3">
        <f>IFERROR(INDEX(Calc!$P$2:$P$1001,MATCH(ROW()-1,Calc!$X$2:$X$1001,0)),"")</f>
        <v/>
      </c>
      <c r="F861" s="3">
        <f>IF(G861="","",E861-D861)</f>
        <v/>
      </c>
      <c r="G861">
        <f>IFERROR(INDEX(Calc!$S$2:$S$1001,MATCH(ROW()-1,Calc!$X$2:$X$1001,0)),"")</f>
        <v/>
      </c>
    </row>
    <row r="862">
      <c r="A862">
        <f>IFERROR(INDEX(Calc!$L$2:$L$1001,MATCH(ROW()-1,Calc!$X$2:$X$1001,0)),"")</f>
        <v/>
      </c>
      <c r="B862">
        <f>IFERROR(INDEX(Calc!$M$2:$M$1001,MATCH(ROW()-1,Calc!$X$2:$X$1001,0)),"")</f>
        <v/>
      </c>
      <c r="C862">
        <f>IFERROR(INDEX(Calc!$N$2:$N$1001,MATCH(ROW()-1,Calc!$X$2:$X$1001,0)),"")</f>
        <v/>
      </c>
      <c r="D862" s="3">
        <f>IFERROR(INDEX(Calc!$O$2:$O$1001,MATCH(ROW()-1,Calc!$X$2:$X$1001,0)),"")</f>
        <v/>
      </c>
      <c r="E862" s="3">
        <f>IFERROR(INDEX(Calc!$P$2:$P$1001,MATCH(ROW()-1,Calc!$X$2:$X$1001,0)),"")</f>
        <v/>
      </c>
      <c r="F862" s="3">
        <f>IF(G862="","",E862-D862)</f>
        <v/>
      </c>
      <c r="G862">
        <f>IFERROR(INDEX(Calc!$S$2:$S$1001,MATCH(ROW()-1,Calc!$X$2:$X$1001,0)),"")</f>
        <v/>
      </c>
    </row>
    <row r="863">
      <c r="A863">
        <f>IFERROR(INDEX(Calc!$L$2:$L$1001,MATCH(ROW()-1,Calc!$X$2:$X$1001,0)),"")</f>
        <v/>
      </c>
      <c r="B863">
        <f>IFERROR(INDEX(Calc!$M$2:$M$1001,MATCH(ROW()-1,Calc!$X$2:$X$1001,0)),"")</f>
        <v/>
      </c>
      <c r="C863">
        <f>IFERROR(INDEX(Calc!$N$2:$N$1001,MATCH(ROW()-1,Calc!$X$2:$X$1001,0)),"")</f>
        <v/>
      </c>
      <c r="D863" s="3">
        <f>IFERROR(INDEX(Calc!$O$2:$O$1001,MATCH(ROW()-1,Calc!$X$2:$X$1001,0)),"")</f>
        <v/>
      </c>
      <c r="E863" s="3">
        <f>IFERROR(INDEX(Calc!$P$2:$P$1001,MATCH(ROW()-1,Calc!$X$2:$X$1001,0)),"")</f>
        <v/>
      </c>
      <c r="F863" s="3">
        <f>IF(G863="","",E863-D863)</f>
        <v/>
      </c>
      <c r="G863">
        <f>IFERROR(INDEX(Calc!$S$2:$S$1001,MATCH(ROW()-1,Calc!$X$2:$X$1001,0)),"")</f>
        <v/>
      </c>
    </row>
    <row r="864">
      <c r="A864">
        <f>IFERROR(INDEX(Calc!$L$2:$L$1001,MATCH(ROW()-1,Calc!$X$2:$X$1001,0)),"")</f>
        <v/>
      </c>
      <c r="B864">
        <f>IFERROR(INDEX(Calc!$M$2:$M$1001,MATCH(ROW()-1,Calc!$X$2:$X$1001,0)),"")</f>
        <v/>
      </c>
      <c r="C864">
        <f>IFERROR(INDEX(Calc!$N$2:$N$1001,MATCH(ROW()-1,Calc!$X$2:$X$1001,0)),"")</f>
        <v/>
      </c>
      <c r="D864" s="3">
        <f>IFERROR(INDEX(Calc!$O$2:$O$1001,MATCH(ROW()-1,Calc!$X$2:$X$1001,0)),"")</f>
        <v/>
      </c>
      <c r="E864" s="3">
        <f>IFERROR(INDEX(Calc!$P$2:$P$1001,MATCH(ROW()-1,Calc!$X$2:$X$1001,0)),"")</f>
        <v/>
      </c>
      <c r="F864" s="3">
        <f>IF(G864="","",E864-D864)</f>
        <v/>
      </c>
      <c r="G864">
        <f>IFERROR(INDEX(Calc!$S$2:$S$1001,MATCH(ROW()-1,Calc!$X$2:$X$1001,0)),"")</f>
        <v/>
      </c>
    </row>
    <row r="865">
      <c r="A865">
        <f>IFERROR(INDEX(Calc!$L$2:$L$1001,MATCH(ROW()-1,Calc!$X$2:$X$1001,0)),"")</f>
        <v/>
      </c>
      <c r="B865">
        <f>IFERROR(INDEX(Calc!$M$2:$M$1001,MATCH(ROW()-1,Calc!$X$2:$X$1001,0)),"")</f>
        <v/>
      </c>
      <c r="C865">
        <f>IFERROR(INDEX(Calc!$N$2:$N$1001,MATCH(ROW()-1,Calc!$X$2:$X$1001,0)),"")</f>
        <v/>
      </c>
      <c r="D865" s="3">
        <f>IFERROR(INDEX(Calc!$O$2:$O$1001,MATCH(ROW()-1,Calc!$X$2:$X$1001,0)),"")</f>
        <v/>
      </c>
      <c r="E865" s="3">
        <f>IFERROR(INDEX(Calc!$P$2:$P$1001,MATCH(ROW()-1,Calc!$X$2:$X$1001,0)),"")</f>
        <v/>
      </c>
      <c r="F865" s="3">
        <f>IF(G865="","",E865-D865)</f>
        <v/>
      </c>
      <c r="G865">
        <f>IFERROR(INDEX(Calc!$S$2:$S$1001,MATCH(ROW()-1,Calc!$X$2:$X$1001,0)),"")</f>
        <v/>
      </c>
    </row>
    <row r="866">
      <c r="A866">
        <f>IFERROR(INDEX(Calc!$L$2:$L$1001,MATCH(ROW()-1,Calc!$X$2:$X$1001,0)),"")</f>
        <v/>
      </c>
      <c r="B866">
        <f>IFERROR(INDEX(Calc!$M$2:$M$1001,MATCH(ROW()-1,Calc!$X$2:$X$1001,0)),"")</f>
        <v/>
      </c>
      <c r="C866">
        <f>IFERROR(INDEX(Calc!$N$2:$N$1001,MATCH(ROW()-1,Calc!$X$2:$X$1001,0)),"")</f>
        <v/>
      </c>
      <c r="D866" s="3">
        <f>IFERROR(INDEX(Calc!$O$2:$O$1001,MATCH(ROW()-1,Calc!$X$2:$X$1001,0)),"")</f>
        <v/>
      </c>
      <c r="E866" s="3">
        <f>IFERROR(INDEX(Calc!$P$2:$P$1001,MATCH(ROW()-1,Calc!$X$2:$X$1001,0)),"")</f>
        <v/>
      </c>
      <c r="F866" s="3">
        <f>IF(G866="","",E866-D866)</f>
        <v/>
      </c>
      <c r="G866">
        <f>IFERROR(INDEX(Calc!$S$2:$S$1001,MATCH(ROW()-1,Calc!$X$2:$X$1001,0)),"")</f>
        <v/>
      </c>
    </row>
    <row r="867">
      <c r="A867">
        <f>IFERROR(INDEX(Calc!$L$2:$L$1001,MATCH(ROW()-1,Calc!$X$2:$X$1001,0)),"")</f>
        <v/>
      </c>
      <c r="B867">
        <f>IFERROR(INDEX(Calc!$M$2:$M$1001,MATCH(ROW()-1,Calc!$X$2:$X$1001,0)),"")</f>
        <v/>
      </c>
      <c r="C867">
        <f>IFERROR(INDEX(Calc!$N$2:$N$1001,MATCH(ROW()-1,Calc!$X$2:$X$1001,0)),"")</f>
        <v/>
      </c>
      <c r="D867" s="3">
        <f>IFERROR(INDEX(Calc!$O$2:$O$1001,MATCH(ROW()-1,Calc!$X$2:$X$1001,0)),"")</f>
        <v/>
      </c>
      <c r="E867" s="3">
        <f>IFERROR(INDEX(Calc!$P$2:$P$1001,MATCH(ROW()-1,Calc!$X$2:$X$1001,0)),"")</f>
        <v/>
      </c>
      <c r="F867" s="3">
        <f>IF(G867="","",E867-D867)</f>
        <v/>
      </c>
      <c r="G867">
        <f>IFERROR(INDEX(Calc!$S$2:$S$1001,MATCH(ROW()-1,Calc!$X$2:$X$1001,0)),"")</f>
        <v/>
      </c>
    </row>
    <row r="868">
      <c r="A868">
        <f>IFERROR(INDEX(Calc!$L$2:$L$1001,MATCH(ROW()-1,Calc!$X$2:$X$1001,0)),"")</f>
        <v/>
      </c>
      <c r="B868">
        <f>IFERROR(INDEX(Calc!$M$2:$M$1001,MATCH(ROW()-1,Calc!$X$2:$X$1001,0)),"")</f>
        <v/>
      </c>
      <c r="C868">
        <f>IFERROR(INDEX(Calc!$N$2:$N$1001,MATCH(ROW()-1,Calc!$X$2:$X$1001,0)),"")</f>
        <v/>
      </c>
      <c r="D868" s="3">
        <f>IFERROR(INDEX(Calc!$O$2:$O$1001,MATCH(ROW()-1,Calc!$X$2:$X$1001,0)),"")</f>
        <v/>
      </c>
      <c r="E868" s="3">
        <f>IFERROR(INDEX(Calc!$P$2:$P$1001,MATCH(ROW()-1,Calc!$X$2:$X$1001,0)),"")</f>
        <v/>
      </c>
      <c r="F868" s="3">
        <f>IF(G868="","",E868-D868)</f>
        <v/>
      </c>
      <c r="G868">
        <f>IFERROR(INDEX(Calc!$S$2:$S$1001,MATCH(ROW()-1,Calc!$X$2:$X$1001,0)),"")</f>
        <v/>
      </c>
    </row>
    <row r="869">
      <c r="A869">
        <f>IFERROR(INDEX(Calc!$L$2:$L$1001,MATCH(ROW()-1,Calc!$X$2:$X$1001,0)),"")</f>
        <v/>
      </c>
      <c r="B869">
        <f>IFERROR(INDEX(Calc!$M$2:$M$1001,MATCH(ROW()-1,Calc!$X$2:$X$1001,0)),"")</f>
        <v/>
      </c>
      <c r="C869">
        <f>IFERROR(INDEX(Calc!$N$2:$N$1001,MATCH(ROW()-1,Calc!$X$2:$X$1001,0)),"")</f>
        <v/>
      </c>
      <c r="D869" s="3">
        <f>IFERROR(INDEX(Calc!$O$2:$O$1001,MATCH(ROW()-1,Calc!$X$2:$X$1001,0)),"")</f>
        <v/>
      </c>
      <c r="E869" s="3">
        <f>IFERROR(INDEX(Calc!$P$2:$P$1001,MATCH(ROW()-1,Calc!$X$2:$X$1001,0)),"")</f>
        <v/>
      </c>
      <c r="F869" s="3">
        <f>IF(G869="","",E869-D869)</f>
        <v/>
      </c>
      <c r="G869">
        <f>IFERROR(INDEX(Calc!$S$2:$S$1001,MATCH(ROW()-1,Calc!$X$2:$X$1001,0)),"")</f>
        <v/>
      </c>
    </row>
    <row r="870">
      <c r="A870">
        <f>IFERROR(INDEX(Calc!$L$2:$L$1001,MATCH(ROW()-1,Calc!$X$2:$X$1001,0)),"")</f>
        <v/>
      </c>
      <c r="B870">
        <f>IFERROR(INDEX(Calc!$M$2:$M$1001,MATCH(ROW()-1,Calc!$X$2:$X$1001,0)),"")</f>
        <v/>
      </c>
      <c r="C870">
        <f>IFERROR(INDEX(Calc!$N$2:$N$1001,MATCH(ROW()-1,Calc!$X$2:$X$1001,0)),"")</f>
        <v/>
      </c>
      <c r="D870" s="3">
        <f>IFERROR(INDEX(Calc!$O$2:$O$1001,MATCH(ROW()-1,Calc!$X$2:$X$1001,0)),"")</f>
        <v/>
      </c>
      <c r="E870" s="3">
        <f>IFERROR(INDEX(Calc!$P$2:$P$1001,MATCH(ROW()-1,Calc!$X$2:$X$1001,0)),"")</f>
        <v/>
      </c>
      <c r="F870" s="3">
        <f>IF(G870="","",E870-D870)</f>
        <v/>
      </c>
      <c r="G870">
        <f>IFERROR(INDEX(Calc!$S$2:$S$1001,MATCH(ROW()-1,Calc!$X$2:$X$1001,0)),"")</f>
        <v/>
      </c>
    </row>
    <row r="871">
      <c r="A871">
        <f>IFERROR(INDEX(Calc!$L$2:$L$1001,MATCH(ROW()-1,Calc!$X$2:$X$1001,0)),"")</f>
        <v/>
      </c>
      <c r="B871">
        <f>IFERROR(INDEX(Calc!$M$2:$M$1001,MATCH(ROW()-1,Calc!$X$2:$X$1001,0)),"")</f>
        <v/>
      </c>
      <c r="C871">
        <f>IFERROR(INDEX(Calc!$N$2:$N$1001,MATCH(ROW()-1,Calc!$X$2:$X$1001,0)),"")</f>
        <v/>
      </c>
      <c r="D871" s="3">
        <f>IFERROR(INDEX(Calc!$O$2:$O$1001,MATCH(ROW()-1,Calc!$X$2:$X$1001,0)),"")</f>
        <v/>
      </c>
      <c r="E871" s="3">
        <f>IFERROR(INDEX(Calc!$P$2:$P$1001,MATCH(ROW()-1,Calc!$X$2:$X$1001,0)),"")</f>
        <v/>
      </c>
      <c r="F871" s="3">
        <f>IF(G871="","",E871-D871)</f>
        <v/>
      </c>
      <c r="G871">
        <f>IFERROR(INDEX(Calc!$S$2:$S$1001,MATCH(ROW()-1,Calc!$X$2:$X$1001,0)),"")</f>
        <v/>
      </c>
    </row>
    <row r="872">
      <c r="A872">
        <f>IFERROR(INDEX(Calc!$L$2:$L$1001,MATCH(ROW()-1,Calc!$X$2:$X$1001,0)),"")</f>
        <v/>
      </c>
      <c r="B872">
        <f>IFERROR(INDEX(Calc!$M$2:$M$1001,MATCH(ROW()-1,Calc!$X$2:$X$1001,0)),"")</f>
        <v/>
      </c>
      <c r="C872">
        <f>IFERROR(INDEX(Calc!$N$2:$N$1001,MATCH(ROW()-1,Calc!$X$2:$X$1001,0)),"")</f>
        <v/>
      </c>
      <c r="D872" s="3">
        <f>IFERROR(INDEX(Calc!$O$2:$O$1001,MATCH(ROW()-1,Calc!$X$2:$X$1001,0)),"")</f>
        <v/>
      </c>
      <c r="E872" s="3">
        <f>IFERROR(INDEX(Calc!$P$2:$P$1001,MATCH(ROW()-1,Calc!$X$2:$X$1001,0)),"")</f>
        <v/>
      </c>
      <c r="F872" s="3">
        <f>IF(G872="","",E872-D872)</f>
        <v/>
      </c>
      <c r="G872">
        <f>IFERROR(INDEX(Calc!$S$2:$S$1001,MATCH(ROW()-1,Calc!$X$2:$X$1001,0)),"")</f>
        <v/>
      </c>
    </row>
    <row r="873">
      <c r="A873">
        <f>IFERROR(INDEX(Calc!$L$2:$L$1001,MATCH(ROW()-1,Calc!$X$2:$X$1001,0)),"")</f>
        <v/>
      </c>
      <c r="B873">
        <f>IFERROR(INDEX(Calc!$M$2:$M$1001,MATCH(ROW()-1,Calc!$X$2:$X$1001,0)),"")</f>
        <v/>
      </c>
      <c r="C873">
        <f>IFERROR(INDEX(Calc!$N$2:$N$1001,MATCH(ROW()-1,Calc!$X$2:$X$1001,0)),"")</f>
        <v/>
      </c>
      <c r="D873" s="3">
        <f>IFERROR(INDEX(Calc!$O$2:$O$1001,MATCH(ROW()-1,Calc!$X$2:$X$1001,0)),"")</f>
        <v/>
      </c>
      <c r="E873" s="3">
        <f>IFERROR(INDEX(Calc!$P$2:$P$1001,MATCH(ROW()-1,Calc!$X$2:$X$1001,0)),"")</f>
        <v/>
      </c>
      <c r="F873" s="3">
        <f>IF(G873="","",E873-D873)</f>
        <v/>
      </c>
      <c r="G873">
        <f>IFERROR(INDEX(Calc!$S$2:$S$1001,MATCH(ROW()-1,Calc!$X$2:$X$1001,0)),"")</f>
        <v/>
      </c>
    </row>
    <row r="874">
      <c r="A874">
        <f>IFERROR(INDEX(Calc!$L$2:$L$1001,MATCH(ROW()-1,Calc!$X$2:$X$1001,0)),"")</f>
        <v/>
      </c>
      <c r="B874">
        <f>IFERROR(INDEX(Calc!$M$2:$M$1001,MATCH(ROW()-1,Calc!$X$2:$X$1001,0)),"")</f>
        <v/>
      </c>
      <c r="C874">
        <f>IFERROR(INDEX(Calc!$N$2:$N$1001,MATCH(ROW()-1,Calc!$X$2:$X$1001,0)),"")</f>
        <v/>
      </c>
      <c r="D874" s="3">
        <f>IFERROR(INDEX(Calc!$O$2:$O$1001,MATCH(ROW()-1,Calc!$X$2:$X$1001,0)),"")</f>
        <v/>
      </c>
      <c r="E874" s="3">
        <f>IFERROR(INDEX(Calc!$P$2:$P$1001,MATCH(ROW()-1,Calc!$X$2:$X$1001,0)),"")</f>
        <v/>
      </c>
      <c r="F874" s="3">
        <f>IF(G874="","",E874-D874)</f>
        <v/>
      </c>
      <c r="G874">
        <f>IFERROR(INDEX(Calc!$S$2:$S$1001,MATCH(ROW()-1,Calc!$X$2:$X$1001,0)),"")</f>
        <v/>
      </c>
    </row>
    <row r="875">
      <c r="A875">
        <f>IFERROR(INDEX(Calc!$L$2:$L$1001,MATCH(ROW()-1,Calc!$X$2:$X$1001,0)),"")</f>
        <v/>
      </c>
      <c r="B875">
        <f>IFERROR(INDEX(Calc!$M$2:$M$1001,MATCH(ROW()-1,Calc!$X$2:$X$1001,0)),"")</f>
        <v/>
      </c>
      <c r="C875">
        <f>IFERROR(INDEX(Calc!$N$2:$N$1001,MATCH(ROW()-1,Calc!$X$2:$X$1001,0)),"")</f>
        <v/>
      </c>
      <c r="D875" s="3">
        <f>IFERROR(INDEX(Calc!$O$2:$O$1001,MATCH(ROW()-1,Calc!$X$2:$X$1001,0)),"")</f>
        <v/>
      </c>
      <c r="E875" s="3">
        <f>IFERROR(INDEX(Calc!$P$2:$P$1001,MATCH(ROW()-1,Calc!$X$2:$X$1001,0)),"")</f>
        <v/>
      </c>
      <c r="F875" s="3">
        <f>IF(G875="","",E875-D875)</f>
        <v/>
      </c>
      <c r="G875">
        <f>IFERROR(INDEX(Calc!$S$2:$S$1001,MATCH(ROW()-1,Calc!$X$2:$X$1001,0)),"")</f>
        <v/>
      </c>
    </row>
    <row r="876">
      <c r="A876">
        <f>IFERROR(INDEX(Calc!$L$2:$L$1001,MATCH(ROW()-1,Calc!$X$2:$X$1001,0)),"")</f>
        <v/>
      </c>
      <c r="B876">
        <f>IFERROR(INDEX(Calc!$M$2:$M$1001,MATCH(ROW()-1,Calc!$X$2:$X$1001,0)),"")</f>
        <v/>
      </c>
      <c r="C876">
        <f>IFERROR(INDEX(Calc!$N$2:$N$1001,MATCH(ROW()-1,Calc!$X$2:$X$1001,0)),"")</f>
        <v/>
      </c>
      <c r="D876" s="3">
        <f>IFERROR(INDEX(Calc!$O$2:$O$1001,MATCH(ROW()-1,Calc!$X$2:$X$1001,0)),"")</f>
        <v/>
      </c>
      <c r="E876" s="3">
        <f>IFERROR(INDEX(Calc!$P$2:$P$1001,MATCH(ROW()-1,Calc!$X$2:$X$1001,0)),"")</f>
        <v/>
      </c>
      <c r="F876" s="3">
        <f>IF(G876="","",E876-D876)</f>
        <v/>
      </c>
      <c r="G876">
        <f>IFERROR(INDEX(Calc!$S$2:$S$1001,MATCH(ROW()-1,Calc!$X$2:$X$1001,0)),"")</f>
        <v/>
      </c>
    </row>
    <row r="877">
      <c r="A877">
        <f>IFERROR(INDEX(Calc!$L$2:$L$1001,MATCH(ROW()-1,Calc!$X$2:$X$1001,0)),"")</f>
        <v/>
      </c>
      <c r="B877">
        <f>IFERROR(INDEX(Calc!$M$2:$M$1001,MATCH(ROW()-1,Calc!$X$2:$X$1001,0)),"")</f>
        <v/>
      </c>
      <c r="C877">
        <f>IFERROR(INDEX(Calc!$N$2:$N$1001,MATCH(ROW()-1,Calc!$X$2:$X$1001,0)),"")</f>
        <v/>
      </c>
      <c r="D877" s="3">
        <f>IFERROR(INDEX(Calc!$O$2:$O$1001,MATCH(ROW()-1,Calc!$X$2:$X$1001,0)),"")</f>
        <v/>
      </c>
      <c r="E877" s="3">
        <f>IFERROR(INDEX(Calc!$P$2:$P$1001,MATCH(ROW()-1,Calc!$X$2:$X$1001,0)),"")</f>
        <v/>
      </c>
      <c r="F877" s="3">
        <f>IF(G877="","",E877-D877)</f>
        <v/>
      </c>
      <c r="G877">
        <f>IFERROR(INDEX(Calc!$S$2:$S$1001,MATCH(ROW()-1,Calc!$X$2:$X$1001,0)),"")</f>
        <v/>
      </c>
    </row>
    <row r="878">
      <c r="A878">
        <f>IFERROR(INDEX(Calc!$L$2:$L$1001,MATCH(ROW()-1,Calc!$X$2:$X$1001,0)),"")</f>
        <v/>
      </c>
      <c r="B878">
        <f>IFERROR(INDEX(Calc!$M$2:$M$1001,MATCH(ROW()-1,Calc!$X$2:$X$1001,0)),"")</f>
        <v/>
      </c>
      <c r="C878">
        <f>IFERROR(INDEX(Calc!$N$2:$N$1001,MATCH(ROW()-1,Calc!$X$2:$X$1001,0)),"")</f>
        <v/>
      </c>
      <c r="D878" s="3">
        <f>IFERROR(INDEX(Calc!$O$2:$O$1001,MATCH(ROW()-1,Calc!$X$2:$X$1001,0)),"")</f>
        <v/>
      </c>
      <c r="E878" s="3">
        <f>IFERROR(INDEX(Calc!$P$2:$P$1001,MATCH(ROW()-1,Calc!$X$2:$X$1001,0)),"")</f>
        <v/>
      </c>
      <c r="F878" s="3">
        <f>IF(G878="","",E878-D878)</f>
        <v/>
      </c>
      <c r="G878">
        <f>IFERROR(INDEX(Calc!$S$2:$S$1001,MATCH(ROW()-1,Calc!$X$2:$X$1001,0)),"")</f>
        <v/>
      </c>
    </row>
    <row r="879">
      <c r="A879">
        <f>IFERROR(INDEX(Calc!$L$2:$L$1001,MATCH(ROW()-1,Calc!$X$2:$X$1001,0)),"")</f>
        <v/>
      </c>
      <c r="B879">
        <f>IFERROR(INDEX(Calc!$M$2:$M$1001,MATCH(ROW()-1,Calc!$X$2:$X$1001,0)),"")</f>
        <v/>
      </c>
      <c r="C879">
        <f>IFERROR(INDEX(Calc!$N$2:$N$1001,MATCH(ROW()-1,Calc!$X$2:$X$1001,0)),"")</f>
        <v/>
      </c>
      <c r="D879" s="3">
        <f>IFERROR(INDEX(Calc!$O$2:$O$1001,MATCH(ROW()-1,Calc!$X$2:$X$1001,0)),"")</f>
        <v/>
      </c>
      <c r="E879" s="3">
        <f>IFERROR(INDEX(Calc!$P$2:$P$1001,MATCH(ROW()-1,Calc!$X$2:$X$1001,0)),"")</f>
        <v/>
      </c>
      <c r="F879" s="3">
        <f>IF(G879="","",E879-D879)</f>
        <v/>
      </c>
      <c r="G879">
        <f>IFERROR(INDEX(Calc!$S$2:$S$1001,MATCH(ROW()-1,Calc!$X$2:$X$1001,0)),"")</f>
        <v/>
      </c>
    </row>
    <row r="880">
      <c r="A880">
        <f>IFERROR(INDEX(Calc!$L$2:$L$1001,MATCH(ROW()-1,Calc!$X$2:$X$1001,0)),"")</f>
        <v/>
      </c>
      <c r="B880">
        <f>IFERROR(INDEX(Calc!$M$2:$M$1001,MATCH(ROW()-1,Calc!$X$2:$X$1001,0)),"")</f>
        <v/>
      </c>
      <c r="C880">
        <f>IFERROR(INDEX(Calc!$N$2:$N$1001,MATCH(ROW()-1,Calc!$X$2:$X$1001,0)),"")</f>
        <v/>
      </c>
      <c r="D880" s="3">
        <f>IFERROR(INDEX(Calc!$O$2:$O$1001,MATCH(ROW()-1,Calc!$X$2:$X$1001,0)),"")</f>
        <v/>
      </c>
      <c r="E880" s="3">
        <f>IFERROR(INDEX(Calc!$P$2:$P$1001,MATCH(ROW()-1,Calc!$X$2:$X$1001,0)),"")</f>
        <v/>
      </c>
      <c r="F880" s="3">
        <f>IF(G880="","",E880-D880)</f>
        <v/>
      </c>
      <c r="G880">
        <f>IFERROR(INDEX(Calc!$S$2:$S$1001,MATCH(ROW()-1,Calc!$X$2:$X$1001,0)),"")</f>
        <v/>
      </c>
    </row>
    <row r="881">
      <c r="A881">
        <f>IFERROR(INDEX(Calc!$L$2:$L$1001,MATCH(ROW()-1,Calc!$X$2:$X$1001,0)),"")</f>
        <v/>
      </c>
      <c r="B881">
        <f>IFERROR(INDEX(Calc!$M$2:$M$1001,MATCH(ROW()-1,Calc!$X$2:$X$1001,0)),"")</f>
        <v/>
      </c>
      <c r="C881">
        <f>IFERROR(INDEX(Calc!$N$2:$N$1001,MATCH(ROW()-1,Calc!$X$2:$X$1001,0)),"")</f>
        <v/>
      </c>
      <c r="D881" s="3">
        <f>IFERROR(INDEX(Calc!$O$2:$O$1001,MATCH(ROW()-1,Calc!$X$2:$X$1001,0)),"")</f>
        <v/>
      </c>
      <c r="E881" s="3">
        <f>IFERROR(INDEX(Calc!$P$2:$P$1001,MATCH(ROW()-1,Calc!$X$2:$X$1001,0)),"")</f>
        <v/>
      </c>
      <c r="F881" s="3">
        <f>IF(G881="","",E881-D881)</f>
        <v/>
      </c>
      <c r="G881">
        <f>IFERROR(INDEX(Calc!$S$2:$S$1001,MATCH(ROW()-1,Calc!$X$2:$X$1001,0)),"")</f>
        <v/>
      </c>
    </row>
    <row r="882">
      <c r="A882">
        <f>IFERROR(INDEX(Calc!$L$2:$L$1001,MATCH(ROW()-1,Calc!$X$2:$X$1001,0)),"")</f>
        <v/>
      </c>
      <c r="B882">
        <f>IFERROR(INDEX(Calc!$M$2:$M$1001,MATCH(ROW()-1,Calc!$X$2:$X$1001,0)),"")</f>
        <v/>
      </c>
      <c r="C882">
        <f>IFERROR(INDEX(Calc!$N$2:$N$1001,MATCH(ROW()-1,Calc!$X$2:$X$1001,0)),"")</f>
        <v/>
      </c>
      <c r="D882" s="3">
        <f>IFERROR(INDEX(Calc!$O$2:$O$1001,MATCH(ROW()-1,Calc!$X$2:$X$1001,0)),"")</f>
        <v/>
      </c>
      <c r="E882" s="3">
        <f>IFERROR(INDEX(Calc!$P$2:$P$1001,MATCH(ROW()-1,Calc!$X$2:$X$1001,0)),"")</f>
        <v/>
      </c>
      <c r="F882" s="3">
        <f>IF(G882="","",E882-D882)</f>
        <v/>
      </c>
      <c r="G882">
        <f>IFERROR(INDEX(Calc!$S$2:$S$1001,MATCH(ROW()-1,Calc!$X$2:$X$1001,0)),"")</f>
        <v/>
      </c>
    </row>
    <row r="883">
      <c r="A883">
        <f>IFERROR(INDEX(Calc!$L$2:$L$1001,MATCH(ROW()-1,Calc!$X$2:$X$1001,0)),"")</f>
        <v/>
      </c>
      <c r="B883">
        <f>IFERROR(INDEX(Calc!$M$2:$M$1001,MATCH(ROW()-1,Calc!$X$2:$X$1001,0)),"")</f>
        <v/>
      </c>
      <c r="C883">
        <f>IFERROR(INDEX(Calc!$N$2:$N$1001,MATCH(ROW()-1,Calc!$X$2:$X$1001,0)),"")</f>
        <v/>
      </c>
      <c r="D883" s="3">
        <f>IFERROR(INDEX(Calc!$O$2:$O$1001,MATCH(ROW()-1,Calc!$X$2:$X$1001,0)),"")</f>
        <v/>
      </c>
      <c r="E883" s="3">
        <f>IFERROR(INDEX(Calc!$P$2:$P$1001,MATCH(ROW()-1,Calc!$X$2:$X$1001,0)),"")</f>
        <v/>
      </c>
      <c r="F883" s="3">
        <f>IF(G883="","",E883-D883)</f>
        <v/>
      </c>
      <c r="G883">
        <f>IFERROR(INDEX(Calc!$S$2:$S$1001,MATCH(ROW()-1,Calc!$X$2:$X$1001,0)),"")</f>
        <v/>
      </c>
    </row>
    <row r="884">
      <c r="A884">
        <f>IFERROR(INDEX(Calc!$L$2:$L$1001,MATCH(ROW()-1,Calc!$X$2:$X$1001,0)),"")</f>
        <v/>
      </c>
      <c r="B884">
        <f>IFERROR(INDEX(Calc!$M$2:$M$1001,MATCH(ROW()-1,Calc!$X$2:$X$1001,0)),"")</f>
        <v/>
      </c>
      <c r="C884">
        <f>IFERROR(INDEX(Calc!$N$2:$N$1001,MATCH(ROW()-1,Calc!$X$2:$X$1001,0)),"")</f>
        <v/>
      </c>
      <c r="D884" s="3">
        <f>IFERROR(INDEX(Calc!$O$2:$O$1001,MATCH(ROW()-1,Calc!$X$2:$X$1001,0)),"")</f>
        <v/>
      </c>
      <c r="E884" s="3">
        <f>IFERROR(INDEX(Calc!$P$2:$P$1001,MATCH(ROW()-1,Calc!$X$2:$X$1001,0)),"")</f>
        <v/>
      </c>
      <c r="F884" s="3">
        <f>IF(G884="","",E884-D884)</f>
        <v/>
      </c>
      <c r="G884">
        <f>IFERROR(INDEX(Calc!$S$2:$S$1001,MATCH(ROW()-1,Calc!$X$2:$X$1001,0)),"")</f>
        <v/>
      </c>
    </row>
    <row r="885">
      <c r="A885">
        <f>IFERROR(INDEX(Calc!$L$2:$L$1001,MATCH(ROW()-1,Calc!$X$2:$X$1001,0)),"")</f>
        <v/>
      </c>
      <c r="B885">
        <f>IFERROR(INDEX(Calc!$M$2:$M$1001,MATCH(ROW()-1,Calc!$X$2:$X$1001,0)),"")</f>
        <v/>
      </c>
      <c r="C885">
        <f>IFERROR(INDEX(Calc!$N$2:$N$1001,MATCH(ROW()-1,Calc!$X$2:$X$1001,0)),"")</f>
        <v/>
      </c>
      <c r="D885" s="3">
        <f>IFERROR(INDEX(Calc!$O$2:$O$1001,MATCH(ROW()-1,Calc!$X$2:$X$1001,0)),"")</f>
        <v/>
      </c>
      <c r="E885" s="3">
        <f>IFERROR(INDEX(Calc!$P$2:$P$1001,MATCH(ROW()-1,Calc!$X$2:$X$1001,0)),"")</f>
        <v/>
      </c>
      <c r="F885" s="3">
        <f>IF(G885="","",E885-D885)</f>
        <v/>
      </c>
      <c r="G885">
        <f>IFERROR(INDEX(Calc!$S$2:$S$1001,MATCH(ROW()-1,Calc!$X$2:$X$1001,0)),"")</f>
        <v/>
      </c>
    </row>
    <row r="886">
      <c r="A886">
        <f>IFERROR(INDEX(Calc!$L$2:$L$1001,MATCH(ROW()-1,Calc!$X$2:$X$1001,0)),"")</f>
        <v/>
      </c>
      <c r="B886">
        <f>IFERROR(INDEX(Calc!$M$2:$M$1001,MATCH(ROW()-1,Calc!$X$2:$X$1001,0)),"")</f>
        <v/>
      </c>
      <c r="C886">
        <f>IFERROR(INDEX(Calc!$N$2:$N$1001,MATCH(ROW()-1,Calc!$X$2:$X$1001,0)),"")</f>
        <v/>
      </c>
      <c r="D886" s="3">
        <f>IFERROR(INDEX(Calc!$O$2:$O$1001,MATCH(ROW()-1,Calc!$X$2:$X$1001,0)),"")</f>
        <v/>
      </c>
      <c r="E886" s="3">
        <f>IFERROR(INDEX(Calc!$P$2:$P$1001,MATCH(ROW()-1,Calc!$X$2:$X$1001,0)),"")</f>
        <v/>
      </c>
      <c r="F886" s="3">
        <f>IF(G886="","",E886-D886)</f>
        <v/>
      </c>
      <c r="G886">
        <f>IFERROR(INDEX(Calc!$S$2:$S$1001,MATCH(ROW()-1,Calc!$X$2:$X$1001,0)),"")</f>
        <v/>
      </c>
    </row>
    <row r="887">
      <c r="A887">
        <f>IFERROR(INDEX(Calc!$L$2:$L$1001,MATCH(ROW()-1,Calc!$X$2:$X$1001,0)),"")</f>
        <v/>
      </c>
      <c r="B887">
        <f>IFERROR(INDEX(Calc!$M$2:$M$1001,MATCH(ROW()-1,Calc!$X$2:$X$1001,0)),"")</f>
        <v/>
      </c>
      <c r="C887">
        <f>IFERROR(INDEX(Calc!$N$2:$N$1001,MATCH(ROW()-1,Calc!$X$2:$X$1001,0)),"")</f>
        <v/>
      </c>
      <c r="D887" s="3">
        <f>IFERROR(INDEX(Calc!$O$2:$O$1001,MATCH(ROW()-1,Calc!$X$2:$X$1001,0)),"")</f>
        <v/>
      </c>
      <c r="E887" s="3">
        <f>IFERROR(INDEX(Calc!$P$2:$P$1001,MATCH(ROW()-1,Calc!$X$2:$X$1001,0)),"")</f>
        <v/>
      </c>
      <c r="F887" s="3">
        <f>IF(G887="","",E887-D887)</f>
        <v/>
      </c>
      <c r="G887">
        <f>IFERROR(INDEX(Calc!$S$2:$S$1001,MATCH(ROW()-1,Calc!$X$2:$X$1001,0)),"")</f>
        <v/>
      </c>
    </row>
    <row r="888">
      <c r="A888">
        <f>IFERROR(INDEX(Calc!$L$2:$L$1001,MATCH(ROW()-1,Calc!$X$2:$X$1001,0)),"")</f>
        <v/>
      </c>
      <c r="B888">
        <f>IFERROR(INDEX(Calc!$M$2:$M$1001,MATCH(ROW()-1,Calc!$X$2:$X$1001,0)),"")</f>
        <v/>
      </c>
      <c r="C888">
        <f>IFERROR(INDEX(Calc!$N$2:$N$1001,MATCH(ROW()-1,Calc!$X$2:$X$1001,0)),"")</f>
        <v/>
      </c>
      <c r="D888" s="3">
        <f>IFERROR(INDEX(Calc!$O$2:$O$1001,MATCH(ROW()-1,Calc!$X$2:$X$1001,0)),"")</f>
        <v/>
      </c>
      <c r="E888" s="3">
        <f>IFERROR(INDEX(Calc!$P$2:$P$1001,MATCH(ROW()-1,Calc!$X$2:$X$1001,0)),"")</f>
        <v/>
      </c>
      <c r="F888" s="3">
        <f>IF(G888="","",E888-D888)</f>
        <v/>
      </c>
      <c r="G888">
        <f>IFERROR(INDEX(Calc!$S$2:$S$1001,MATCH(ROW()-1,Calc!$X$2:$X$1001,0)),"")</f>
        <v/>
      </c>
    </row>
    <row r="889">
      <c r="A889">
        <f>IFERROR(INDEX(Calc!$L$2:$L$1001,MATCH(ROW()-1,Calc!$X$2:$X$1001,0)),"")</f>
        <v/>
      </c>
      <c r="B889">
        <f>IFERROR(INDEX(Calc!$M$2:$M$1001,MATCH(ROW()-1,Calc!$X$2:$X$1001,0)),"")</f>
        <v/>
      </c>
      <c r="C889">
        <f>IFERROR(INDEX(Calc!$N$2:$N$1001,MATCH(ROW()-1,Calc!$X$2:$X$1001,0)),"")</f>
        <v/>
      </c>
      <c r="D889" s="3">
        <f>IFERROR(INDEX(Calc!$O$2:$O$1001,MATCH(ROW()-1,Calc!$X$2:$X$1001,0)),"")</f>
        <v/>
      </c>
      <c r="E889" s="3">
        <f>IFERROR(INDEX(Calc!$P$2:$P$1001,MATCH(ROW()-1,Calc!$X$2:$X$1001,0)),"")</f>
        <v/>
      </c>
      <c r="F889" s="3">
        <f>IF(G889="","",E889-D889)</f>
        <v/>
      </c>
      <c r="G889">
        <f>IFERROR(INDEX(Calc!$S$2:$S$1001,MATCH(ROW()-1,Calc!$X$2:$X$1001,0)),"")</f>
        <v/>
      </c>
    </row>
    <row r="890">
      <c r="A890">
        <f>IFERROR(INDEX(Calc!$L$2:$L$1001,MATCH(ROW()-1,Calc!$X$2:$X$1001,0)),"")</f>
        <v/>
      </c>
      <c r="B890">
        <f>IFERROR(INDEX(Calc!$M$2:$M$1001,MATCH(ROW()-1,Calc!$X$2:$X$1001,0)),"")</f>
        <v/>
      </c>
      <c r="C890">
        <f>IFERROR(INDEX(Calc!$N$2:$N$1001,MATCH(ROW()-1,Calc!$X$2:$X$1001,0)),"")</f>
        <v/>
      </c>
      <c r="D890" s="3">
        <f>IFERROR(INDEX(Calc!$O$2:$O$1001,MATCH(ROW()-1,Calc!$X$2:$X$1001,0)),"")</f>
        <v/>
      </c>
      <c r="E890" s="3">
        <f>IFERROR(INDEX(Calc!$P$2:$P$1001,MATCH(ROW()-1,Calc!$X$2:$X$1001,0)),"")</f>
        <v/>
      </c>
      <c r="F890" s="3">
        <f>IF(G890="","",E890-D890)</f>
        <v/>
      </c>
      <c r="G890">
        <f>IFERROR(INDEX(Calc!$S$2:$S$1001,MATCH(ROW()-1,Calc!$X$2:$X$1001,0)),"")</f>
        <v/>
      </c>
    </row>
    <row r="891">
      <c r="A891">
        <f>IFERROR(INDEX(Calc!$L$2:$L$1001,MATCH(ROW()-1,Calc!$X$2:$X$1001,0)),"")</f>
        <v/>
      </c>
      <c r="B891">
        <f>IFERROR(INDEX(Calc!$M$2:$M$1001,MATCH(ROW()-1,Calc!$X$2:$X$1001,0)),"")</f>
        <v/>
      </c>
      <c r="C891">
        <f>IFERROR(INDEX(Calc!$N$2:$N$1001,MATCH(ROW()-1,Calc!$X$2:$X$1001,0)),"")</f>
        <v/>
      </c>
      <c r="D891" s="3">
        <f>IFERROR(INDEX(Calc!$O$2:$O$1001,MATCH(ROW()-1,Calc!$X$2:$X$1001,0)),"")</f>
        <v/>
      </c>
      <c r="E891" s="3">
        <f>IFERROR(INDEX(Calc!$P$2:$P$1001,MATCH(ROW()-1,Calc!$X$2:$X$1001,0)),"")</f>
        <v/>
      </c>
      <c r="F891" s="3">
        <f>IF(G891="","",E891-D891)</f>
        <v/>
      </c>
      <c r="G891">
        <f>IFERROR(INDEX(Calc!$S$2:$S$1001,MATCH(ROW()-1,Calc!$X$2:$X$1001,0)),"")</f>
        <v/>
      </c>
    </row>
    <row r="892">
      <c r="A892">
        <f>IFERROR(INDEX(Calc!$L$2:$L$1001,MATCH(ROW()-1,Calc!$X$2:$X$1001,0)),"")</f>
        <v/>
      </c>
      <c r="B892">
        <f>IFERROR(INDEX(Calc!$M$2:$M$1001,MATCH(ROW()-1,Calc!$X$2:$X$1001,0)),"")</f>
        <v/>
      </c>
      <c r="C892">
        <f>IFERROR(INDEX(Calc!$N$2:$N$1001,MATCH(ROW()-1,Calc!$X$2:$X$1001,0)),"")</f>
        <v/>
      </c>
      <c r="D892" s="3">
        <f>IFERROR(INDEX(Calc!$O$2:$O$1001,MATCH(ROW()-1,Calc!$X$2:$X$1001,0)),"")</f>
        <v/>
      </c>
      <c r="E892" s="3">
        <f>IFERROR(INDEX(Calc!$P$2:$P$1001,MATCH(ROW()-1,Calc!$X$2:$X$1001,0)),"")</f>
        <v/>
      </c>
      <c r="F892" s="3">
        <f>IF(G892="","",E892-D892)</f>
        <v/>
      </c>
      <c r="G892">
        <f>IFERROR(INDEX(Calc!$S$2:$S$1001,MATCH(ROW()-1,Calc!$X$2:$X$1001,0)),"")</f>
        <v/>
      </c>
    </row>
    <row r="893">
      <c r="A893">
        <f>IFERROR(INDEX(Calc!$L$2:$L$1001,MATCH(ROW()-1,Calc!$X$2:$X$1001,0)),"")</f>
        <v/>
      </c>
      <c r="B893">
        <f>IFERROR(INDEX(Calc!$M$2:$M$1001,MATCH(ROW()-1,Calc!$X$2:$X$1001,0)),"")</f>
        <v/>
      </c>
      <c r="C893">
        <f>IFERROR(INDEX(Calc!$N$2:$N$1001,MATCH(ROW()-1,Calc!$X$2:$X$1001,0)),"")</f>
        <v/>
      </c>
      <c r="D893" s="3">
        <f>IFERROR(INDEX(Calc!$O$2:$O$1001,MATCH(ROW()-1,Calc!$X$2:$X$1001,0)),"")</f>
        <v/>
      </c>
      <c r="E893" s="3">
        <f>IFERROR(INDEX(Calc!$P$2:$P$1001,MATCH(ROW()-1,Calc!$X$2:$X$1001,0)),"")</f>
        <v/>
      </c>
      <c r="F893" s="3">
        <f>IF(G893="","",E893-D893)</f>
        <v/>
      </c>
      <c r="G893">
        <f>IFERROR(INDEX(Calc!$S$2:$S$1001,MATCH(ROW()-1,Calc!$X$2:$X$1001,0)),"")</f>
        <v/>
      </c>
    </row>
    <row r="894">
      <c r="A894">
        <f>IFERROR(INDEX(Calc!$L$2:$L$1001,MATCH(ROW()-1,Calc!$X$2:$X$1001,0)),"")</f>
        <v/>
      </c>
      <c r="B894">
        <f>IFERROR(INDEX(Calc!$M$2:$M$1001,MATCH(ROW()-1,Calc!$X$2:$X$1001,0)),"")</f>
        <v/>
      </c>
      <c r="C894">
        <f>IFERROR(INDEX(Calc!$N$2:$N$1001,MATCH(ROW()-1,Calc!$X$2:$X$1001,0)),"")</f>
        <v/>
      </c>
      <c r="D894" s="3">
        <f>IFERROR(INDEX(Calc!$O$2:$O$1001,MATCH(ROW()-1,Calc!$X$2:$X$1001,0)),"")</f>
        <v/>
      </c>
      <c r="E894" s="3">
        <f>IFERROR(INDEX(Calc!$P$2:$P$1001,MATCH(ROW()-1,Calc!$X$2:$X$1001,0)),"")</f>
        <v/>
      </c>
      <c r="F894" s="3">
        <f>IF(G894="","",E894-D894)</f>
        <v/>
      </c>
      <c r="G894">
        <f>IFERROR(INDEX(Calc!$S$2:$S$1001,MATCH(ROW()-1,Calc!$X$2:$X$1001,0)),"")</f>
        <v/>
      </c>
    </row>
    <row r="895">
      <c r="A895">
        <f>IFERROR(INDEX(Calc!$L$2:$L$1001,MATCH(ROW()-1,Calc!$X$2:$X$1001,0)),"")</f>
        <v/>
      </c>
      <c r="B895">
        <f>IFERROR(INDEX(Calc!$M$2:$M$1001,MATCH(ROW()-1,Calc!$X$2:$X$1001,0)),"")</f>
        <v/>
      </c>
      <c r="C895">
        <f>IFERROR(INDEX(Calc!$N$2:$N$1001,MATCH(ROW()-1,Calc!$X$2:$X$1001,0)),"")</f>
        <v/>
      </c>
      <c r="D895" s="3">
        <f>IFERROR(INDEX(Calc!$O$2:$O$1001,MATCH(ROW()-1,Calc!$X$2:$X$1001,0)),"")</f>
        <v/>
      </c>
      <c r="E895" s="3">
        <f>IFERROR(INDEX(Calc!$P$2:$P$1001,MATCH(ROW()-1,Calc!$X$2:$X$1001,0)),"")</f>
        <v/>
      </c>
      <c r="F895" s="3">
        <f>IF(G895="","",E895-D895)</f>
        <v/>
      </c>
      <c r="G895">
        <f>IFERROR(INDEX(Calc!$S$2:$S$1001,MATCH(ROW()-1,Calc!$X$2:$X$1001,0)),"")</f>
        <v/>
      </c>
    </row>
    <row r="896">
      <c r="A896">
        <f>IFERROR(INDEX(Calc!$L$2:$L$1001,MATCH(ROW()-1,Calc!$X$2:$X$1001,0)),"")</f>
        <v/>
      </c>
      <c r="B896">
        <f>IFERROR(INDEX(Calc!$M$2:$M$1001,MATCH(ROW()-1,Calc!$X$2:$X$1001,0)),"")</f>
        <v/>
      </c>
      <c r="C896">
        <f>IFERROR(INDEX(Calc!$N$2:$N$1001,MATCH(ROW()-1,Calc!$X$2:$X$1001,0)),"")</f>
        <v/>
      </c>
      <c r="D896" s="3">
        <f>IFERROR(INDEX(Calc!$O$2:$O$1001,MATCH(ROW()-1,Calc!$X$2:$X$1001,0)),"")</f>
        <v/>
      </c>
      <c r="E896" s="3">
        <f>IFERROR(INDEX(Calc!$P$2:$P$1001,MATCH(ROW()-1,Calc!$X$2:$X$1001,0)),"")</f>
        <v/>
      </c>
      <c r="F896" s="3">
        <f>IF(G896="","",E896-D896)</f>
        <v/>
      </c>
      <c r="G896">
        <f>IFERROR(INDEX(Calc!$S$2:$S$1001,MATCH(ROW()-1,Calc!$X$2:$X$1001,0)),"")</f>
        <v/>
      </c>
    </row>
    <row r="897">
      <c r="A897">
        <f>IFERROR(INDEX(Calc!$L$2:$L$1001,MATCH(ROW()-1,Calc!$X$2:$X$1001,0)),"")</f>
        <v/>
      </c>
      <c r="B897">
        <f>IFERROR(INDEX(Calc!$M$2:$M$1001,MATCH(ROW()-1,Calc!$X$2:$X$1001,0)),"")</f>
        <v/>
      </c>
      <c r="C897">
        <f>IFERROR(INDEX(Calc!$N$2:$N$1001,MATCH(ROW()-1,Calc!$X$2:$X$1001,0)),"")</f>
        <v/>
      </c>
      <c r="D897" s="3">
        <f>IFERROR(INDEX(Calc!$O$2:$O$1001,MATCH(ROW()-1,Calc!$X$2:$X$1001,0)),"")</f>
        <v/>
      </c>
      <c r="E897" s="3">
        <f>IFERROR(INDEX(Calc!$P$2:$P$1001,MATCH(ROW()-1,Calc!$X$2:$X$1001,0)),"")</f>
        <v/>
      </c>
      <c r="F897" s="3">
        <f>IF(G897="","",E897-D897)</f>
        <v/>
      </c>
      <c r="G897">
        <f>IFERROR(INDEX(Calc!$S$2:$S$1001,MATCH(ROW()-1,Calc!$X$2:$X$1001,0)),"")</f>
        <v/>
      </c>
    </row>
    <row r="898">
      <c r="A898">
        <f>IFERROR(INDEX(Calc!$L$2:$L$1001,MATCH(ROW()-1,Calc!$X$2:$X$1001,0)),"")</f>
        <v/>
      </c>
      <c r="B898">
        <f>IFERROR(INDEX(Calc!$M$2:$M$1001,MATCH(ROW()-1,Calc!$X$2:$X$1001,0)),"")</f>
        <v/>
      </c>
      <c r="C898">
        <f>IFERROR(INDEX(Calc!$N$2:$N$1001,MATCH(ROW()-1,Calc!$X$2:$X$1001,0)),"")</f>
        <v/>
      </c>
      <c r="D898" s="3">
        <f>IFERROR(INDEX(Calc!$O$2:$O$1001,MATCH(ROW()-1,Calc!$X$2:$X$1001,0)),"")</f>
        <v/>
      </c>
      <c r="E898" s="3">
        <f>IFERROR(INDEX(Calc!$P$2:$P$1001,MATCH(ROW()-1,Calc!$X$2:$X$1001,0)),"")</f>
        <v/>
      </c>
      <c r="F898" s="3">
        <f>IF(G898="","",E898-D898)</f>
        <v/>
      </c>
      <c r="G898">
        <f>IFERROR(INDEX(Calc!$S$2:$S$1001,MATCH(ROW()-1,Calc!$X$2:$X$1001,0)),"")</f>
        <v/>
      </c>
    </row>
    <row r="899">
      <c r="A899">
        <f>IFERROR(INDEX(Calc!$L$2:$L$1001,MATCH(ROW()-1,Calc!$X$2:$X$1001,0)),"")</f>
        <v/>
      </c>
      <c r="B899">
        <f>IFERROR(INDEX(Calc!$M$2:$M$1001,MATCH(ROW()-1,Calc!$X$2:$X$1001,0)),"")</f>
        <v/>
      </c>
      <c r="C899">
        <f>IFERROR(INDEX(Calc!$N$2:$N$1001,MATCH(ROW()-1,Calc!$X$2:$X$1001,0)),"")</f>
        <v/>
      </c>
      <c r="D899" s="3">
        <f>IFERROR(INDEX(Calc!$O$2:$O$1001,MATCH(ROW()-1,Calc!$X$2:$X$1001,0)),"")</f>
        <v/>
      </c>
      <c r="E899" s="3">
        <f>IFERROR(INDEX(Calc!$P$2:$P$1001,MATCH(ROW()-1,Calc!$X$2:$X$1001,0)),"")</f>
        <v/>
      </c>
      <c r="F899" s="3">
        <f>IF(G899="","",E899-D899)</f>
        <v/>
      </c>
      <c r="G899">
        <f>IFERROR(INDEX(Calc!$S$2:$S$1001,MATCH(ROW()-1,Calc!$X$2:$X$1001,0)),"")</f>
        <v/>
      </c>
    </row>
    <row r="900">
      <c r="A900">
        <f>IFERROR(INDEX(Calc!$L$2:$L$1001,MATCH(ROW()-1,Calc!$X$2:$X$1001,0)),"")</f>
        <v/>
      </c>
      <c r="B900">
        <f>IFERROR(INDEX(Calc!$M$2:$M$1001,MATCH(ROW()-1,Calc!$X$2:$X$1001,0)),"")</f>
        <v/>
      </c>
      <c r="C900">
        <f>IFERROR(INDEX(Calc!$N$2:$N$1001,MATCH(ROW()-1,Calc!$X$2:$X$1001,0)),"")</f>
        <v/>
      </c>
      <c r="D900" s="3">
        <f>IFERROR(INDEX(Calc!$O$2:$O$1001,MATCH(ROW()-1,Calc!$X$2:$X$1001,0)),"")</f>
        <v/>
      </c>
      <c r="E900" s="3">
        <f>IFERROR(INDEX(Calc!$P$2:$P$1001,MATCH(ROW()-1,Calc!$X$2:$X$1001,0)),"")</f>
        <v/>
      </c>
      <c r="F900" s="3">
        <f>IF(G900="","",E900-D900)</f>
        <v/>
      </c>
      <c r="G900">
        <f>IFERROR(INDEX(Calc!$S$2:$S$1001,MATCH(ROW()-1,Calc!$X$2:$X$1001,0)),"")</f>
        <v/>
      </c>
    </row>
    <row r="901">
      <c r="A901">
        <f>IFERROR(INDEX(Calc!$L$2:$L$1001,MATCH(ROW()-1,Calc!$X$2:$X$1001,0)),"")</f>
        <v/>
      </c>
      <c r="B901">
        <f>IFERROR(INDEX(Calc!$M$2:$M$1001,MATCH(ROW()-1,Calc!$X$2:$X$1001,0)),"")</f>
        <v/>
      </c>
      <c r="C901">
        <f>IFERROR(INDEX(Calc!$N$2:$N$1001,MATCH(ROW()-1,Calc!$X$2:$X$1001,0)),"")</f>
        <v/>
      </c>
      <c r="D901" s="3">
        <f>IFERROR(INDEX(Calc!$O$2:$O$1001,MATCH(ROW()-1,Calc!$X$2:$X$1001,0)),"")</f>
        <v/>
      </c>
      <c r="E901" s="3">
        <f>IFERROR(INDEX(Calc!$P$2:$P$1001,MATCH(ROW()-1,Calc!$X$2:$X$1001,0)),"")</f>
        <v/>
      </c>
      <c r="F901" s="3">
        <f>IF(G901="","",E901-D901)</f>
        <v/>
      </c>
      <c r="G901">
        <f>IFERROR(INDEX(Calc!$S$2:$S$1001,MATCH(ROW()-1,Calc!$X$2:$X$1001,0)),"")</f>
        <v/>
      </c>
    </row>
    <row r="902">
      <c r="A902">
        <f>IFERROR(INDEX(Calc!$L$2:$L$1001,MATCH(ROW()-1,Calc!$X$2:$X$1001,0)),"")</f>
        <v/>
      </c>
      <c r="B902">
        <f>IFERROR(INDEX(Calc!$M$2:$M$1001,MATCH(ROW()-1,Calc!$X$2:$X$1001,0)),"")</f>
        <v/>
      </c>
      <c r="C902">
        <f>IFERROR(INDEX(Calc!$N$2:$N$1001,MATCH(ROW()-1,Calc!$X$2:$X$1001,0)),"")</f>
        <v/>
      </c>
      <c r="D902" s="3">
        <f>IFERROR(INDEX(Calc!$O$2:$O$1001,MATCH(ROW()-1,Calc!$X$2:$X$1001,0)),"")</f>
        <v/>
      </c>
      <c r="E902" s="3">
        <f>IFERROR(INDEX(Calc!$P$2:$P$1001,MATCH(ROW()-1,Calc!$X$2:$X$1001,0)),"")</f>
        <v/>
      </c>
      <c r="F902" s="3">
        <f>IF(G902="","",E902-D902)</f>
        <v/>
      </c>
      <c r="G902">
        <f>IFERROR(INDEX(Calc!$S$2:$S$1001,MATCH(ROW()-1,Calc!$X$2:$X$1001,0)),"")</f>
        <v/>
      </c>
    </row>
    <row r="903">
      <c r="A903">
        <f>IFERROR(INDEX(Calc!$L$2:$L$1001,MATCH(ROW()-1,Calc!$X$2:$X$1001,0)),"")</f>
        <v/>
      </c>
      <c r="B903">
        <f>IFERROR(INDEX(Calc!$M$2:$M$1001,MATCH(ROW()-1,Calc!$X$2:$X$1001,0)),"")</f>
        <v/>
      </c>
      <c r="C903">
        <f>IFERROR(INDEX(Calc!$N$2:$N$1001,MATCH(ROW()-1,Calc!$X$2:$X$1001,0)),"")</f>
        <v/>
      </c>
      <c r="D903" s="3">
        <f>IFERROR(INDEX(Calc!$O$2:$O$1001,MATCH(ROW()-1,Calc!$X$2:$X$1001,0)),"")</f>
        <v/>
      </c>
      <c r="E903" s="3">
        <f>IFERROR(INDEX(Calc!$P$2:$P$1001,MATCH(ROW()-1,Calc!$X$2:$X$1001,0)),"")</f>
        <v/>
      </c>
      <c r="F903" s="3">
        <f>IF(G903="","",E903-D903)</f>
        <v/>
      </c>
      <c r="G903">
        <f>IFERROR(INDEX(Calc!$S$2:$S$1001,MATCH(ROW()-1,Calc!$X$2:$X$1001,0)),"")</f>
        <v/>
      </c>
    </row>
    <row r="904">
      <c r="A904">
        <f>IFERROR(INDEX(Calc!$L$2:$L$1001,MATCH(ROW()-1,Calc!$X$2:$X$1001,0)),"")</f>
        <v/>
      </c>
      <c r="B904">
        <f>IFERROR(INDEX(Calc!$M$2:$M$1001,MATCH(ROW()-1,Calc!$X$2:$X$1001,0)),"")</f>
        <v/>
      </c>
      <c r="C904">
        <f>IFERROR(INDEX(Calc!$N$2:$N$1001,MATCH(ROW()-1,Calc!$X$2:$X$1001,0)),"")</f>
        <v/>
      </c>
      <c r="D904" s="3">
        <f>IFERROR(INDEX(Calc!$O$2:$O$1001,MATCH(ROW()-1,Calc!$X$2:$X$1001,0)),"")</f>
        <v/>
      </c>
      <c r="E904" s="3">
        <f>IFERROR(INDEX(Calc!$P$2:$P$1001,MATCH(ROW()-1,Calc!$X$2:$X$1001,0)),"")</f>
        <v/>
      </c>
      <c r="F904" s="3">
        <f>IF(G904="","",E904-D904)</f>
        <v/>
      </c>
      <c r="G904">
        <f>IFERROR(INDEX(Calc!$S$2:$S$1001,MATCH(ROW()-1,Calc!$X$2:$X$1001,0)),"")</f>
        <v/>
      </c>
    </row>
    <row r="905">
      <c r="A905">
        <f>IFERROR(INDEX(Calc!$L$2:$L$1001,MATCH(ROW()-1,Calc!$X$2:$X$1001,0)),"")</f>
        <v/>
      </c>
      <c r="B905">
        <f>IFERROR(INDEX(Calc!$M$2:$M$1001,MATCH(ROW()-1,Calc!$X$2:$X$1001,0)),"")</f>
        <v/>
      </c>
      <c r="C905">
        <f>IFERROR(INDEX(Calc!$N$2:$N$1001,MATCH(ROW()-1,Calc!$X$2:$X$1001,0)),"")</f>
        <v/>
      </c>
      <c r="D905" s="3">
        <f>IFERROR(INDEX(Calc!$O$2:$O$1001,MATCH(ROW()-1,Calc!$X$2:$X$1001,0)),"")</f>
        <v/>
      </c>
      <c r="E905" s="3">
        <f>IFERROR(INDEX(Calc!$P$2:$P$1001,MATCH(ROW()-1,Calc!$X$2:$X$1001,0)),"")</f>
        <v/>
      </c>
      <c r="F905" s="3">
        <f>IF(G905="","",E905-D905)</f>
        <v/>
      </c>
      <c r="G905">
        <f>IFERROR(INDEX(Calc!$S$2:$S$1001,MATCH(ROW()-1,Calc!$X$2:$X$1001,0)),"")</f>
        <v/>
      </c>
    </row>
    <row r="906">
      <c r="A906">
        <f>IFERROR(INDEX(Calc!$L$2:$L$1001,MATCH(ROW()-1,Calc!$X$2:$X$1001,0)),"")</f>
        <v/>
      </c>
      <c r="B906">
        <f>IFERROR(INDEX(Calc!$M$2:$M$1001,MATCH(ROW()-1,Calc!$X$2:$X$1001,0)),"")</f>
        <v/>
      </c>
      <c r="C906">
        <f>IFERROR(INDEX(Calc!$N$2:$N$1001,MATCH(ROW()-1,Calc!$X$2:$X$1001,0)),"")</f>
        <v/>
      </c>
      <c r="D906" s="3">
        <f>IFERROR(INDEX(Calc!$O$2:$O$1001,MATCH(ROW()-1,Calc!$X$2:$X$1001,0)),"")</f>
        <v/>
      </c>
      <c r="E906" s="3">
        <f>IFERROR(INDEX(Calc!$P$2:$P$1001,MATCH(ROW()-1,Calc!$X$2:$X$1001,0)),"")</f>
        <v/>
      </c>
      <c r="F906" s="3">
        <f>IF(G906="","",E906-D906)</f>
        <v/>
      </c>
      <c r="G906">
        <f>IFERROR(INDEX(Calc!$S$2:$S$1001,MATCH(ROW()-1,Calc!$X$2:$X$1001,0)),"")</f>
        <v/>
      </c>
    </row>
    <row r="907">
      <c r="A907">
        <f>IFERROR(INDEX(Calc!$L$2:$L$1001,MATCH(ROW()-1,Calc!$X$2:$X$1001,0)),"")</f>
        <v/>
      </c>
      <c r="B907">
        <f>IFERROR(INDEX(Calc!$M$2:$M$1001,MATCH(ROW()-1,Calc!$X$2:$X$1001,0)),"")</f>
        <v/>
      </c>
      <c r="C907">
        <f>IFERROR(INDEX(Calc!$N$2:$N$1001,MATCH(ROW()-1,Calc!$X$2:$X$1001,0)),"")</f>
        <v/>
      </c>
      <c r="D907" s="3">
        <f>IFERROR(INDEX(Calc!$O$2:$O$1001,MATCH(ROW()-1,Calc!$X$2:$X$1001,0)),"")</f>
        <v/>
      </c>
      <c r="E907" s="3">
        <f>IFERROR(INDEX(Calc!$P$2:$P$1001,MATCH(ROW()-1,Calc!$X$2:$X$1001,0)),"")</f>
        <v/>
      </c>
      <c r="F907" s="3">
        <f>IF(G907="","",E907-D907)</f>
        <v/>
      </c>
      <c r="G907">
        <f>IFERROR(INDEX(Calc!$S$2:$S$1001,MATCH(ROW()-1,Calc!$X$2:$X$1001,0)),"")</f>
        <v/>
      </c>
    </row>
    <row r="908">
      <c r="A908">
        <f>IFERROR(INDEX(Calc!$L$2:$L$1001,MATCH(ROW()-1,Calc!$X$2:$X$1001,0)),"")</f>
        <v/>
      </c>
      <c r="B908">
        <f>IFERROR(INDEX(Calc!$M$2:$M$1001,MATCH(ROW()-1,Calc!$X$2:$X$1001,0)),"")</f>
        <v/>
      </c>
      <c r="C908">
        <f>IFERROR(INDEX(Calc!$N$2:$N$1001,MATCH(ROW()-1,Calc!$X$2:$X$1001,0)),"")</f>
        <v/>
      </c>
      <c r="D908" s="3">
        <f>IFERROR(INDEX(Calc!$O$2:$O$1001,MATCH(ROW()-1,Calc!$X$2:$X$1001,0)),"")</f>
        <v/>
      </c>
      <c r="E908" s="3">
        <f>IFERROR(INDEX(Calc!$P$2:$P$1001,MATCH(ROW()-1,Calc!$X$2:$X$1001,0)),"")</f>
        <v/>
      </c>
      <c r="F908" s="3">
        <f>IF(G908="","",E908-D908)</f>
        <v/>
      </c>
      <c r="G908">
        <f>IFERROR(INDEX(Calc!$S$2:$S$1001,MATCH(ROW()-1,Calc!$X$2:$X$1001,0)),"")</f>
        <v/>
      </c>
    </row>
    <row r="909">
      <c r="A909">
        <f>IFERROR(INDEX(Calc!$L$2:$L$1001,MATCH(ROW()-1,Calc!$X$2:$X$1001,0)),"")</f>
        <v/>
      </c>
      <c r="B909">
        <f>IFERROR(INDEX(Calc!$M$2:$M$1001,MATCH(ROW()-1,Calc!$X$2:$X$1001,0)),"")</f>
        <v/>
      </c>
      <c r="C909">
        <f>IFERROR(INDEX(Calc!$N$2:$N$1001,MATCH(ROW()-1,Calc!$X$2:$X$1001,0)),"")</f>
        <v/>
      </c>
      <c r="D909" s="3">
        <f>IFERROR(INDEX(Calc!$O$2:$O$1001,MATCH(ROW()-1,Calc!$X$2:$X$1001,0)),"")</f>
        <v/>
      </c>
      <c r="E909" s="3">
        <f>IFERROR(INDEX(Calc!$P$2:$P$1001,MATCH(ROW()-1,Calc!$X$2:$X$1001,0)),"")</f>
        <v/>
      </c>
      <c r="F909" s="3">
        <f>IF(G909="","",E909-D909)</f>
        <v/>
      </c>
      <c r="G909">
        <f>IFERROR(INDEX(Calc!$S$2:$S$1001,MATCH(ROW()-1,Calc!$X$2:$X$1001,0)),"")</f>
        <v/>
      </c>
    </row>
    <row r="910">
      <c r="A910">
        <f>IFERROR(INDEX(Calc!$L$2:$L$1001,MATCH(ROW()-1,Calc!$X$2:$X$1001,0)),"")</f>
        <v/>
      </c>
      <c r="B910">
        <f>IFERROR(INDEX(Calc!$M$2:$M$1001,MATCH(ROW()-1,Calc!$X$2:$X$1001,0)),"")</f>
        <v/>
      </c>
      <c r="C910">
        <f>IFERROR(INDEX(Calc!$N$2:$N$1001,MATCH(ROW()-1,Calc!$X$2:$X$1001,0)),"")</f>
        <v/>
      </c>
      <c r="D910" s="3">
        <f>IFERROR(INDEX(Calc!$O$2:$O$1001,MATCH(ROW()-1,Calc!$X$2:$X$1001,0)),"")</f>
        <v/>
      </c>
      <c r="E910" s="3">
        <f>IFERROR(INDEX(Calc!$P$2:$P$1001,MATCH(ROW()-1,Calc!$X$2:$X$1001,0)),"")</f>
        <v/>
      </c>
      <c r="F910" s="3">
        <f>IF(G910="","",E910-D910)</f>
        <v/>
      </c>
      <c r="G910">
        <f>IFERROR(INDEX(Calc!$S$2:$S$1001,MATCH(ROW()-1,Calc!$X$2:$X$1001,0)),"")</f>
        <v/>
      </c>
    </row>
    <row r="911">
      <c r="A911">
        <f>IFERROR(INDEX(Calc!$L$2:$L$1001,MATCH(ROW()-1,Calc!$X$2:$X$1001,0)),"")</f>
        <v/>
      </c>
      <c r="B911">
        <f>IFERROR(INDEX(Calc!$M$2:$M$1001,MATCH(ROW()-1,Calc!$X$2:$X$1001,0)),"")</f>
        <v/>
      </c>
      <c r="C911">
        <f>IFERROR(INDEX(Calc!$N$2:$N$1001,MATCH(ROW()-1,Calc!$X$2:$X$1001,0)),"")</f>
        <v/>
      </c>
      <c r="D911" s="3">
        <f>IFERROR(INDEX(Calc!$O$2:$O$1001,MATCH(ROW()-1,Calc!$X$2:$X$1001,0)),"")</f>
        <v/>
      </c>
      <c r="E911" s="3">
        <f>IFERROR(INDEX(Calc!$P$2:$P$1001,MATCH(ROW()-1,Calc!$X$2:$X$1001,0)),"")</f>
        <v/>
      </c>
      <c r="F911" s="3">
        <f>IF(G911="","",E911-D911)</f>
        <v/>
      </c>
      <c r="G911">
        <f>IFERROR(INDEX(Calc!$S$2:$S$1001,MATCH(ROW()-1,Calc!$X$2:$X$1001,0)),"")</f>
        <v/>
      </c>
    </row>
    <row r="912">
      <c r="A912">
        <f>IFERROR(INDEX(Calc!$L$2:$L$1001,MATCH(ROW()-1,Calc!$X$2:$X$1001,0)),"")</f>
        <v/>
      </c>
      <c r="B912">
        <f>IFERROR(INDEX(Calc!$M$2:$M$1001,MATCH(ROW()-1,Calc!$X$2:$X$1001,0)),"")</f>
        <v/>
      </c>
      <c r="C912">
        <f>IFERROR(INDEX(Calc!$N$2:$N$1001,MATCH(ROW()-1,Calc!$X$2:$X$1001,0)),"")</f>
        <v/>
      </c>
      <c r="D912" s="3">
        <f>IFERROR(INDEX(Calc!$O$2:$O$1001,MATCH(ROW()-1,Calc!$X$2:$X$1001,0)),"")</f>
        <v/>
      </c>
      <c r="E912" s="3">
        <f>IFERROR(INDEX(Calc!$P$2:$P$1001,MATCH(ROW()-1,Calc!$X$2:$X$1001,0)),"")</f>
        <v/>
      </c>
      <c r="F912" s="3">
        <f>IF(G912="","",E912-D912)</f>
        <v/>
      </c>
      <c r="G912">
        <f>IFERROR(INDEX(Calc!$S$2:$S$1001,MATCH(ROW()-1,Calc!$X$2:$X$1001,0)),"")</f>
        <v/>
      </c>
    </row>
    <row r="913">
      <c r="A913">
        <f>IFERROR(INDEX(Calc!$L$2:$L$1001,MATCH(ROW()-1,Calc!$X$2:$X$1001,0)),"")</f>
        <v/>
      </c>
      <c r="B913">
        <f>IFERROR(INDEX(Calc!$M$2:$M$1001,MATCH(ROW()-1,Calc!$X$2:$X$1001,0)),"")</f>
        <v/>
      </c>
      <c r="C913">
        <f>IFERROR(INDEX(Calc!$N$2:$N$1001,MATCH(ROW()-1,Calc!$X$2:$X$1001,0)),"")</f>
        <v/>
      </c>
      <c r="D913" s="3">
        <f>IFERROR(INDEX(Calc!$O$2:$O$1001,MATCH(ROW()-1,Calc!$X$2:$X$1001,0)),"")</f>
        <v/>
      </c>
      <c r="E913" s="3">
        <f>IFERROR(INDEX(Calc!$P$2:$P$1001,MATCH(ROW()-1,Calc!$X$2:$X$1001,0)),"")</f>
        <v/>
      </c>
      <c r="F913" s="3">
        <f>IF(G913="","",E913-D913)</f>
        <v/>
      </c>
      <c r="G913">
        <f>IFERROR(INDEX(Calc!$S$2:$S$1001,MATCH(ROW()-1,Calc!$X$2:$X$1001,0)),"")</f>
        <v/>
      </c>
    </row>
    <row r="914">
      <c r="A914">
        <f>IFERROR(INDEX(Calc!$L$2:$L$1001,MATCH(ROW()-1,Calc!$X$2:$X$1001,0)),"")</f>
        <v/>
      </c>
      <c r="B914">
        <f>IFERROR(INDEX(Calc!$M$2:$M$1001,MATCH(ROW()-1,Calc!$X$2:$X$1001,0)),"")</f>
        <v/>
      </c>
      <c r="C914">
        <f>IFERROR(INDEX(Calc!$N$2:$N$1001,MATCH(ROW()-1,Calc!$X$2:$X$1001,0)),"")</f>
        <v/>
      </c>
      <c r="D914" s="3">
        <f>IFERROR(INDEX(Calc!$O$2:$O$1001,MATCH(ROW()-1,Calc!$X$2:$X$1001,0)),"")</f>
        <v/>
      </c>
      <c r="E914" s="3">
        <f>IFERROR(INDEX(Calc!$P$2:$P$1001,MATCH(ROW()-1,Calc!$X$2:$X$1001,0)),"")</f>
        <v/>
      </c>
      <c r="F914" s="3">
        <f>IF(G914="","",E914-D914)</f>
        <v/>
      </c>
      <c r="G914">
        <f>IFERROR(INDEX(Calc!$S$2:$S$1001,MATCH(ROW()-1,Calc!$X$2:$X$1001,0)),"")</f>
        <v/>
      </c>
    </row>
    <row r="915">
      <c r="A915">
        <f>IFERROR(INDEX(Calc!$L$2:$L$1001,MATCH(ROW()-1,Calc!$X$2:$X$1001,0)),"")</f>
        <v/>
      </c>
      <c r="B915">
        <f>IFERROR(INDEX(Calc!$M$2:$M$1001,MATCH(ROW()-1,Calc!$X$2:$X$1001,0)),"")</f>
        <v/>
      </c>
      <c r="C915">
        <f>IFERROR(INDEX(Calc!$N$2:$N$1001,MATCH(ROW()-1,Calc!$X$2:$X$1001,0)),"")</f>
        <v/>
      </c>
      <c r="D915" s="3">
        <f>IFERROR(INDEX(Calc!$O$2:$O$1001,MATCH(ROW()-1,Calc!$X$2:$X$1001,0)),"")</f>
        <v/>
      </c>
      <c r="E915" s="3">
        <f>IFERROR(INDEX(Calc!$P$2:$P$1001,MATCH(ROW()-1,Calc!$X$2:$X$1001,0)),"")</f>
        <v/>
      </c>
      <c r="F915" s="3">
        <f>IF(G915="","",E915-D915)</f>
        <v/>
      </c>
      <c r="G915">
        <f>IFERROR(INDEX(Calc!$S$2:$S$1001,MATCH(ROW()-1,Calc!$X$2:$X$1001,0)),"")</f>
        <v/>
      </c>
    </row>
    <row r="916">
      <c r="A916">
        <f>IFERROR(INDEX(Calc!$L$2:$L$1001,MATCH(ROW()-1,Calc!$X$2:$X$1001,0)),"")</f>
        <v/>
      </c>
      <c r="B916">
        <f>IFERROR(INDEX(Calc!$M$2:$M$1001,MATCH(ROW()-1,Calc!$X$2:$X$1001,0)),"")</f>
        <v/>
      </c>
      <c r="C916">
        <f>IFERROR(INDEX(Calc!$N$2:$N$1001,MATCH(ROW()-1,Calc!$X$2:$X$1001,0)),"")</f>
        <v/>
      </c>
      <c r="D916" s="3">
        <f>IFERROR(INDEX(Calc!$O$2:$O$1001,MATCH(ROW()-1,Calc!$X$2:$X$1001,0)),"")</f>
        <v/>
      </c>
      <c r="E916" s="3">
        <f>IFERROR(INDEX(Calc!$P$2:$P$1001,MATCH(ROW()-1,Calc!$X$2:$X$1001,0)),"")</f>
        <v/>
      </c>
      <c r="F916" s="3">
        <f>IF(G916="","",E916-D916)</f>
        <v/>
      </c>
      <c r="G916">
        <f>IFERROR(INDEX(Calc!$S$2:$S$1001,MATCH(ROW()-1,Calc!$X$2:$X$1001,0)),"")</f>
        <v/>
      </c>
    </row>
    <row r="917">
      <c r="A917">
        <f>IFERROR(INDEX(Calc!$L$2:$L$1001,MATCH(ROW()-1,Calc!$X$2:$X$1001,0)),"")</f>
        <v/>
      </c>
      <c r="B917">
        <f>IFERROR(INDEX(Calc!$M$2:$M$1001,MATCH(ROW()-1,Calc!$X$2:$X$1001,0)),"")</f>
        <v/>
      </c>
      <c r="C917">
        <f>IFERROR(INDEX(Calc!$N$2:$N$1001,MATCH(ROW()-1,Calc!$X$2:$X$1001,0)),"")</f>
        <v/>
      </c>
      <c r="D917" s="3">
        <f>IFERROR(INDEX(Calc!$O$2:$O$1001,MATCH(ROW()-1,Calc!$X$2:$X$1001,0)),"")</f>
        <v/>
      </c>
      <c r="E917" s="3">
        <f>IFERROR(INDEX(Calc!$P$2:$P$1001,MATCH(ROW()-1,Calc!$X$2:$X$1001,0)),"")</f>
        <v/>
      </c>
      <c r="F917" s="3">
        <f>IF(G917="","",E917-D917)</f>
        <v/>
      </c>
      <c r="G917">
        <f>IFERROR(INDEX(Calc!$S$2:$S$1001,MATCH(ROW()-1,Calc!$X$2:$X$1001,0)),"")</f>
        <v/>
      </c>
    </row>
    <row r="918">
      <c r="A918">
        <f>IFERROR(INDEX(Calc!$L$2:$L$1001,MATCH(ROW()-1,Calc!$X$2:$X$1001,0)),"")</f>
        <v/>
      </c>
      <c r="B918">
        <f>IFERROR(INDEX(Calc!$M$2:$M$1001,MATCH(ROW()-1,Calc!$X$2:$X$1001,0)),"")</f>
        <v/>
      </c>
      <c r="C918">
        <f>IFERROR(INDEX(Calc!$N$2:$N$1001,MATCH(ROW()-1,Calc!$X$2:$X$1001,0)),"")</f>
        <v/>
      </c>
      <c r="D918" s="3">
        <f>IFERROR(INDEX(Calc!$O$2:$O$1001,MATCH(ROW()-1,Calc!$X$2:$X$1001,0)),"")</f>
        <v/>
      </c>
      <c r="E918" s="3">
        <f>IFERROR(INDEX(Calc!$P$2:$P$1001,MATCH(ROW()-1,Calc!$X$2:$X$1001,0)),"")</f>
        <v/>
      </c>
      <c r="F918" s="3">
        <f>IF(G918="","",E918-D918)</f>
        <v/>
      </c>
      <c r="G918">
        <f>IFERROR(INDEX(Calc!$S$2:$S$1001,MATCH(ROW()-1,Calc!$X$2:$X$1001,0)),"")</f>
        <v/>
      </c>
    </row>
    <row r="919">
      <c r="A919">
        <f>IFERROR(INDEX(Calc!$L$2:$L$1001,MATCH(ROW()-1,Calc!$X$2:$X$1001,0)),"")</f>
        <v/>
      </c>
      <c r="B919">
        <f>IFERROR(INDEX(Calc!$M$2:$M$1001,MATCH(ROW()-1,Calc!$X$2:$X$1001,0)),"")</f>
        <v/>
      </c>
      <c r="C919">
        <f>IFERROR(INDEX(Calc!$N$2:$N$1001,MATCH(ROW()-1,Calc!$X$2:$X$1001,0)),"")</f>
        <v/>
      </c>
      <c r="D919" s="3">
        <f>IFERROR(INDEX(Calc!$O$2:$O$1001,MATCH(ROW()-1,Calc!$X$2:$X$1001,0)),"")</f>
        <v/>
      </c>
      <c r="E919" s="3">
        <f>IFERROR(INDEX(Calc!$P$2:$P$1001,MATCH(ROW()-1,Calc!$X$2:$X$1001,0)),"")</f>
        <v/>
      </c>
      <c r="F919" s="3">
        <f>IF(G919="","",E919-D919)</f>
        <v/>
      </c>
      <c r="G919">
        <f>IFERROR(INDEX(Calc!$S$2:$S$1001,MATCH(ROW()-1,Calc!$X$2:$X$1001,0)),"")</f>
        <v/>
      </c>
    </row>
    <row r="920">
      <c r="A920">
        <f>IFERROR(INDEX(Calc!$L$2:$L$1001,MATCH(ROW()-1,Calc!$X$2:$X$1001,0)),"")</f>
        <v/>
      </c>
      <c r="B920">
        <f>IFERROR(INDEX(Calc!$M$2:$M$1001,MATCH(ROW()-1,Calc!$X$2:$X$1001,0)),"")</f>
        <v/>
      </c>
      <c r="C920">
        <f>IFERROR(INDEX(Calc!$N$2:$N$1001,MATCH(ROW()-1,Calc!$X$2:$X$1001,0)),"")</f>
        <v/>
      </c>
      <c r="D920" s="3">
        <f>IFERROR(INDEX(Calc!$O$2:$O$1001,MATCH(ROW()-1,Calc!$X$2:$X$1001,0)),"")</f>
        <v/>
      </c>
      <c r="E920" s="3">
        <f>IFERROR(INDEX(Calc!$P$2:$P$1001,MATCH(ROW()-1,Calc!$X$2:$X$1001,0)),"")</f>
        <v/>
      </c>
      <c r="F920" s="3">
        <f>IF(G920="","",E920-D920)</f>
        <v/>
      </c>
      <c r="G920">
        <f>IFERROR(INDEX(Calc!$S$2:$S$1001,MATCH(ROW()-1,Calc!$X$2:$X$1001,0)),"")</f>
        <v/>
      </c>
    </row>
    <row r="921">
      <c r="A921">
        <f>IFERROR(INDEX(Calc!$L$2:$L$1001,MATCH(ROW()-1,Calc!$X$2:$X$1001,0)),"")</f>
        <v/>
      </c>
      <c r="B921">
        <f>IFERROR(INDEX(Calc!$M$2:$M$1001,MATCH(ROW()-1,Calc!$X$2:$X$1001,0)),"")</f>
        <v/>
      </c>
      <c r="C921">
        <f>IFERROR(INDEX(Calc!$N$2:$N$1001,MATCH(ROW()-1,Calc!$X$2:$X$1001,0)),"")</f>
        <v/>
      </c>
      <c r="D921" s="3">
        <f>IFERROR(INDEX(Calc!$O$2:$O$1001,MATCH(ROW()-1,Calc!$X$2:$X$1001,0)),"")</f>
        <v/>
      </c>
      <c r="E921" s="3">
        <f>IFERROR(INDEX(Calc!$P$2:$P$1001,MATCH(ROW()-1,Calc!$X$2:$X$1001,0)),"")</f>
        <v/>
      </c>
      <c r="F921" s="3">
        <f>IF(G921="","",E921-D921)</f>
        <v/>
      </c>
      <c r="G921">
        <f>IFERROR(INDEX(Calc!$S$2:$S$1001,MATCH(ROW()-1,Calc!$X$2:$X$1001,0)),"")</f>
        <v/>
      </c>
    </row>
    <row r="922">
      <c r="A922">
        <f>IFERROR(INDEX(Calc!$L$2:$L$1001,MATCH(ROW()-1,Calc!$X$2:$X$1001,0)),"")</f>
        <v/>
      </c>
      <c r="B922">
        <f>IFERROR(INDEX(Calc!$M$2:$M$1001,MATCH(ROW()-1,Calc!$X$2:$X$1001,0)),"")</f>
        <v/>
      </c>
      <c r="C922">
        <f>IFERROR(INDEX(Calc!$N$2:$N$1001,MATCH(ROW()-1,Calc!$X$2:$X$1001,0)),"")</f>
        <v/>
      </c>
      <c r="D922" s="3">
        <f>IFERROR(INDEX(Calc!$O$2:$O$1001,MATCH(ROW()-1,Calc!$X$2:$X$1001,0)),"")</f>
        <v/>
      </c>
      <c r="E922" s="3">
        <f>IFERROR(INDEX(Calc!$P$2:$P$1001,MATCH(ROW()-1,Calc!$X$2:$X$1001,0)),"")</f>
        <v/>
      </c>
      <c r="F922" s="3">
        <f>IF(G922="","",E922-D922)</f>
        <v/>
      </c>
      <c r="G922">
        <f>IFERROR(INDEX(Calc!$S$2:$S$1001,MATCH(ROW()-1,Calc!$X$2:$X$1001,0)),"")</f>
        <v/>
      </c>
    </row>
    <row r="923">
      <c r="A923">
        <f>IFERROR(INDEX(Calc!$L$2:$L$1001,MATCH(ROW()-1,Calc!$X$2:$X$1001,0)),"")</f>
        <v/>
      </c>
      <c r="B923">
        <f>IFERROR(INDEX(Calc!$M$2:$M$1001,MATCH(ROW()-1,Calc!$X$2:$X$1001,0)),"")</f>
        <v/>
      </c>
      <c r="C923">
        <f>IFERROR(INDEX(Calc!$N$2:$N$1001,MATCH(ROW()-1,Calc!$X$2:$X$1001,0)),"")</f>
        <v/>
      </c>
      <c r="D923" s="3">
        <f>IFERROR(INDEX(Calc!$O$2:$O$1001,MATCH(ROW()-1,Calc!$X$2:$X$1001,0)),"")</f>
        <v/>
      </c>
      <c r="E923" s="3">
        <f>IFERROR(INDEX(Calc!$P$2:$P$1001,MATCH(ROW()-1,Calc!$X$2:$X$1001,0)),"")</f>
        <v/>
      </c>
      <c r="F923" s="3">
        <f>IF(G923="","",E923-D923)</f>
        <v/>
      </c>
      <c r="G923">
        <f>IFERROR(INDEX(Calc!$S$2:$S$1001,MATCH(ROW()-1,Calc!$X$2:$X$1001,0)),"")</f>
        <v/>
      </c>
    </row>
    <row r="924">
      <c r="A924">
        <f>IFERROR(INDEX(Calc!$L$2:$L$1001,MATCH(ROW()-1,Calc!$X$2:$X$1001,0)),"")</f>
        <v/>
      </c>
      <c r="B924">
        <f>IFERROR(INDEX(Calc!$M$2:$M$1001,MATCH(ROW()-1,Calc!$X$2:$X$1001,0)),"")</f>
        <v/>
      </c>
      <c r="C924">
        <f>IFERROR(INDEX(Calc!$N$2:$N$1001,MATCH(ROW()-1,Calc!$X$2:$X$1001,0)),"")</f>
        <v/>
      </c>
      <c r="D924" s="3">
        <f>IFERROR(INDEX(Calc!$O$2:$O$1001,MATCH(ROW()-1,Calc!$X$2:$X$1001,0)),"")</f>
        <v/>
      </c>
      <c r="E924" s="3">
        <f>IFERROR(INDEX(Calc!$P$2:$P$1001,MATCH(ROW()-1,Calc!$X$2:$X$1001,0)),"")</f>
        <v/>
      </c>
      <c r="F924" s="3">
        <f>IF(G924="","",E924-D924)</f>
        <v/>
      </c>
      <c r="G924">
        <f>IFERROR(INDEX(Calc!$S$2:$S$1001,MATCH(ROW()-1,Calc!$X$2:$X$1001,0)),"")</f>
        <v/>
      </c>
    </row>
    <row r="925">
      <c r="A925">
        <f>IFERROR(INDEX(Calc!$L$2:$L$1001,MATCH(ROW()-1,Calc!$X$2:$X$1001,0)),"")</f>
        <v/>
      </c>
      <c r="B925">
        <f>IFERROR(INDEX(Calc!$M$2:$M$1001,MATCH(ROW()-1,Calc!$X$2:$X$1001,0)),"")</f>
        <v/>
      </c>
      <c r="C925">
        <f>IFERROR(INDEX(Calc!$N$2:$N$1001,MATCH(ROW()-1,Calc!$X$2:$X$1001,0)),"")</f>
        <v/>
      </c>
      <c r="D925" s="3">
        <f>IFERROR(INDEX(Calc!$O$2:$O$1001,MATCH(ROW()-1,Calc!$X$2:$X$1001,0)),"")</f>
        <v/>
      </c>
      <c r="E925" s="3">
        <f>IFERROR(INDEX(Calc!$P$2:$P$1001,MATCH(ROW()-1,Calc!$X$2:$X$1001,0)),"")</f>
        <v/>
      </c>
      <c r="F925" s="3">
        <f>IF(G925="","",E925-D925)</f>
        <v/>
      </c>
      <c r="G925">
        <f>IFERROR(INDEX(Calc!$S$2:$S$1001,MATCH(ROW()-1,Calc!$X$2:$X$1001,0)),"")</f>
        <v/>
      </c>
    </row>
    <row r="926">
      <c r="A926">
        <f>IFERROR(INDEX(Calc!$L$2:$L$1001,MATCH(ROW()-1,Calc!$X$2:$X$1001,0)),"")</f>
        <v/>
      </c>
      <c r="B926">
        <f>IFERROR(INDEX(Calc!$M$2:$M$1001,MATCH(ROW()-1,Calc!$X$2:$X$1001,0)),"")</f>
        <v/>
      </c>
      <c r="C926">
        <f>IFERROR(INDEX(Calc!$N$2:$N$1001,MATCH(ROW()-1,Calc!$X$2:$X$1001,0)),"")</f>
        <v/>
      </c>
      <c r="D926" s="3">
        <f>IFERROR(INDEX(Calc!$O$2:$O$1001,MATCH(ROW()-1,Calc!$X$2:$X$1001,0)),"")</f>
        <v/>
      </c>
      <c r="E926" s="3">
        <f>IFERROR(INDEX(Calc!$P$2:$P$1001,MATCH(ROW()-1,Calc!$X$2:$X$1001,0)),"")</f>
        <v/>
      </c>
      <c r="F926" s="3">
        <f>IF(G926="","",E926-D926)</f>
        <v/>
      </c>
      <c r="G926">
        <f>IFERROR(INDEX(Calc!$S$2:$S$1001,MATCH(ROW()-1,Calc!$X$2:$X$1001,0)),"")</f>
        <v/>
      </c>
    </row>
    <row r="927">
      <c r="A927">
        <f>IFERROR(INDEX(Calc!$L$2:$L$1001,MATCH(ROW()-1,Calc!$X$2:$X$1001,0)),"")</f>
        <v/>
      </c>
      <c r="B927">
        <f>IFERROR(INDEX(Calc!$M$2:$M$1001,MATCH(ROW()-1,Calc!$X$2:$X$1001,0)),"")</f>
        <v/>
      </c>
      <c r="C927">
        <f>IFERROR(INDEX(Calc!$N$2:$N$1001,MATCH(ROW()-1,Calc!$X$2:$X$1001,0)),"")</f>
        <v/>
      </c>
      <c r="D927" s="3">
        <f>IFERROR(INDEX(Calc!$O$2:$O$1001,MATCH(ROW()-1,Calc!$X$2:$X$1001,0)),"")</f>
        <v/>
      </c>
      <c r="E927" s="3">
        <f>IFERROR(INDEX(Calc!$P$2:$P$1001,MATCH(ROW()-1,Calc!$X$2:$X$1001,0)),"")</f>
        <v/>
      </c>
      <c r="F927" s="3">
        <f>IF(G927="","",E927-D927)</f>
        <v/>
      </c>
      <c r="G927">
        <f>IFERROR(INDEX(Calc!$S$2:$S$1001,MATCH(ROW()-1,Calc!$X$2:$X$1001,0)),"")</f>
        <v/>
      </c>
    </row>
    <row r="928">
      <c r="A928">
        <f>IFERROR(INDEX(Calc!$L$2:$L$1001,MATCH(ROW()-1,Calc!$X$2:$X$1001,0)),"")</f>
        <v/>
      </c>
      <c r="B928">
        <f>IFERROR(INDEX(Calc!$M$2:$M$1001,MATCH(ROW()-1,Calc!$X$2:$X$1001,0)),"")</f>
        <v/>
      </c>
      <c r="C928">
        <f>IFERROR(INDEX(Calc!$N$2:$N$1001,MATCH(ROW()-1,Calc!$X$2:$X$1001,0)),"")</f>
        <v/>
      </c>
      <c r="D928" s="3">
        <f>IFERROR(INDEX(Calc!$O$2:$O$1001,MATCH(ROW()-1,Calc!$X$2:$X$1001,0)),"")</f>
        <v/>
      </c>
      <c r="E928" s="3">
        <f>IFERROR(INDEX(Calc!$P$2:$P$1001,MATCH(ROW()-1,Calc!$X$2:$X$1001,0)),"")</f>
        <v/>
      </c>
      <c r="F928" s="3">
        <f>IF(G928="","",E928-D928)</f>
        <v/>
      </c>
      <c r="G928">
        <f>IFERROR(INDEX(Calc!$S$2:$S$1001,MATCH(ROW()-1,Calc!$X$2:$X$1001,0)),"")</f>
        <v/>
      </c>
    </row>
    <row r="929">
      <c r="A929">
        <f>IFERROR(INDEX(Calc!$L$2:$L$1001,MATCH(ROW()-1,Calc!$X$2:$X$1001,0)),"")</f>
        <v/>
      </c>
      <c r="B929">
        <f>IFERROR(INDEX(Calc!$M$2:$M$1001,MATCH(ROW()-1,Calc!$X$2:$X$1001,0)),"")</f>
        <v/>
      </c>
      <c r="C929">
        <f>IFERROR(INDEX(Calc!$N$2:$N$1001,MATCH(ROW()-1,Calc!$X$2:$X$1001,0)),"")</f>
        <v/>
      </c>
      <c r="D929" s="3">
        <f>IFERROR(INDEX(Calc!$O$2:$O$1001,MATCH(ROW()-1,Calc!$X$2:$X$1001,0)),"")</f>
        <v/>
      </c>
      <c r="E929" s="3">
        <f>IFERROR(INDEX(Calc!$P$2:$P$1001,MATCH(ROW()-1,Calc!$X$2:$X$1001,0)),"")</f>
        <v/>
      </c>
      <c r="F929" s="3">
        <f>IF(G929="","",E929-D929)</f>
        <v/>
      </c>
      <c r="G929">
        <f>IFERROR(INDEX(Calc!$S$2:$S$1001,MATCH(ROW()-1,Calc!$X$2:$X$1001,0)),"")</f>
        <v/>
      </c>
    </row>
    <row r="930">
      <c r="A930">
        <f>IFERROR(INDEX(Calc!$L$2:$L$1001,MATCH(ROW()-1,Calc!$X$2:$X$1001,0)),"")</f>
        <v/>
      </c>
      <c r="B930">
        <f>IFERROR(INDEX(Calc!$M$2:$M$1001,MATCH(ROW()-1,Calc!$X$2:$X$1001,0)),"")</f>
        <v/>
      </c>
      <c r="C930">
        <f>IFERROR(INDEX(Calc!$N$2:$N$1001,MATCH(ROW()-1,Calc!$X$2:$X$1001,0)),"")</f>
        <v/>
      </c>
      <c r="D930" s="3">
        <f>IFERROR(INDEX(Calc!$O$2:$O$1001,MATCH(ROW()-1,Calc!$X$2:$X$1001,0)),"")</f>
        <v/>
      </c>
      <c r="E930" s="3">
        <f>IFERROR(INDEX(Calc!$P$2:$P$1001,MATCH(ROW()-1,Calc!$X$2:$X$1001,0)),"")</f>
        <v/>
      </c>
      <c r="F930" s="3">
        <f>IF(G930="","",E930-D930)</f>
        <v/>
      </c>
      <c r="G930">
        <f>IFERROR(INDEX(Calc!$S$2:$S$1001,MATCH(ROW()-1,Calc!$X$2:$X$1001,0)),"")</f>
        <v/>
      </c>
    </row>
    <row r="931">
      <c r="A931">
        <f>IFERROR(INDEX(Calc!$L$2:$L$1001,MATCH(ROW()-1,Calc!$X$2:$X$1001,0)),"")</f>
        <v/>
      </c>
      <c r="B931">
        <f>IFERROR(INDEX(Calc!$M$2:$M$1001,MATCH(ROW()-1,Calc!$X$2:$X$1001,0)),"")</f>
        <v/>
      </c>
      <c r="C931">
        <f>IFERROR(INDEX(Calc!$N$2:$N$1001,MATCH(ROW()-1,Calc!$X$2:$X$1001,0)),"")</f>
        <v/>
      </c>
      <c r="D931" s="3">
        <f>IFERROR(INDEX(Calc!$O$2:$O$1001,MATCH(ROW()-1,Calc!$X$2:$X$1001,0)),"")</f>
        <v/>
      </c>
      <c r="E931" s="3">
        <f>IFERROR(INDEX(Calc!$P$2:$P$1001,MATCH(ROW()-1,Calc!$X$2:$X$1001,0)),"")</f>
        <v/>
      </c>
      <c r="F931" s="3">
        <f>IF(G931="","",E931-D931)</f>
        <v/>
      </c>
      <c r="G931">
        <f>IFERROR(INDEX(Calc!$S$2:$S$1001,MATCH(ROW()-1,Calc!$X$2:$X$1001,0)),"")</f>
        <v/>
      </c>
    </row>
    <row r="932">
      <c r="A932">
        <f>IFERROR(INDEX(Calc!$L$2:$L$1001,MATCH(ROW()-1,Calc!$X$2:$X$1001,0)),"")</f>
        <v/>
      </c>
      <c r="B932">
        <f>IFERROR(INDEX(Calc!$M$2:$M$1001,MATCH(ROW()-1,Calc!$X$2:$X$1001,0)),"")</f>
        <v/>
      </c>
      <c r="C932">
        <f>IFERROR(INDEX(Calc!$N$2:$N$1001,MATCH(ROW()-1,Calc!$X$2:$X$1001,0)),"")</f>
        <v/>
      </c>
      <c r="D932" s="3">
        <f>IFERROR(INDEX(Calc!$O$2:$O$1001,MATCH(ROW()-1,Calc!$X$2:$X$1001,0)),"")</f>
        <v/>
      </c>
      <c r="E932" s="3">
        <f>IFERROR(INDEX(Calc!$P$2:$P$1001,MATCH(ROW()-1,Calc!$X$2:$X$1001,0)),"")</f>
        <v/>
      </c>
      <c r="F932" s="3">
        <f>IF(G932="","",E932-D932)</f>
        <v/>
      </c>
      <c r="G932">
        <f>IFERROR(INDEX(Calc!$S$2:$S$1001,MATCH(ROW()-1,Calc!$X$2:$X$1001,0)),"")</f>
        <v/>
      </c>
    </row>
    <row r="933">
      <c r="A933">
        <f>IFERROR(INDEX(Calc!$L$2:$L$1001,MATCH(ROW()-1,Calc!$X$2:$X$1001,0)),"")</f>
        <v/>
      </c>
      <c r="B933">
        <f>IFERROR(INDEX(Calc!$M$2:$M$1001,MATCH(ROW()-1,Calc!$X$2:$X$1001,0)),"")</f>
        <v/>
      </c>
      <c r="C933">
        <f>IFERROR(INDEX(Calc!$N$2:$N$1001,MATCH(ROW()-1,Calc!$X$2:$X$1001,0)),"")</f>
        <v/>
      </c>
      <c r="D933" s="3">
        <f>IFERROR(INDEX(Calc!$O$2:$O$1001,MATCH(ROW()-1,Calc!$X$2:$X$1001,0)),"")</f>
        <v/>
      </c>
      <c r="E933" s="3">
        <f>IFERROR(INDEX(Calc!$P$2:$P$1001,MATCH(ROW()-1,Calc!$X$2:$X$1001,0)),"")</f>
        <v/>
      </c>
      <c r="F933" s="3">
        <f>IF(G933="","",E933-D933)</f>
        <v/>
      </c>
      <c r="G933">
        <f>IFERROR(INDEX(Calc!$S$2:$S$1001,MATCH(ROW()-1,Calc!$X$2:$X$1001,0)),"")</f>
        <v/>
      </c>
    </row>
    <row r="934">
      <c r="A934">
        <f>IFERROR(INDEX(Calc!$L$2:$L$1001,MATCH(ROW()-1,Calc!$X$2:$X$1001,0)),"")</f>
        <v/>
      </c>
      <c r="B934">
        <f>IFERROR(INDEX(Calc!$M$2:$M$1001,MATCH(ROW()-1,Calc!$X$2:$X$1001,0)),"")</f>
        <v/>
      </c>
      <c r="C934">
        <f>IFERROR(INDEX(Calc!$N$2:$N$1001,MATCH(ROW()-1,Calc!$X$2:$X$1001,0)),"")</f>
        <v/>
      </c>
      <c r="D934" s="3">
        <f>IFERROR(INDEX(Calc!$O$2:$O$1001,MATCH(ROW()-1,Calc!$X$2:$X$1001,0)),"")</f>
        <v/>
      </c>
      <c r="E934" s="3">
        <f>IFERROR(INDEX(Calc!$P$2:$P$1001,MATCH(ROW()-1,Calc!$X$2:$X$1001,0)),"")</f>
        <v/>
      </c>
      <c r="F934" s="3">
        <f>IF(G934="","",E934-D934)</f>
        <v/>
      </c>
      <c r="G934">
        <f>IFERROR(INDEX(Calc!$S$2:$S$1001,MATCH(ROW()-1,Calc!$X$2:$X$1001,0)),"")</f>
        <v/>
      </c>
    </row>
    <row r="935">
      <c r="A935">
        <f>IFERROR(INDEX(Calc!$L$2:$L$1001,MATCH(ROW()-1,Calc!$X$2:$X$1001,0)),"")</f>
        <v/>
      </c>
      <c r="B935">
        <f>IFERROR(INDEX(Calc!$M$2:$M$1001,MATCH(ROW()-1,Calc!$X$2:$X$1001,0)),"")</f>
        <v/>
      </c>
      <c r="C935">
        <f>IFERROR(INDEX(Calc!$N$2:$N$1001,MATCH(ROW()-1,Calc!$X$2:$X$1001,0)),"")</f>
        <v/>
      </c>
      <c r="D935" s="3">
        <f>IFERROR(INDEX(Calc!$O$2:$O$1001,MATCH(ROW()-1,Calc!$X$2:$X$1001,0)),"")</f>
        <v/>
      </c>
      <c r="E935" s="3">
        <f>IFERROR(INDEX(Calc!$P$2:$P$1001,MATCH(ROW()-1,Calc!$X$2:$X$1001,0)),"")</f>
        <v/>
      </c>
      <c r="F935" s="3">
        <f>IF(G935="","",E935-D935)</f>
        <v/>
      </c>
      <c r="G935">
        <f>IFERROR(INDEX(Calc!$S$2:$S$1001,MATCH(ROW()-1,Calc!$X$2:$X$1001,0)),"")</f>
        <v/>
      </c>
    </row>
    <row r="936">
      <c r="A936">
        <f>IFERROR(INDEX(Calc!$L$2:$L$1001,MATCH(ROW()-1,Calc!$X$2:$X$1001,0)),"")</f>
        <v/>
      </c>
      <c r="B936">
        <f>IFERROR(INDEX(Calc!$M$2:$M$1001,MATCH(ROW()-1,Calc!$X$2:$X$1001,0)),"")</f>
        <v/>
      </c>
      <c r="C936">
        <f>IFERROR(INDEX(Calc!$N$2:$N$1001,MATCH(ROW()-1,Calc!$X$2:$X$1001,0)),"")</f>
        <v/>
      </c>
      <c r="D936" s="3">
        <f>IFERROR(INDEX(Calc!$O$2:$O$1001,MATCH(ROW()-1,Calc!$X$2:$X$1001,0)),"")</f>
        <v/>
      </c>
      <c r="E936" s="3">
        <f>IFERROR(INDEX(Calc!$P$2:$P$1001,MATCH(ROW()-1,Calc!$X$2:$X$1001,0)),"")</f>
        <v/>
      </c>
      <c r="F936" s="3">
        <f>IF(G936="","",E936-D936)</f>
        <v/>
      </c>
      <c r="G936">
        <f>IFERROR(INDEX(Calc!$S$2:$S$1001,MATCH(ROW()-1,Calc!$X$2:$X$1001,0)),"")</f>
        <v/>
      </c>
    </row>
    <row r="937">
      <c r="A937">
        <f>IFERROR(INDEX(Calc!$L$2:$L$1001,MATCH(ROW()-1,Calc!$X$2:$X$1001,0)),"")</f>
        <v/>
      </c>
      <c r="B937">
        <f>IFERROR(INDEX(Calc!$M$2:$M$1001,MATCH(ROW()-1,Calc!$X$2:$X$1001,0)),"")</f>
        <v/>
      </c>
      <c r="C937">
        <f>IFERROR(INDEX(Calc!$N$2:$N$1001,MATCH(ROW()-1,Calc!$X$2:$X$1001,0)),"")</f>
        <v/>
      </c>
      <c r="D937" s="3">
        <f>IFERROR(INDEX(Calc!$O$2:$O$1001,MATCH(ROW()-1,Calc!$X$2:$X$1001,0)),"")</f>
        <v/>
      </c>
      <c r="E937" s="3">
        <f>IFERROR(INDEX(Calc!$P$2:$P$1001,MATCH(ROW()-1,Calc!$X$2:$X$1001,0)),"")</f>
        <v/>
      </c>
      <c r="F937" s="3">
        <f>IF(G937="","",E937-D937)</f>
        <v/>
      </c>
      <c r="G937">
        <f>IFERROR(INDEX(Calc!$S$2:$S$1001,MATCH(ROW()-1,Calc!$X$2:$X$1001,0)),"")</f>
        <v/>
      </c>
    </row>
    <row r="938">
      <c r="A938">
        <f>IFERROR(INDEX(Calc!$L$2:$L$1001,MATCH(ROW()-1,Calc!$X$2:$X$1001,0)),"")</f>
        <v/>
      </c>
      <c r="B938">
        <f>IFERROR(INDEX(Calc!$M$2:$M$1001,MATCH(ROW()-1,Calc!$X$2:$X$1001,0)),"")</f>
        <v/>
      </c>
      <c r="C938">
        <f>IFERROR(INDEX(Calc!$N$2:$N$1001,MATCH(ROW()-1,Calc!$X$2:$X$1001,0)),"")</f>
        <v/>
      </c>
      <c r="D938" s="3">
        <f>IFERROR(INDEX(Calc!$O$2:$O$1001,MATCH(ROW()-1,Calc!$X$2:$X$1001,0)),"")</f>
        <v/>
      </c>
      <c r="E938" s="3">
        <f>IFERROR(INDEX(Calc!$P$2:$P$1001,MATCH(ROW()-1,Calc!$X$2:$X$1001,0)),"")</f>
        <v/>
      </c>
      <c r="F938" s="3">
        <f>IF(G938="","",E938-D938)</f>
        <v/>
      </c>
      <c r="G938">
        <f>IFERROR(INDEX(Calc!$S$2:$S$1001,MATCH(ROW()-1,Calc!$X$2:$X$1001,0)),"")</f>
        <v/>
      </c>
    </row>
    <row r="939">
      <c r="A939">
        <f>IFERROR(INDEX(Calc!$L$2:$L$1001,MATCH(ROW()-1,Calc!$X$2:$X$1001,0)),"")</f>
        <v/>
      </c>
      <c r="B939">
        <f>IFERROR(INDEX(Calc!$M$2:$M$1001,MATCH(ROW()-1,Calc!$X$2:$X$1001,0)),"")</f>
        <v/>
      </c>
      <c r="C939">
        <f>IFERROR(INDEX(Calc!$N$2:$N$1001,MATCH(ROW()-1,Calc!$X$2:$X$1001,0)),"")</f>
        <v/>
      </c>
      <c r="D939" s="3">
        <f>IFERROR(INDEX(Calc!$O$2:$O$1001,MATCH(ROW()-1,Calc!$X$2:$X$1001,0)),"")</f>
        <v/>
      </c>
      <c r="E939" s="3">
        <f>IFERROR(INDEX(Calc!$P$2:$P$1001,MATCH(ROW()-1,Calc!$X$2:$X$1001,0)),"")</f>
        <v/>
      </c>
      <c r="F939" s="3">
        <f>IF(G939="","",E939-D939)</f>
        <v/>
      </c>
      <c r="G939">
        <f>IFERROR(INDEX(Calc!$S$2:$S$1001,MATCH(ROW()-1,Calc!$X$2:$X$1001,0)),"")</f>
        <v/>
      </c>
    </row>
    <row r="940">
      <c r="A940">
        <f>IFERROR(INDEX(Calc!$L$2:$L$1001,MATCH(ROW()-1,Calc!$X$2:$X$1001,0)),"")</f>
        <v/>
      </c>
      <c r="B940">
        <f>IFERROR(INDEX(Calc!$M$2:$M$1001,MATCH(ROW()-1,Calc!$X$2:$X$1001,0)),"")</f>
        <v/>
      </c>
      <c r="C940">
        <f>IFERROR(INDEX(Calc!$N$2:$N$1001,MATCH(ROW()-1,Calc!$X$2:$X$1001,0)),"")</f>
        <v/>
      </c>
      <c r="D940" s="3">
        <f>IFERROR(INDEX(Calc!$O$2:$O$1001,MATCH(ROW()-1,Calc!$X$2:$X$1001,0)),"")</f>
        <v/>
      </c>
      <c r="E940" s="3">
        <f>IFERROR(INDEX(Calc!$P$2:$P$1001,MATCH(ROW()-1,Calc!$X$2:$X$1001,0)),"")</f>
        <v/>
      </c>
      <c r="F940" s="3">
        <f>IF(G940="","",E940-D940)</f>
        <v/>
      </c>
      <c r="G940">
        <f>IFERROR(INDEX(Calc!$S$2:$S$1001,MATCH(ROW()-1,Calc!$X$2:$X$1001,0)),"")</f>
        <v/>
      </c>
    </row>
    <row r="941">
      <c r="A941">
        <f>IFERROR(INDEX(Calc!$L$2:$L$1001,MATCH(ROW()-1,Calc!$X$2:$X$1001,0)),"")</f>
        <v/>
      </c>
      <c r="B941">
        <f>IFERROR(INDEX(Calc!$M$2:$M$1001,MATCH(ROW()-1,Calc!$X$2:$X$1001,0)),"")</f>
        <v/>
      </c>
      <c r="C941">
        <f>IFERROR(INDEX(Calc!$N$2:$N$1001,MATCH(ROW()-1,Calc!$X$2:$X$1001,0)),"")</f>
        <v/>
      </c>
      <c r="D941" s="3">
        <f>IFERROR(INDEX(Calc!$O$2:$O$1001,MATCH(ROW()-1,Calc!$X$2:$X$1001,0)),"")</f>
        <v/>
      </c>
      <c r="E941" s="3">
        <f>IFERROR(INDEX(Calc!$P$2:$P$1001,MATCH(ROW()-1,Calc!$X$2:$X$1001,0)),"")</f>
        <v/>
      </c>
      <c r="F941" s="3">
        <f>IF(G941="","",E941-D941)</f>
        <v/>
      </c>
      <c r="G941">
        <f>IFERROR(INDEX(Calc!$S$2:$S$1001,MATCH(ROW()-1,Calc!$X$2:$X$1001,0)),"")</f>
        <v/>
      </c>
    </row>
    <row r="942">
      <c r="A942">
        <f>IFERROR(INDEX(Calc!$L$2:$L$1001,MATCH(ROW()-1,Calc!$X$2:$X$1001,0)),"")</f>
        <v/>
      </c>
      <c r="B942">
        <f>IFERROR(INDEX(Calc!$M$2:$M$1001,MATCH(ROW()-1,Calc!$X$2:$X$1001,0)),"")</f>
        <v/>
      </c>
      <c r="C942">
        <f>IFERROR(INDEX(Calc!$N$2:$N$1001,MATCH(ROW()-1,Calc!$X$2:$X$1001,0)),"")</f>
        <v/>
      </c>
      <c r="D942" s="3">
        <f>IFERROR(INDEX(Calc!$O$2:$O$1001,MATCH(ROW()-1,Calc!$X$2:$X$1001,0)),"")</f>
        <v/>
      </c>
      <c r="E942" s="3">
        <f>IFERROR(INDEX(Calc!$P$2:$P$1001,MATCH(ROW()-1,Calc!$X$2:$X$1001,0)),"")</f>
        <v/>
      </c>
      <c r="F942" s="3">
        <f>IF(G942="","",E942-D942)</f>
        <v/>
      </c>
      <c r="G942">
        <f>IFERROR(INDEX(Calc!$S$2:$S$1001,MATCH(ROW()-1,Calc!$X$2:$X$1001,0)),"")</f>
        <v/>
      </c>
    </row>
    <row r="943">
      <c r="A943">
        <f>IFERROR(INDEX(Calc!$L$2:$L$1001,MATCH(ROW()-1,Calc!$X$2:$X$1001,0)),"")</f>
        <v/>
      </c>
      <c r="B943">
        <f>IFERROR(INDEX(Calc!$M$2:$M$1001,MATCH(ROW()-1,Calc!$X$2:$X$1001,0)),"")</f>
        <v/>
      </c>
      <c r="C943">
        <f>IFERROR(INDEX(Calc!$N$2:$N$1001,MATCH(ROW()-1,Calc!$X$2:$X$1001,0)),"")</f>
        <v/>
      </c>
      <c r="D943" s="3">
        <f>IFERROR(INDEX(Calc!$O$2:$O$1001,MATCH(ROW()-1,Calc!$X$2:$X$1001,0)),"")</f>
        <v/>
      </c>
      <c r="E943" s="3">
        <f>IFERROR(INDEX(Calc!$P$2:$P$1001,MATCH(ROW()-1,Calc!$X$2:$X$1001,0)),"")</f>
        <v/>
      </c>
      <c r="F943" s="3">
        <f>IF(G943="","",E943-D943)</f>
        <v/>
      </c>
      <c r="G943">
        <f>IFERROR(INDEX(Calc!$S$2:$S$1001,MATCH(ROW()-1,Calc!$X$2:$X$1001,0)),"")</f>
        <v/>
      </c>
    </row>
    <row r="944">
      <c r="A944">
        <f>IFERROR(INDEX(Calc!$L$2:$L$1001,MATCH(ROW()-1,Calc!$X$2:$X$1001,0)),"")</f>
        <v/>
      </c>
      <c r="B944">
        <f>IFERROR(INDEX(Calc!$M$2:$M$1001,MATCH(ROW()-1,Calc!$X$2:$X$1001,0)),"")</f>
        <v/>
      </c>
      <c r="C944">
        <f>IFERROR(INDEX(Calc!$N$2:$N$1001,MATCH(ROW()-1,Calc!$X$2:$X$1001,0)),"")</f>
        <v/>
      </c>
      <c r="D944" s="3">
        <f>IFERROR(INDEX(Calc!$O$2:$O$1001,MATCH(ROW()-1,Calc!$X$2:$X$1001,0)),"")</f>
        <v/>
      </c>
      <c r="E944" s="3">
        <f>IFERROR(INDEX(Calc!$P$2:$P$1001,MATCH(ROW()-1,Calc!$X$2:$X$1001,0)),"")</f>
        <v/>
      </c>
      <c r="F944" s="3">
        <f>IF(G944="","",E944-D944)</f>
        <v/>
      </c>
      <c r="G944">
        <f>IFERROR(INDEX(Calc!$S$2:$S$1001,MATCH(ROW()-1,Calc!$X$2:$X$1001,0)),"")</f>
        <v/>
      </c>
    </row>
    <row r="945">
      <c r="A945">
        <f>IFERROR(INDEX(Calc!$L$2:$L$1001,MATCH(ROW()-1,Calc!$X$2:$X$1001,0)),"")</f>
        <v/>
      </c>
      <c r="B945">
        <f>IFERROR(INDEX(Calc!$M$2:$M$1001,MATCH(ROW()-1,Calc!$X$2:$X$1001,0)),"")</f>
        <v/>
      </c>
      <c r="C945">
        <f>IFERROR(INDEX(Calc!$N$2:$N$1001,MATCH(ROW()-1,Calc!$X$2:$X$1001,0)),"")</f>
        <v/>
      </c>
      <c r="D945" s="3">
        <f>IFERROR(INDEX(Calc!$O$2:$O$1001,MATCH(ROW()-1,Calc!$X$2:$X$1001,0)),"")</f>
        <v/>
      </c>
      <c r="E945" s="3">
        <f>IFERROR(INDEX(Calc!$P$2:$P$1001,MATCH(ROW()-1,Calc!$X$2:$X$1001,0)),"")</f>
        <v/>
      </c>
      <c r="F945" s="3">
        <f>IF(G945="","",E945-D945)</f>
        <v/>
      </c>
      <c r="G945">
        <f>IFERROR(INDEX(Calc!$S$2:$S$1001,MATCH(ROW()-1,Calc!$X$2:$X$1001,0)),"")</f>
        <v/>
      </c>
    </row>
    <row r="946">
      <c r="A946">
        <f>IFERROR(INDEX(Calc!$L$2:$L$1001,MATCH(ROW()-1,Calc!$X$2:$X$1001,0)),"")</f>
        <v/>
      </c>
      <c r="B946">
        <f>IFERROR(INDEX(Calc!$M$2:$M$1001,MATCH(ROW()-1,Calc!$X$2:$X$1001,0)),"")</f>
        <v/>
      </c>
      <c r="C946">
        <f>IFERROR(INDEX(Calc!$N$2:$N$1001,MATCH(ROW()-1,Calc!$X$2:$X$1001,0)),"")</f>
        <v/>
      </c>
      <c r="D946" s="3">
        <f>IFERROR(INDEX(Calc!$O$2:$O$1001,MATCH(ROW()-1,Calc!$X$2:$X$1001,0)),"")</f>
        <v/>
      </c>
      <c r="E946" s="3">
        <f>IFERROR(INDEX(Calc!$P$2:$P$1001,MATCH(ROW()-1,Calc!$X$2:$X$1001,0)),"")</f>
        <v/>
      </c>
      <c r="F946" s="3">
        <f>IF(G946="","",E946-D946)</f>
        <v/>
      </c>
      <c r="G946">
        <f>IFERROR(INDEX(Calc!$S$2:$S$1001,MATCH(ROW()-1,Calc!$X$2:$X$1001,0)),"")</f>
        <v/>
      </c>
    </row>
    <row r="947">
      <c r="A947">
        <f>IFERROR(INDEX(Calc!$L$2:$L$1001,MATCH(ROW()-1,Calc!$X$2:$X$1001,0)),"")</f>
        <v/>
      </c>
      <c r="B947">
        <f>IFERROR(INDEX(Calc!$M$2:$M$1001,MATCH(ROW()-1,Calc!$X$2:$X$1001,0)),"")</f>
        <v/>
      </c>
      <c r="C947">
        <f>IFERROR(INDEX(Calc!$N$2:$N$1001,MATCH(ROW()-1,Calc!$X$2:$X$1001,0)),"")</f>
        <v/>
      </c>
      <c r="D947" s="3">
        <f>IFERROR(INDEX(Calc!$O$2:$O$1001,MATCH(ROW()-1,Calc!$X$2:$X$1001,0)),"")</f>
        <v/>
      </c>
      <c r="E947" s="3">
        <f>IFERROR(INDEX(Calc!$P$2:$P$1001,MATCH(ROW()-1,Calc!$X$2:$X$1001,0)),"")</f>
        <v/>
      </c>
      <c r="F947" s="3">
        <f>IF(G947="","",E947-D947)</f>
        <v/>
      </c>
      <c r="G947">
        <f>IFERROR(INDEX(Calc!$S$2:$S$1001,MATCH(ROW()-1,Calc!$X$2:$X$1001,0)),"")</f>
        <v/>
      </c>
    </row>
    <row r="948">
      <c r="A948">
        <f>IFERROR(INDEX(Calc!$L$2:$L$1001,MATCH(ROW()-1,Calc!$X$2:$X$1001,0)),"")</f>
        <v/>
      </c>
      <c r="B948">
        <f>IFERROR(INDEX(Calc!$M$2:$M$1001,MATCH(ROW()-1,Calc!$X$2:$X$1001,0)),"")</f>
        <v/>
      </c>
      <c r="C948">
        <f>IFERROR(INDEX(Calc!$N$2:$N$1001,MATCH(ROW()-1,Calc!$X$2:$X$1001,0)),"")</f>
        <v/>
      </c>
      <c r="D948" s="3">
        <f>IFERROR(INDEX(Calc!$O$2:$O$1001,MATCH(ROW()-1,Calc!$X$2:$X$1001,0)),"")</f>
        <v/>
      </c>
      <c r="E948" s="3">
        <f>IFERROR(INDEX(Calc!$P$2:$P$1001,MATCH(ROW()-1,Calc!$X$2:$X$1001,0)),"")</f>
        <v/>
      </c>
      <c r="F948" s="3">
        <f>IF(G948="","",E948-D948)</f>
        <v/>
      </c>
      <c r="G948">
        <f>IFERROR(INDEX(Calc!$S$2:$S$1001,MATCH(ROW()-1,Calc!$X$2:$X$1001,0)),"")</f>
        <v/>
      </c>
    </row>
    <row r="949">
      <c r="A949">
        <f>IFERROR(INDEX(Calc!$L$2:$L$1001,MATCH(ROW()-1,Calc!$X$2:$X$1001,0)),"")</f>
        <v/>
      </c>
      <c r="B949">
        <f>IFERROR(INDEX(Calc!$M$2:$M$1001,MATCH(ROW()-1,Calc!$X$2:$X$1001,0)),"")</f>
        <v/>
      </c>
      <c r="C949">
        <f>IFERROR(INDEX(Calc!$N$2:$N$1001,MATCH(ROW()-1,Calc!$X$2:$X$1001,0)),"")</f>
        <v/>
      </c>
      <c r="D949" s="3">
        <f>IFERROR(INDEX(Calc!$O$2:$O$1001,MATCH(ROW()-1,Calc!$X$2:$X$1001,0)),"")</f>
        <v/>
      </c>
      <c r="E949" s="3">
        <f>IFERROR(INDEX(Calc!$P$2:$P$1001,MATCH(ROW()-1,Calc!$X$2:$X$1001,0)),"")</f>
        <v/>
      </c>
      <c r="F949" s="3">
        <f>IF(G949="","",E949-D949)</f>
        <v/>
      </c>
      <c r="G949">
        <f>IFERROR(INDEX(Calc!$S$2:$S$1001,MATCH(ROW()-1,Calc!$X$2:$X$1001,0)),"")</f>
        <v/>
      </c>
    </row>
    <row r="950">
      <c r="A950">
        <f>IFERROR(INDEX(Calc!$L$2:$L$1001,MATCH(ROW()-1,Calc!$X$2:$X$1001,0)),"")</f>
        <v/>
      </c>
      <c r="B950">
        <f>IFERROR(INDEX(Calc!$M$2:$M$1001,MATCH(ROW()-1,Calc!$X$2:$X$1001,0)),"")</f>
        <v/>
      </c>
      <c r="C950">
        <f>IFERROR(INDEX(Calc!$N$2:$N$1001,MATCH(ROW()-1,Calc!$X$2:$X$1001,0)),"")</f>
        <v/>
      </c>
      <c r="D950" s="3">
        <f>IFERROR(INDEX(Calc!$O$2:$O$1001,MATCH(ROW()-1,Calc!$X$2:$X$1001,0)),"")</f>
        <v/>
      </c>
      <c r="E950" s="3">
        <f>IFERROR(INDEX(Calc!$P$2:$P$1001,MATCH(ROW()-1,Calc!$X$2:$X$1001,0)),"")</f>
        <v/>
      </c>
      <c r="F950" s="3">
        <f>IF(G950="","",E950-D950)</f>
        <v/>
      </c>
      <c r="G950">
        <f>IFERROR(INDEX(Calc!$S$2:$S$1001,MATCH(ROW()-1,Calc!$X$2:$X$1001,0)),"")</f>
        <v/>
      </c>
    </row>
    <row r="951">
      <c r="A951">
        <f>IFERROR(INDEX(Calc!$L$2:$L$1001,MATCH(ROW()-1,Calc!$X$2:$X$1001,0)),"")</f>
        <v/>
      </c>
      <c r="B951">
        <f>IFERROR(INDEX(Calc!$M$2:$M$1001,MATCH(ROW()-1,Calc!$X$2:$X$1001,0)),"")</f>
        <v/>
      </c>
      <c r="C951">
        <f>IFERROR(INDEX(Calc!$N$2:$N$1001,MATCH(ROW()-1,Calc!$X$2:$X$1001,0)),"")</f>
        <v/>
      </c>
      <c r="D951" s="3">
        <f>IFERROR(INDEX(Calc!$O$2:$O$1001,MATCH(ROW()-1,Calc!$X$2:$X$1001,0)),"")</f>
        <v/>
      </c>
      <c r="E951" s="3">
        <f>IFERROR(INDEX(Calc!$P$2:$P$1001,MATCH(ROW()-1,Calc!$X$2:$X$1001,0)),"")</f>
        <v/>
      </c>
      <c r="F951" s="3">
        <f>IF(G951="","",E951-D951)</f>
        <v/>
      </c>
      <c r="G951">
        <f>IFERROR(INDEX(Calc!$S$2:$S$1001,MATCH(ROW()-1,Calc!$X$2:$X$1001,0)),"")</f>
        <v/>
      </c>
    </row>
    <row r="952">
      <c r="A952">
        <f>IFERROR(INDEX(Calc!$L$2:$L$1001,MATCH(ROW()-1,Calc!$X$2:$X$1001,0)),"")</f>
        <v/>
      </c>
      <c r="B952">
        <f>IFERROR(INDEX(Calc!$M$2:$M$1001,MATCH(ROW()-1,Calc!$X$2:$X$1001,0)),"")</f>
        <v/>
      </c>
      <c r="C952">
        <f>IFERROR(INDEX(Calc!$N$2:$N$1001,MATCH(ROW()-1,Calc!$X$2:$X$1001,0)),"")</f>
        <v/>
      </c>
      <c r="D952" s="3">
        <f>IFERROR(INDEX(Calc!$O$2:$O$1001,MATCH(ROW()-1,Calc!$X$2:$X$1001,0)),"")</f>
        <v/>
      </c>
      <c r="E952" s="3">
        <f>IFERROR(INDEX(Calc!$P$2:$P$1001,MATCH(ROW()-1,Calc!$X$2:$X$1001,0)),"")</f>
        <v/>
      </c>
      <c r="F952" s="3">
        <f>IF(G952="","",E952-D952)</f>
        <v/>
      </c>
      <c r="G952">
        <f>IFERROR(INDEX(Calc!$S$2:$S$1001,MATCH(ROW()-1,Calc!$X$2:$X$1001,0)),"")</f>
        <v/>
      </c>
    </row>
    <row r="953">
      <c r="A953">
        <f>IFERROR(INDEX(Calc!$L$2:$L$1001,MATCH(ROW()-1,Calc!$X$2:$X$1001,0)),"")</f>
        <v/>
      </c>
      <c r="B953">
        <f>IFERROR(INDEX(Calc!$M$2:$M$1001,MATCH(ROW()-1,Calc!$X$2:$X$1001,0)),"")</f>
        <v/>
      </c>
      <c r="C953">
        <f>IFERROR(INDEX(Calc!$N$2:$N$1001,MATCH(ROW()-1,Calc!$X$2:$X$1001,0)),"")</f>
        <v/>
      </c>
      <c r="D953" s="3">
        <f>IFERROR(INDEX(Calc!$O$2:$O$1001,MATCH(ROW()-1,Calc!$X$2:$X$1001,0)),"")</f>
        <v/>
      </c>
      <c r="E953" s="3">
        <f>IFERROR(INDEX(Calc!$P$2:$P$1001,MATCH(ROW()-1,Calc!$X$2:$X$1001,0)),"")</f>
        <v/>
      </c>
      <c r="F953" s="3">
        <f>IF(G953="","",E953-D953)</f>
        <v/>
      </c>
      <c r="G953">
        <f>IFERROR(INDEX(Calc!$S$2:$S$1001,MATCH(ROW()-1,Calc!$X$2:$X$1001,0)),"")</f>
        <v/>
      </c>
    </row>
    <row r="954">
      <c r="A954">
        <f>IFERROR(INDEX(Calc!$L$2:$L$1001,MATCH(ROW()-1,Calc!$X$2:$X$1001,0)),"")</f>
        <v/>
      </c>
      <c r="B954">
        <f>IFERROR(INDEX(Calc!$M$2:$M$1001,MATCH(ROW()-1,Calc!$X$2:$X$1001,0)),"")</f>
        <v/>
      </c>
      <c r="C954">
        <f>IFERROR(INDEX(Calc!$N$2:$N$1001,MATCH(ROW()-1,Calc!$X$2:$X$1001,0)),"")</f>
        <v/>
      </c>
      <c r="D954" s="3">
        <f>IFERROR(INDEX(Calc!$O$2:$O$1001,MATCH(ROW()-1,Calc!$X$2:$X$1001,0)),"")</f>
        <v/>
      </c>
      <c r="E954" s="3">
        <f>IFERROR(INDEX(Calc!$P$2:$P$1001,MATCH(ROW()-1,Calc!$X$2:$X$1001,0)),"")</f>
        <v/>
      </c>
      <c r="F954" s="3">
        <f>IF(G954="","",E954-D954)</f>
        <v/>
      </c>
      <c r="G954">
        <f>IFERROR(INDEX(Calc!$S$2:$S$1001,MATCH(ROW()-1,Calc!$X$2:$X$1001,0)),"")</f>
        <v/>
      </c>
    </row>
    <row r="955">
      <c r="A955">
        <f>IFERROR(INDEX(Calc!$L$2:$L$1001,MATCH(ROW()-1,Calc!$X$2:$X$1001,0)),"")</f>
        <v/>
      </c>
      <c r="B955">
        <f>IFERROR(INDEX(Calc!$M$2:$M$1001,MATCH(ROW()-1,Calc!$X$2:$X$1001,0)),"")</f>
        <v/>
      </c>
      <c r="C955">
        <f>IFERROR(INDEX(Calc!$N$2:$N$1001,MATCH(ROW()-1,Calc!$X$2:$X$1001,0)),"")</f>
        <v/>
      </c>
      <c r="D955" s="3">
        <f>IFERROR(INDEX(Calc!$O$2:$O$1001,MATCH(ROW()-1,Calc!$X$2:$X$1001,0)),"")</f>
        <v/>
      </c>
      <c r="E955" s="3">
        <f>IFERROR(INDEX(Calc!$P$2:$P$1001,MATCH(ROW()-1,Calc!$X$2:$X$1001,0)),"")</f>
        <v/>
      </c>
      <c r="F955" s="3">
        <f>IF(G955="","",E955-D955)</f>
        <v/>
      </c>
      <c r="G955">
        <f>IFERROR(INDEX(Calc!$S$2:$S$1001,MATCH(ROW()-1,Calc!$X$2:$X$1001,0)),"")</f>
        <v/>
      </c>
    </row>
    <row r="956">
      <c r="A956">
        <f>IFERROR(INDEX(Calc!$L$2:$L$1001,MATCH(ROW()-1,Calc!$X$2:$X$1001,0)),"")</f>
        <v/>
      </c>
      <c r="B956">
        <f>IFERROR(INDEX(Calc!$M$2:$M$1001,MATCH(ROW()-1,Calc!$X$2:$X$1001,0)),"")</f>
        <v/>
      </c>
      <c r="C956">
        <f>IFERROR(INDEX(Calc!$N$2:$N$1001,MATCH(ROW()-1,Calc!$X$2:$X$1001,0)),"")</f>
        <v/>
      </c>
      <c r="D956" s="3">
        <f>IFERROR(INDEX(Calc!$O$2:$O$1001,MATCH(ROW()-1,Calc!$X$2:$X$1001,0)),"")</f>
        <v/>
      </c>
      <c r="E956" s="3">
        <f>IFERROR(INDEX(Calc!$P$2:$P$1001,MATCH(ROW()-1,Calc!$X$2:$X$1001,0)),"")</f>
        <v/>
      </c>
      <c r="F956" s="3">
        <f>IF(G956="","",E956-D956)</f>
        <v/>
      </c>
      <c r="G956">
        <f>IFERROR(INDEX(Calc!$S$2:$S$1001,MATCH(ROW()-1,Calc!$X$2:$X$1001,0)),"")</f>
        <v/>
      </c>
    </row>
    <row r="957">
      <c r="A957">
        <f>IFERROR(INDEX(Calc!$L$2:$L$1001,MATCH(ROW()-1,Calc!$X$2:$X$1001,0)),"")</f>
        <v/>
      </c>
      <c r="B957">
        <f>IFERROR(INDEX(Calc!$M$2:$M$1001,MATCH(ROW()-1,Calc!$X$2:$X$1001,0)),"")</f>
        <v/>
      </c>
      <c r="C957">
        <f>IFERROR(INDEX(Calc!$N$2:$N$1001,MATCH(ROW()-1,Calc!$X$2:$X$1001,0)),"")</f>
        <v/>
      </c>
      <c r="D957" s="3">
        <f>IFERROR(INDEX(Calc!$O$2:$O$1001,MATCH(ROW()-1,Calc!$X$2:$X$1001,0)),"")</f>
        <v/>
      </c>
      <c r="E957" s="3">
        <f>IFERROR(INDEX(Calc!$P$2:$P$1001,MATCH(ROW()-1,Calc!$X$2:$X$1001,0)),"")</f>
        <v/>
      </c>
      <c r="F957" s="3">
        <f>IF(G957="","",E957-D957)</f>
        <v/>
      </c>
      <c r="G957">
        <f>IFERROR(INDEX(Calc!$S$2:$S$1001,MATCH(ROW()-1,Calc!$X$2:$X$1001,0)),"")</f>
        <v/>
      </c>
    </row>
    <row r="958">
      <c r="A958">
        <f>IFERROR(INDEX(Calc!$L$2:$L$1001,MATCH(ROW()-1,Calc!$X$2:$X$1001,0)),"")</f>
        <v/>
      </c>
      <c r="B958">
        <f>IFERROR(INDEX(Calc!$M$2:$M$1001,MATCH(ROW()-1,Calc!$X$2:$X$1001,0)),"")</f>
        <v/>
      </c>
      <c r="C958">
        <f>IFERROR(INDEX(Calc!$N$2:$N$1001,MATCH(ROW()-1,Calc!$X$2:$X$1001,0)),"")</f>
        <v/>
      </c>
      <c r="D958" s="3">
        <f>IFERROR(INDEX(Calc!$O$2:$O$1001,MATCH(ROW()-1,Calc!$X$2:$X$1001,0)),"")</f>
        <v/>
      </c>
      <c r="E958" s="3">
        <f>IFERROR(INDEX(Calc!$P$2:$P$1001,MATCH(ROW()-1,Calc!$X$2:$X$1001,0)),"")</f>
        <v/>
      </c>
      <c r="F958" s="3">
        <f>IF(G958="","",E958-D958)</f>
        <v/>
      </c>
      <c r="G958">
        <f>IFERROR(INDEX(Calc!$S$2:$S$1001,MATCH(ROW()-1,Calc!$X$2:$X$1001,0)),"")</f>
        <v/>
      </c>
    </row>
    <row r="959">
      <c r="A959">
        <f>IFERROR(INDEX(Calc!$L$2:$L$1001,MATCH(ROW()-1,Calc!$X$2:$X$1001,0)),"")</f>
        <v/>
      </c>
      <c r="B959">
        <f>IFERROR(INDEX(Calc!$M$2:$M$1001,MATCH(ROW()-1,Calc!$X$2:$X$1001,0)),"")</f>
        <v/>
      </c>
      <c r="C959">
        <f>IFERROR(INDEX(Calc!$N$2:$N$1001,MATCH(ROW()-1,Calc!$X$2:$X$1001,0)),"")</f>
        <v/>
      </c>
      <c r="D959" s="3">
        <f>IFERROR(INDEX(Calc!$O$2:$O$1001,MATCH(ROW()-1,Calc!$X$2:$X$1001,0)),"")</f>
        <v/>
      </c>
      <c r="E959" s="3">
        <f>IFERROR(INDEX(Calc!$P$2:$P$1001,MATCH(ROW()-1,Calc!$X$2:$X$1001,0)),"")</f>
        <v/>
      </c>
      <c r="F959" s="3">
        <f>IF(G959="","",E959-D959)</f>
        <v/>
      </c>
      <c r="G959">
        <f>IFERROR(INDEX(Calc!$S$2:$S$1001,MATCH(ROW()-1,Calc!$X$2:$X$1001,0)),"")</f>
        <v/>
      </c>
    </row>
    <row r="960">
      <c r="A960">
        <f>IFERROR(INDEX(Calc!$L$2:$L$1001,MATCH(ROW()-1,Calc!$X$2:$X$1001,0)),"")</f>
        <v/>
      </c>
      <c r="B960">
        <f>IFERROR(INDEX(Calc!$M$2:$M$1001,MATCH(ROW()-1,Calc!$X$2:$X$1001,0)),"")</f>
        <v/>
      </c>
      <c r="C960">
        <f>IFERROR(INDEX(Calc!$N$2:$N$1001,MATCH(ROW()-1,Calc!$X$2:$X$1001,0)),"")</f>
        <v/>
      </c>
      <c r="D960" s="3">
        <f>IFERROR(INDEX(Calc!$O$2:$O$1001,MATCH(ROW()-1,Calc!$X$2:$X$1001,0)),"")</f>
        <v/>
      </c>
      <c r="E960" s="3">
        <f>IFERROR(INDEX(Calc!$P$2:$P$1001,MATCH(ROW()-1,Calc!$X$2:$X$1001,0)),"")</f>
        <v/>
      </c>
      <c r="F960" s="3">
        <f>IF(G960="","",E960-D960)</f>
        <v/>
      </c>
      <c r="G960">
        <f>IFERROR(INDEX(Calc!$S$2:$S$1001,MATCH(ROW()-1,Calc!$X$2:$X$1001,0)),"")</f>
        <v/>
      </c>
    </row>
    <row r="961">
      <c r="A961">
        <f>IFERROR(INDEX(Calc!$L$2:$L$1001,MATCH(ROW()-1,Calc!$X$2:$X$1001,0)),"")</f>
        <v/>
      </c>
      <c r="B961">
        <f>IFERROR(INDEX(Calc!$M$2:$M$1001,MATCH(ROW()-1,Calc!$X$2:$X$1001,0)),"")</f>
        <v/>
      </c>
      <c r="C961">
        <f>IFERROR(INDEX(Calc!$N$2:$N$1001,MATCH(ROW()-1,Calc!$X$2:$X$1001,0)),"")</f>
        <v/>
      </c>
      <c r="D961" s="3">
        <f>IFERROR(INDEX(Calc!$O$2:$O$1001,MATCH(ROW()-1,Calc!$X$2:$X$1001,0)),"")</f>
        <v/>
      </c>
      <c r="E961" s="3">
        <f>IFERROR(INDEX(Calc!$P$2:$P$1001,MATCH(ROW()-1,Calc!$X$2:$X$1001,0)),"")</f>
        <v/>
      </c>
      <c r="F961" s="3">
        <f>IF(G961="","",E961-D961)</f>
        <v/>
      </c>
      <c r="G961">
        <f>IFERROR(INDEX(Calc!$S$2:$S$1001,MATCH(ROW()-1,Calc!$X$2:$X$1001,0)),"")</f>
        <v/>
      </c>
    </row>
    <row r="962">
      <c r="A962">
        <f>IFERROR(INDEX(Calc!$L$2:$L$1001,MATCH(ROW()-1,Calc!$X$2:$X$1001,0)),"")</f>
        <v/>
      </c>
      <c r="B962">
        <f>IFERROR(INDEX(Calc!$M$2:$M$1001,MATCH(ROW()-1,Calc!$X$2:$X$1001,0)),"")</f>
        <v/>
      </c>
      <c r="C962">
        <f>IFERROR(INDEX(Calc!$N$2:$N$1001,MATCH(ROW()-1,Calc!$X$2:$X$1001,0)),"")</f>
        <v/>
      </c>
      <c r="D962" s="3">
        <f>IFERROR(INDEX(Calc!$O$2:$O$1001,MATCH(ROW()-1,Calc!$X$2:$X$1001,0)),"")</f>
        <v/>
      </c>
      <c r="E962" s="3">
        <f>IFERROR(INDEX(Calc!$P$2:$P$1001,MATCH(ROW()-1,Calc!$X$2:$X$1001,0)),"")</f>
        <v/>
      </c>
      <c r="F962" s="3">
        <f>IF(G962="","",E962-D962)</f>
        <v/>
      </c>
      <c r="G962">
        <f>IFERROR(INDEX(Calc!$S$2:$S$1001,MATCH(ROW()-1,Calc!$X$2:$X$1001,0)),"")</f>
        <v/>
      </c>
    </row>
    <row r="963">
      <c r="A963">
        <f>IFERROR(INDEX(Calc!$L$2:$L$1001,MATCH(ROW()-1,Calc!$X$2:$X$1001,0)),"")</f>
        <v/>
      </c>
      <c r="B963">
        <f>IFERROR(INDEX(Calc!$M$2:$M$1001,MATCH(ROW()-1,Calc!$X$2:$X$1001,0)),"")</f>
        <v/>
      </c>
      <c r="C963">
        <f>IFERROR(INDEX(Calc!$N$2:$N$1001,MATCH(ROW()-1,Calc!$X$2:$X$1001,0)),"")</f>
        <v/>
      </c>
      <c r="D963" s="3">
        <f>IFERROR(INDEX(Calc!$O$2:$O$1001,MATCH(ROW()-1,Calc!$X$2:$X$1001,0)),"")</f>
        <v/>
      </c>
      <c r="E963" s="3">
        <f>IFERROR(INDEX(Calc!$P$2:$P$1001,MATCH(ROW()-1,Calc!$X$2:$X$1001,0)),"")</f>
        <v/>
      </c>
      <c r="F963" s="3">
        <f>IF(G963="","",E963-D963)</f>
        <v/>
      </c>
      <c r="G963">
        <f>IFERROR(INDEX(Calc!$S$2:$S$1001,MATCH(ROW()-1,Calc!$X$2:$X$1001,0)),"")</f>
        <v/>
      </c>
    </row>
    <row r="964">
      <c r="A964">
        <f>IFERROR(INDEX(Calc!$L$2:$L$1001,MATCH(ROW()-1,Calc!$X$2:$X$1001,0)),"")</f>
        <v/>
      </c>
      <c r="B964">
        <f>IFERROR(INDEX(Calc!$M$2:$M$1001,MATCH(ROW()-1,Calc!$X$2:$X$1001,0)),"")</f>
        <v/>
      </c>
      <c r="C964">
        <f>IFERROR(INDEX(Calc!$N$2:$N$1001,MATCH(ROW()-1,Calc!$X$2:$X$1001,0)),"")</f>
        <v/>
      </c>
      <c r="D964" s="3">
        <f>IFERROR(INDEX(Calc!$O$2:$O$1001,MATCH(ROW()-1,Calc!$X$2:$X$1001,0)),"")</f>
        <v/>
      </c>
      <c r="E964" s="3">
        <f>IFERROR(INDEX(Calc!$P$2:$P$1001,MATCH(ROW()-1,Calc!$X$2:$X$1001,0)),"")</f>
        <v/>
      </c>
      <c r="F964" s="3">
        <f>IF(G964="","",E964-D964)</f>
        <v/>
      </c>
      <c r="G964">
        <f>IFERROR(INDEX(Calc!$S$2:$S$1001,MATCH(ROW()-1,Calc!$X$2:$X$1001,0)),"")</f>
        <v/>
      </c>
    </row>
    <row r="965">
      <c r="A965">
        <f>IFERROR(INDEX(Calc!$L$2:$L$1001,MATCH(ROW()-1,Calc!$X$2:$X$1001,0)),"")</f>
        <v/>
      </c>
      <c r="B965">
        <f>IFERROR(INDEX(Calc!$M$2:$M$1001,MATCH(ROW()-1,Calc!$X$2:$X$1001,0)),"")</f>
        <v/>
      </c>
      <c r="C965">
        <f>IFERROR(INDEX(Calc!$N$2:$N$1001,MATCH(ROW()-1,Calc!$X$2:$X$1001,0)),"")</f>
        <v/>
      </c>
      <c r="D965" s="3">
        <f>IFERROR(INDEX(Calc!$O$2:$O$1001,MATCH(ROW()-1,Calc!$X$2:$X$1001,0)),"")</f>
        <v/>
      </c>
      <c r="E965" s="3">
        <f>IFERROR(INDEX(Calc!$P$2:$P$1001,MATCH(ROW()-1,Calc!$X$2:$X$1001,0)),"")</f>
        <v/>
      </c>
      <c r="F965" s="3">
        <f>IF(G965="","",E965-D965)</f>
        <v/>
      </c>
      <c r="G965">
        <f>IFERROR(INDEX(Calc!$S$2:$S$1001,MATCH(ROW()-1,Calc!$X$2:$X$1001,0)),"")</f>
        <v/>
      </c>
    </row>
    <row r="966">
      <c r="A966">
        <f>IFERROR(INDEX(Calc!$L$2:$L$1001,MATCH(ROW()-1,Calc!$X$2:$X$1001,0)),"")</f>
        <v/>
      </c>
      <c r="B966">
        <f>IFERROR(INDEX(Calc!$M$2:$M$1001,MATCH(ROW()-1,Calc!$X$2:$X$1001,0)),"")</f>
        <v/>
      </c>
      <c r="C966">
        <f>IFERROR(INDEX(Calc!$N$2:$N$1001,MATCH(ROW()-1,Calc!$X$2:$X$1001,0)),"")</f>
        <v/>
      </c>
      <c r="D966" s="3">
        <f>IFERROR(INDEX(Calc!$O$2:$O$1001,MATCH(ROW()-1,Calc!$X$2:$X$1001,0)),"")</f>
        <v/>
      </c>
      <c r="E966" s="3">
        <f>IFERROR(INDEX(Calc!$P$2:$P$1001,MATCH(ROW()-1,Calc!$X$2:$X$1001,0)),"")</f>
        <v/>
      </c>
      <c r="F966" s="3">
        <f>IF(G966="","",E966-D966)</f>
        <v/>
      </c>
      <c r="G966">
        <f>IFERROR(INDEX(Calc!$S$2:$S$1001,MATCH(ROW()-1,Calc!$X$2:$X$1001,0)),"")</f>
        <v/>
      </c>
    </row>
    <row r="967">
      <c r="A967">
        <f>IFERROR(INDEX(Calc!$L$2:$L$1001,MATCH(ROW()-1,Calc!$X$2:$X$1001,0)),"")</f>
        <v/>
      </c>
      <c r="B967">
        <f>IFERROR(INDEX(Calc!$M$2:$M$1001,MATCH(ROW()-1,Calc!$X$2:$X$1001,0)),"")</f>
        <v/>
      </c>
      <c r="C967">
        <f>IFERROR(INDEX(Calc!$N$2:$N$1001,MATCH(ROW()-1,Calc!$X$2:$X$1001,0)),"")</f>
        <v/>
      </c>
      <c r="D967" s="3">
        <f>IFERROR(INDEX(Calc!$O$2:$O$1001,MATCH(ROW()-1,Calc!$X$2:$X$1001,0)),"")</f>
        <v/>
      </c>
      <c r="E967" s="3">
        <f>IFERROR(INDEX(Calc!$P$2:$P$1001,MATCH(ROW()-1,Calc!$X$2:$X$1001,0)),"")</f>
        <v/>
      </c>
      <c r="F967" s="3">
        <f>IF(G967="","",E967-D967)</f>
        <v/>
      </c>
      <c r="G967">
        <f>IFERROR(INDEX(Calc!$S$2:$S$1001,MATCH(ROW()-1,Calc!$X$2:$X$1001,0)),"")</f>
        <v/>
      </c>
    </row>
    <row r="968">
      <c r="A968">
        <f>IFERROR(INDEX(Calc!$L$2:$L$1001,MATCH(ROW()-1,Calc!$X$2:$X$1001,0)),"")</f>
        <v/>
      </c>
      <c r="B968">
        <f>IFERROR(INDEX(Calc!$M$2:$M$1001,MATCH(ROW()-1,Calc!$X$2:$X$1001,0)),"")</f>
        <v/>
      </c>
      <c r="C968">
        <f>IFERROR(INDEX(Calc!$N$2:$N$1001,MATCH(ROW()-1,Calc!$X$2:$X$1001,0)),"")</f>
        <v/>
      </c>
      <c r="D968" s="3">
        <f>IFERROR(INDEX(Calc!$O$2:$O$1001,MATCH(ROW()-1,Calc!$X$2:$X$1001,0)),"")</f>
        <v/>
      </c>
      <c r="E968" s="3">
        <f>IFERROR(INDEX(Calc!$P$2:$P$1001,MATCH(ROW()-1,Calc!$X$2:$X$1001,0)),"")</f>
        <v/>
      </c>
      <c r="F968" s="3">
        <f>IF(G968="","",E968-D968)</f>
        <v/>
      </c>
      <c r="G968">
        <f>IFERROR(INDEX(Calc!$S$2:$S$1001,MATCH(ROW()-1,Calc!$X$2:$X$1001,0)),"")</f>
        <v/>
      </c>
    </row>
    <row r="969">
      <c r="A969">
        <f>IFERROR(INDEX(Calc!$L$2:$L$1001,MATCH(ROW()-1,Calc!$X$2:$X$1001,0)),"")</f>
        <v/>
      </c>
      <c r="B969">
        <f>IFERROR(INDEX(Calc!$M$2:$M$1001,MATCH(ROW()-1,Calc!$X$2:$X$1001,0)),"")</f>
        <v/>
      </c>
      <c r="C969">
        <f>IFERROR(INDEX(Calc!$N$2:$N$1001,MATCH(ROW()-1,Calc!$X$2:$X$1001,0)),"")</f>
        <v/>
      </c>
      <c r="D969" s="3">
        <f>IFERROR(INDEX(Calc!$O$2:$O$1001,MATCH(ROW()-1,Calc!$X$2:$X$1001,0)),"")</f>
        <v/>
      </c>
      <c r="E969" s="3">
        <f>IFERROR(INDEX(Calc!$P$2:$P$1001,MATCH(ROW()-1,Calc!$X$2:$X$1001,0)),"")</f>
        <v/>
      </c>
      <c r="F969" s="3">
        <f>IF(G969="","",E969-D969)</f>
        <v/>
      </c>
      <c r="G969">
        <f>IFERROR(INDEX(Calc!$S$2:$S$1001,MATCH(ROW()-1,Calc!$X$2:$X$1001,0)),"")</f>
        <v/>
      </c>
    </row>
    <row r="970">
      <c r="A970">
        <f>IFERROR(INDEX(Calc!$L$2:$L$1001,MATCH(ROW()-1,Calc!$X$2:$X$1001,0)),"")</f>
        <v/>
      </c>
      <c r="B970">
        <f>IFERROR(INDEX(Calc!$M$2:$M$1001,MATCH(ROW()-1,Calc!$X$2:$X$1001,0)),"")</f>
        <v/>
      </c>
      <c r="C970">
        <f>IFERROR(INDEX(Calc!$N$2:$N$1001,MATCH(ROW()-1,Calc!$X$2:$X$1001,0)),"")</f>
        <v/>
      </c>
      <c r="D970" s="3">
        <f>IFERROR(INDEX(Calc!$O$2:$O$1001,MATCH(ROW()-1,Calc!$X$2:$X$1001,0)),"")</f>
        <v/>
      </c>
      <c r="E970" s="3">
        <f>IFERROR(INDEX(Calc!$P$2:$P$1001,MATCH(ROW()-1,Calc!$X$2:$X$1001,0)),"")</f>
        <v/>
      </c>
      <c r="F970" s="3">
        <f>IF(G970="","",E970-D970)</f>
        <v/>
      </c>
      <c r="G970">
        <f>IFERROR(INDEX(Calc!$S$2:$S$1001,MATCH(ROW()-1,Calc!$X$2:$X$1001,0)),"")</f>
        <v/>
      </c>
    </row>
    <row r="971">
      <c r="A971">
        <f>IFERROR(INDEX(Calc!$L$2:$L$1001,MATCH(ROW()-1,Calc!$X$2:$X$1001,0)),"")</f>
        <v/>
      </c>
      <c r="B971">
        <f>IFERROR(INDEX(Calc!$M$2:$M$1001,MATCH(ROW()-1,Calc!$X$2:$X$1001,0)),"")</f>
        <v/>
      </c>
      <c r="C971">
        <f>IFERROR(INDEX(Calc!$N$2:$N$1001,MATCH(ROW()-1,Calc!$X$2:$X$1001,0)),"")</f>
        <v/>
      </c>
      <c r="D971" s="3">
        <f>IFERROR(INDEX(Calc!$O$2:$O$1001,MATCH(ROW()-1,Calc!$X$2:$X$1001,0)),"")</f>
        <v/>
      </c>
      <c r="E971" s="3">
        <f>IFERROR(INDEX(Calc!$P$2:$P$1001,MATCH(ROW()-1,Calc!$X$2:$X$1001,0)),"")</f>
        <v/>
      </c>
      <c r="F971" s="3">
        <f>IF(G971="","",E971-D971)</f>
        <v/>
      </c>
      <c r="G971">
        <f>IFERROR(INDEX(Calc!$S$2:$S$1001,MATCH(ROW()-1,Calc!$X$2:$X$1001,0)),"")</f>
        <v/>
      </c>
    </row>
    <row r="972">
      <c r="A972">
        <f>IFERROR(INDEX(Calc!$L$2:$L$1001,MATCH(ROW()-1,Calc!$X$2:$X$1001,0)),"")</f>
        <v/>
      </c>
      <c r="B972">
        <f>IFERROR(INDEX(Calc!$M$2:$M$1001,MATCH(ROW()-1,Calc!$X$2:$X$1001,0)),"")</f>
        <v/>
      </c>
      <c r="C972">
        <f>IFERROR(INDEX(Calc!$N$2:$N$1001,MATCH(ROW()-1,Calc!$X$2:$X$1001,0)),"")</f>
        <v/>
      </c>
      <c r="D972" s="3">
        <f>IFERROR(INDEX(Calc!$O$2:$O$1001,MATCH(ROW()-1,Calc!$X$2:$X$1001,0)),"")</f>
        <v/>
      </c>
      <c r="E972" s="3">
        <f>IFERROR(INDEX(Calc!$P$2:$P$1001,MATCH(ROW()-1,Calc!$X$2:$X$1001,0)),"")</f>
        <v/>
      </c>
      <c r="F972" s="3">
        <f>IF(G972="","",E972-D972)</f>
        <v/>
      </c>
      <c r="G972">
        <f>IFERROR(INDEX(Calc!$S$2:$S$1001,MATCH(ROW()-1,Calc!$X$2:$X$1001,0)),"")</f>
        <v/>
      </c>
    </row>
    <row r="973">
      <c r="A973">
        <f>IFERROR(INDEX(Calc!$L$2:$L$1001,MATCH(ROW()-1,Calc!$X$2:$X$1001,0)),"")</f>
        <v/>
      </c>
      <c r="B973">
        <f>IFERROR(INDEX(Calc!$M$2:$M$1001,MATCH(ROW()-1,Calc!$X$2:$X$1001,0)),"")</f>
        <v/>
      </c>
      <c r="C973">
        <f>IFERROR(INDEX(Calc!$N$2:$N$1001,MATCH(ROW()-1,Calc!$X$2:$X$1001,0)),"")</f>
        <v/>
      </c>
      <c r="D973" s="3">
        <f>IFERROR(INDEX(Calc!$O$2:$O$1001,MATCH(ROW()-1,Calc!$X$2:$X$1001,0)),"")</f>
        <v/>
      </c>
      <c r="E973" s="3">
        <f>IFERROR(INDEX(Calc!$P$2:$P$1001,MATCH(ROW()-1,Calc!$X$2:$X$1001,0)),"")</f>
        <v/>
      </c>
      <c r="F973" s="3">
        <f>IF(G973="","",E973-D973)</f>
        <v/>
      </c>
      <c r="G973">
        <f>IFERROR(INDEX(Calc!$S$2:$S$1001,MATCH(ROW()-1,Calc!$X$2:$X$1001,0)),"")</f>
        <v/>
      </c>
    </row>
    <row r="974">
      <c r="A974">
        <f>IFERROR(INDEX(Calc!$L$2:$L$1001,MATCH(ROW()-1,Calc!$X$2:$X$1001,0)),"")</f>
        <v/>
      </c>
      <c r="B974">
        <f>IFERROR(INDEX(Calc!$M$2:$M$1001,MATCH(ROW()-1,Calc!$X$2:$X$1001,0)),"")</f>
        <v/>
      </c>
      <c r="C974">
        <f>IFERROR(INDEX(Calc!$N$2:$N$1001,MATCH(ROW()-1,Calc!$X$2:$X$1001,0)),"")</f>
        <v/>
      </c>
      <c r="D974" s="3">
        <f>IFERROR(INDEX(Calc!$O$2:$O$1001,MATCH(ROW()-1,Calc!$X$2:$X$1001,0)),"")</f>
        <v/>
      </c>
      <c r="E974" s="3">
        <f>IFERROR(INDEX(Calc!$P$2:$P$1001,MATCH(ROW()-1,Calc!$X$2:$X$1001,0)),"")</f>
        <v/>
      </c>
      <c r="F974" s="3">
        <f>IF(G974="","",E974-D974)</f>
        <v/>
      </c>
      <c r="G974">
        <f>IFERROR(INDEX(Calc!$S$2:$S$1001,MATCH(ROW()-1,Calc!$X$2:$X$1001,0)),"")</f>
        <v/>
      </c>
    </row>
    <row r="975">
      <c r="A975">
        <f>IFERROR(INDEX(Calc!$L$2:$L$1001,MATCH(ROW()-1,Calc!$X$2:$X$1001,0)),"")</f>
        <v/>
      </c>
      <c r="B975">
        <f>IFERROR(INDEX(Calc!$M$2:$M$1001,MATCH(ROW()-1,Calc!$X$2:$X$1001,0)),"")</f>
        <v/>
      </c>
      <c r="C975">
        <f>IFERROR(INDEX(Calc!$N$2:$N$1001,MATCH(ROW()-1,Calc!$X$2:$X$1001,0)),"")</f>
        <v/>
      </c>
      <c r="D975" s="3">
        <f>IFERROR(INDEX(Calc!$O$2:$O$1001,MATCH(ROW()-1,Calc!$X$2:$X$1001,0)),"")</f>
        <v/>
      </c>
      <c r="E975" s="3">
        <f>IFERROR(INDEX(Calc!$P$2:$P$1001,MATCH(ROW()-1,Calc!$X$2:$X$1001,0)),"")</f>
        <v/>
      </c>
      <c r="F975" s="3">
        <f>IF(G975="","",E975-D975)</f>
        <v/>
      </c>
      <c r="G975">
        <f>IFERROR(INDEX(Calc!$S$2:$S$1001,MATCH(ROW()-1,Calc!$X$2:$X$1001,0)),"")</f>
        <v/>
      </c>
    </row>
    <row r="976">
      <c r="A976">
        <f>IFERROR(INDEX(Calc!$L$2:$L$1001,MATCH(ROW()-1,Calc!$X$2:$X$1001,0)),"")</f>
        <v/>
      </c>
      <c r="B976">
        <f>IFERROR(INDEX(Calc!$M$2:$M$1001,MATCH(ROW()-1,Calc!$X$2:$X$1001,0)),"")</f>
        <v/>
      </c>
      <c r="C976">
        <f>IFERROR(INDEX(Calc!$N$2:$N$1001,MATCH(ROW()-1,Calc!$X$2:$X$1001,0)),"")</f>
        <v/>
      </c>
      <c r="D976" s="3">
        <f>IFERROR(INDEX(Calc!$O$2:$O$1001,MATCH(ROW()-1,Calc!$X$2:$X$1001,0)),"")</f>
        <v/>
      </c>
      <c r="E976" s="3">
        <f>IFERROR(INDEX(Calc!$P$2:$P$1001,MATCH(ROW()-1,Calc!$X$2:$X$1001,0)),"")</f>
        <v/>
      </c>
      <c r="F976" s="3">
        <f>IF(G976="","",E976-D976)</f>
        <v/>
      </c>
      <c r="G976">
        <f>IFERROR(INDEX(Calc!$S$2:$S$1001,MATCH(ROW()-1,Calc!$X$2:$X$1001,0)),"")</f>
        <v/>
      </c>
    </row>
    <row r="977">
      <c r="A977">
        <f>IFERROR(INDEX(Calc!$L$2:$L$1001,MATCH(ROW()-1,Calc!$X$2:$X$1001,0)),"")</f>
        <v/>
      </c>
      <c r="B977">
        <f>IFERROR(INDEX(Calc!$M$2:$M$1001,MATCH(ROW()-1,Calc!$X$2:$X$1001,0)),"")</f>
        <v/>
      </c>
      <c r="C977">
        <f>IFERROR(INDEX(Calc!$N$2:$N$1001,MATCH(ROW()-1,Calc!$X$2:$X$1001,0)),"")</f>
        <v/>
      </c>
      <c r="D977" s="3">
        <f>IFERROR(INDEX(Calc!$O$2:$O$1001,MATCH(ROW()-1,Calc!$X$2:$X$1001,0)),"")</f>
        <v/>
      </c>
      <c r="E977" s="3">
        <f>IFERROR(INDEX(Calc!$P$2:$P$1001,MATCH(ROW()-1,Calc!$X$2:$X$1001,0)),"")</f>
        <v/>
      </c>
      <c r="F977" s="3">
        <f>IF(G977="","",E977-D977)</f>
        <v/>
      </c>
      <c r="G977">
        <f>IFERROR(INDEX(Calc!$S$2:$S$1001,MATCH(ROW()-1,Calc!$X$2:$X$1001,0)),"")</f>
        <v/>
      </c>
    </row>
    <row r="978">
      <c r="A978">
        <f>IFERROR(INDEX(Calc!$L$2:$L$1001,MATCH(ROW()-1,Calc!$X$2:$X$1001,0)),"")</f>
        <v/>
      </c>
      <c r="B978">
        <f>IFERROR(INDEX(Calc!$M$2:$M$1001,MATCH(ROW()-1,Calc!$X$2:$X$1001,0)),"")</f>
        <v/>
      </c>
      <c r="C978">
        <f>IFERROR(INDEX(Calc!$N$2:$N$1001,MATCH(ROW()-1,Calc!$X$2:$X$1001,0)),"")</f>
        <v/>
      </c>
      <c r="D978" s="3">
        <f>IFERROR(INDEX(Calc!$O$2:$O$1001,MATCH(ROW()-1,Calc!$X$2:$X$1001,0)),"")</f>
        <v/>
      </c>
      <c r="E978" s="3">
        <f>IFERROR(INDEX(Calc!$P$2:$P$1001,MATCH(ROW()-1,Calc!$X$2:$X$1001,0)),"")</f>
        <v/>
      </c>
      <c r="F978" s="3">
        <f>IF(G978="","",E978-D978)</f>
        <v/>
      </c>
      <c r="G978">
        <f>IFERROR(INDEX(Calc!$S$2:$S$1001,MATCH(ROW()-1,Calc!$X$2:$X$1001,0)),"")</f>
        <v/>
      </c>
    </row>
    <row r="979">
      <c r="A979">
        <f>IFERROR(INDEX(Calc!$L$2:$L$1001,MATCH(ROW()-1,Calc!$X$2:$X$1001,0)),"")</f>
        <v/>
      </c>
      <c r="B979">
        <f>IFERROR(INDEX(Calc!$M$2:$M$1001,MATCH(ROW()-1,Calc!$X$2:$X$1001,0)),"")</f>
        <v/>
      </c>
      <c r="C979">
        <f>IFERROR(INDEX(Calc!$N$2:$N$1001,MATCH(ROW()-1,Calc!$X$2:$X$1001,0)),"")</f>
        <v/>
      </c>
      <c r="D979" s="3">
        <f>IFERROR(INDEX(Calc!$O$2:$O$1001,MATCH(ROW()-1,Calc!$X$2:$X$1001,0)),"")</f>
        <v/>
      </c>
      <c r="E979" s="3">
        <f>IFERROR(INDEX(Calc!$P$2:$P$1001,MATCH(ROW()-1,Calc!$X$2:$X$1001,0)),"")</f>
        <v/>
      </c>
      <c r="F979" s="3">
        <f>IF(G979="","",E979-D979)</f>
        <v/>
      </c>
      <c r="G979">
        <f>IFERROR(INDEX(Calc!$S$2:$S$1001,MATCH(ROW()-1,Calc!$X$2:$X$1001,0)),"")</f>
        <v/>
      </c>
    </row>
    <row r="980">
      <c r="A980">
        <f>IFERROR(INDEX(Calc!$L$2:$L$1001,MATCH(ROW()-1,Calc!$X$2:$X$1001,0)),"")</f>
        <v/>
      </c>
      <c r="B980">
        <f>IFERROR(INDEX(Calc!$M$2:$M$1001,MATCH(ROW()-1,Calc!$X$2:$X$1001,0)),"")</f>
        <v/>
      </c>
      <c r="C980">
        <f>IFERROR(INDEX(Calc!$N$2:$N$1001,MATCH(ROW()-1,Calc!$X$2:$X$1001,0)),"")</f>
        <v/>
      </c>
      <c r="D980" s="3">
        <f>IFERROR(INDEX(Calc!$O$2:$O$1001,MATCH(ROW()-1,Calc!$X$2:$X$1001,0)),"")</f>
        <v/>
      </c>
      <c r="E980" s="3">
        <f>IFERROR(INDEX(Calc!$P$2:$P$1001,MATCH(ROW()-1,Calc!$X$2:$X$1001,0)),"")</f>
        <v/>
      </c>
      <c r="F980" s="3">
        <f>IF(G980="","",E980-D980)</f>
        <v/>
      </c>
      <c r="G980">
        <f>IFERROR(INDEX(Calc!$S$2:$S$1001,MATCH(ROW()-1,Calc!$X$2:$X$1001,0)),"")</f>
        <v/>
      </c>
    </row>
    <row r="981">
      <c r="A981">
        <f>IFERROR(INDEX(Calc!$L$2:$L$1001,MATCH(ROW()-1,Calc!$X$2:$X$1001,0)),"")</f>
        <v/>
      </c>
      <c r="B981">
        <f>IFERROR(INDEX(Calc!$M$2:$M$1001,MATCH(ROW()-1,Calc!$X$2:$X$1001,0)),"")</f>
        <v/>
      </c>
      <c r="C981">
        <f>IFERROR(INDEX(Calc!$N$2:$N$1001,MATCH(ROW()-1,Calc!$X$2:$X$1001,0)),"")</f>
        <v/>
      </c>
      <c r="D981" s="3">
        <f>IFERROR(INDEX(Calc!$O$2:$O$1001,MATCH(ROW()-1,Calc!$X$2:$X$1001,0)),"")</f>
        <v/>
      </c>
      <c r="E981" s="3">
        <f>IFERROR(INDEX(Calc!$P$2:$P$1001,MATCH(ROW()-1,Calc!$X$2:$X$1001,0)),"")</f>
        <v/>
      </c>
      <c r="F981" s="3">
        <f>IF(G981="","",E981-D981)</f>
        <v/>
      </c>
      <c r="G981">
        <f>IFERROR(INDEX(Calc!$S$2:$S$1001,MATCH(ROW()-1,Calc!$X$2:$X$1001,0)),"")</f>
        <v/>
      </c>
    </row>
    <row r="982">
      <c r="A982">
        <f>IFERROR(INDEX(Calc!$L$2:$L$1001,MATCH(ROW()-1,Calc!$X$2:$X$1001,0)),"")</f>
        <v/>
      </c>
      <c r="B982">
        <f>IFERROR(INDEX(Calc!$M$2:$M$1001,MATCH(ROW()-1,Calc!$X$2:$X$1001,0)),"")</f>
        <v/>
      </c>
      <c r="C982">
        <f>IFERROR(INDEX(Calc!$N$2:$N$1001,MATCH(ROW()-1,Calc!$X$2:$X$1001,0)),"")</f>
        <v/>
      </c>
      <c r="D982" s="3">
        <f>IFERROR(INDEX(Calc!$O$2:$O$1001,MATCH(ROW()-1,Calc!$X$2:$X$1001,0)),"")</f>
        <v/>
      </c>
      <c r="E982" s="3">
        <f>IFERROR(INDEX(Calc!$P$2:$P$1001,MATCH(ROW()-1,Calc!$X$2:$X$1001,0)),"")</f>
        <v/>
      </c>
      <c r="F982" s="3">
        <f>IF(G982="","",E982-D982)</f>
        <v/>
      </c>
      <c r="G982">
        <f>IFERROR(INDEX(Calc!$S$2:$S$1001,MATCH(ROW()-1,Calc!$X$2:$X$1001,0)),"")</f>
        <v/>
      </c>
    </row>
    <row r="983">
      <c r="A983">
        <f>IFERROR(INDEX(Calc!$L$2:$L$1001,MATCH(ROW()-1,Calc!$X$2:$X$1001,0)),"")</f>
        <v/>
      </c>
      <c r="B983">
        <f>IFERROR(INDEX(Calc!$M$2:$M$1001,MATCH(ROW()-1,Calc!$X$2:$X$1001,0)),"")</f>
        <v/>
      </c>
      <c r="C983">
        <f>IFERROR(INDEX(Calc!$N$2:$N$1001,MATCH(ROW()-1,Calc!$X$2:$X$1001,0)),"")</f>
        <v/>
      </c>
      <c r="D983" s="3">
        <f>IFERROR(INDEX(Calc!$O$2:$O$1001,MATCH(ROW()-1,Calc!$X$2:$X$1001,0)),"")</f>
        <v/>
      </c>
      <c r="E983" s="3">
        <f>IFERROR(INDEX(Calc!$P$2:$P$1001,MATCH(ROW()-1,Calc!$X$2:$X$1001,0)),"")</f>
        <v/>
      </c>
      <c r="F983" s="3">
        <f>IF(G983="","",E983-D983)</f>
        <v/>
      </c>
      <c r="G983">
        <f>IFERROR(INDEX(Calc!$S$2:$S$1001,MATCH(ROW()-1,Calc!$X$2:$X$1001,0)),"")</f>
        <v/>
      </c>
    </row>
    <row r="984">
      <c r="A984">
        <f>IFERROR(INDEX(Calc!$L$2:$L$1001,MATCH(ROW()-1,Calc!$X$2:$X$1001,0)),"")</f>
        <v/>
      </c>
      <c r="B984">
        <f>IFERROR(INDEX(Calc!$M$2:$M$1001,MATCH(ROW()-1,Calc!$X$2:$X$1001,0)),"")</f>
        <v/>
      </c>
      <c r="C984">
        <f>IFERROR(INDEX(Calc!$N$2:$N$1001,MATCH(ROW()-1,Calc!$X$2:$X$1001,0)),"")</f>
        <v/>
      </c>
      <c r="D984" s="3">
        <f>IFERROR(INDEX(Calc!$O$2:$O$1001,MATCH(ROW()-1,Calc!$X$2:$X$1001,0)),"")</f>
        <v/>
      </c>
      <c r="E984" s="3">
        <f>IFERROR(INDEX(Calc!$P$2:$P$1001,MATCH(ROW()-1,Calc!$X$2:$X$1001,0)),"")</f>
        <v/>
      </c>
      <c r="F984" s="3">
        <f>IF(G984="","",E984-D984)</f>
        <v/>
      </c>
      <c r="G984">
        <f>IFERROR(INDEX(Calc!$S$2:$S$1001,MATCH(ROW()-1,Calc!$X$2:$X$1001,0)),"")</f>
        <v/>
      </c>
    </row>
    <row r="985">
      <c r="A985">
        <f>IFERROR(INDEX(Calc!$L$2:$L$1001,MATCH(ROW()-1,Calc!$X$2:$X$1001,0)),"")</f>
        <v/>
      </c>
      <c r="B985">
        <f>IFERROR(INDEX(Calc!$M$2:$M$1001,MATCH(ROW()-1,Calc!$X$2:$X$1001,0)),"")</f>
        <v/>
      </c>
      <c r="C985">
        <f>IFERROR(INDEX(Calc!$N$2:$N$1001,MATCH(ROW()-1,Calc!$X$2:$X$1001,0)),"")</f>
        <v/>
      </c>
      <c r="D985" s="3">
        <f>IFERROR(INDEX(Calc!$O$2:$O$1001,MATCH(ROW()-1,Calc!$X$2:$X$1001,0)),"")</f>
        <v/>
      </c>
      <c r="E985" s="3">
        <f>IFERROR(INDEX(Calc!$P$2:$P$1001,MATCH(ROW()-1,Calc!$X$2:$X$1001,0)),"")</f>
        <v/>
      </c>
      <c r="F985" s="3">
        <f>IF(G985="","",E985-D985)</f>
        <v/>
      </c>
      <c r="G985">
        <f>IFERROR(INDEX(Calc!$S$2:$S$1001,MATCH(ROW()-1,Calc!$X$2:$X$1001,0)),"")</f>
        <v/>
      </c>
    </row>
    <row r="986">
      <c r="A986">
        <f>IFERROR(INDEX(Calc!$L$2:$L$1001,MATCH(ROW()-1,Calc!$X$2:$X$1001,0)),"")</f>
        <v/>
      </c>
      <c r="B986">
        <f>IFERROR(INDEX(Calc!$M$2:$M$1001,MATCH(ROW()-1,Calc!$X$2:$X$1001,0)),"")</f>
        <v/>
      </c>
      <c r="C986">
        <f>IFERROR(INDEX(Calc!$N$2:$N$1001,MATCH(ROW()-1,Calc!$X$2:$X$1001,0)),"")</f>
        <v/>
      </c>
      <c r="D986" s="3">
        <f>IFERROR(INDEX(Calc!$O$2:$O$1001,MATCH(ROW()-1,Calc!$X$2:$X$1001,0)),"")</f>
        <v/>
      </c>
      <c r="E986" s="3">
        <f>IFERROR(INDEX(Calc!$P$2:$P$1001,MATCH(ROW()-1,Calc!$X$2:$X$1001,0)),"")</f>
        <v/>
      </c>
      <c r="F986" s="3">
        <f>IF(G986="","",E986-D986)</f>
        <v/>
      </c>
      <c r="G986">
        <f>IFERROR(INDEX(Calc!$S$2:$S$1001,MATCH(ROW()-1,Calc!$X$2:$X$1001,0)),"")</f>
        <v/>
      </c>
    </row>
    <row r="987">
      <c r="A987">
        <f>IFERROR(INDEX(Calc!$L$2:$L$1001,MATCH(ROW()-1,Calc!$X$2:$X$1001,0)),"")</f>
        <v/>
      </c>
      <c r="B987">
        <f>IFERROR(INDEX(Calc!$M$2:$M$1001,MATCH(ROW()-1,Calc!$X$2:$X$1001,0)),"")</f>
        <v/>
      </c>
      <c r="C987">
        <f>IFERROR(INDEX(Calc!$N$2:$N$1001,MATCH(ROW()-1,Calc!$X$2:$X$1001,0)),"")</f>
        <v/>
      </c>
      <c r="D987" s="3">
        <f>IFERROR(INDEX(Calc!$O$2:$O$1001,MATCH(ROW()-1,Calc!$X$2:$X$1001,0)),"")</f>
        <v/>
      </c>
      <c r="E987" s="3">
        <f>IFERROR(INDEX(Calc!$P$2:$P$1001,MATCH(ROW()-1,Calc!$X$2:$X$1001,0)),"")</f>
        <v/>
      </c>
      <c r="F987" s="3">
        <f>IF(G987="","",E987-D987)</f>
        <v/>
      </c>
      <c r="G987">
        <f>IFERROR(INDEX(Calc!$S$2:$S$1001,MATCH(ROW()-1,Calc!$X$2:$X$1001,0)),"")</f>
        <v/>
      </c>
    </row>
    <row r="988">
      <c r="A988">
        <f>IFERROR(INDEX(Calc!$L$2:$L$1001,MATCH(ROW()-1,Calc!$X$2:$X$1001,0)),"")</f>
        <v/>
      </c>
      <c r="B988">
        <f>IFERROR(INDEX(Calc!$M$2:$M$1001,MATCH(ROW()-1,Calc!$X$2:$X$1001,0)),"")</f>
        <v/>
      </c>
      <c r="C988">
        <f>IFERROR(INDEX(Calc!$N$2:$N$1001,MATCH(ROW()-1,Calc!$X$2:$X$1001,0)),"")</f>
        <v/>
      </c>
      <c r="D988" s="3">
        <f>IFERROR(INDEX(Calc!$O$2:$O$1001,MATCH(ROW()-1,Calc!$X$2:$X$1001,0)),"")</f>
        <v/>
      </c>
      <c r="E988" s="3">
        <f>IFERROR(INDEX(Calc!$P$2:$P$1001,MATCH(ROW()-1,Calc!$X$2:$X$1001,0)),"")</f>
        <v/>
      </c>
      <c r="F988" s="3">
        <f>IF(G988="","",E988-D988)</f>
        <v/>
      </c>
      <c r="G988">
        <f>IFERROR(INDEX(Calc!$S$2:$S$1001,MATCH(ROW()-1,Calc!$X$2:$X$1001,0)),"")</f>
        <v/>
      </c>
    </row>
    <row r="989">
      <c r="A989">
        <f>IFERROR(INDEX(Calc!$L$2:$L$1001,MATCH(ROW()-1,Calc!$X$2:$X$1001,0)),"")</f>
        <v/>
      </c>
      <c r="B989">
        <f>IFERROR(INDEX(Calc!$M$2:$M$1001,MATCH(ROW()-1,Calc!$X$2:$X$1001,0)),"")</f>
        <v/>
      </c>
      <c r="C989">
        <f>IFERROR(INDEX(Calc!$N$2:$N$1001,MATCH(ROW()-1,Calc!$X$2:$X$1001,0)),"")</f>
        <v/>
      </c>
      <c r="D989" s="3">
        <f>IFERROR(INDEX(Calc!$O$2:$O$1001,MATCH(ROW()-1,Calc!$X$2:$X$1001,0)),"")</f>
        <v/>
      </c>
      <c r="E989" s="3">
        <f>IFERROR(INDEX(Calc!$P$2:$P$1001,MATCH(ROW()-1,Calc!$X$2:$X$1001,0)),"")</f>
        <v/>
      </c>
      <c r="F989" s="3">
        <f>IF(G989="","",E989-D989)</f>
        <v/>
      </c>
      <c r="G989">
        <f>IFERROR(INDEX(Calc!$S$2:$S$1001,MATCH(ROW()-1,Calc!$X$2:$X$1001,0)),"")</f>
        <v/>
      </c>
    </row>
    <row r="990">
      <c r="A990">
        <f>IFERROR(INDEX(Calc!$L$2:$L$1001,MATCH(ROW()-1,Calc!$X$2:$X$1001,0)),"")</f>
        <v/>
      </c>
      <c r="B990">
        <f>IFERROR(INDEX(Calc!$M$2:$M$1001,MATCH(ROW()-1,Calc!$X$2:$X$1001,0)),"")</f>
        <v/>
      </c>
      <c r="C990">
        <f>IFERROR(INDEX(Calc!$N$2:$N$1001,MATCH(ROW()-1,Calc!$X$2:$X$1001,0)),"")</f>
        <v/>
      </c>
      <c r="D990" s="3">
        <f>IFERROR(INDEX(Calc!$O$2:$O$1001,MATCH(ROW()-1,Calc!$X$2:$X$1001,0)),"")</f>
        <v/>
      </c>
      <c r="E990" s="3">
        <f>IFERROR(INDEX(Calc!$P$2:$P$1001,MATCH(ROW()-1,Calc!$X$2:$X$1001,0)),"")</f>
        <v/>
      </c>
      <c r="F990" s="3">
        <f>IF(G990="","",E990-D990)</f>
        <v/>
      </c>
      <c r="G990">
        <f>IFERROR(INDEX(Calc!$S$2:$S$1001,MATCH(ROW()-1,Calc!$X$2:$X$1001,0)),"")</f>
        <v/>
      </c>
    </row>
    <row r="991">
      <c r="A991">
        <f>IFERROR(INDEX(Calc!$L$2:$L$1001,MATCH(ROW()-1,Calc!$X$2:$X$1001,0)),"")</f>
        <v/>
      </c>
      <c r="B991">
        <f>IFERROR(INDEX(Calc!$M$2:$M$1001,MATCH(ROW()-1,Calc!$X$2:$X$1001,0)),"")</f>
        <v/>
      </c>
      <c r="C991">
        <f>IFERROR(INDEX(Calc!$N$2:$N$1001,MATCH(ROW()-1,Calc!$X$2:$X$1001,0)),"")</f>
        <v/>
      </c>
      <c r="D991" s="3">
        <f>IFERROR(INDEX(Calc!$O$2:$O$1001,MATCH(ROW()-1,Calc!$X$2:$X$1001,0)),"")</f>
        <v/>
      </c>
      <c r="E991" s="3">
        <f>IFERROR(INDEX(Calc!$P$2:$P$1001,MATCH(ROW()-1,Calc!$X$2:$X$1001,0)),"")</f>
        <v/>
      </c>
      <c r="F991" s="3">
        <f>IF(G991="","",E991-D991)</f>
        <v/>
      </c>
      <c r="G991">
        <f>IFERROR(INDEX(Calc!$S$2:$S$1001,MATCH(ROW()-1,Calc!$X$2:$X$1001,0)),"")</f>
        <v/>
      </c>
    </row>
    <row r="992">
      <c r="A992">
        <f>IFERROR(INDEX(Calc!$L$2:$L$1001,MATCH(ROW()-1,Calc!$X$2:$X$1001,0)),"")</f>
        <v/>
      </c>
      <c r="B992">
        <f>IFERROR(INDEX(Calc!$M$2:$M$1001,MATCH(ROW()-1,Calc!$X$2:$X$1001,0)),"")</f>
        <v/>
      </c>
      <c r="C992">
        <f>IFERROR(INDEX(Calc!$N$2:$N$1001,MATCH(ROW()-1,Calc!$X$2:$X$1001,0)),"")</f>
        <v/>
      </c>
      <c r="D992" s="3">
        <f>IFERROR(INDEX(Calc!$O$2:$O$1001,MATCH(ROW()-1,Calc!$X$2:$X$1001,0)),"")</f>
        <v/>
      </c>
      <c r="E992" s="3">
        <f>IFERROR(INDEX(Calc!$P$2:$P$1001,MATCH(ROW()-1,Calc!$X$2:$X$1001,0)),"")</f>
        <v/>
      </c>
      <c r="F992" s="3">
        <f>IF(G992="","",E992-D992)</f>
        <v/>
      </c>
      <c r="G992">
        <f>IFERROR(INDEX(Calc!$S$2:$S$1001,MATCH(ROW()-1,Calc!$X$2:$X$1001,0)),"")</f>
        <v/>
      </c>
    </row>
    <row r="993">
      <c r="A993">
        <f>IFERROR(INDEX(Calc!$L$2:$L$1001,MATCH(ROW()-1,Calc!$X$2:$X$1001,0)),"")</f>
        <v/>
      </c>
      <c r="B993">
        <f>IFERROR(INDEX(Calc!$M$2:$M$1001,MATCH(ROW()-1,Calc!$X$2:$X$1001,0)),"")</f>
        <v/>
      </c>
      <c r="C993">
        <f>IFERROR(INDEX(Calc!$N$2:$N$1001,MATCH(ROW()-1,Calc!$X$2:$X$1001,0)),"")</f>
        <v/>
      </c>
      <c r="D993" s="3">
        <f>IFERROR(INDEX(Calc!$O$2:$O$1001,MATCH(ROW()-1,Calc!$X$2:$X$1001,0)),"")</f>
        <v/>
      </c>
      <c r="E993" s="3">
        <f>IFERROR(INDEX(Calc!$P$2:$P$1001,MATCH(ROW()-1,Calc!$X$2:$X$1001,0)),"")</f>
        <v/>
      </c>
      <c r="F993" s="3">
        <f>IF(G993="","",E993-D993)</f>
        <v/>
      </c>
      <c r="G993">
        <f>IFERROR(INDEX(Calc!$S$2:$S$1001,MATCH(ROW()-1,Calc!$X$2:$X$1001,0)),"")</f>
        <v/>
      </c>
    </row>
    <row r="994">
      <c r="A994">
        <f>IFERROR(INDEX(Calc!$L$2:$L$1001,MATCH(ROW()-1,Calc!$X$2:$X$1001,0)),"")</f>
        <v/>
      </c>
      <c r="B994">
        <f>IFERROR(INDEX(Calc!$M$2:$M$1001,MATCH(ROW()-1,Calc!$X$2:$X$1001,0)),"")</f>
        <v/>
      </c>
      <c r="C994">
        <f>IFERROR(INDEX(Calc!$N$2:$N$1001,MATCH(ROW()-1,Calc!$X$2:$X$1001,0)),"")</f>
        <v/>
      </c>
      <c r="D994" s="3">
        <f>IFERROR(INDEX(Calc!$O$2:$O$1001,MATCH(ROW()-1,Calc!$X$2:$X$1001,0)),"")</f>
        <v/>
      </c>
      <c r="E994" s="3">
        <f>IFERROR(INDEX(Calc!$P$2:$P$1001,MATCH(ROW()-1,Calc!$X$2:$X$1001,0)),"")</f>
        <v/>
      </c>
      <c r="F994" s="3">
        <f>IF(G994="","",E994-D994)</f>
        <v/>
      </c>
      <c r="G994">
        <f>IFERROR(INDEX(Calc!$S$2:$S$1001,MATCH(ROW()-1,Calc!$X$2:$X$1001,0)),"")</f>
        <v/>
      </c>
    </row>
    <row r="995">
      <c r="A995">
        <f>IFERROR(INDEX(Calc!$L$2:$L$1001,MATCH(ROW()-1,Calc!$X$2:$X$1001,0)),"")</f>
        <v/>
      </c>
      <c r="B995">
        <f>IFERROR(INDEX(Calc!$M$2:$M$1001,MATCH(ROW()-1,Calc!$X$2:$X$1001,0)),"")</f>
        <v/>
      </c>
      <c r="C995">
        <f>IFERROR(INDEX(Calc!$N$2:$N$1001,MATCH(ROW()-1,Calc!$X$2:$X$1001,0)),"")</f>
        <v/>
      </c>
      <c r="D995" s="3">
        <f>IFERROR(INDEX(Calc!$O$2:$O$1001,MATCH(ROW()-1,Calc!$X$2:$X$1001,0)),"")</f>
        <v/>
      </c>
      <c r="E995" s="3">
        <f>IFERROR(INDEX(Calc!$P$2:$P$1001,MATCH(ROW()-1,Calc!$X$2:$X$1001,0)),"")</f>
        <v/>
      </c>
      <c r="F995" s="3">
        <f>IF(G995="","",E995-D995)</f>
        <v/>
      </c>
      <c r="G995">
        <f>IFERROR(INDEX(Calc!$S$2:$S$1001,MATCH(ROW()-1,Calc!$X$2:$X$1001,0)),"")</f>
        <v/>
      </c>
    </row>
    <row r="996">
      <c r="A996">
        <f>IFERROR(INDEX(Calc!$L$2:$L$1001,MATCH(ROW()-1,Calc!$X$2:$X$1001,0)),"")</f>
        <v/>
      </c>
      <c r="B996">
        <f>IFERROR(INDEX(Calc!$M$2:$M$1001,MATCH(ROW()-1,Calc!$X$2:$X$1001,0)),"")</f>
        <v/>
      </c>
      <c r="C996">
        <f>IFERROR(INDEX(Calc!$N$2:$N$1001,MATCH(ROW()-1,Calc!$X$2:$X$1001,0)),"")</f>
        <v/>
      </c>
      <c r="D996" s="3">
        <f>IFERROR(INDEX(Calc!$O$2:$O$1001,MATCH(ROW()-1,Calc!$X$2:$X$1001,0)),"")</f>
        <v/>
      </c>
      <c r="E996" s="3">
        <f>IFERROR(INDEX(Calc!$P$2:$P$1001,MATCH(ROW()-1,Calc!$X$2:$X$1001,0)),"")</f>
        <v/>
      </c>
      <c r="F996" s="3">
        <f>IF(G996="","",E996-D996)</f>
        <v/>
      </c>
      <c r="G996">
        <f>IFERROR(INDEX(Calc!$S$2:$S$1001,MATCH(ROW()-1,Calc!$X$2:$X$1001,0)),"")</f>
        <v/>
      </c>
    </row>
    <row r="997">
      <c r="A997">
        <f>IFERROR(INDEX(Calc!$L$2:$L$1001,MATCH(ROW()-1,Calc!$X$2:$X$1001,0)),"")</f>
        <v/>
      </c>
      <c r="B997">
        <f>IFERROR(INDEX(Calc!$M$2:$M$1001,MATCH(ROW()-1,Calc!$X$2:$X$1001,0)),"")</f>
        <v/>
      </c>
      <c r="C997">
        <f>IFERROR(INDEX(Calc!$N$2:$N$1001,MATCH(ROW()-1,Calc!$X$2:$X$1001,0)),"")</f>
        <v/>
      </c>
      <c r="D997" s="3">
        <f>IFERROR(INDEX(Calc!$O$2:$O$1001,MATCH(ROW()-1,Calc!$X$2:$X$1001,0)),"")</f>
        <v/>
      </c>
      <c r="E997" s="3">
        <f>IFERROR(INDEX(Calc!$P$2:$P$1001,MATCH(ROW()-1,Calc!$X$2:$X$1001,0)),"")</f>
        <v/>
      </c>
      <c r="F997" s="3">
        <f>IF(G997="","",E997-D997)</f>
        <v/>
      </c>
      <c r="G997">
        <f>IFERROR(INDEX(Calc!$S$2:$S$1001,MATCH(ROW()-1,Calc!$X$2:$X$1001,0)),"")</f>
        <v/>
      </c>
    </row>
    <row r="998">
      <c r="A998">
        <f>IFERROR(INDEX(Calc!$L$2:$L$1001,MATCH(ROW()-1,Calc!$X$2:$X$1001,0)),"")</f>
        <v/>
      </c>
      <c r="B998">
        <f>IFERROR(INDEX(Calc!$M$2:$M$1001,MATCH(ROW()-1,Calc!$X$2:$X$1001,0)),"")</f>
        <v/>
      </c>
      <c r="C998">
        <f>IFERROR(INDEX(Calc!$N$2:$N$1001,MATCH(ROW()-1,Calc!$X$2:$X$1001,0)),"")</f>
        <v/>
      </c>
      <c r="D998" s="3">
        <f>IFERROR(INDEX(Calc!$O$2:$O$1001,MATCH(ROW()-1,Calc!$X$2:$X$1001,0)),"")</f>
        <v/>
      </c>
      <c r="E998" s="3">
        <f>IFERROR(INDEX(Calc!$P$2:$P$1001,MATCH(ROW()-1,Calc!$X$2:$X$1001,0)),"")</f>
        <v/>
      </c>
      <c r="F998" s="3">
        <f>IF(G998="","",E998-D998)</f>
        <v/>
      </c>
      <c r="G998">
        <f>IFERROR(INDEX(Calc!$S$2:$S$1001,MATCH(ROW()-1,Calc!$X$2:$X$1001,0)),"")</f>
        <v/>
      </c>
    </row>
    <row r="999">
      <c r="A999">
        <f>IFERROR(INDEX(Calc!$L$2:$L$1001,MATCH(ROW()-1,Calc!$X$2:$X$1001,0)),"")</f>
        <v/>
      </c>
      <c r="B999">
        <f>IFERROR(INDEX(Calc!$M$2:$M$1001,MATCH(ROW()-1,Calc!$X$2:$X$1001,0)),"")</f>
        <v/>
      </c>
      <c r="C999">
        <f>IFERROR(INDEX(Calc!$N$2:$N$1001,MATCH(ROW()-1,Calc!$X$2:$X$1001,0)),"")</f>
        <v/>
      </c>
      <c r="D999" s="3">
        <f>IFERROR(INDEX(Calc!$O$2:$O$1001,MATCH(ROW()-1,Calc!$X$2:$X$1001,0)),"")</f>
        <v/>
      </c>
      <c r="E999" s="3">
        <f>IFERROR(INDEX(Calc!$P$2:$P$1001,MATCH(ROW()-1,Calc!$X$2:$X$1001,0)),"")</f>
        <v/>
      </c>
      <c r="F999" s="3">
        <f>IF(G999="","",E999-D999)</f>
        <v/>
      </c>
      <c r="G999">
        <f>IFERROR(INDEX(Calc!$S$2:$S$1001,MATCH(ROW()-1,Calc!$X$2:$X$1001,0)),"")</f>
        <v/>
      </c>
    </row>
    <row r="1000">
      <c r="A1000">
        <f>IFERROR(INDEX(Calc!$L$2:$L$1001,MATCH(ROW()-1,Calc!$X$2:$X$1001,0)),"")</f>
        <v/>
      </c>
      <c r="B1000">
        <f>IFERROR(INDEX(Calc!$M$2:$M$1001,MATCH(ROW()-1,Calc!$X$2:$X$1001,0)),"")</f>
        <v/>
      </c>
      <c r="C1000">
        <f>IFERROR(INDEX(Calc!$N$2:$N$1001,MATCH(ROW()-1,Calc!$X$2:$X$1001,0)),"")</f>
        <v/>
      </c>
      <c r="D1000" s="3">
        <f>IFERROR(INDEX(Calc!$O$2:$O$1001,MATCH(ROW()-1,Calc!$X$2:$X$1001,0)),"")</f>
        <v/>
      </c>
      <c r="E1000" s="3">
        <f>IFERROR(INDEX(Calc!$P$2:$P$1001,MATCH(ROW()-1,Calc!$X$2:$X$1001,0)),"")</f>
        <v/>
      </c>
      <c r="F1000" s="3">
        <f>IF(G1000="","",E1000-D1000)</f>
        <v/>
      </c>
      <c r="G1000">
        <f>IFERROR(INDEX(Calc!$S$2:$S$1001,MATCH(ROW()-1,Calc!$X$2:$X$1001,0)),"")</f>
        <v/>
      </c>
    </row>
    <row r="1001">
      <c r="A1001">
        <f>IFERROR(INDEX(Calc!$L$2:$L$1001,MATCH(ROW()-1,Calc!$X$2:$X$1001,0)),"")</f>
        <v/>
      </c>
      <c r="B1001">
        <f>IFERROR(INDEX(Calc!$M$2:$M$1001,MATCH(ROW()-1,Calc!$X$2:$X$1001,0)),"")</f>
        <v/>
      </c>
      <c r="C1001">
        <f>IFERROR(INDEX(Calc!$N$2:$N$1001,MATCH(ROW()-1,Calc!$X$2:$X$1001,0)),"")</f>
        <v/>
      </c>
      <c r="D1001" s="3">
        <f>IFERROR(INDEX(Calc!$O$2:$O$1001,MATCH(ROW()-1,Calc!$X$2:$X$1001,0)),"")</f>
        <v/>
      </c>
      <c r="E1001" s="3">
        <f>IFERROR(INDEX(Calc!$P$2:$P$1001,MATCH(ROW()-1,Calc!$X$2:$X$1001,0)),"")</f>
        <v/>
      </c>
      <c r="F1001" s="3">
        <f>IF(G1001="","",E1001-D1001)</f>
        <v/>
      </c>
      <c r="G1001">
        <f>IFERROR(INDEX(Calc!$S$2:$S$1001,MATCH(ROW()-1,Calc!$X$2:$X$1001,0)),"")</f>
        <v/>
      </c>
    </row>
  </sheetData>
  <autoFilter ref="A1:G1001"/>
  <conditionalFormatting sqref="A2:G1001">
    <cfRule type="expression" priority="1" dxfId="0">
      <formula>$G2="Match"</formula>
    </cfRule>
    <cfRule type="expression" priority="2" dxfId="1">
      <formula>$G2="Qty Different"</formula>
    </cfRule>
    <cfRule type="expression" priority="3" dxfId="2">
      <formula>$G2="Only in List 1"</formula>
    </cfRule>
    <cfRule type="expression" priority="4" dxfId="3">
      <formula>$G2="Only in List 2"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key1</t>
        </is>
      </c>
      <c r="B1" t="inlineStr">
        <is>
          <t>occ1</t>
        </is>
      </c>
      <c r="C1" t="inlineStr">
        <is>
          <t>keyocc1</t>
        </is>
      </c>
      <c r="D1" t="inlineStr">
        <is>
          <t>qty1</t>
        </is>
      </c>
      <c r="E1" t="inlineStr"/>
      <c r="F1" t="inlineStr">
        <is>
          <t>key2</t>
        </is>
      </c>
      <c r="G1" t="inlineStr">
        <is>
          <t>occ2</t>
        </is>
      </c>
      <c r="H1" t="inlineStr">
        <is>
          <t>keyocc2</t>
        </is>
      </c>
      <c r="I1" t="inlineStr">
        <is>
          <t>qty2</t>
        </is>
      </c>
      <c r="J1" t="inlineStr"/>
      <c r="K1" t="inlineStr">
        <is>
          <t>keyocc</t>
        </is>
      </c>
      <c r="L1" t="inlineStr">
        <is>
          <t>Item #</t>
        </is>
      </c>
      <c r="M1" t="inlineStr">
        <is>
          <t>Part #</t>
        </is>
      </c>
      <c r="N1" t="inlineStr">
        <is>
          <t>Part Description</t>
        </is>
      </c>
      <c r="O1" t="inlineStr">
        <is>
          <t>q1</t>
        </is>
      </c>
      <c r="P1" t="inlineStr">
        <is>
          <t>q2</t>
        </is>
      </c>
      <c r="Q1" t="inlineStr">
        <is>
          <t>in1</t>
        </is>
      </c>
      <c r="R1" t="inlineStr">
        <is>
          <t>in2</t>
        </is>
      </c>
      <c r="S1" t="inlineStr">
        <is>
          <t>Status</t>
        </is>
      </c>
      <c r="T1" t="inlineStr">
        <is>
          <t>itemKey</t>
        </is>
      </c>
      <c r="U1" t="inlineStr">
        <is>
          <t>partKey</t>
        </is>
      </c>
      <c r="V1" t="inlineStr">
        <is>
          <t>descKey</t>
        </is>
      </c>
      <c r="W1" t="inlineStr">
        <is>
          <t>occ</t>
        </is>
      </c>
      <c r="X1" t="inlineStr">
        <is>
          <t>rank</t>
        </is>
      </c>
    </row>
    <row r="2">
      <c r="A2">
        <f>IF(TRIM('List 1'!A2&amp;'List 1'!C2&amp;'List 1'!D2)="","",LOWER(TRIM('List 1'!A2)&amp;"|"&amp;TRIM('List 1'!C2)&amp;"|"&amp;TRIM('List 1'!D2)))</f>
        <v/>
      </c>
      <c r="B2">
        <f>IF(A2="","",SUMPRODUCT(--($A$2:A2=A2)))</f>
        <v/>
      </c>
      <c r="C2">
        <f>IF(A2="","",A2&amp;"#"&amp;B2)</f>
        <v/>
      </c>
      <c r="D2">
        <f>IF(A2="","",IFERROR(--'List 1'!B2,0))</f>
        <v/>
      </c>
      <c r="F2">
        <f>IF(TRIM('List 2'!A2&amp;'List 2'!C2&amp;'List 2'!D2)="","",LOWER(TRIM('List 2'!A2)&amp;"|"&amp;TRIM('List 2'!C2)&amp;"|"&amp;TRIM('List 2'!D2)))</f>
        <v/>
      </c>
      <c r="G2">
        <f>IF(F2="","",SUMPRODUCT(--($F$2:F2=F2)))</f>
        <v/>
      </c>
      <c r="H2">
        <f>IF(F2="","",F2&amp;"#"&amp;G2)</f>
        <v/>
      </c>
      <c r="I2">
        <f>IF(F2="","",IFERROR(--'List 2'!B2,0))</f>
        <v/>
      </c>
      <c r="K2">
        <f>C2</f>
        <v/>
      </c>
      <c r="L2">
        <f>IF(K2="","",IF(ISNUMBER('List 1'!A2),'List 1'!A2,TRIM('List 1'!A2)))</f>
        <v/>
      </c>
      <c r="M2">
        <f>IF(K2="","",IF(ISNUMBER('List 1'!C2),'List 1'!C2,TRIM('List 1'!C2)))</f>
        <v/>
      </c>
      <c r="N2">
        <f>IF(K2="","",IF(ISNUMBER('List 1'!D2),'List 1'!D2,TRIM('List 1'!D2)))</f>
        <v/>
      </c>
      <c r="O2">
        <f>IF(K2="","",D2)</f>
        <v/>
      </c>
      <c r="P2">
        <f>IF(K2="","",IF(R2,SUMPRODUCT(--($H$2:$H$501=K2),$I$2:$I$501),0))</f>
        <v/>
      </c>
      <c r="Q2">
        <f>IF(K2="","",TRUE)</f>
        <v/>
      </c>
      <c r="R2">
        <f>IF(K2="","",SUMPRODUCT(--($H$2:$H$501=K2))&gt;0)</f>
        <v/>
      </c>
      <c r="S2">
        <f>IF(K2="","",IF(AND(Q2,R2),IF(O2=P2,"Match","Qty Different"),IF(Q2,"Only in List 1","Only in List 2")))</f>
        <v/>
      </c>
      <c r="T2">
        <f>IF(K2="","",IF(ISNUMBER(--L2),TEXT(--L2,"000000000000.000"),LOWER(L2)))</f>
        <v/>
      </c>
      <c r="U2">
        <f>IF(K2="","",IF(ISNUMBER(--M2),TEXT(--M2,"000000000000.000"),LOWER(M2)))</f>
        <v/>
      </c>
      <c r="V2">
        <f>IF(K2="","",LOWER(N2))</f>
        <v/>
      </c>
      <c r="W2">
        <f>IF(K2="","",B2)</f>
        <v/>
      </c>
      <c r="X2">
        <f>IF(K2="","",1+SUMPRODUCT(($K$2:$K$1001&lt;&gt;"")*(($T$2:$T$1001&lt;T2)+($T$2:$T$1001=T2)*(($U$2:$U$1001&lt;U2)+($U$2:$U$1001=U2)*(($V$2:$V$1001&lt;V2)+($V$2:$V$1001=V2)*(($W$2:$W$1001&lt;W2)+($W$2:$W$1001=W2)*(ROW($K$2:$K$1001)&lt;ROW(K2))))))))</f>
        <v/>
      </c>
    </row>
    <row r="3">
      <c r="A3">
        <f>IF(TRIM('List 1'!A3&amp;'List 1'!C3&amp;'List 1'!D3)="","",LOWER(TRIM('List 1'!A3)&amp;"|"&amp;TRIM('List 1'!C3)&amp;"|"&amp;TRIM('List 1'!D3)))</f>
        <v/>
      </c>
      <c r="B3">
        <f>IF(A3="","",SUMPRODUCT(--($A$2:A3=A3)))</f>
        <v/>
      </c>
      <c r="C3">
        <f>IF(A3="","",A3&amp;"#"&amp;B3)</f>
        <v/>
      </c>
      <c r="D3">
        <f>IF(A3="","",IFERROR(--'List 1'!B3,0))</f>
        <v/>
      </c>
      <c r="F3">
        <f>IF(TRIM('List 2'!A3&amp;'List 2'!C3&amp;'List 2'!D3)="","",LOWER(TRIM('List 2'!A3)&amp;"|"&amp;TRIM('List 2'!C3)&amp;"|"&amp;TRIM('List 2'!D3)))</f>
        <v/>
      </c>
      <c r="G3">
        <f>IF(F3="","",SUMPRODUCT(--($F$2:F3=F3)))</f>
        <v/>
      </c>
      <c r="H3">
        <f>IF(F3="","",F3&amp;"#"&amp;G3)</f>
        <v/>
      </c>
      <c r="I3">
        <f>IF(F3="","",IFERROR(--'List 2'!B3,0))</f>
        <v/>
      </c>
      <c r="K3">
        <f>C3</f>
        <v/>
      </c>
      <c r="L3">
        <f>IF(K3="","",IF(ISNUMBER('List 1'!A3),'List 1'!A3,TRIM('List 1'!A3)))</f>
        <v/>
      </c>
      <c r="M3">
        <f>IF(K3="","",IF(ISNUMBER('List 1'!C3),'List 1'!C3,TRIM('List 1'!C3)))</f>
        <v/>
      </c>
      <c r="N3">
        <f>IF(K3="","",IF(ISNUMBER('List 1'!D3),'List 1'!D3,TRIM('List 1'!D3)))</f>
        <v/>
      </c>
      <c r="O3">
        <f>IF(K3="","",D3)</f>
        <v/>
      </c>
      <c r="P3">
        <f>IF(K3="","",IF(R3,SUMPRODUCT(--($H$2:$H$501=K3),$I$2:$I$501),0))</f>
        <v/>
      </c>
      <c r="Q3">
        <f>IF(K3="","",TRUE)</f>
        <v/>
      </c>
      <c r="R3">
        <f>IF(K3="","",SUMPRODUCT(--($H$2:$H$501=K3))&gt;0)</f>
        <v/>
      </c>
      <c r="S3">
        <f>IF(K3="","",IF(AND(Q3,R3),IF(O3=P3,"Match","Qty Different"),IF(Q3,"Only in List 1","Only in List 2")))</f>
        <v/>
      </c>
      <c r="T3">
        <f>IF(K3="","",IF(ISNUMBER(--L3),TEXT(--L3,"000000000000.000"),LOWER(L3)))</f>
        <v/>
      </c>
      <c r="U3">
        <f>IF(K3="","",IF(ISNUMBER(--M3),TEXT(--M3,"000000000000.000"),LOWER(M3)))</f>
        <v/>
      </c>
      <c r="V3">
        <f>IF(K3="","",LOWER(N3))</f>
        <v/>
      </c>
      <c r="W3">
        <f>IF(K3="","",B3)</f>
        <v/>
      </c>
      <c r="X3">
        <f>IF(K3="","",1+SUMPRODUCT(($K$2:$K$1001&lt;&gt;"")*(($T$2:$T$1001&lt;T3)+($T$2:$T$1001=T3)*(($U$2:$U$1001&lt;U3)+($U$2:$U$1001=U3)*(($V$2:$V$1001&lt;V3)+($V$2:$V$1001=V3)*(($W$2:$W$1001&lt;W3)+($W$2:$W$1001=W3)*(ROW($K$2:$K$1001)&lt;ROW(K3))))))))</f>
        <v/>
      </c>
    </row>
    <row r="4">
      <c r="A4">
        <f>IF(TRIM('List 1'!A4&amp;'List 1'!C4&amp;'List 1'!D4)="","",LOWER(TRIM('List 1'!A4)&amp;"|"&amp;TRIM('List 1'!C4)&amp;"|"&amp;TRIM('List 1'!D4)))</f>
        <v/>
      </c>
      <c r="B4">
        <f>IF(A4="","",SUMPRODUCT(--($A$2:A4=A4)))</f>
        <v/>
      </c>
      <c r="C4">
        <f>IF(A4="","",A4&amp;"#"&amp;B4)</f>
        <v/>
      </c>
      <c r="D4">
        <f>IF(A4="","",IFERROR(--'List 1'!B4,0))</f>
        <v/>
      </c>
      <c r="F4">
        <f>IF(TRIM('List 2'!A4&amp;'List 2'!C4&amp;'List 2'!D4)="","",LOWER(TRIM('List 2'!A4)&amp;"|"&amp;TRIM('List 2'!C4)&amp;"|"&amp;TRIM('List 2'!D4)))</f>
        <v/>
      </c>
      <c r="G4">
        <f>IF(F4="","",SUMPRODUCT(--($F$2:F4=F4)))</f>
        <v/>
      </c>
      <c r="H4">
        <f>IF(F4="","",F4&amp;"#"&amp;G4)</f>
        <v/>
      </c>
      <c r="I4">
        <f>IF(F4="","",IFERROR(--'List 2'!B4,0))</f>
        <v/>
      </c>
      <c r="K4">
        <f>C4</f>
        <v/>
      </c>
      <c r="L4">
        <f>IF(K4="","",IF(ISNUMBER('List 1'!A4),'List 1'!A4,TRIM('List 1'!A4)))</f>
        <v/>
      </c>
      <c r="M4">
        <f>IF(K4="","",IF(ISNUMBER('List 1'!C4),'List 1'!C4,TRIM('List 1'!C4)))</f>
        <v/>
      </c>
      <c r="N4">
        <f>IF(K4="","",IF(ISNUMBER('List 1'!D4),'List 1'!D4,TRIM('List 1'!D4)))</f>
        <v/>
      </c>
      <c r="O4">
        <f>IF(K4="","",D4)</f>
        <v/>
      </c>
      <c r="P4">
        <f>IF(K4="","",IF(R4,SUMPRODUCT(--($H$2:$H$501=K4),$I$2:$I$501),0))</f>
        <v/>
      </c>
      <c r="Q4">
        <f>IF(K4="","",TRUE)</f>
        <v/>
      </c>
      <c r="R4">
        <f>IF(K4="","",SUMPRODUCT(--($H$2:$H$501=K4))&gt;0)</f>
        <v/>
      </c>
      <c r="S4">
        <f>IF(K4="","",IF(AND(Q4,R4),IF(O4=P4,"Match","Qty Different"),IF(Q4,"Only in List 1","Only in List 2")))</f>
        <v/>
      </c>
      <c r="T4">
        <f>IF(K4="","",IF(ISNUMBER(--L4),TEXT(--L4,"000000000000.000"),LOWER(L4)))</f>
        <v/>
      </c>
      <c r="U4">
        <f>IF(K4="","",IF(ISNUMBER(--M4),TEXT(--M4,"000000000000.000"),LOWER(M4)))</f>
        <v/>
      </c>
      <c r="V4">
        <f>IF(K4="","",LOWER(N4))</f>
        <v/>
      </c>
      <c r="W4">
        <f>IF(K4="","",B4)</f>
        <v/>
      </c>
      <c r="X4">
        <f>IF(K4="","",1+SUMPRODUCT(($K$2:$K$1001&lt;&gt;"")*(($T$2:$T$1001&lt;T4)+($T$2:$T$1001=T4)*(($U$2:$U$1001&lt;U4)+($U$2:$U$1001=U4)*(($V$2:$V$1001&lt;V4)+($V$2:$V$1001=V4)*(($W$2:$W$1001&lt;W4)+($W$2:$W$1001=W4)*(ROW($K$2:$K$1001)&lt;ROW(K4))))))))</f>
        <v/>
      </c>
    </row>
    <row r="5">
      <c r="A5">
        <f>IF(TRIM('List 1'!A5&amp;'List 1'!C5&amp;'List 1'!D5)="","",LOWER(TRIM('List 1'!A5)&amp;"|"&amp;TRIM('List 1'!C5)&amp;"|"&amp;TRIM('List 1'!D5)))</f>
        <v/>
      </c>
      <c r="B5">
        <f>IF(A5="","",SUMPRODUCT(--($A$2:A5=A5)))</f>
        <v/>
      </c>
      <c r="C5">
        <f>IF(A5="","",A5&amp;"#"&amp;B5)</f>
        <v/>
      </c>
      <c r="D5">
        <f>IF(A5="","",IFERROR(--'List 1'!B5,0))</f>
        <v/>
      </c>
      <c r="F5">
        <f>IF(TRIM('List 2'!A5&amp;'List 2'!C5&amp;'List 2'!D5)="","",LOWER(TRIM('List 2'!A5)&amp;"|"&amp;TRIM('List 2'!C5)&amp;"|"&amp;TRIM('List 2'!D5)))</f>
        <v/>
      </c>
      <c r="G5">
        <f>IF(F5="","",SUMPRODUCT(--($F$2:F5=F5)))</f>
        <v/>
      </c>
      <c r="H5">
        <f>IF(F5="","",F5&amp;"#"&amp;G5)</f>
        <v/>
      </c>
      <c r="I5">
        <f>IF(F5="","",IFERROR(--'List 2'!B5,0))</f>
        <v/>
      </c>
      <c r="K5">
        <f>C5</f>
        <v/>
      </c>
      <c r="L5">
        <f>IF(K5="","",IF(ISNUMBER('List 1'!A5),'List 1'!A5,TRIM('List 1'!A5)))</f>
        <v/>
      </c>
      <c r="M5">
        <f>IF(K5="","",IF(ISNUMBER('List 1'!C5),'List 1'!C5,TRIM('List 1'!C5)))</f>
        <v/>
      </c>
      <c r="N5">
        <f>IF(K5="","",IF(ISNUMBER('List 1'!D5),'List 1'!D5,TRIM('List 1'!D5)))</f>
        <v/>
      </c>
      <c r="O5">
        <f>IF(K5="","",D5)</f>
        <v/>
      </c>
      <c r="P5">
        <f>IF(K5="","",IF(R5,SUMPRODUCT(--($H$2:$H$501=K5),$I$2:$I$501),0))</f>
        <v/>
      </c>
      <c r="Q5">
        <f>IF(K5="","",TRUE)</f>
        <v/>
      </c>
      <c r="R5">
        <f>IF(K5="","",SUMPRODUCT(--($H$2:$H$501=K5))&gt;0)</f>
        <v/>
      </c>
      <c r="S5">
        <f>IF(K5="","",IF(AND(Q5,R5),IF(O5=P5,"Match","Qty Different"),IF(Q5,"Only in List 1","Only in List 2")))</f>
        <v/>
      </c>
      <c r="T5">
        <f>IF(K5="","",IF(ISNUMBER(--L5),TEXT(--L5,"000000000000.000"),LOWER(L5)))</f>
        <v/>
      </c>
      <c r="U5">
        <f>IF(K5="","",IF(ISNUMBER(--M5),TEXT(--M5,"000000000000.000"),LOWER(M5)))</f>
        <v/>
      </c>
      <c r="V5">
        <f>IF(K5="","",LOWER(N5))</f>
        <v/>
      </c>
      <c r="W5">
        <f>IF(K5="","",B5)</f>
        <v/>
      </c>
      <c r="X5">
        <f>IF(K5="","",1+SUMPRODUCT(($K$2:$K$1001&lt;&gt;"")*(($T$2:$T$1001&lt;T5)+($T$2:$T$1001=T5)*(($U$2:$U$1001&lt;U5)+($U$2:$U$1001=U5)*(($V$2:$V$1001&lt;V5)+($V$2:$V$1001=V5)*(($W$2:$W$1001&lt;W5)+($W$2:$W$1001=W5)*(ROW($K$2:$K$1001)&lt;ROW(K5))))))))</f>
        <v/>
      </c>
    </row>
    <row r="6">
      <c r="A6">
        <f>IF(TRIM('List 1'!A6&amp;'List 1'!C6&amp;'List 1'!D6)="","",LOWER(TRIM('List 1'!A6)&amp;"|"&amp;TRIM('List 1'!C6)&amp;"|"&amp;TRIM('List 1'!D6)))</f>
        <v/>
      </c>
      <c r="B6">
        <f>IF(A6="","",SUMPRODUCT(--($A$2:A6=A6)))</f>
        <v/>
      </c>
      <c r="C6">
        <f>IF(A6="","",A6&amp;"#"&amp;B6)</f>
        <v/>
      </c>
      <c r="D6">
        <f>IF(A6="","",IFERROR(--'List 1'!B6,0))</f>
        <v/>
      </c>
      <c r="F6">
        <f>IF(TRIM('List 2'!A6&amp;'List 2'!C6&amp;'List 2'!D6)="","",LOWER(TRIM('List 2'!A6)&amp;"|"&amp;TRIM('List 2'!C6)&amp;"|"&amp;TRIM('List 2'!D6)))</f>
        <v/>
      </c>
      <c r="G6">
        <f>IF(F6="","",SUMPRODUCT(--($F$2:F6=F6)))</f>
        <v/>
      </c>
      <c r="H6">
        <f>IF(F6="","",F6&amp;"#"&amp;G6)</f>
        <v/>
      </c>
      <c r="I6">
        <f>IF(F6="","",IFERROR(--'List 2'!B6,0))</f>
        <v/>
      </c>
      <c r="K6">
        <f>C6</f>
        <v/>
      </c>
      <c r="L6">
        <f>IF(K6="","",IF(ISNUMBER('List 1'!A6),'List 1'!A6,TRIM('List 1'!A6)))</f>
        <v/>
      </c>
      <c r="M6">
        <f>IF(K6="","",IF(ISNUMBER('List 1'!C6),'List 1'!C6,TRIM('List 1'!C6)))</f>
        <v/>
      </c>
      <c r="N6">
        <f>IF(K6="","",IF(ISNUMBER('List 1'!D6),'List 1'!D6,TRIM('List 1'!D6)))</f>
        <v/>
      </c>
      <c r="O6">
        <f>IF(K6="","",D6)</f>
        <v/>
      </c>
      <c r="P6">
        <f>IF(K6="","",IF(R6,SUMPRODUCT(--($H$2:$H$501=K6),$I$2:$I$501),0))</f>
        <v/>
      </c>
      <c r="Q6">
        <f>IF(K6="","",TRUE)</f>
        <v/>
      </c>
      <c r="R6">
        <f>IF(K6="","",SUMPRODUCT(--($H$2:$H$501=K6))&gt;0)</f>
        <v/>
      </c>
      <c r="S6">
        <f>IF(K6="","",IF(AND(Q6,R6),IF(O6=P6,"Match","Qty Different"),IF(Q6,"Only in List 1","Only in List 2")))</f>
        <v/>
      </c>
      <c r="T6">
        <f>IF(K6="","",IF(ISNUMBER(--L6),TEXT(--L6,"000000000000.000"),LOWER(L6)))</f>
        <v/>
      </c>
      <c r="U6">
        <f>IF(K6="","",IF(ISNUMBER(--M6),TEXT(--M6,"000000000000.000"),LOWER(M6)))</f>
        <v/>
      </c>
      <c r="V6">
        <f>IF(K6="","",LOWER(N6))</f>
        <v/>
      </c>
      <c r="W6">
        <f>IF(K6="","",B6)</f>
        <v/>
      </c>
      <c r="X6">
        <f>IF(K6="","",1+SUMPRODUCT(($K$2:$K$1001&lt;&gt;"")*(($T$2:$T$1001&lt;T6)+($T$2:$T$1001=T6)*(($U$2:$U$1001&lt;U6)+($U$2:$U$1001=U6)*(($V$2:$V$1001&lt;V6)+($V$2:$V$1001=V6)*(($W$2:$W$1001&lt;W6)+($W$2:$W$1001=W6)*(ROW($K$2:$K$1001)&lt;ROW(K6))))))))</f>
        <v/>
      </c>
    </row>
    <row r="7">
      <c r="A7">
        <f>IF(TRIM('List 1'!A7&amp;'List 1'!C7&amp;'List 1'!D7)="","",LOWER(TRIM('List 1'!A7)&amp;"|"&amp;TRIM('List 1'!C7)&amp;"|"&amp;TRIM('List 1'!D7)))</f>
        <v/>
      </c>
      <c r="B7">
        <f>IF(A7="","",SUMPRODUCT(--($A$2:A7=A7)))</f>
        <v/>
      </c>
      <c r="C7">
        <f>IF(A7="","",A7&amp;"#"&amp;B7)</f>
        <v/>
      </c>
      <c r="D7">
        <f>IF(A7="","",IFERROR(--'List 1'!B7,0))</f>
        <v/>
      </c>
      <c r="F7">
        <f>IF(TRIM('List 2'!A7&amp;'List 2'!C7&amp;'List 2'!D7)="","",LOWER(TRIM('List 2'!A7)&amp;"|"&amp;TRIM('List 2'!C7)&amp;"|"&amp;TRIM('List 2'!D7)))</f>
        <v/>
      </c>
      <c r="G7">
        <f>IF(F7="","",SUMPRODUCT(--($F$2:F7=F7)))</f>
        <v/>
      </c>
      <c r="H7">
        <f>IF(F7="","",F7&amp;"#"&amp;G7)</f>
        <v/>
      </c>
      <c r="I7">
        <f>IF(F7="","",IFERROR(--'List 2'!B7,0))</f>
        <v/>
      </c>
      <c r="K7">
        <f>C7</f>
        <v/>
      </c>
      <c r="L7">
        <f>IF(K7="","",IF(ISNUMBER('List 1'!A7),'List 1'!A7,TRIM('List 1'!A7)))</f>
        <v/>
      </c>
      <c r="M7">
        <f>IF(K7="","",IF(ISNUMBER('List 1'!C7),'List 1'!C7,TRIM('List 1'!C7)))</f>
        <v/>
      </c>
      <c r="N7">
        <f>IF(K7="","",IF(ISNUMBER('List 1'!D7),'List 1'!D7,TRIM('List 1'!D7)))</f>
        <v/>
      </c>
      <c r="O7">
        <f>IF(K7="","",D7)</f>
        <v/>
      </c>
      <c r="P7">
        <f>IF(K7="","",IF(R7,SUMPRODUCT(--($H$2:$H$501=K7),$I$2:$I$501),0))</f>
        <v/>
      </c>
      <c r="Q7">
        <f>IF(K7="","",TRUE)</f>
        <v/>
      </c>
      <c r="R7">
        <f>IF(K7="","",SUMPRODUCT(--($H$2:$H$501=K7))&gt;0)</f>
        <v/>
      </c>
      <c r="S7">
        <f>IF(K7="","",IF(AND(Q7,R7),IF(O7=P7,"Match","Qty Different"),IF(Q7,"Only in List 1","Only in List 2")))</f>
        <v/>
      </c>
      <c r="T7">
        <f>IF(K7="","",IF(ISNUMBER(--L7),TEXT(--L7,"000000000000.000"),LOWER(L7)))</f>
        <v/>
      </c>
      <c r="U7">
        <f>IF(K7="","",IF(ISNUMBER(--M7),TEXT(--M7,"000000000000.000"),LOWER(M7)))</f>
        <v/>
      </c>
      <c r="V7">
        <f>IF(K7="","",LOWER(N7))</f>
        <v/>
      </c>
      <c r="W7">
        <f>IF(K7="","",B7)</f>
        <v/>
      </c>
      <c r="X7">
        <f>IF(K7="","",1+SUMPRODUCT(($K$2:$K$1001&lt;&gt;"")*(($T$2:$T$1001&lt;T7)+($T$2:$T$1001=T7)*(($U$2:$U$1001&lt;U7)+($U$2:$U$1001=U7)*(($V$2:$V$1001&lt;V7)+($V$2:$V$1001=V7)*(($W$2:$W$1001&lt;W7)+($W$2:$W$1001=W7)*(ROW($K$2:$K$1001)&lt;ROW(K7))))))))</f>
        <v/>
      </c>
    </row>
    <row r="8">
      <c r="A8">
        <f>IF(TRIM('List 1'!A8&amp;'List 1'!C8&amp;'List 1'!D8)="","",LOWER(TRIM('List 1'!A8)&amp;"|"&amp;TRIM('List 1'!C8)&amp;"|"&amp;TRIM('List 1'!D8)))</f>
        <v/>
      </c>
      <c r="B8">
        <f>IF(A8="","",SUMPRODUCT(--($A$2:A8=A8)))</f>
        <v/>
      </c>
      <c r="C8">
        <f>IF(A8="","",A8&amp;"#"&amp;B8)</f>
        <v/>
      </c>
      <c r="D8">
        <f>IF(A8="","",IFERROR(--'List 1'!B8,0))</f>
        <v/>
      </c>
      <c r="F8">
        <f>IF(TRIM('List 2'!A8&amp;'List 2'!C8&amp;'List 2'!D8)="","",LOWER(TRIM('List 2'!A8)&amp;"|"&amp;TRIM('List 2'!C8)&amp;"|"&amp;TRIM('List 2'!D8)))</f>
        <v/>
      </c>
      <c r="G8">
        <f>IF(F8="","",SUMPRODUCT(--($F$2:F8=F8)))</f>
        <v/>
      </c>
      <c r="H8">
        <f>IF(F8="","",F8&amp;"#"&amp;G8)</f>
        <v/>
      </c>
      <c r="I8">
        <f>IF(F8="","",IFERROR(--'List 2'!B8,0))</f>
        <v/>
      </c>
      <c r="K8">
        <f>C8</f>
        <v/>
      </c>
      <c r="L8">
        <f>IF(K8="","",IF(ISNUMBER('List 1'!A8),'List 1'!A8,TRIM('List 1'!A8)))</f>
        <v/>
      </c>
      <c r="M8">
        <f>IF(K8="","",IF(ISNUMBER('List 1'!C8),'List 1'!C8,TRIM('List 1'!C8)))</f>
        <v/>
      </c>
      <c r="N8">
        <f>IF(K8="","",IF(ISNUMBER('List 1'!D8),'List 1'!D8,TRIM('List 1'!D8)))</f>
        <v/>
      </c>
      <c r="O8">
        <f>IF(K8="","",D8)</f>
        <v/>
      </c>
      <c r="P8">
        <f>IF(K8="","",IF(R8,SUMPRODUCT(--($H$2:$H$501=K8),$I$2:$I$501),0))</f>
        <v/>
      </c>
      <c r="Q8">
        <f>IF(K8="","",TRUE)</f>
        <v/>
      </c>
      <c r="R8">
        <f>IF(K8="","",SUMPRODUCT(--($H$2:$H$501=K8))&gt;0)</f>
        <v/>
      </c>
      <c r="S8">
        <f>IF(K8="","",IF(AND(Q8,R8),IF(O8=P8,"Match","Qty Different"),IF(Q8,"Only in List 1","Only in List 2")))</f>
        <v/>
      </c>
      <c r="T8">
        <f>IF(K8="","",IF(ISNUMBER(--L8),TEXT(--L8,"000000000000.000"),LOWER(L8)))</f>
        <v/>
      </c>
      <c r="U8">
        <f>IF(K8="","",IF(ISNUMBER(--M8),TEXT(--M8,"000000000000.000"),LOWER(M8)))</f>
        <v/>
      </c>
      <c r="V8">
        <f>IF(K8="","",LOWER(N8))</f>
        <v/>
      </c>
      <c r="W8">
        <f>IF(K8="","",B8)</f>
        <v/>
      </c>
      <c r="X8">
        <f>IF(K8="","",1+SUMPRODUCT(($K$2:$K$1001&lt;&gt;"")*(($T$2:$T$1001&lt;T8)+($T$2:$T$1001=T8)*(($U$2:$U$1001&lt;U8)+($U$2:$U$1001=U8)*(($V$2:$V$1001&lt;V8)+($V$2:$V$1001=V8)*(($W$2:$W$1001&lt;W8)+($W$2:$W$1001=W8)*(ROW($K$2:$K$1001)&lt;ROW(K8))))))))</f>
        <v/>
      </c>
    </row>
    <row r="9">
      <c r="A9">
        <f>IF(TRIM('List 1'!A9&amp;'List 1'!C9&amp;'List 1'!D9)="","",LOWER(TRIM('List 1'!A9)&amp;"|"&amp;TRIM('List 1'!C9)&amp;"|"&amp;TRIM('List 1'!D9)))</f>
        <v/>
      </c>
      <c r="B9">
        <f>IF(A9="","",SUMPRODUCT(--($A$2:A9=A9)))</f>
        <v/>
      </c>
      <c r="C9">
        <f>IF(A9="","",A9&amp;"#"&amp;B9)</f>
        <v/>
      </c>
      <c r="D9">
        <f>IF(A9="","",IFERROR(--'List 1'!B9,0))</f>
        <v/>
      </c>
      <c r="F9">
        <f>IF(TRIM('List 2'!A9&amp;'List 2'!C9&amp;'List 2'!D9)="","",LOWER(TRIM('List 2'!A9)&amp;"|"&amp;TRIM('List 2'!C9)&amp;"|"&amp;TRIM('List 2'!D9)))</f>
        <v/>
      </c>
      <c r="G9">
        <f>IF(F9="","",SUMPRODUCT(--($F$2:F9=F9)))</f>
        <v/>
      </c>
      <c r="H9">
        <f>IF(F9="","",F9&amp;"#"&amp;G9)</f>
        <v/>
      </c>
      <c r="I9">
        <f>IF(F9="","",IFERROR(--'List 2'!B9,0))</f>
        <v/>
      </c>
      <c r="K9">
        <f>C9</f>
        <v/>
      </c>
      <c r="L9">
        <f>IF(K9="","",IF(ISNUMBER('List 1'!A9),'List 1'!A9,TRIM('List 1'!A9)))</f>
        <v/>
      </c>
      <c r="M9">
        <f>IF(K9="","",IF(ISNUMBER('List 1'!C9),'List 1'!C9,TRIM('List 1'!C9)))</f>
        <v/>
      </c>
      <c r="N9">
        <f>IF(K9="","",IF(ISNUMBER('List 1'!D9),'List 1'!D9,TRIM('List 1'!D9)))</f>
        <v/>
      </c>
      <c r="O9">
        <f>IF(K9="","",D9)</f>
        <v/>
      </c>
      <c r="P9">
        <f>IF(K9="","",IF(R9,SUMPRODUCT(--($H$2:$H$501=K9),$I$2:$I$501),0))</f>
        <v/>
      </c>
      <c r="Q9">
        <f>IF(K9="","",TRUE)</f>
        <v/>
      </c>
      <c r="R9">
        <f>IF(K9="","",SUMPRODUCT(--($H$2:$H$501=K9))&gt;0)</f>
        <v/>
      </c>
      <c r="S9">
        <f>IF(K9="","",IF(AND(Q9,R9),IF(O9=P9,"Match","Qty Different"),IF(Q9,"Only in List 1","Only in List 2")))</f>
        <v/>
      </c>
      <c r="T9">
        <f>IF(K9="","",IF(ISNUMBER(--L9),TEXT(--L9,"000000000000.000"),LOWER(L9)))</f>
        <v/>
      </c>
      <c r="U9">
        <f>IF(K9="","",IF(ISNUMBER(--M9),TEXT(--M9,"000000000000.000"),LOWER(M9)))</f>
        <v/>
      </c>
      <c r="V9">
        <f>IF(K9="","",LOWER(N9))</f>
        <v/>
      </c>
      <c r="W9">
        <f>IF(K9="","",B9)</f>
        <v/>
      </c>
      <c r="X9">
        <f>IF(K9="","",1+SUMPRODUCT(($K$2:$K$1001&lt;&gt;"")*(($T$2:$T$1001&lt;T9)+($T$2:$T$1001=T9)*(($U$2:$U$1001&lt;U9)+($U$2:$U$1001=U9)*(($V$2:$V$1001&lt;V9)+($V$2:$V$1001=V9)*(($W$2:$W$1001&lt;W9)+($W$2:$W$1001=W9)*(ROW($K$2:$K$1001)&lt;ROW(K9))))))))</f>
        <v/>
      </c>
    </row>
    <row r="10">
      <c r="A10">
        <f>IF(TRIM('List 1'!A10&amp;'List 1'!C10&amp;'List 1'!D10)="","",LOWER(TRIM('List 1'!A10)&amp;"|"&amp;TRIM('List 1'!C10)&amp;"|"&amp;TRIM('List 1'!D10)))</f>
        <v/>
      </c>
      <c r="B10">
        <f>IF(A10="","",SUMPRODUCT(--($A$2:A10=A10)))</f>
        <v/>
      </c>
      <c r="C10">
        <f>IF(A10="","",A10&amp;"#"&amp;B10)</f>
        <v/>
      </c>
      <c r="D10">
        <f>IF(A10="","",IFERROR(--'List 1'!B10,0))</f>
        <v/>
      </c>
      <c r="F10">
        <f>IF(TRIM('List 2'!A10&amp;'List 2'!C10&amp;'List 2'!D10)="","",LOWER(TRIM('List 2'!A10)&amp;"|"&amp;TRIM('List 2'!C10)&amp;"|"&amp;TRIM('List 2'!D10)))</f>
        <v/>
      </c>
      <c r="G10">
        <f>IF(F10="","",SUMPRODUCT(--($F$2:F10=F10)))</f>
        <v/>
      </c>
      <c r="H10">
        <f>IF(F10="","",F10&amp;"#"&amp;G10)</f>
        <v/>
      </c>
      <c r="I10">
        <f>IF(F10="","",IFERROR(--'List 2'!B10,0))</f>
        <v/>
      </c>
      <c r="K10">
        <f>C10</f>
        <v/>
      </c>
      <c r="L10">
        <f>IF(K10="","",IF(ISNUMBER('List 1'!A10),'List 1'!A10,TRIM('List 1'!A10)))</f>
        <v/>
      </c>
      <c r="M10">
        <f>IF(K10="","",IF(ISNUMBER('List 1'!C10),'List 1'!C10,TRIM('List 1'!C10)))</f>
        <v/>
      </c>
      <c r="N10">
        <f>IF(K10="","",IF(ISNUMBER('List 1'!D10),'List 1'!D10,TRIM('List 1'!D10)))</f>
        <v/>
      </c>
      <c r="O10">
        <f>IF(K10="","",D10)</f>
        <v/>
      </c>
      <c r="P10">
        <f>IF(K10="","",IF(R10,SUMPRODUCT(--($H$2:$H$501=K10),$I$2:$I$501),0))</f>
        <v/>
      </c>
      <c r="Q10">
        <f>IF(K10="","",TRUE)</f>
        <v/>
      </c>
      <c r="R10">
        <f>IF(K10="","",SUMPRODUCT(--($H$2:$H$501=K10))&gt;0)</f>
        <v/>
      </c>
      <c r="S10">
        <f>IF(K10="","",IF(AND(Q10,R10),IF(O10=P10,"Match","Qty Different"),IF(Q10,"Only in List 1","Only in List 2")))</f>
        <v/>
      </c>
      <c r="T10">
        <f>IF(K10="","",IF(ISNUMBER(--L10),TEXT(--L10,"000000000000.000"),LOWER(L10)))</f>
        <v/>
      </c>
      <c r="U10">
        <f>IF(K10="","",IF(ISNUMBER(--M10),TEXT(--M10,"000000000000.000"),LOWER(M10)))</f>
        <v/>
      </c>
      <c r="V10">
        <f>IF(K10="","",LOWER(N10))</f>
        <v/>
      </c>
      <c r="W10">
        <f>IF(K10="","",B10)</f>
        <v/>
      </c>
      <c r="X10">
        <f>IF(K10="","",1+SUMPRODUCT(($K$2:$K$1001&lt;&gt;"")*(($T$2:$T$1001&lt;T10)+($T$2:$T$1001=T10)*(($U$2:$U$1001&lt;U10)+($U$2:$U$1001=U10)*(($V$2:$V$1001&lt;V10)+($V$2:$V$1001=V10)*(($W$2:$W$1001&lt;W10)+($W$2:$W$1001=W10)*(ROW($K$2:$K$1001)&lt;ROW(K10))))))))</f>
        <v/>
      </c>
    </row>
    <row r="11">
      <c r="A11">
        <f>IF(TRIM('List 1'!A11&amp;'List 1'!C11&amp;'List 1'!D11)="","",LOWER(TRIM('List 1'!A11)&amp;"|"&amp;TRIM('List 1'!C11)&amp;"|"&amp;TRIM('List 1'!D11)))</f>
        <v/>
      </c>
      <c r="B11">
        <f>IF(A11="","",SUMPRODUCT(--($A$2:A11=A11)))</f>
        <v/>
      </c>
      <c r="C11">
        <f>IF(A11="","",A11&amp;"#"&amp;B11)</f>
        <v/>
      </c>
      <c r="D11">
        <f>IF(A11="","",IFERROR(--'List 1'!B11,0))</f>
        <v/>
      </c>
      <c r="F11">
        <f>IF(TRIM('List 2'!A11&amp;'List 2'!C11&amp;'List 2'!D11)="","",LOWER(TRIM('List 2'!A11)&amp;"|"&amp;TRIM('List 2'!C11)&amp;"|"&amp;TRIM('List 2'!D11)))</f>
        <v/>
      </c>
      <c r="G11">
        <f>IF(F11="","",SUMPRODUCT(--($F$2:F11=F11)))</f>
        <v/>
      </c>
      <c r="H11">
        <f>IF(F11="","",F11&amp;"#"&amp;G11)</f>
        <v/>
      </c>
      <c r="I11">
        <f>IF(F11="","",IFERROR(--'List 2'!B11,0))</f>
        <v/>
      </c>
      <c r="K11">
        <f>C11</f>
        <v/>
      </c>
      <c r="L11">
        <f>IF(K11="","",IF(ISNUMBER('List 1'!A11),'List 1'!A11,TRIM('List 1'!A11)))</f>
        <v/>
      </c>
      <c r="M11">
        <f>IF(K11="","",IF(ISNUMBER('List 1'!C11),'List 1'!C11,TRIM('List 1'!C11)))</f>
        <v/>
      </c>
      <c r="N11">
        <f>IF(K11="","",IF(ISNUMBER('List 1'!D11),'List 1'!D11,TRIM('List 1'!D11)))</f>
        <v/>
      </c>
      <c r="O11">
        <f>IF(K11="","",D11)</f>
        <v/>
      </c>
      <c r="P11">
        <f>IF(K11="","",IF(R11,SUMPRODUCT(--($H$2:$H$501=K11),$I$2:$I$501),0))</f>
        <v/>
      </c>
      <c r="Q11">
        <f>IF(K11="","",TRUE)</f>
        <v/>
      </c>
      <c r="R11">
        <f>IF(K11="","",SUMPRODUCT(--($H$2:$H$501=K11))&gt;0)</f>
        <v/>
      </c>
      <c r="S11">
        <f>IF(K11="","",IF(AND(Q11,R11),IF(O11=P11,"Match","Qty Different"),IF(Q11,"Only in List 1","Only in List 2")))</f>
        <v/>
      </c>
      <c r="T11">
        <f>IF(K11="","",IF(ISNUMBER(--L11),TEXT(--L11,"000000000000.000"),LOWER(L11)))</f>
        <v/>
      </c>
      <c r="U11">
        <f>IF(K11="","",IF(ISNUMBER(--M11),TEXT(--M11,"000000000000.000"),LOWER(M11)))</f>
        <v/>
      </c>
      <c r="V11">
        <f>IF(K11="","",LOWER(N11))</f>
        <v/>
      </c>
      <c r="W11">
        <f>IF(K11="","",B11)</f>
        <v/>
      </c>
      <c r="X11">
        <f>IF(K11="","",1+SUMPRODUCT(($K$2:$K$1001&lt;&gt;"")*(($T$2:$T$1001&lt;T11)+($T$2:$T$1001=T11)*(($U$2:$U$1001&lt;U11)+($U$2:$U$1001=U11)*(($V$2:$V$1001&lt;V11)+($V$2:$V$1001=V11)*(($W$2:$W$1001&lt;W11)+($W$2:$W$1001=W11)*(ROW($K$2:$K$1001)&lt;ROW(K11))))))))</f>
        <v/>
      </c>
    </row>
    <row r="12">
      <c r="A12">
        <f>IF(TRIM('List 1'!A12&amp;'List 1'!C12&amp;'List 1'!D12)="","",LOWER(TRIM('List 1'!A12)&amp;"|"&amp;TRIM('List 1'!C12)&amp;"|"&amp;TRIM('List 1'!D12)))</f>
        <v/>
      </c>
      <c r="B12">
        <f>IF(A12="","",SUMPRODUCT(--($A$2:A12=A12)))</f>
        <v/>
      </c>
      <c r="C12">
        <f>IF(A12="","",A12&amp;"#"&amp;B12)</f>
        <v/>
      </c>
      <c r="D12">
        <f>IF(A12="","",IFERROR(--'List 1'!B12,0))</f>
        <v/>
      </c>
      <c r="F12">
        <f>IF(TRIM('List 2'!A12&amp;'List 2'!C12&amp;'List 2'!D12)="","",LOWER(TRIM('List 2'!A12)&amp;"|"&amp;TRIM('List 2'!C12)&amp;"|"&amp;TRIM('List 2'!D12)))</f>
        <v/>
      </c>
      <c r="G12">
        <f>IF(F12="","",SUMPRODUCT(--($F$2:F12=F12)))</f>
        <v/>
      </c>
      <c r="H12">
        <f>IF(F12="","",F12&amp;"#"&amp;G12)</f>
        <v/>
      </c>
      <c r="I12">
        <f>IF(F12="","",IFERROR(--'List 2'!B12,0))</f>
        <v/>
      </c>
      <c r="K12">
        <f>C12</f>
        <v/>
      </c>
      <c r="L12">
        <f>IF(K12="","",IF(ISNUMBER('List 1'!A12),'List 1'!A12,TRIM('List 1'!A12)))</f>
        <v/>
      </c>
      <c r="M12">
        <f>IF(K12="","",IF(ISNUMBER('List 1'!C12),'List 1'!C12,TRIM('List 1'!C12)))</f>
        <v/>
      </c>
      <c r="N12">
        <f>IF(K12="","",IF(ISNUMBER('List 1'!D12),'List 1'!D12,TRIM('List 1'!D12)))</f>
        <v/>
      </c>
      <c r="O12">
        <f>IF(K12="","",D12)</f>
        <v/>
      </c>
      <c r="P12">
        <f>IF(K12="","",IF(R12,SUMPRODUCT(--($H$2:$H$501=K12),$I$2:$I$501),0))</f>
        <v/>
      </c>
      <c r="Q12">
        <f>IF(K12="","",TRUE)</f>
        <v/>
      </c>
      <c r="R12">
        <f>IF(K12="","",SUMPRODUCT(--($H$2:$H$501=K12))&gt;0)</f>
        <v/>
      </c>
      <c r="S12">
        <f>IF(K12="","",IF(AND(Q12,R12),IF(O12=P12,"Match","Qty Different"),IF(Q12,"Only in List 1","Only in List 2")))</f>
        <v/>
      </c>
      <c r="T12">
        <f>IF(K12="","",IF(ISNUMBER(--L12),TEXT(--L12,"000000000000.000"),LOWER(L12)))</f>
        <v/>
      </c>
      <c r="U12">
        <f>IF(K12="","",IF(ISNUMBER(--M12),TEXT(--M12,"000000000000.000"),LOWER(M12)))</f>
        <v/>
      </c>
      <c r="V12">
        <f>IF(K12="","",LOWER(N12))</f>
        <v/>
      </c>
      <c r="W12">
        <f>IF(K12="","",B12)</f>
        <v/>
      </c>
      <c r="X12">
        <f>IF(K12="","",1+SUMPRODUCT(($K$2:$K$1001&lt;&gt;"")*(($T$2:$T$1001&lt;T12)+($T$2:$T$1001=T12)*(($U$2:$U$1001&lt;U12)+($U$2:$U$1001=U12)*(($V$2:$V$1001&lt;V12)+($V$2:$V$1001=V12)*(($W$2:$W$1001&lt;W12)+($W$2:$W$1001=W12)*(ROW($K$2:$K$1001)&lt;ROW(K12))))))))</f>
        <v/>
      </c>
    </row>
    <row r="13">
      <c r="A13">
        <f>IF(TRIM('List 1'!A13&amp;'List 1'!C13&amp;'List 1'!D13)="","",LOWER(TRIM('List 1'!A13)&amp;"|"&amp;TRIM('List 1'!C13)&amp;"|"&amp;TRIM('List 1'!D13)))</f>
        <v/>
      </c>
      <c r="B13">
        <f>IF(A13="","",SUMPRODUCT(--($A$2:A13=A13)))</f>
        <v/>
      </c>
      <c r="C13">
        <f>IF(A13="","",A13&amp;"#"&amp;B13)</f>
        <v/>
      </c>
      <c r="D13">
        <f>IF(A13="","",IFERROR(--'List 1'!B13,0))</f>
        <v/>
      </c>
      <c r="F13">
        <f>IF(TRIM('List 2'!A13&amp;'List 2'!C13&amp;'List 2'!D13)="","",LOWER(TRIM('List 2'!A13)&amp;"|"&amp;TRIM('List 2'!C13)&amp;"|"&amp;TRIM('List 2'!D13)))</f>
        <v/>
      </c>
      <c r="G13">
        <f>IF(F13="","",SUMPRODUCT(--($F$2:F13=F13)))</f>
        <v/>
      </c>
      <c r="H13">
        <f>IF(F13="","",F13&amp;"#"&amp;G13)</f>
        <v/>
      </c>
      <c r="I13">
        <f>IF(F13="","",IFERROR(--'List 2'!B13,0))</f>
        <v/>
      </c>
      <c r="K13">
        <f>C13</f>
        <v/>
      </c>
      <c r="L13">
        <f>IF(K13="","",IF(ISNUMBER('List 1'!A13),'List 1'!A13,TRIM('List 1'!A13)))</f>
        <v/>
      </c>
      <c r="M13">
        <f>IF(K13="","",IF(ISNUMBER('List 1'!C13),'List 1'!C13,TRIM('List 1'!C13)))</f>
        <v/>
      </c>
      <c r="N13">
        <f>IF(K13="","",IF(ISNUMBER('List 1'!D13),'List 1'!D13,TRIM('List 1'!D13)))</f>
        <v/>
      </c>
      <c r="O13">
        <f>IF(K13="","",D13)</f>
        <v/>
      </c>
      <c r="P13">
        <f>IF(K13="","",IF(R13,SUMPRODUCT(--($H$2:$H$501=K13),$I$2:$I$501),0))</f>
        <v/>
      </c>
      <c r="Q13">
        <f>IF(K13="","",TRUE)</f>
        <v/>
      </c>
      <c r="R13">
        <f>IF(K13="","",SUMPRODUCT(--($H$2:$H$501=K13))&gt;0)</f>
        <v/>
      </c>
      <c r="S13">
        <f>IF(K13="","",IF(AND(Q13,R13),IF(O13=P13,"Match","Qty Different"),IF(Q13,"Only in List 1","Only in List 2")))</f>
        <v/>
      </c>
      <c r="T13">
        <f>IF(K13="","",IF(ISNUMBER(--L13),TEXT(--L13,"000000000000.000"),LOWER(L13)))</f>
        <v/>
      </c>
      <c r="U13">
        <f>IF(K13="","",IF(ISNUMBER(--M13),TEXT(--M13,"000000000000.000"),LOWER(M13)))</f>
        <v/>
      </c>
      <c r="V13">
        <f>IF(K13="","",LOWER(N13))</f>
        <v/>
      </c>
      <c r="W13">
        <f>IF(K13="","",B13)</f>
        <v/>
      </c>
      <c r="X13">
        <f>IF(K13="","",1+SUMPRODUCT(($K$2:$K$1001&lt;&gt;"")*(($T$2:$T$1001&lt;T13)+($T$2:$T$1001=T13)*(($U$2:$U$1001&lt;U13)+($U$2:$U$1001=U13)*(($V$2:$V$1001&lt;V13)+($V$2:$V$1001=V13)*(($W$2:$W$1001&lt;W13)+($W$2:$W$1001=W13)*(ROW($K$2:$K$1001)&lt;ROW(K13))))))))</f>
        <v/>
      </c>
    </row>
    <row r="14">
      <c r="A14">
        <f>IF(TRIM('List 1'!A14&amp;'List 1'!C14&amp;'List 1'!D14)="","",LOWER(TRIM('List 1'!A14)&amp;"|"&amp;TRIM('List 1'!C14)&amp;"|"&amp;TRIM('List 1'!D14)))</f>
        <v/>
      </c>
      <c r="B14">
        <f>IF(A14="","",SUMPRODUCT(--($A$2:A14=A14)))</f>
        <v/>
      </c>
      <c r="C14">
        <f>IF(A14="","",A14&amp;"#"&amp;B14)</f>
        <v/>
      </c>
      <c r="D14">
        <f>IF(A14="","",IFERROR(--'List 1'!B14,0))</f>
        <v/>
      </c>
      <c r="F14">
        <f>IF(TRIM('List 2'!A14&amp;'List 2'!C14&amp;'List 2'!D14)="","",LOWER(TRIM('List 2'!A14)&amp;"|"&amp;TRIM('List 2'!C14)&amp;"|"&amp;TRIM('List 2'!D14)))</f>
        <v/>
      </c>
      <c r="G14">
        <f>IF(F14="","",SUMPRODUCT(--($F$2:F14=F14)))</f>
        <v/>
      </c>
      <c r="H14">
        <f>IF(F14="","",F14&amp;"#"&amp;G14)</f>
        <v/>
      </c>
      <c r="I14">
        <f>IF(F14="","",IFERROR(--'List 2'!B14,0))</f>
        <v/>
      </c>
      <c r="K14">
        <f>C14</f>
        <v/>
      </c>
      <c r="L14">
        <f>IF(K14="","",IF(ISNUMBER('List 1'!A14),'List 1'!A14,TRIM('List 1'!A14)))</f>
        <v/>
      </c>
      <c r="M14">
        <f>IF(K14="","",IF(ISNUMBER('List 1'!C14),'List 1'!C14,TRIM('List 1'!C14)))</f>
        <v/>
      </c>
      <c r="N14">
        <f>IF(K14="","",IF(ISNUMBER('List 1'!D14),'List 1'!D14,TRIM('List 1'!D14)))</f>
        <v/>
      </c>
      <c r="O14">
        <f>IF(K14="","",D14)</f>
        <v/>
      </c>
      <c r="P14">
        <f>IF(K14="","",IF(R14,SUMPRODUCT(--($H$2:$H$501=K14),$I$2:$I$501),0))</f>
        <v/>
      </c>
      <c r="Q14">
        <f>IF(K14="","",TRUE)</f>
        <v/>
      </c>
      <c r="R14">
        <f>IF(K14="","",SUMPRODUCT(--($H$2:$H$501=K14))&gt;0)</f>
        <v/>
      </c>
      <c r="S14">
        <f>IF(K14="","",IF(AND(Q14,R14),IF(O14=P14,"Match","Qty Different"),IF(Q14,"Only in List 1","Only in List 2")))</f>
        <v/>
      </c>
      <c r="T14">
        <f>IF(K14="","",IF(ISNUMBER(--L14),TEXT(--L14,"000000000000.000"),LOWER(L14)))</f>
        <v/>
      </c>
      <c r="U14">
        <f>IF(K14="","",IF(ISNUMBER(--M14),TEXT(--M14,"000000000000.000"),LOWER(M14)))</f>
        <v/>
      </c>
      <c r="V14">
        <f>IF(K14="","",LOWER(N14))</f>
        <v/>
      </c>
      <c r="W14">
        <f>IF(K14="","",B14)</f>
        <v/>
      </c>
      <c r="X14">
        <f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>
      <c r="A15">
        <f>IF(TRIM('List 1'!A15&amp;'List 1'!C15&amp;'List 1'!D15)="","",LOWER(TRIM('List 1'!A15)&amp;"|"&amp;TRIM('List 1'!C15)&amp;"|"&amp;TRIM('List 1'!D15)))</f>
        <v/>
      </c>
      <c r="B15">
        <f>IF(A15="","",SUMPRODUCT(--($A$2:A15=A15)))</f>
        <v/>
      </c>
      <c r="C15">
        <f>IF(A15="","",A15&amp;"#"&amp;B15)</f>
        <v/>
      </c>
      <c r="D15">
        <f>IF(A15="","",IFERROR(--'List 1'!B15,0))</f>
        <v/>
      </c>
      <c r="F15">
        <f>IF(TRIM('List 2'!A15&amp;'List 2'!C15&amp;'List 2'!D15)="","",LOWER(TRIM('List 2'!A15)&amp;"|"&amp;TRIM('List 2'!C15)&amp;"|"&amp;TRIM('List 2'!D15)))</f>
        <v/>
      </c>
      <c r="G15">
        <f>IF(F15="","",SUMPRODUCT(--($F$2:F15=F15)))</f>
        <v/>
      </c>
      <c r="H15">
        <f>IF(F15="","",F15&amp;"#"&amp;G15)</f>
        <v/>
      </c>
      <c r="I15">
        <f>IF(F15="","",IFERROR(--'List 2'!B15,0))</f>
        <v/>
      </c>
      <c r="K15">
        <f>C15</f>
        <v/>
      </c>
      <c r="L15">
        <f>IF(K15="","",IF(ISNUMBER('List 1'!A15),'List 1'!A15,TRIM('List 1'!A15)))</f>
        <v/>
      </c>
      <c r="M15">
        <f>IF(K15="","",IF(ISNUMBER('List 1'!C15),'List 1'!C15,TRIM('List 1'!C15)))</f>
        <v/>
      </c>
      <c r="N15">
        <f>IF(K15="","",IF(ISNUMBER('List 1'!D15),'List 1'!D15,TRIM('List 1'!D15)))</f>
        <v/>
      </c>
      <c r="O15">
        <f>IF(K15="","",D15)</f>
        <v/>
      </c>
      <c r="P15">
        <f>IF(K15="","",IF(R15,SUMPRODUCT(--($H$2:$H$501=K15),$I$2:$I$501),0))</f>
        <v/>
      </c>
      <c r="Q15">
        <f>IF(K15="","",TRUE)</f>
        <v/>
      </c>
      <c r="R15">
        <f>IF(K15="","",SUMPRODUCT(--($H$2:$H$501=K15))&gt;0)</f>
        <v/>
      </c>
      <c r="S15">
        <f>IF(K15="","",IF(AND(Q15,R15),IF(O15=P15,"Match","Qty Different"),IF(Q15,"Only in List 1","Only in List 2")))</f>
        <v/>
      </c>
      <c r="T15">
        <f>IF(K15="","",IF(ISNUMBER(--L15),TEXT(--L15,"000000000000.000"),LOWER(L15)))</f>
        <v/>
      </c>
      <c r="U15">
        <f>IF(K15="","",IF(ISNUMBER(--M15),TEXT(--M15,"000000000000.000"),LOWER(M15)))</f>
        <v/>
      </c>
      <c r="V15">
        <f>IF(K15="","",LOWER(N15))</f>
        <v/>
      </c>
      <c r="W15">
        <f>IF(K15="","",B15)</f>
        <v/>
      </c>
      <c r="X15">
        <f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>
      <c r="A16">
        <f>IF(TRIM('List 1'!A16&amp;'List 1'!C16&amp;'List 1'!D16)="","",LOWER(TRIM('List 1'!A16)&amp;"|"&amp;TRIM('List 1'!C16)&amp;"|"&amp;TRIM('List 1'!D16)))</f>
        <v/>
      </c>
      <c r="B16">
        <f>IF(A16="","",SUMPRODUCT(--($A$2:A16=A16)))</f>
        <v/>
      </c>
      <c r="C16">
        <f>IF(A16="","",A16&amp;"#"&amp;B16)</f>
        <v/>
      </c>
      <c r="D16">
        <f>IF(A16="","",IFERROR(--'List 1'!B16,0))</f>
        <v/>
      </c>
      <c r="F16">
        <f>IF(TRIM('List 2'!A16&amp;'List 2'!C16&amp;'List 2'!D16)="","",LOWER(TRIM('List 2'!A16)&amp;"|"&amp;TRIM('List 2'!C16)&amp;"|"&amp;TRIM('List 2'!D16)))</f>
        <v/>
      </c>
      <c r="G16">
        <f>IF(F16="","",SUMPRODUCT(--($F$2:F16=F16)))</f>
        <v/>
      </c>
      <c r="H16">
        <f>IF(F16="","",F16&amp;"#"&amp;G16)</f>
        <v/>
      </c>
      <c r="I16">
        <f>IF(F16="","",IFERROR(--'List 2'!B16,0))</f>
        <v/>
      </c>
      <c r="K16">
        <f>C16</f>
        <v/>
      </c>
      <c r="L16">
        <f>IF(K16="","",IF(ISNUMBER('List 1'!A16),'List 1'!A16,TRIM('List 1'!A16)))</f>
        <v/>
      </c>
      <c r="M16">
        <f>IF(K16="","",IF(ISNUMBER('List 1'!C16),'List 1'!C16,TRIM('List 1'!C16)))</f>
        <v/>
      </c>
      <c r="N16">
        <f>IF(K16="","",IF(ISNUMBER('List 1'!D16),'List 1'!D16,TRIM('List 1'!D16)))</f>
        <v/>
      </c>
      <c r="O16">
        <f>IF(K16="","",D16)</f>
        <v/>
      </c>
      <c r="P16">
        <f>IF(K16="","",IF(R16,SUMPRODUCT(--($H$2:$H$501=K16),$I$2:$I$501),0))</f>
        <v/>
      </c>
      <c r="Q16">
        <f>IF(K16="","",TRUE)</f>
        <v/>
      </c>
      <c r="R16">
        <f>IF(K16="","",SUMPRODUCT(--($H$2:$H$501=K16))&gt;0)</f>
        <v/>
      </c>
      <c r="S16">
        <f>IF(K16="","",IF(AND(Q16,R16),IF(O16=P16,"Match","Qty Different"),IF(Q16,"Only in List 1","Only in List 2")))</f>
        <v/>
      </c>
      <c r="T16">
        <f>IF(K16="","",IF(ISNUMBER(--L16),TEXT(--L16,"000000000000.000"),LOWER(L16)))</f>
        <v/>
      </c>
      <c r="U16">
        <f>IF(K16="","",IF(ISNUMBER(--M16),TEXT(--M16,"000000000000.000"),LOWER(M16)))</f>
        <v/>
      </c>
      <c r="V16">
        <f>IF(K16="","",LOWER(N16))</f>
        <v/>
      </c>
      <c r="W16">
        <f>IF(K16="","",B16)</f>
        <v/>
      </c>
      <c r="X16">
        <f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>
      <c r="A17">
        <f>IF(TRIM('List 1'!A17&amp;'List 1'!C17&amp;'List 1'!D17)="","",LOWER(TRIM('List 1'!A17)&amp;"|"&amp;TRIM('List 1'!C17)&amp;"|"&amp;TRIM('List 1'!D17)))</f>
        <v/>
      </c>
      <c r="B17">
        <f>IF(A17="","",SUMPRODUCT(--($A$2:A17=A17)))</f>
        <v/>
      </c>
      <c r="C17">
        <f>IF(A17="","",A17&amp;"#"&amp;B17)</f>
        <v/>
      </c>
      <c r="D17">
        <f>IF(A17="","",IFERROR(--'List 1'!B17,0))</f>
        <v/>
      </c>
      <c r="F17">
        <f>IF(TRIM('List 2'!A17&amp;'List 2'!C17&amp;'List 2'!D17)="","",LOWER(TRIM('List 2'!A17)&amp;"|"&amp;TRIM('List 2'!C17)&amp;"|"&amp;TRIM('List 2'!D17)))</f>
        <v/>
      </c>
      <c r="G17">
        <f>IF(F17="","",SUMPRODUCT(--($F$2:F17=F17)))</f>
        <v/>
      </c>
      <c r="H17">
        <f>IF(F17="","",F17&amp;"#"&amp;G17)</f>
        <v/>
      </c>
      <c r="I17">
        <f>IF(F17="","",IFERROR(--'List 2'!B17,0))</f>
        <v/>
      </c>
      <c r="K17">
        <f>C17</f>
        <v/>
      </c>
      <c r="L17">
        <f>IF(K17="","",IF(ISNUMBER('List 1'!A17),'List 1'!A17,TRIM('List 1'!A17)))</f>
        <v/>
      </c>
      <c r="M17">
        <f>IF(K17="","",IF(ISNUMBER('List 1'!C17),'List 1'!C17,TRIM('List 1'!C17)))</f>
        <v/>
      </c>
      <c r="N17">
        <f>IF(K17="","",IF(ISNUMBER('List 1'!D17),'List 1'!D17,TRIM('List 1'!D17)))</f>
        <v/>
      </c>
      <c r="O17">
        <f>IF(K17="","",D17)</f>
        <v/>
      </c>
      <c r="P17">
        <f>IF(K17="","",IF(R17,SUMPRODUCT(--($H$2:$H$501=K17),$I$2:$I$501),0))</f>
        <v/>
      </c>
      <c r="Q17">
        <f>IF(K17="","",TRUE)</f>
        <v/>
      </c>
      <c r="R17">
        <f>IF(K17="","",SUMPRODUCT(--($H$2:$H$501=K17))&gt;0)</f>
        <v/>
      </c>
      <c r="S17">
        <f>IF(K17="","",IF(AND(Q17,R17),IF(O17=P17,"Match","Qty Different"),IF(Q17,"Only in List 1","Only in List 2")))</f>
        <v/>
      </c>
      <c r="T17">
        <f>IF(K17="","",IF(ISNUMBER(--L17),TEXT(--L17,"000000000000.000"),LOWER(L17)))</f>
        <v/>
      </c>
      <c r="U17">
        <f>IF(K17="","",IF(ISNUMBER(--M17),TEXT(--M17,"000000000000.000"),LOWER(M17)))</f>
        <v/>
      </c>
      <c r="V17">
        <f>IF(K17="","",LOWER(N17))</f>
        <v/>
      </c>
      <c r="W17">
        <f>IF(K17="","",B17)</f>
        <v/>
      </c>
      <c r="X17">
        <f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>
      <c r="A18">
        <f>IF(TRIM('List 1'!A18&amp;'List 1'!C18&amp;'List 1'!D18)="","",LOWER(TRIM('List 1'!A18)&amp;"|"&amp;TRIM('List 1'!C18)&amp;"|"&amp;TRIM('List 1'!D18)))</f>
        <v/>
      </c>
      <c r="B18">
        <f>IF(A18="","",SUMPRODUCT(--($A$2:A18=A18)))</f>
        <v/>
      </c>
      <c r="C18">
        <f>IF(A18="","",A18&amp;"#"&amp;B18)</f>
        <v/>
      </c>
      <c r="D18">
        <f>IF(A18="","",IFERROR(--'List 1'!B18,0))</f>
        <v/>
      </c>
      <c r="F18">
        <f>IF(TRIM('List 2'!A18&amp;'List 2'!C18&amp;'List 2'!D18)="","",LOWER(TRIM('List 2'!A18)&amp;"|"&amp;TRIM('List 2'!C18)&amp;"|"&amp;TRIM('List 2'!D18)))</f>
        <v/>
      </c>
      <c r="G18">
        <f>IF(F18="","",SUMPRODUCT(--($F$2:F18=F18)))</f>
        <v/>
      </c>
      <c r="H18">
        <f>IF(F18="","",F18&amp;"#"&amp;G18)</f>
        <v/>
      </c>
      <c r="I18">
        <f>IF(F18="","",IFERROR(--'List 2'!B18,0))</f>
        <v/>
      </c>
      <c r="K18">
        <f>C18</f>
        <v/>
      </c>
      <c r="L18">
        <f>IF(K18="","",IF(ISNUMBER('List 1'!A18),'List 1'!A18,TRIM('List 1'!A18)))</f>
        <v/>
      </c>
      <c r="M18">
        <f>IF(K18="","",IF(ISNUMBER('List 1'!C18),'List 1'!C18,TRIM('List 1'!C18)))</f>
        <v/>
      </c>
      <c r="N18">
        <f>IF(K18="","",IF(ISNUMBER('List 1'!D18),'List 1'!D18,TRIM('List 1'!D18)))</f>
        <v/>
      </c>
      <c r="O18">
        <f>IF(K18="","",D18)</f>
        <v/>
      </c>
      <c r="P18">
        <f>IF(K18="","",IF(R18,SUMPRODUCT(--($H$2:$H$501=K18),$I$2:$I$501),0))</f>
        <v/>
      </c>
      <c r="Q18">
        <f>IF(K18="","",TRUE)</f>
        <v/>
      </c>
      <c r="R18">
        <f>IF(K18="","",SUMPRODUCT(--($H$2:$H$501=K18))&gt;0)</f>
        <v/>
      </c>
      <c r="S18">
        <f>IF(K18="","",IF(AND(Q18,R18),IF(O18=P18,"Match","Qty Different"),IF(Q18,"Only in List 1","Only in List 2")))</f>
        <v/>
      </c>
      <c r="T18">
        <f>IF(K18="","",IF(ISNUMBER(--L18),TEXT(--L18,"000000000000.000"),LOWER(L18)))</f>
        <v/>
      </c>
      <c r="U18">
        <f>IF(K18="","",IF(ISNUMBER(--M18),TEXT(--M18,"000000000000.000"),LOWER(M18)))</f>
        <v/>
      </c>
      <c r="V18">
        <f>IF(K18="","",LOWER(N18))</f>
        <v/>
      </c>
      <c r="W18">
        <f>IF(K18="","",B18)</f>
        <v/>
      </c>
      <c r="X18">
        <f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>
      <c r="A19">
        <f>IF(TRIM('List 1'!A19&amp;'List 1'!C19&amp;'List 1'!D19)="","",LOWER(TRIM('List 1'!A19)&amp;"|"&amp;TRIM('List 1'!C19)&amp;"|"&amp;TRIM('List 1'!D19)))</f>
        <v/>
      </c>
      <c r="B19">
        <f>IF(A19="","",SUMPRODUCT(--($A$2:A19=A19)))</f>
        <v/>
      </c>
      <c r="C19">
        <f>IF(A19="","",A19&amp;"#"&amp;B19)</f>
        <v/>
      </c>
      <c r="D19">
        <f>IF(A19="","",IFERROR(--'List 1'!B19,0))</f>
        <v/>
      </c>
      <c r="F19">
        <f>IF(TRIM('List 2'!A19&amp;'List 2'!C19&amp;'List 2'!D19)="","",LOWER(TRIM('List 2'!A19)&amp;"|"&amp;TRIM('List 2'!C19)&amp;"|"&amp;TRIM('List 2'!D19)))</f>
        <v/>
      </c>
      <c r="G19">
        <f>IF(F19="","",SUMPRODUCT(--($F$2:F19=F19)))</f>
        <v/>
      </c>
      <c r="H19">
        <f>IF(F19="","",F19&amp;"#"&amp;G19)</f>
        <v/>
      </c>
      <c r="I19">
        <f>IF(F19="","",IFERROR(--'List 2'!B19,0))</f>
        <v/>
      </c>
      <c r="K19">
        <f>C19</f>
        <v/>
      </c>
      <c r="L19">
        <f>IF(K19="","",IF(ISNUMBER('List 1'!A19),'List 1'!A19,TRIM('List 1'!A19)))</f>
        <v/>
      </c>
      <c r="M19">
        <f>IF(K19="","",IF(ISNUMBER('List 1'!C19),'List 1'!C19,TRIM('List 1'!C19)))</f>
        <v/>
      </c>
      <c r="N19">
        <f>IF(K19="","",IF(ISNUMBER('List 1'!D19),'List 1'!D19,TRIM('List 1'!D19)))</f>
        <v/>
      </c>
      <c r="O19">
        <f>IF(K19="","",D19)</f>
        <v/>
      </c>
      <c r="P19">
        <f>IF(K19="","",IF(R19,SUMPRODUCT(--($H$2:$H$501=K19),$I$2:$I$501),0))</f>
        <v/>
      </c>
      <c r="Q19">
        <f>IF(K19="","",TRUE)</f>
        <v/>
      </c>
      <c r="R19">
        <f>IF(K19="","",SUMPRODUCT(--($H$2:$H$501=K19))&gt;0)</f>
        <v/>
      </c>
      <c r="S19">
        <f>IF(K19="","",IF(AND(Q19,R19),IF(O19=P19,"Match","Qty Different"),IF(Q19,"Only in List 1","Only in List 2")))</f>
        <v/>
      </c>
      <c r="T19">
        <f>IF(K19="","",IF(ISNUMBER(--L19),TEXT(--L19,"000000000000.000"),LOWER(L19)))</f>
        <v/>
      </c>
      <c r="U19">
        <f>IF(K19="","",IF(ISNUMBER(--M19),TEXT(--M19,"000000000000.000"),LOWER(M19)))</f>
        <v/>
      </c>
      <c r="V19">
        <f>IF(K19="","",LOWER(N19))</f>
        <v/>
      </c>
      <c r="W19">
        <f>IF(K19="","",B19)</f>
        <v/>
      </c>
      <c r="X19">
        <f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>
      <c r="A20">
        <f>IF(TRIM('List 1'!A20&amp;'List 1'!C20&amp;'List 1'!D20)="","",LOWER(TRIM('List 1'!A20)&amp;"|"&amp;TRIM('List 1'!C20)&amp;"|"&amp;TRIM('List 1'!D20)))</f>
        <v/>
      </c>
      <c r="B20">
        <f>IF(A20="","",SUMPRODUCT(--($A$2:A20=A20)))</f>
        <v/>
      </c>
      <c r="C20">
        <f>IF(A20="","",A20&amp;"#"&amp;B20)</f>
        <v/>
      </c>
      <c r="D20">
        <f>IF(A20="","",IFERROR(--'List 1'!B20,0))</f>
        <v/>
      </c>
      <c r="F20">
        <f>IF(TRIM('List 2'!A20&amp;'List 2'!C20&amp;'List 2'!D20)="","",LOWER(TRIM('List 2'!A20)&amp;"|"&amp;TRIM('List 2'!C20)&amp;"|"&amp;TRIM('List 2'!D20)))</f>
        <v/>
      </c>
      <c r="G20">
        <f>IF(F20="","",SUMPRODUCT(--($F$2:F20=F20)))</f>
        <v/>
      </c>
      <c r="H20">
        <f>IF(F20="","",F20&amp;"#"&amp;G20)</f>
        <v/>
      </c>
      <c r="I20">
        <f>IF(F20="","",IFERROR(--'List 2'!B20,0))</f>
        <v/>
      </c>
      <c r="K20">
        <f>C20</f>
        <v/>
      </c>
      <c r="L20">
        <f>IF(K20="","",IF(ISNUMBER('List 1'!A20),'List 1'!A20,TRIM('List 1'!A20)))</f>
        <v/>
      </c>
      <c r="M20">
        <f>IF(K20="","",IF(ISNUMBER('List 1'!C20),'List 1'!C20,TRIM('List 1'!C20)))</f>
        <v/>
      </c>
      <c r="N20">
        <f>IF(K20="","",IF(ISNUMBER('List 1'!D20),'List 1'!D20,TRIM('List 1'!D20)))</f>
        <v/>
      </c>
      <c r="O20">
        <f>IF(K20="","",D20)</f>
        <v/>
      </c>
      <c r="P20">
        <f>IF(K20="","",IF(R20,SUMPRODUCT(--($H$2:$H$501=K20),$I$2:$I$501),0))</f>
        <v/>
      </c>
      <c r="Q20">
        <f>IF(K20="","",TRUE)</f>
        <v/>
      </c>
      <c r="R20">
        <f>IF(K20="","",SUMPRODUCT(--($H$2:$H$501=K20))&gt;0)</f>
        <v/>
      </c>
      <c r="S20">
        <f>IF(K20="","",IF(AND(Q20,R20),IF(O20=P20,"Match","Qty Different"),IF(Q20,"Only in List 1","Only in List 2")))</f>
        <v/>
      </c>
      <c r="T20">
        <f>IF(K20="","",IF(ISNUMBER(--L20),TEXT(--L20,"000000000000.000"),LOWER(L20)))</f>
        <v/>
      </c>
      <c r="U20">
        <f>IF(K20="","",IF(ISNUMBER(--M20),TEXT(--M20,"000000000000.000"),LOWER(M20)))</f>
        <v/>
      </c>
      <c r="V20">
        <f>IF(K20="","",LOWER(N20))</f>
        <v/>
      </c>
      <c r="W20">
        <f>IF(K20="","",B20)</f>
        <v/>
      </c>
      <c r="X20">
        <f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>
      <c r="A21">
        <f>IF(TRIM('List 1'!A21&amp;'List 1'!C21&amp;'List 1'!D21)="","",LOWER(TRIM('List 1'!A21)&amp;"|"&amp;TRIM('List 1'!C21)&amp;"|"&amp;TRIM('List 1'!D21)))</f>
        <v/>
      </c>
      <c r="B21">
        <f>IF(A21="","",SUMPRODUCT(--($A$2:A21=A21)))</f>
        <v/>
      </c>
      <c r="C21">
        <f>IF(A21="","",A21&amp;"#"&amp;B21)</f>
        <v/>
      </c>
      <c r="D21">
        <f>IF(A21="","",IFERROR(--'List 1'!B21,0))</f>
        <v/>
      </c>
      <c r="F21">
        <f>IF(TRIM('List 2'!A21&amp;'List 2'!C21&amp;'List 2'!D21)="","",LOWER(TRIM('List 2'!A21)&amp;"|"&amp;TRIM('List 2'!C21)&amp;"|"&amp;TRIM('List 2'!D21)))</f>
        <v/>
      </c>
      <c r="G21">
        <f>IF(F21="","",SUMPRODUCT(--($F$2:F21=F21)))</f>
        <v/>
      </c>
      <c r="H21">
        <f>IF(F21="","",F21&amp;"#"&amp;G21)</f>
        <v/>
      </c>
      <c r="I21">
        <f>IF(F21="","",IFERROR(--'List 2'!B21,0))</f>
        <v/>
      </c>
      <c r="K21">
        <f>C21</f>
        <v/>
      </c>
      <c r="L21">
        <f>IF(K21="","",IF(ISNUMBER('List 1'!A21),'List 1'!A21,TRIM('List 1'!A21)))</f>
        <v/>
      </c>
      <c r="M21">
        <f>IF(K21="","",IF(ISNUMBER('List 1'!C21),'List 1'!C21,TRIM('List 1'!C21)))</f>
        <v/>
      </c>
      <c r="N21">
        <f>IF(K21="","",IF(ISNUMBER('List 1'!D21),'List 1'!D21,TRIM('List 1'!D21)))</f>
        <v/>
      </c>
      <c r="O21">
        <f>IF(K21="","",D21)</f>
        <v/>
      </c>
      <c r="P21">
        <f>IF(K21="","",IF(R21,SUMPRODUCT(--($H$2:$H$501=K21),$I$2:$I$501),0))</f>
        <v/>
      </c>
      <c r="Q21">
        <f>IF(K21="","",TRUE)</f>
        <v/>
      </c>
      <c r="R21">
        <f>IF(K21="","",SUMPRODUCT(--($H$2:$H$501=K21))&gt;0)</f>
        <v/>
      </c>
      <c r="S21">
        <f>IF(K21="","",IF(AND(Q21,R21),IF(O21=P21,"Match","Qty Different"),IF(Q21,"Only in List 1","Only in List 2")))</f>
        <v/>
      </c>
      <c r="T21">
        <f>IF(K21="","",IF(ISNUMBER(--L21),TEXT(--L21,"000000000000.000"),LOWER(L21)))</f>
        <v/>
      </c>
      <c r="U21">
        <f>IF(K21="","",IF(ISNUMBER(--M21),TEXT(--M21,"000000000000.000"),LOWER(M21)))</f>
        <v/>
      </c>
      <c r="V21">
        <f>IF(K21="","",LOWER(N21))</f>
        <v/>
      </c>
      <c r="W21">
        <f>IF(K21="","",B21)</f>
        <v/>
      </c>
      <c r="X21">
        <f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>
      <c r="A22">
        <f>IF(TRIM('List 1'!A22&amp;'List 1'!C22&amp;'List 1'!D22)="","",LOWER(TRIM('List 1'!A22)&amp;"|"&amp;TRIM('List 1'!C22)&amp;"|"&amp;TRIM('List 1'!D22)))</f>
        <v/>
      </c>
      <c r="B22">
        <f>IF(A22="","",SUMPRODUCT(--($A$2:A22=A22)))</f>
        <v/>
      </c>
      <c r="C22">
        <f>IF(A22="","",A22&amp;"#"&amp;B22)</f>
        <v/>
      </c>
      <c r="D22">
        <f>IF(A22="","",IFERROR(--'List 1'!B22,0))</f>
        <v/>
      </c>
      <c r="F22">
        <f>IF(TRIM('List 2'!A22&amp;'List 2'!C22&amp;'List 2'!D22)="","",LOWER(TRIM('List 2'!A22)&amp;"|"&amp;TRIM('List 2'!C22)&amp;"|"&amp;TRIM('List 2'!D22)))</f>
        <v/>
      </c>
      <c r="G22">
        <f>IF(F22="","",SUMPRODUCT(--($F$2:F22=F22)))</f>
        <v/>
      </c>
      <c r="H22">
        <f>IF(F22="","",F22&amp;"#"&amp;G22)</f>
        <v/>
      </c>
      <c r="I22">
        <f>IF(F22="","",IFERROR(--'List 2'!B22,0))</f>
        <v/>
      </c>
      <c r="K22">
        <f>C22</f>
        <v/>
      </c>
      <c r="L22">
        <f>IF(K22="","",IF(ISNUMBER('List 1'!A22),'List 1'!A22,TRIM('List 1'!A22)))</f>
        <v/>
      </c>
      <c r="M22">
        <f>IF(K22="","",IF(ISNUMBER('List 1'!C22),'List 1'!C22,TRIM('List 1'!C22)))</f>
        <v/>
      </c>
      <c r="N22">
        <f>IF(K22="","",IF(ISNUMBER('List 1'!D22),'List 1'!D22,TRIM('List 1'!D22)))</f>
        <v/>
      </c>
      <c r="O22">
        <f>IF(K22="","",D22)</f>
        <v/>
      </c>
      <c r="P22">
        <f>IF(K22="","",IF(R22,SUMPRODUCT(--($H$2:$H$501=K22),$I$2:$I$501),0))</f>
        <v/>
      </c>
      <c r="Q22">
        <f>IF(K22="","",TRUE)</f>
        <v/>
      </c>
      <c r="R22">
        <f>IF(K22="","",SUMPRODUCT(--($H$2:$H$501=K22))&gt;0)</f>
        <v/>
      </c>
      <c r="S22">
        <f>IF(K22="","",IF(AND(Q22,R22),IF(O22=P22,"Match","Qty Different"),IF(Q22,"Only in List 1","Only in List 2")))</f>
        <v/>
      </c>
      <c r="T22">
        <f>IF(K22="","",IF(ISNUMBER(--L22),TEXT(--L22,"000000000000.000"),LOWER(L22)))</f>
        <v/>
      </c>
      <c r="U22">
        <f>IF(K22="","",IF(ISNUMBER(--M22),TEXT(--M22,"000000000000.000"),LOWER(M22)))</f>
        <v/>
      </c>
      <c r="V22">
        <f>IF(K22="","",LOWER(N22))</f>
        <v/>
      </c>
      <c r="W22">
        <f>IF(K22="","",B22)</f>
        <v/>
      </c>
      <c r="X22">
        <f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>
      <c r="A23">
        <f>IF(TRIM('List 1'!A23&amp;'List 1'!C23&amp;'List 1'!D23)="","",LOWER(TRIM('List 1'!A23)&amp;"|"&amp;TRIM('List 1'!C23)&amp;"|"&amp;TRIM('List 1'!D23)))</f>
        <v/>
      </c>
      <c r="B23">
        <f>IF(A23="","",SUMPRODUCT(--($A$2:A23=A23)))</f>
        <v/>
      </c>
      <c r="C23">
        <f>IF(A23="","",A23&amp;"#"&amp;B23)</f>
        <v/>
      </c>
      <c r="D23">
        <f>IF(A23="","",IFERROR(--'List 1'!B23,0))</f>
        <v/>
      </c>
      <c r="F23">
        <f>IF(TRIM('List 2'!A23&amp;'List 2'!C23&amp;'List 2'!D23)="","",LOWER(TRIM('List 2'!A23)&amp;"|"&amp;TRIM('List 2'!C23)&amp;"|"&amp;TRIM('List 2'!D23)))</f>
        <v/>
      </c>
      <c r="G23">
        <f>IF(F23="","",SUMPRODUCT(--($F$2:F23=F23)))</f>
        <v/>
      </c>
      <c r="H23">
        <f>IF(F23="","",F23&amp;"#"&amp;G23)</f>
        <v/>
      </c>
      <c r="I23">
        <f>IF(F23="","",IFERROR(--'List 2'!B23,0))</f>
        <v/>
      </c>
      <c r="K23">
        <f>C23</f>
        <v/>
      </c>
      <c r="L23">
        <f>IF(K23="","",IF(ISNUMBER('List 1'!A23),'List 1'!A23,TRIM('List 1'!A23)))</f>
        <v/>
      </c>
      <c r="M23">
        <f>IF(K23="","",IF(ISNUMBER('List 1'!C23),'List 1'!C23,TRIM('List 1'!C23)))</f>
        <v/>
      </c>
      <c r="N23">
        <f>IF(K23="","",IF(ISNUMBER('List 1'!D23),'List 1'!D23,TRIM('List 1'!D23)))</f>
        <v/>
      </c>
      <c r="O23">
        <f>IF(K23="","",D23)</f>
        <v/>
      </c>
      <c r="P23">
        <f>IF(K23="","",IF(R23,SUMPRODUCT(--($H$2:$H$501=K23),$I$2:$I$501),0))</f>
        <v/>
      </c>
      <c r="Q23">
        <f>IF(K23="","",TRUE)</f>
        <v/>
      </c>
      <c r="R23">
        <f>IF(K23="","",SUMPRODUCT(--($H$2:$H$501=K23))&gt;0)</f>
        <v/>
      </c>
      <c r="S23">
        <f>IF(K23="","",IF(AND(Q23,R23),IF(O23=P23,"Match","Qty Different"),IF(Q23,"Only in List 1","Only in List 2")))</f>
        <v/>
      </c>
      <c r="T23">
        <f>IF(K23="","",IF(ISNUMBER(--L23),TEXT(--L23,"000000000000.000"),LOWER(L23)))</f>
        <v/>
      </c>
      <c r="U23">
        <f>IF(K23="","",IF(ISNUMBER(--M23),TEXT(--M23,"000000000000.000"),LOWER(M23)))</f>
        <v/>
      </c>
      <c r="V23">
        <f>IF(K23="","",LOWER(N23))</f>
        <v/>
      </c>
      <c r="W23">
        <f>IF(K23="","",B23)</f>
        <v/>
      </c>
      <c r="X23">
        <f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>
      <c r="A24">
        <f>IF(TRIM('List 1'!A24&amp;'List 1'!C24&amp;'List 1'!D24)="","",LOWER(TRIM('List 1'!A24)&amp;"|"&amp;TRIM('List 1'!C24)&amp;"|"&amp;TRIM('List 1'!D24)))</f>
        <v/>
      </c>
      <c r="B24">
        <f>IF(A24="","",SUMPRODUCT(--($A$2:A24=A24)))</f>
        <v/>
      </c>
      <c r="C24">
        <f>IF(A24="","",A24&amp;"#"&amp;B24)</f>
        <v/>
      </c>
      <c r="D24">
        <f>IF(A24="","",IFERROR(--'List 1'!B24,0))</f>
        <v/>
      </c>
      <c r="F24">
        <f>IF(TRIM('List 2'!A24&amp;'List 2'!C24&amp;'List 2'!D24)="","",LOWER(TRIM('List 2'!A24)&amp;"|"&amp;TRIM('List 2'!C24)&amp;"|"&amp;TRIM('List 2'!D24)))</f>
        <v/>
      </c>
      <c r="G24">
        <f>IF(F24="","",SUMPRODUCT(--($F$2:F24=F24)))</f>
        <v/>
      </c>
      <c r="H24">
        <f>IF(F24="","",F24&amp;"#"&amp;G24)</f>
        <v/>
      </c>
      <c r="I24">
        <f>IF(F24="","",IFERROR(--'List 2'!B24,0))</f>
        <v/>
      </c>
      <c r="K24">
        <f>C24</f>
        <v/>
      </c>
      <c r="L24">
        <f>IF(K24="","",IF(ISNUMBER('List 1'!A24),'List 1'!A24,TRIM('List 1'!A24)))</f>
        <v/>
      </c>
      <c r="M24">
        <f>IF(K24="","",IF(ISNUMBER('List 1'!C24),'List 1'!C24,TRIM('List 1'!C24)))</f>
        <v/>
      </c>
      <c r="N24">
        <f>IF(K24="","",IF(ISNUMBER('List 1'!D24),'List 1'!D24,TRIM('List 1'!D24)))</f>
        <v/>
      </c>
      <c r="O24">
        <f>IF(K24="","",D24)</f>
        <v/>
      </c>
      <c r="P24">
        <f>IF(K24="","",IF(R24,SUMPRODUCT(--($H$2:$H$501=K24),$I$2:$I$501),0))</f>
        <v/>
      </c>
      <c r="Q24">
        <f>IF(K24="","",TRUE)</f>
        <v/>
      </c>
      <c r="R24">
        <f>IF(K24="","",SUMPRODUCT(--($H$2:$H$501=K24))&gt;0)</f>
        <v/>
      </c>
      <c r="S24">
        <f>IF(K24="","",IF(AND(Q24,R24),IF(O24=P24,"Match","Qty Different"),IF(Q24,"Only in List 1","Only in List 2")))</f>
        <v/>
      </c>
      <c r="T24">
        <f>IF(K24="","",IF(ISNUMBER(--L24),TEXT(--L24,"000000000000.000"),LOWER(L24)))</f>
        <v/>
      </c>
      <c r="U24">
        <f>IF(K24="","",IF(ISNUMBER(--M24),TEXT(--M24,"000000000000.000"),LOWER(M24)))</f>
        <v/>
      </c>
      <c r="V24">
        <f>IF(K24="","",LOWER(N24))</f>
        <v/>
      </c>
      <c r="W24">
        <f>IF(K24="","",B24)</f>
        <v/>
      </c>
      <c r="X24">
        <f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>
      <c r="A25">
        <f>IF(TRIM('List 1'!A25&amp;'List 1'!C25&amp;'List 1'!D25)="","",LOWER(TRIM('List 1'!A25)&amp;"|"&amp;TRIM('List 1'!C25)&amp;"|"&amp;TRIM('List 1'!D25)))</f>
        <v/>
      </c>
      <c r="B25">
        <f>IF(A25="","",SUMPRODUCT(--($A$2:A25=A25)))</f>
        <v/>
      </c>
      <c r="C25">
        <f>IF(A25="","",A25&amp;"#"&amp;B25)</f>
        <v/>
      </c>
      <c r="D25">
        <f>IF(A25="","",IFERROR(--'List 1'!B25,0))</f>
        <v/>
      </c>
      <c r="F25">
        <f>IF(TRIM('List 2'!A25&amp;'List 2'!C25&amp;'List 2'!D25)="","",LOWER(TRIM('List 2'!A25)&amp;"|"&amp;TRIM('List 2'!C25)&amp;"|"&amp;TRIM('List 2'!D25)))</f>
        <v/>
      </c>
      <c r="G25">
        <f>IF(F25="","",SUMPRODUCT(--($F$2:F25=F25)))</f>
        <v/>
      </c>
      <c r="H25">
        <f>IF(F25="","",F25&amp;"#"&amp;G25)</f>
        <v/>
      </c>
      <c r="I25">
        <f>IF(F25="","",IFERROR(--'List 2'!B25,0))</f>
        <v/>
      </c>
      <c r="K25">
        <f>C25</f>
        <v/>
      </c>
      <c r="L25">
        <f>IF(K25="","",IF(ISNUMBER('List 1'!A25),'List 1'!A25,TRIM('List 1'!A25)))</f>
        <v/>
      </c>
      <c r="M25">
        <f>IF(K25="","",IF(ISNUMBER('List 1'!C25),'List 1'!C25,TRIM('List 1'!C25)))</f>
        <v/>
      </c>
      <c r="N25">
        <f>IF(K25="","",IF(ISNUMBER('List 1'!D25),'List 1'!D25,TRIM('List 1'!D25)))</f>
        <v/>
      </c>
      <c r="O25">
        <f>IF(K25="","",D25)</f>
        <v/>
      </c>
      <c r="P25">
        <f>IF(K25="","",IF(R25,SUMPRODUCT(--($H$2:$H$501=K25),$I$2:$I$501),0))</f>
        <v/>
      </c>
      <c r="Q25">
        <f>IF(K25="","",TRUE)</f>
        <v/>
      </c>
      <c r="R25">
        <f>IF(K25="","",SUMPRODUCT(--($H$2:$H$501=K25))&gt;0)</f>
        <v/>
      </c>
      <c r="S25">
        <f>IF(K25="","",IF(AND(Q25,R25),IF(O25=P25,"Match","Qty Different"),IF(Q25,"Only in List 1","Only in List 2")))</f>
        <v/>
      </c>
      <c r="T25">
        <f>IF(K25="","",IF(ISNUMBER(--L25),TEXT(--L25,"000000000000.000"),LOWER(L25)))</f>
        <v/>
      </c>
      <c r="U25">
        <f>IF(K25="","",IF(ISNUMBER(--M25),TEXT(--M25,"000000000000.000"),LOWER(M25)))</f>
        <v/>
      </c>
      <c r="V25">
        <f>IF(K25="","",LOWER(N25))</f>
        <v/>
      </c>
      <c r="W25">
        <f>IF(K25="","",B25)</f>
        <v/>
      </c>
      <c r="X25">
        <f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>
      <c r="A26">
        <f>IF(TRIM('List 1'!A26&amp;'List 1'!C26&amp;'List 1'!D26)="","",LOWER(TRIM('List 1'!A26)&amp;"|"&amp;TRIM('List 1'!C26)&amp;"|"&amp;TRIM('List 1'!D26)))</f>
        <v/>
      </c>
      <c r="B26">
        <f>IF(A26="","",SUMPRODUCT(--($A$2:A26=A26)))</f>
        <v/>
      </c>
      <c r="C26">
        <f>IF(A26="","",A26&amp;"#"&amp;B26)</f>
        <v/>
      </c>
      <c r="D26">
        <f>IF(A26="","",IFERROR(--'List 1'!B26,0))</f>
        <v/>
      </c>
      <c r="F26">
        <f>IF(TRIM('List 2'!A26&amp;'List 2'!C26&amp;'List 2'!D26)="","",LOWER(TRIM('List 2'!A26)&amp;"|"&amp;TRIM('List 2'!C26)&amp;"|"&amp;TRIM('List 2'!D26)))</f>
        <v/>
      </c>
      <c r="G26">
        <f>IF(F26="","",SUMPRODUCT(--($F$2:F26=F26)))</f>
        <v/>
      </c>
      <c r="H26">
        <f>IF(F26="","",F26&amp;"#"&amp;G26)</f>
        <v/>
      </c>
      <c r="I26">
        <f>IF(F26="","",IFERROR(--'List 2'!B26,0))</f>
        <v/>
      </c>
      <c r="K26">
        <f>C26</f>
        <v/>
      </c>
      <c r="L26">
        <f>IF(K26="","",IF(ISNUMBER('List 1'!A26),'List 1'!A26,TRIM('List 1'!A26)))</f>
        <v/>
      </c>
      <c r="M26">
        <f>IF(K26="","",IF(ISNUMBER('List 1'!C26),'List 1'!C26,TRIM('List 1'!C26)))</f>
        <v/>
      </c>
      <c r="N26">
        <f>IF(K26="","",IF(ISNUMBER('List 1'!D26),'List 1'!D26,TRIM('List 1'!D26)))</f>
        <v/>
      </c>
      <c r="O26">
        <f>IF(K26="","",D26)</f>
        <v/>
      </c>
      <c r="P26">
        <f>IF(K26="","",IF(R26,SUMPRODUCT(--($H$2:$H$501=K26),$I$2:$I$501),0))</f>
        <v/>
      </c>
      <c r="Q26">
        <f>IF(K26="","",TRUE)</f>
        <v/>
      </c>
      <c r="R26">
        <f>IF(K26="","",SUMPRODUCT(--($H$2:$H$501=K26))&gt;0)</f>
        <v/>
      </c>
      <c r="S26">
        <f>IF(K26="","",IF(AND(Q26,R26),IF(O26=P26,"Match","Qty Different"),IF(Q26,"Only in List 1","Only in List 2")))</f>
        <v/>
      </c>
      <c r="T26">
        <f>IF(K26="","",IF(ISNUMBER(--L26),TEXT(--L26,"000000000000.000"),LOWER(L26)))</f>
        <v/>
      </c>
      <c r="U26">
        <f>IF(K26="","",IF(ISNUMBER(--M26),TEXT(--M26,"000000000000.000"),LOWER(M26)))</f>
        <v/>
      </c>
      <c r="V26">
        <f>IF(K26="","",LOWER(N26))</f>
        <v/>
      </c>
      <c r="W26">
        <f>IF(K26="","",B26)</f>
        <v/>
      </c>
      <c r="X26">
        <f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>
      <c r="A27">
        <f>IF(TRIM('List 1'!A27&amp;'List 1'!C27&amp;'List 1'!D27)="","",LOWER(TRIM('List 1'!A27)&amp;"|"&amp;TRIM('List 1'!C27)&amp;"|"&amp;TRIM('List 1'!D27)))</f>
        <v/>
      </c>
      <c r="B27">
        <f>IF(A27="","",SUMPRODUCT(--($A$2:A27=A27)))</f>
        <v/>
      </c>
      <c r="C27">
        <f>IF(A27="","",A27&amp;"#"&amp;B27)</f>
        <v/>
      </c>
      <c r="D27">
        <f>IF(A27="","",IFERROR(--'List 1'!B27,0))</f>
        <v/>
      </c>
      <c r="F27">
        <f>IF(TRIM('List 2'!A27&amp;'List 2'!C27&amp;'List 2'!D27)="","",LOWER(TRIM('List 2'!A27)&amp;"|"&amp;TRIM('List 2'!C27)&amp;"|"&amp;TRIM('List 2'!D27)))</f>
        <v/>
      </c>
      <c r="G27">
        <f>IF(F27="","",SUMPRODUCT(--($F$2:F27=F27)))</f>
        <v/>
      </c>
      <c r="H27">
        <f>IF(F27="","",F27&amp;"#"&amp;G27)</f>
        <v/>
      </c>
      <c r="I27">
        <f>IF(F27="","",IFERROR(--'List 2'!B27,0))</f>
        <v/>
      </c>
      <c r="K27">
        <f>C27</f>
        <v/>
      </c>
      <c r="L27">
        <f>IF(K27="","",IF(ISNUMBER('List 1'!A27),'List 1'!A27,TRIM('List 1'!A27)))</f>
        <v/>
      </c>
      <c r="M27">
        <f>IF(K27="","",IF(ISNUMBER('List 1'!C27),'List 1'!C27,TRIM('List 1'!C27)))</f>
        <v/>
      </c>
      <c r="N27">
        <f>IF(K27="","",IF(ISNUMBER('List 1'!D27),'List 1'!D27,TRIM('List 1'!D27)))</f>
        <v/>
      </c>
      <c r="O27">
        <f>IF(K27="","",D27)</f>
        <v/>
      </c>
      <c r="P27">
        <f>IF(K27="","",IF(R27,SUMPRODUCT(--($H$2:$H$501=K27),$I$2:$I$501),0))</f>
        <v/>
      </c>
      <c r="Q27">
        <f>IF(K27="","",TRUE)</f>
        <v/>
      </c>
      <c r="R27">
        <f>IF(K27="","",SUMPRODUCT(--($H$2:$H$501=K27))&gt;0)</f>
        <v/>
      </c>
      <c r="S27">
        <f>IF(K27="","",IF(AND(Q27,R27),IF(O27=P27,"Match","Qty Different"),IF(Q27,"Only in List 1","Only in List 2")))</f>
        <v/>
      </c>
      <c r="T27">
        <f>IF(K27="","",IF(ISNUMBER(--L27),TEXT(--L27,"000000000000.000"),LOWER(L27)))</f>
        <v/>
      </c>
      <c r="U27">
        <f>IF(K27="","",IF(ISNUMBER(--M27),TEXT(--M27,"000000000000.000"),LOWER(M27)))</f>
        <v/>
      </c>
      <c r="V27">
        <f>IF(K27="","",LOWER(N27))</f>
        <v/>
      </c>
      <c r="W27">
        <f>IF(K27="","",B27)</f>
        <v/>
      </c>
      <c r="X27">
        <f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>
      <c r="A28">
        <f>IF(TRIM('List 1'!A28&amp;'List 1'!C28&amp;'List 1'!D28)="","",LOWER(TRIM('List 1'!A28)&amp;"|"&amp;TRIM('List 1'!C28)&amp;"|"&amp;TRIM('List 1'!D28)))</f>
        <v/>
      </c>
      <c r="B28">
        <f>IF(A28="","",SUMPRODUCT(--($A$2:A28=A28)))</f>
        <v/>
      </c>
      <c r="C28">
        <f>IF(A28="","",A28&amp;"#"&amp;B28)</f>
        <v/>
      </c>
      <c r="D28">
        <f>IF(A28="","",IFERROR(--'List 1'!B28,0))</f>
        <v/>
      </c>
      <c r="F28">
        <f>IF(TRIM('List 2'!A28&amp;'List 2'!C28&amp;'List 2'!D28)="","",LOWER(TRIM('List 2'!A28)&amp;"|"&amp;TRIM('List 2'!C28)&amp;"|"&amp;TRIM('List 2'!D28)))</f>
        <v/>
      </c>
      <c r="G28">
        <f>IF(F28="","",SUMPRODUCT(--($F$2:F28=F28)))</f>
        <v/>
      </c>
      <c r="H28">
        <f>IF(F28="","",F28&amp;"#"&amp;G28)</f>
        <v/>
      </c>
      <c r="I28">
        <f>IF(F28="","",IFERROR(--'List 2'!B28,0))</f>
        <v/>
      </c>
      <c r="K28">
        <f>C28</f>
        <v/>
      </c>
      <c r="L28">
        <f>IF(K28="","",IF(ISNUMBER('List 1'!A28),'List 1'!A28,TRIM('List 1'!A28)))</f>
        <v/>
      </c>
      <c r="M28">
        <f>IF(K28="","",IF(ISNUMBER('List 1'!C28),'List 1'!C28,TRIM('List 1'!C28)))</f>
        <v/>
      </c>
      <c r="N28">
        <f>IF(K28="","",IF(ISNUMBER('List 1'!D28),'List 1'!D28,TRIM('List 1'!D28)))</f>
        <v/>
      </c>
      <c r="O28">
        <f>IF(K28="","",D28)</f>
        <v/>
      </c>
      <c r="P28">
        <f>IF(K28="","",IF(R28,SUMPRODUCT(--($H$2:$H$501=K28),$I$2:$I$501),0))</f>
        <v/>
      </c>
      <c r="Q28">
        <f>IF(K28="","",TRUE)</f>
        <v/>
      </c>
      <c r="R28">
        <f>IF(K28="","",SUMPRODUCT(--($H$2:$H$501=K28))&gt;0)</f>
        <v/>
      </c>
      <c r="S28">
        <f>IF(K28="","",IF(AND(Q28,R28),IF(O28=P28,"Match","Qty Different"),IF(Q28,"Only in List 1","Only in List 2")))</f>
        <v/>
      </c>
      <c r="T28">
        <f>IF(K28="","",IF(ISNUMBER(--L28),TEXT(--L28,"000000000000.000"),LOWER(L28)))</f>
        <v/>
      </c>
      <c r="U28">
        <f>IF(K28="","",IF(ISNUMBER(--M28),TEXT(--M28,"000000000000.000"),LOWER(M28)))</f>
        <v/>
      </c>
      <c r="V28">
        <f>IF(K28="","",LOWER(N28))</f>
        <v/>
      </c>
      <c r="W28">
        <f>IF(K28="","",B28)</f>
        <v/>
      </c>
      <c r="X28">
        <f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>
      <c r="A29">
        <f>IF(TRIM('List 1'!A29&amp;'List 1'!C29&amp;'List 1'!D29)="","",LOWER(TRIM('List 1'!A29)&amp;"|"&amp;TRIM('List 1'!C29)&amp;"|"&amp;TRIM('List 1'!D29)))</f>
        <v/>
      </c>
      <c r="B29">
        <f>IF(A29="","",SUMPRODUCT(--($A$2:A29=A29)))</f>
        <v/>
      </c>
      <c r="C29">
        <f>IF(A29="","",A29&amp;"#"&amp;B29)</f>
        <v/>
      </c>
      <c r="D29">
        <f>IF(A29="","",IFERROR(--'List 1'!B29,0))</f>
        <v/>
      </c>
      <c r="F29">
        <f>IF(TRIM('List 2'!A29&amp;'List 2'!C29&amp;'List 2'!D29)="","",LOWER(TRIM('List 2'!A29)&amp;"|"&amp;TRIM('List 2'!C29)&amp;"|"&amp;TRIM('List 2'!D29)))</f>
        <v/>
      </c>
      <c r="G29">
        <f>IF(F29="","",SUMPRODUCT(--($F$2:F29=F29)))</f>
        <v/>
      </c>
      <c r="H29">
        <f>IF(F29="","",F29&amp;"#"&amp;G29)</f>
        <v/>
      </c>
      <c r="I29">
        <f>IF(F29="","",IFERROR(--'List 2'!B29,0))</f>
        <v/>
      </c>
      <c r="K29">
        <f>C29</f>
        <v/>
      </c>
      <c r="L29">
        <f>IF(K29="","",IF(ISNUMBER('List 1'!A29),'List 1'!A29,TRIM('List 1'!A29)))</f>
        <v/>
      </c>
      <c r="M29">
        <f>IF(K29="","",IF(ISNUMBER('List 1'!C29),'List 1'!C29,TRIM('List 1'!C29)))</f>
        <v/>
      </c>
      <c r="N29">
        <f>IF(K29="","",IF(ISNUMBER('List 1'!D29),'List 1'!D29,TRIM('List 1'!D29)))</f>
        <v/>
      </c>
      <c r="O29">
        <f>IF(K29="","",D29)</f>
        <v/>
      </c>
      <c r="P29">
        <f>IF(K29="","",IF(R29,SUMPRODUCT(--($H$2:$H$501=K29),$I$2:$I$501),0))</f>
        <v/>
      </c>
      <c r="Q29">
        <f>IF(K29="","",TRUE)</f>
        <v/>
      </c>
      <c r="R29">
        <f>IF(K29="","",SUMPRODUCT(--($H$2:$H$501=K29))&gt;0)</f>
        <v/>
      </c>
      <c r="S29">
        <f>IF(K29="","",IF(AND(Q29,R29),IF(O29=P29,"Match","Qty Different"),IF(Q29,"Only in List 1","Only in List 2")))</f>
        <v/>
      </c>
      <c r="T29">
        <f>IF(K29="","",IF(ISNUMBER(--L29),TEXT(--L29,"000000000000.000"),LOWER(L29)))</f>
        <v/>
      </c>
      <c r="U29">
        <f>IF(K29="","",IF(ISNUMBER(--M29),TEXT(--M29,"000000000000.000"),LOWER(M29)))</f>
        <v/>
      </c>
      <c r="V29">
        <f>IF(K29="","",LOWER(N29))</f>
        <v/>
      </c>
      <c r="W29">
        <f>IF(K29="","",B29)</f>
        <v/>
      </c>
      <c r="X29">
        <f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>
      <c r="A30">
        <f>IF(TRIM('List 1'!A30&amp;'List 1'!C30&amp;'List 1'!D30)="","",LOWER(TRIM('List 1'!A30)&amp;"|"&amp;TRIM('List 1'!C30)&amp;"|"&amp;TRIM('List 1'!D30)))</f>
        <v/>
      </c>
      <c r="B30">
        <f>IF(A30="","",SUMPRODUCT(--($A$2:A30=A30)))</f>
        <v/>
      </c>
      <c r="C30">
        <f>IF(A30="","",A30&amp;"#"&amp;B30)</f>
        <v/>
      </c>
      <c r="D30">
        <f>IF(A30="","",IFERROR(--'List 1'!B30,0))</f>
        <v/>
      </c>
      <c r="F30">
        <f>IF(TRIM('List 2'!A30&amp;'List 2'!C30&amp;'List 2'!D30)="","",LOWER(TRIM('List 2'!A30)&amp;"|"&amp;TRIM('List 2'!C30)&amp;"|"&amp;TRIM('List 2'!D30)))</f>
        <v/>
      </c>
      <c r="G30">
        <f>IF(F30="","",SUMPRODUCT(--($F$2:F30=F30)))</f>
        <v/>
      </c>
      <c r="H30">
        <f>IF(F30="","",F30&amp;"#"&amp;G30)</f>
        <v/>
      </c>
      <c r="I30">
        <f>IF(F30="","",IFERROR(--'List 2'!B30,0))</f>
        <v/>
      </c>
      <c r="K30">
        <f>C30</f>
        <v/>
      </c>
      <c r="L30">
        <f>IF(K30="","",IF(ISNUMBER('List 1'!A30),'List 1'!A30,TRIM('List 1'!A30)))</f>
        <v/>
      </c>
      <c r="M30">
        <f>IF(K30="","",IF(ISNUMBER('List 1'!C30),'List 1'!C30,TRIM('List 1'!C30)))</f>
        <v/>
      </c>
      <c r="N30">
        <f>IF(K30="","",IF(ISNUMBER('List 1'!D30),'List 1'!D30,TRIM('List 1'!D30)))</f>
        <v/>
      </c>
      <c r="O30">
        <f>IF(K30="","",D30)</f>
        <v/>
      </c>
      <c r="P30">
        <f>IF(K30="","",IF(R30,SUMPRODUCT(--($H$2:$H$501=K30),$I$2:$I$501),0))</f>
        <v/>
      </c>
      <c r="Q30">
        <f>IF(K30="","",TRUE)</f>
        <v/>
      </c>
      <c r="R30">
        <f>IF(K30="","",SUMPRODUCT(--($H$2:$H$501=K30))&gt;0)</f>
        <v/>
      </c>
      <c r="S30">
        <f>IF(K30="","",IF(AND(Q30,R30),IF(O30=P30,"Match","Qty Different"),IF(Q30,"Only in List 1","Only in List 2")))</f>
        <v/>
      </c>
      <c r="T30">
        <f>IF(K30="","",IF(ISNUMBER(--L30),TEXT(--L30,"000000000000.000"),LOWER(L30)))</f>
        <v/>
      </c>
      <c r="U30">
        <f>IF(K30="","",IF(ISNUMBER(--M30),TEXT(--M30,"000000000000.000"),LOWER(M30)))</f>
        <v/>
      </c>
      <c r="V30">
        <f>IF(K30="","",LOWER(N30))</f>
        <v/>
      </c>
      <c r="W30">
        <f>IF(K30="","",B30)</f>
        <v/>
      </c>
      <c r="X30">
        <f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>
      <c r="A31">
        <f>IF(TRIM('List 1'!A31&amp;'List 1'!C31&amp;'List 1'!D31)="","",LOWER(TRIM('List 1'!A31)&amp;"|"&amp;TRIM('List 1'!C31)&amp;"|"&amp;TRIM('List 1'!D31)))</f>
        <v/>
      </c>
      <c r="B31">
        <f>IF(A31="","",SUMPRODUCT(--($A$2:A31=A31)))</f>
        <v/>
      </c>
      <c r="C31">
        <f>IF(A31="","",A31&amp;"#"&amp;B31)</f>
        <v/>
      </c>
      <c r="D31">
        <f>IF(A31="","",IFERROR(--'List 1'!B31,0))</f>
        <v/>
      </c>
      <c r="F31">
        <f>IF(TRIM('List 2'!A31&amp;'List 2'!C31&amp;'List 2'!D31)="","",LOWER(TRIM('List 2'!A31)&amp;"|"&amp;TRIM('List 2'!C31)&amp;"|"&amp;TRIM('List 2'!D31)))</f>
        <v/>
      </c>
      <c r="G31">
        <f>IF(F31="","",SUMPRODUCT(--($F$2:F31=F31)))</f>
        <v/>
      </c>
      <c r="H31">
        <f>IF(F31="","",F31&amp;"#"&amp;G31)</f>
        <v/>
      </c>
      <c r="I31">
        <f>IF(F31="","",IFERROR(--'List 2'!B31,0))</f>
        <v/>
      </c>
      <c r="K31">
        <f>C31</f>
        <v/>
      </c>
      <c r="L31">
        <f>IF(K31="","",IF(ISNUMBER('List 1'!A31),'List 1'!A31,TRIM('List 1'!A31)))</f>
        <v/>
      </c>
      <c r="M31">
        <f>IF(K31="","",IF(ISNUMBER('List 1'!C31),'List 1'!C31,TRIM('List 1'!C31)))</f>
        <v/>
      </c>
      <c r="N31">
        <f>IF(K31="","",IF(ISNUMBER('List 1'!D31),'List 1'!D31,TRIM('List 1'!D31)))</f>
        <v/>
      </c>
      <c r="O31">
        <f>IF(K31="","",D31)</f>
        <v/>
      </c>
      <c r="P31">
        <f>IF(K31="","",IF(R31,SUMPRODUCT(--($H$2:$H$501=K31),$I$2:$I$501),0))</f>
        <v/>
      </c>
      <c r="Q31">
        <f>IF(K31="","",TRUE)</f>
        <v/>
      </c>
      <c r="R31">
        <f>IF(K31="","",SUMPRODUCT(--($H$2:$H$501=K31))&gt;0)</f>
        <v/>
      </c>
      <c r="S31">
        <f>IF(K31="","",IF(AND(Q31,R31),IF(O31=P31,"Match","Qty Different"),IF(Q31,"Only in List 1","Only in List 2")))</f>
        <v/>
      </c>
      <c r="T31">
        <f>IF(K31="","",IF(ISNUMBER(--L31),TEXT(--L31,"000000000000.000"),LOWER(L31)))</f>
        <v/>
      </c>
      <c r="U31">
        <f>IF(K31="","",IF(ISNUMBER(--M31),TEXT(--M31,"000000000000.000"),LOWER(M31)))</f>
        <v/>
      </c>
      <c r="V31">
        <f>IF(K31="","",LOWER(N31))</f>
        <v/>
      </c>
      <c r="W31">
        <f>IF(K31="","",B31)</f>
        <v/>
      </c>
      <c r="X31">
        <f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>
      <c r="A32">
        <f>IF(TRIM('List 1'!A32&amp;'List 1'!C32&amp;'List 1'!D32)="","",LOWER(TRIM('List 1'!A32)&amp;"|"&amp;TRIM('List 1'!C32)&amp;"|"&amp;TRIM('List 1'!D32)))</f>
        <v/>
      </c>
      <c r="B32">
        <f>IF(A32="","",SUMPRODUCT(--($A$2:A32=A32)))</f>
        <v/>
      </c>
      <c r="C32">
        <f>IF(A32="","",A32&amp;"#"&amp;B32)</f>
        <v/>
      </c>
      <c r="D32">
        <f>IF(A32="","",IFERROR(--'List 1'!B32,0))</f>
        <v/>
      </c>
      <c r="F32">
        <f>IF(TRIM('List 2'!A32&amp;'List 2'!C32&amp;'List 2'!D32)="","",LOWER(TRIM('List 2'!A32)&amp;"|"&amp;TRIM('List 2'!C32)&amp;"|"&amp;TRIM('List 2'!D32)))</f>
        <v/>
      </c>
      <c r="G32">
        <f>IF(F32="","",SUMPRODUCT(--($F$2:F32=F32)))</f>
        <v/>
      </c>
      <c r="H32">
        <f>IF(F32="","",F32&amp;"#"&amp;G32)</f>
        <v/>
      </c>
      <c r="I32">
        <f>IF(F32="","",IFERROR(--'List 2'!B32,0))</f>
        <v/>
      </c>
      <c r="K32">
        <f>C32</f>
        <v/>
      </c>
      <c r="L32">
        <f>IF(K32="","",IF(ISNUMBER('List 1'!A32),'List 1'!A32,TRIM('List 1'!A32)))</f>
        <v/>
      </c>
      <c r="M32">
        <f>IF(K32="","",IF(ISNUMBER('List 1'!C32),'List 1'!C32,TRIM('List 1'!C32)))</f>
        <v/>
      </c>
      <c r="N32">
        <f>IF(K32="","",IF(ISNUMBER('List 1'!D32),'List 1'!D32,TRIM('List 1'!D32)))</f>
        <v/>
      </c>
      <c r="O32">
        <f>IF(K32="","",D32)</f>
        <v/>
      </c>
      <c r="P32">
        <f>IF(K32="","",IF(R32,SUMPRODUCT(--($H$2:$H$501=K32),$I$2:$I$501),0))</f>
        <v/>
      </c>
      <c r="Q32">
        <f>IF(K32="","",TRUE)</f>
        <v/>
      </c>
      <c r="R32">
        <f>IF(K32="","",SUMPRODUCT(--($H$2:$H$501=K32))&gt;0)</f>
        <v/>
      </c>
      <c r="S32">
        <f>IF(K32="","",IF(AND(Q32,R32),IF(O32=P32,"Match","Qty Different"),IF(Q32,"Only in List 1","Only in List 2")))</f>
        <v/>
      </c>
      <c r="T32">
        <f>IF(K32="","",IF(ISNUMBER(--L32),TEXT(--L32,"000000000000.000"),LOWER(L32)))</f>
        <v/>
      </c>
      <c r="U32">
        <f>IF(K32="","",IF(ISNUMBER(--M32),TEXT(--M32,"000000000000.000"),LOWER(M32)))</f>
        <v/>
      </c>
      <c r="V32">
        <f>IF(K32="","",LOWER(N32))</f>
        <v/>
      </c>
      <c r="W32">
        <f>IF(K32="","",B32)</f>
        <v/>
      </c>
      <c r="X32">
        <f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>
      <c r="A33">
        <f>IF(TRIM('List 1'!A33&amp;'List 1'!C33&amp;'List 1'!D33)="","",LOWER(TRIM('List 1'!A33)&amp;"|"&amp;TRIM('List 1'!C33)&amp;"|"&amp;TRIM('List 1'!D33)))</f>
        <v/>
      </c>
      <c r="B33">
        <f>IF(A33="","",SUMPRODUCT(--($A$2:A33=A33)))</f>
        <v/>
      </c>
      <c r="C33">
        <f>IF(A33="","",A33&amp;"#"&amp;B33)</f>
        <v/>
      </c>
      <c r="D33">
        <f>IF(A33="","",IFERROR(--'List 1'!B33,0))</f>
        <v/>
      </c>
      <c r="F33">
        <f>IF(TRIM('List 2'!A33&amp;'List 2'!C33&amp;'List 2'!D33)="","",LOWER(TRIM('List 2'!A33)&amp;"|"&amp;TRIM('List 2'!C33)&amp;"|"&amp;TRIM('List 2'!D33)))</f>
        <v/>
      </c>
      <c r="G33">
        <f>IF(F33="","",SUMPRODUCT(--($F$2:F33=F33)))</f>
        <v/>
      </c>
      <c r="H33">
        <f>IF(F33="","",F33&amp;"#"&amp;G33)</f>
        <v/>
      </c>
      <c r="I33">
        <f>IF(F33="","",IFERROR(--'List 2'!B33,0))</f>
        <v/>
      </c>
      <c r="K33">
        <f>C33</f>
        <v/>
      </c>
      <c r="L33">
        <f>IF(K33="","",IF(ISNUMBER('List 1'!A33),'List 1'!A33,TRIM('List 1'!A33)))</f>
        <v/>
      </c>
      <c r="M33">
        <f>IF(K33="","",IF(ISNUMBER('List 1'!C33),'List 1'!C33,TRIM('List 1'!C33)))</f>
        <v/>
      </c>
      <c r="N33">
        <f>IF(K33="","",IF(ISNUMBER('List 1'!D33),'List 1'!D33,TRIM('List 1'!D33)))</f>
        <v/>
      </c>
      <c r="O33">
        <f>IF(K33="","",D33)</f>
        <v/>
      </c>
      <c r="P33">
        <f>IF(K33="","",IF(R33,SUMPRODUCT(--($H$2:$H$501=K33),$I$2:$I$501),0))</f>
        <v/>
      </c>
      <c r="Q33">
        <f>IF(K33="","",TRUE)</f>
        <v/>
      </c>
      <c r="R33">
        <f>IF(K33="","",SUMPRODUCT(--($H$2:$H$501=K33))&gt;0)</f>
        <v/>
      </c>
      <c r="S33">
        <f>IF(K33="","",IF(AND(Q33,R33),IF(O33=P33,"Match","Qty Different"),IF(Q33,"Only in List 1","Only in List 2")))</f>
        <v/>
      </c>
      <c r="T33">
        <f>IF(K33="","",IF(ISNUMBER(--L33),TEXT(--L33,"000000000000.000"),LOWER(L33)))</f>
        <v/>
      </c>
      <c r="U33">
        <f>IF(K33="","",IF(ISNUMBER(--M33),TEXT(--M33,"000000000000.000"),LOWER(M33)))</f>
        <v/>
      </c>
      <c r="V33">
        <f>IF(K33="","",LOWER(N33))</f>
        <v/>
      </c>
      <c r="W33">
        <f>IF(K33="","",B33)</f>
        <v/>
      </c>
      <c r="X33">
        <f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>
      <c r="A34">
        <f>IF(TRIM('List 1'!A34&amp;'List 1'!C34&amp;'List 1'!D34)="","",LOWER(TRIM('List 1'!A34)&amp;"|"&amp;TRIM('List 1'!C34)&amp;"|"&amp;TRIM('List 1'!D34)))</f>
        <v/>
      </c>
      <c r="B34">
        <f>IF(A34="","",SUMPRODUCT(--($A$2:A34=A34)))</f>
        <v/>
      </c>
      <c r="C34">
        <f>IF(A34="","",A34&amp;"#"&amp;B34)</f>
        <v/>
      </c>
      <c r="D34">
        <f>IF(A34="","",IFERROR(--'List 1'!B34,0))</f>
        <v/>
      </c>
      <c r="F34">
        <f>IF(TRIM('List 2'!A34&amp;'List 2'!C34&amp;'List 2'!D34)="","",LOWER(TRIM('List 2'!A34)&amp;"|"&amp;TRIM('List 2'!C34)&amp;"|"&amp;TRIM('List 2'!D34)))</f>
        <v/>
      </c>
      <c r="G34">
        <f>IF(F34="","",SUMPRODUCT(--($F$2:F34=F34)))</f>
        <v/>
      </c>
      <c r="H34">
        <f>IF(F34="","",F34&amp;"#"&amp;G34)</f>
        <v/>
      </c>
      <c r="I34">
        <f>IF(F34="","",IFERROR(--'List 2'!B34,0))</f>
        <v/>
      </c>
      <c r="K34">
        <f>C34</f>
        <v/>
      </c>
      <c r="L34">
        <f>IF(K34="","",IF(ISNUMBER('List 1'!A34),'List 1'!A34,TRIM('List 1'!A34)))</f>
        <v/>
      </c>
      <c r="M34">
        <f>IF(K34="","",IF(ISNUMBER('List 1'!C34),'List 1'!C34,TRIM('List 1'!C34)))</f>
        <v/>
      </c>
      <c r="N34">
        <f>IF(K34="","",IF(ISNUMBER('List 1'!D34),'List 1'!D34,TRIM('List 1'!D34)))</f>
        <v/>
      </c>
      <c r="O34">
        <f>IF(K34="","",D34)</f>
        <v/>
      </c>
      <c r="P34">
        <f>IF(K34="","",IF(R34,SUMPRODUCT(--($H$2:$H$501=K34),$I$2:$I$501),0))</f>
        <v/>
      </c>
      <c r="Q34">
        <f>IF(K34="","",TRUE)</f>
        <v/>
      </c>
      <c r="R34">
        <f>IF(K34="","",SUMPRODUCT(--($H$2:$H$501=K34))&gt;0)</f>
        <v/>
      </c>
      <c r="S34">
        <f>IF(K34="","",IF(AND(Q34,R34),IF(O34=P34,"Match","Qty Different"),IF(Q34,"Only in List 1","Only in List 2")))</f>
        <v/>
      </c>
      <c r="T34">
        <f>IF(K34="","",IF(ISNUMBER(--L34),TEXT(--L34,"000000000000.000"),LOWER(L34)))</f>
        <v/>
      </c>
      <c r="U34">
        <f>IF(K34="","",IF(ISNUMBER(--M34),TEXT(--M34,"000000000000.000"),LOWER(M34)))</f>
        <v/>
      </c>
      <c r="V34">
        <f>IF(K34="","",LOWER(N34))</f>
        <v/>
      </c>
      <c r="W34">
        <f>IF(K34="","",B34)</f>
        <v/>
      </c>
      <c r="X34">
        <f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>
      <c r="A35">
        <f>IF(TRIM('List 1'!A35&amp;'List 1'!C35&amp;'List 1'!D35)="","",LOWER(TRIM('List 1'!A35)&amp;"|"&amp;TRIM('List 1'!C35)&amp;"|"&amp;TRIM('List 1'!D35)))</f>
        <v/>
      </c>
      <c r="B35">
        <f>IF(A35="","",SUMPRODUCT(--($A$2:A35=A35)))</f>
        <v/>
      </c>
      <c r="C35">
        <f>IF(A35="","",A35&amp;"#"&amp;B35)</f>
        <v/>
      </c>
      <c r="D35">
        <f>IF(A35="","",IFERROR(--'List 1'!B35,0))</f>
        <v/>
      </c>
      <c r="F35">
        <f>IF(TRIM('List 2'!A35&amp;'List 2'!C35&amp;'List 2'!D35)="","",LOWER(TRIM('List 2'!A35)&amp;"|"&amp;TRIM('List 2'!C35)&amp;"|"&amp;TRIM('List 2'!D35)))</f>
        <v/>
      </c>
      <c r="G35">
        <f>IF(F35="","",SUMPRODUCT(--($F$2:F35=F35)))</f>
        <v/>
      </c>
      <c r="H35">
        <f>IF(F35="","",F35&amp;"#"&amp;G35)</f>
        <v/>
      </c>
      <c r="I35">
        <f>IF(F35="","",IFERROR(--'List 2'!B35,0))</f>
        <v/>
      </c>
      <c r="K35">
        <f>C35</f>
        <v/>
      </c>
      <c r="L35">
        <f>IF(K35="","",IF(ISNUMBER('List 1'!A35),'List 1'!A35,TRIM('List 1'!A35)))</f>
        <v/>
      </c>
      <c r="M35">
        <f>IF(K35="","",IF(ISNUMBER('List 1'!C35),'List 1'!C35,TRIM('List 1'!C35)))</f>
        <v/>
      </c>
      <c r="N35">
        <f>IF(K35="","",IF(ISNUMBER('List 1'!D35),'List 1'!D35,TRIM('List 1'!D35)))</f>
        <v/>
      </c>
      <c r="O35">
        <f>IF(K35="","",D35)</f>
        <v/>
      </c>
      <c r="P35">
        <f>IF(K35="","",IF(R35,SUMPRODUCT(--($H$2:$H$501=K35),$I$2:$I$501),0))</f>
        <v/>
      </c>
      <c r="Q35">
        <f>IF(K35="","",TRUE)</f>
        <v/>
      </c>
      <c r="R35">
        <f>IF(K35="","",SUMPRODUCT(--($H$2:$H$501=K35))&gt;0)</f>
        <v/>
      </c>
      <c r="S35">
        <f>IF(K35="","",IF(AND(Q35,R35),IF(O35=P35,"Match","Qty Different"),IF(Q35,"Only in List 1","Only in List 2")))</f>
        <v/>
      </c>
      <c r="T35">
        <f>IF(K35="","",IF(ISNUMBER(--L35),TEXT(--L35,"000000000000.000"),LOWER(L35)))</f>
        <v/>
      </c>
      <c r="U35">
        <f>IF(K35="","",IF(ISNUMBER(--M35),TEXT(--M35,"000000000000.000"),LOWER(M35)))</f>
        <v/>
      </c>
      <c r="V35">
        <f>IF(K35="","",LOWER(N35))</f>
        <v/>
      </c>
      <c r="W35">
        <f>IF(K35="","",B35)</f>
        <v/>
      </c>
      <c r="X35">
        <f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>
      <c r="A36">
        <f>IF(TRIM('List 1'!A36&amp;'List 1'!C36&amp;'List 1'!D36)="","",LOWER(TRIM('List 1'!A36)&amp;"|"&amp;TRIM('List 1'!C36)&amp;"|"&amp;TRIM('List 1'!D36)))</f>
        <v/>
      </c>
      <c r="B36">
        <f>IF(A36="","",SUMPRODUCT(--($A$2:A36=A36)))</f>
        <v/>
      </c>
      <c r="C36">
        <f>IF(A36="","",A36&amp;"#"&amp;B36)</f>
        <v/>
      </c>
      <c r="D36">
        <f>IF(A36="","",IFERROR(--'List 1'!B36,0))</f>
        <v/>
      </c>
      <c r="F36">
        <f>IF(TRIM('List 2'!A36&amp;'List 2'!C36&amp;'List 2'!D36)="","",LOWER(TRIM('List 2'!A36)&amp;"|"&amp;TRIM('List 2'!C36)&amp;"|"&amp;TRIM('List 2'!D36)))</f>
        <v/>
      </c>
      <c r="G36">
        <f>IF(F36="","",SUMPRODUCT(--($F$2:F36=F36)))</f>
        <v/>
      </c>
      <c r="H36">
        <f>IF(F36="","",F36&amp;"#"&amp;G36)</f>
        <v/>
      </c>
      <c r="I36">
        <f>IF(F36="","",IFERROR(--'List 2'!B36,0))</f>
        <v/>
      </c>
      <c r="K36">
        <f>C36</f>
        <v/>
      </c>
      <c r="L36">
        <f>IF(K36="","",IF(ISNUMBER('List 1'!A36),'List 1'!A36,TRIM('List 1'!A36)))</f>
        <v/>
      </c>
      <c r="M36">
        <f>IF(K36="","",IF(ISNUMBER('List 1'!C36),'List 1'!C36,TRIM('List 1'!C36)))</f>
        <v/>
      </c>
      <c r="N36">
        <f>IF(K36="","",IF(ISNUMBER('List 1'!D36),'List 1'!D36,TRIM('List 1'!D36)))</f>
        <v/>
      </c>
      <c r="O36">
        <f>IF(K36="","",D36)</f>
        <v/>
      </c>
      <c r="P36">
        <f>IF(K36="","",IF(R36,SUMPRODUCT(--($H$2:$H$501=K36),$I$2:$I$501),0))</f>
        <v/>
      </c>
      <c r="Q36">
        <f>IF(K36="","",TRUE)</f>
        <v/>
      </c>
      <c r="R36">
        <f>IF(K36="","",SUMPRODUCT(--($H$2:$H$501=K36))&gt;0)</f>
        <v/>
      </c>
      <c r="S36">
        <f>IF(K36="","",IF(AND(Q36,R36),IF(O36=P36,"Match","Qty Different"),IF(Q36,"Only in List 1","Only in List 2")))</f>
        <v/>
      </c>
      <c r="T36">
        <f>IF(K36="","",IF(ISNUMBER(--L36),TEXT(--L36,"000000000000.000"),LOWER(L36)))</f>
        <v/>
      </c>
      <c r="U36">
        <f>IF(K36="","",IF(ISNUMBER(--M36),TEXT(--M36,"000000000000.000"),LOWER(M36)))</f>
        <v/>
      </c>
      <c r="V36">
        <f>IF(K36="","",LOWER(N36))</f>
        <v/>
      </c>
      <c r="W36">
        <f>IF(K36="","",B36)</f>
        <v/>
      </c>
      <c r="X36">
        <f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>
      <c r="A37">
        <f>IF(TRIM('List 1'!A37&amp;'List 1'!C37&amp;'List 1'!D37)="","",LOWER(TRIM('List 1'!A37)&amp;"|"&amp;TRIM('List 1'!C37)&amp;"|"&amp;TRIM('List 1'!D37)))</f>
        <v/>
      </c>
      <c r="B37">
        <f>IF(A37="","",SUMPRODUCT(--($A$2:A37=A37)))</f>
        <v/>
      </c>
      <c r="C37">
        <f>IF(A37="","",A37&amp;"#"&amp;B37)</f>
        <v/>
      </c>
      <c r="D37">
        <f>IF(A37="","",IFERROR(--'List 1'!B37,0))</f>
        <v/>
      </c>
      <c r="F37">
        <f>IF(TRIM('List 2'!A37&amp;'List 2'!C37&amp;'List 2'!D37)="","",LOWER(TRIM('List 2'!A37)&amp;"|"&amp;TRIM('List 2'!C37)&amp;"|"&amp;TRIM('List 2'!D37)))</f>
        <v/>
      </c>
      <c r="G37">
        <f>IF(F37="","",SUMPRODUCT(--($F$2:F37=F37)))</f>
        <v/>
      </c>
      <c r="H37">
        <f>IF(F37="","",F37&amp;"#"&amp;G37)</f>
        <v/>
      </c>
      <c r="I37">
        <f>IF(F37="","",IFERROR(--'List 2'!B37,0))</f>
        <v/>
      </c>
      <c r="K37">
        <f>C37</f>
        <v/>
      </c>
      <c r="L37">
        <f>IF(K37="","",IF(ISNUMBER('List 1'!A37),'List 1'!A37,TRIM('List 1'!A37)))</f>
        <v/>
      </c>
      <c r="M37">
        <f>IF(K37="","",IF(ISNUMBER('List 1'!C37),'List 1'!C37,TRIM('List 1'!C37)))</f>
        <v/>
      </c>
      <c r="N37">
        <f>IF(K37="","",IF(ISNUMBER('List 1'!D37),'List 1'!D37,TRIM('List 1'!D37)))</f>
        <v/>
      </c>
      <c r="O37">
        <f>IF(K37="","",D37)</f>
        <v/>
      </c>
      <c r="P37">
        <f>IF(K37="","",IF(R37,SUMPRODUCT(--($H$2:$H$501=K37),$I$2:$I$501),0))</f>
        <v/>
      </c>
      <c r="Q37">
        <f>IF(K37="","",TRUE)</f>
        <v/>
      </c>
      <c r="R37">
        <f>IF(K37="","",SUMPRODUCT(--($H$2:$H$501=K37))&gt;0)</f>
        <v/>
      </c>
      <c r="S37">
        <f>IF(K37="","",IF(AND(Q37,R37),IF(O37=P37,"Match","Qty Different"),IF(Q37,"Only in List 1","Only in List 2")))</f>
        <v/>
      </c>
      <c r="T37">
        <f>IF(K37="","",IF(ISNUMBER(--L37),TEXT(--L37,"000000000000.000"),LOWER(L37)))</f>
        <v/>
      </c>
      <c r="U37">
        <f>IF(K37="","",IF(ISNUMBER(--M37),TEXT(--M37,"000000000000.000"),LOWER(M37)))</f>
        <v/>
      </c>
      <c r="V37">
        <f>IF(K37="","",LOWER(N37))</f>
        <v/>
      </c>
      <c r="W37">
        <f>IF(K37="","",B37)</f>
        <v/>
      </c>
      <c r="X37">
        <f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>
      <c r="A38">
        <f>IF(TRIM('List 1'!A38&amp;'List 1'!C38&amp;'List 1'!D38)="","",LOWER(TRIM('List 1'!A38)&amp;"|"&amp;TRIM('List 1'!C38)&amp;"|"&amp;TRIM('List 1'!D38)))</f>
        <v/>
      </c>
      <c r="B38">
        <f>IF(A38="","",SUMPRODUCT(--($A$2:A38=A38)))</f>
        <v/>
      </c>
      <c r="C38">
        <f>IF(A38="","",A38&amp;"#"&amp;B38)</f>
        <v/>
      </c>
      <c r="D38">
        <f>IF(A38="","",IFERROR(--'List 1'!B38,0))</f>
        <v/>
      </c>
      <c r="F38">
        <f>IF(TRIM('List 2'!A38&amp;'List 2'!C38&amp;'List 2'!D38)="","",LOWER(TRIM('List 2'!A38)&amp;"|"&amp;TRIM('List 2'!C38)&amp;"|"&amp;TRIM('List 2'!D38)))</f>
        <v/>
      </c>
      <c r="G38">
        <f>IF(F38="","",SUMPRODUCT(--($F$2:F38=F38)))</f>
        <v/>
      </c>
      <c r="H38">
        <f>IF(F38="","",F38&amp;"#"&amp;G38)</f>
        <v/>
      </c>
      <c r="I38">
        <f>IF(F38="","",IFERROR(--'List 2'!B38,0))</f>
        <v/>
      </c>
      <c r="K38">
        <f>C38</f>
        <v/>
      </c>
      <c r="L38">
        <f>IF(K38="","",IF(ISNUMBER('List 1'!A38),'List 1'!A38,TRIM('List 1'!A38)))</f>
        <v/>
      </c>
      <c r="M38">
        <f>IF(K38="","",IF(ISNUMBER('List 1'!C38),'List 1'!C38,TRIM('List 1'!C38)))</f>
        <v/>
      </c>
      <c r="N38">
        <f>IF(K38="","",IF(ISNUMBER('List 1'!D38),'List 1'!D38,TRIM('List 1'!D38)))</f>
        <v/>
      </c>
      <c r="O38">
        <f>IF(K38="","",D38)</f>
        <v/>
      </c>
      <c r="P38">
        <f>IF(K38="","",IF(R38,SUMPRODUCT(--($H$2:$H$501=K38),$I$2:$I$501),0))</f>
        <v/>
      </c>
      <c r="Q38">
        <f>IF(K38="","",TRUE)</f>
        <v/>
      </c>
      <c r="R38">
        <f>IF(K38="","",SUMPRODUCT(--($H$2:$H$501=K38))&gt;0)</f>
        <v/>
      </c>
      <c r="S38">
        <f>IF(K38="","",IF(AND(Q38,R38),IF(O38=P38,"Match","Qty Different"),IF(Q38,"Only in List 1","Only in List 2")))</f>
        <v/>
      </c>
      <c r="T38">
        <f>IF(K38="","",IF(ISNUMBER(--L38),TEXT(--L38,"000000000000.000"),LOWER(L38)))</f>
        <v/>
      </c>
      <c r="U38">
        <f>IF(K38="","",IF(ISNUMBER(--M38),TEXT(--M38,"000000000000.000"),LOWER(M38)))</f>
        <v/>
      </c>
      <c r="V38">
        <f>IF(K38="","",LOWER(N38))</f>
        <v/>
      </c>
      <c r="W38">
        <f>IF(K38="","",B38)</f>
        <v/>
      </c>
      <c r="X38">
        <f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>
      <c r="A39">
        <f>IF(TRIM('List 1'!A39&amp;'List 1'!C39&amp;'List 1'!D39)="","",LOWER(TRIM('List 1'!A39)&amp;"|"&amp;TRIM('List 1'!C39)&amp;"|"&amp;TRIM('List 1'!D39)))</f>
        <v/>
      </c>
      <c r="B39">
        <f>IF(A39="","",SUMPRODUCT(--($A$2:A39=A39)))</f>
        <v/>
      </c>
      <c r="C39">
        <f>IF(A39="","",A39&amp;"#"&amp;B39)</f>
        <v/>
      </c>
      <c r="D39">
        <f>IF(A39="","",IFERROR(--'List 1'!B39,0))</f>
        <v/>
      </c>
      <c r="F39">
        <f>IF(TRIM('List 2'!A39&amp;'List 2'!C39&amp;'List 2'!D39)="","",LOWER(TRIM('List 2'!A39)&amp;"|"&amp;TRIM('List 2'!C39)&amp;"|"&amp;TRIM('List 2'!D39)))</f>
        <v/>
      </c>
      <c r="G39">
        <f>IF(F39="","",SUMPRODUCT(--($F$2:F39=F39)))</f>
        <v/>
      </c>
      <c r="H39">
        <f>IF(F39="","",F39&amp;"#"&amp;G39)</f>
        <v/>
      </c>
      <c r="I39">
        <f>IF(F39="","",IFERROR(--'List 2'!B39,0))</f>
        <v/>
      </c>
      <c r="K39">
        <f>C39</f>
        <v/>
      </c>
      <c r="L39">
        <f>IF(K39="","",IF(ISNUMBER('List 1'!A39),'List 1'!A39,TRIM('List 1'!A39)))</f>
        <v/>
      </c>
      <c r="M39">
        <f>IF(K39="","",IF(ISNUMBER('List 1'!C39),'List 1'!C39,TRIM('List 1'!C39)))</f>
        <v/>
      </c>
      <c r="N39">
        <f>IF(K39="","",IF(ISNUMBER('List 1'!D39),'List 1'!D39,TRIM('List 1'!D39)))</f>
        <v/>
      </c>
      <c r="O39">
        <f>IF(K39="","",D39)</f>
        <v/>
      </c>
      <c r="P39">
        <f>IF(K39="","",IF(R39,SUMPRODUCT(--($H$2:$H$501=K39),$I$2:$I$501),0))</f>
        <v/>
      </c>
      <c r="Q39">
        <f>IF(K39="","",TRUE)</f>
        <v/>
      </c>
      <c r="R39">
        <f>IF(K39="","",SUMPRODUCT(--($H$2:$H$501=K39))&gt;0)</f>
        <v/>
      </c>
      <c r="S39">
        <f>IF(K39="","",IF(AND(Q39,R39),IF(O39=P39,"Match","Qty Different"),IF(Q39,"Only in List 1","Only in List 2")))</f>
        <v/>
      </c>
      <c r="T39">
        <f>IF(K39="","",IF(ISNUMBER(--L39),TEXT(--L39,"000000000000.000"),LOWER(L39)))</f>
        <v/>
      </c>
      <c r="U39">
        <f>IF(K39="","",IF(ISNUMBER(--M39),TEXT(--M39,"000000000000.000"),LOWER(M39)))</f>
        <v/>
      </c>
      <c r="V39">
        <f>IF(K39="","",LOWER(N39))</f>
        <v/>
      </c>
      <c r="W39">
        <f>IF(K39="","",B39)</f>
        <v/>
      </c>
      <c r="X39">
        <f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>
      <c r="A40">
        <f>IF(TRIM('List 1'!A40&amp;'List 1'!C40&amp;'List 1'!D40)="","",LOWER(TRIM('List 1'!A40)&amp;"|"&amp;TRIM('List 1'!C40)&amp;"|"&amp;TRIM('List 1'!D40)))</f>
        <v/>
      </c>
      <c r="B40">
        <f>IF(A40="","",SUMPRODUCT(--($A$2:A40=A40)))</f>
        <v/>
      </c>
      <c r="C40">
        <f>IF(A40="","",A40&amp;"#"&amp;B40)</f>
        <v/>
      </c>
      <c r="D40">
        <f>IF(A40="","",IFERROR(--'List 1'!B40,0))</f>
        <v/>
      </c>
      <c r="F40">
        <f>IF(TRIM('List 2'!A40&amp;'List 2'!C40&amp;'List 2'!D40)="","",LOWER(TRIM('List 2'!A40)&amp;"|"&amp;TRIM('List 2'!C40)&amp;"|"&amp;TRIM('List 2'!D40)))</f>
        <v/>
      </c>
      <c r="G40">
        <f>IF(F40="","",SUMPRODUCT(--($F$2:F40=F40)))</f>
        <v/>
      </c>
      <c r="H40">
        <f>IF(F40="","",F40&amp;"#"&amp;G40)</f>
        <v/>
      </c>
      <c r="I40">
        <f>IF(F40="","",IFERROR(--'List 2'!B40,0))</f>
        <v/>
      </c>
      <c r="K40">
        <f>C40</f>
        <v/>
      </c>
      <c r="L40">
        <f>IF(K40="","",IF(ISNUMBER('List 1'!A40),'List 1'!A40,TRIM('List 1'!A40)))</f>
        <v/>
      </c>
      <c r="M40">
        <f>IF(K40="","",IF(ISNUMBER('List 1'!C40),'List 1'!C40,TRIM('List 1'!C40)))</f>
        <v/>
      </c>
      <c r="N40">
        <f>IF(K40="","",IF(ISNUMBER('List 1'!D40),'List 1'!D40,TRIM('List 1'!D40)))</f>
        <v/>
      </c>
      <c r="O40">
        <f>IF(K40="","",D40)</f>
        <v/>
      </c>
      <c r="P40">
        <f>IF(K40="","",IF(R40,SUMPRODUCT(--($H$2:$H$501=K40),$I$2:$I$501),0))</f>
        <v/>
      </c>
      <c r="Q40">
        <f>IF(K40="","",TRUE)</f>
        <v/>
      </c>
      <c r="R40">
        <f>IF(K40="","",SUMPRODUCT(--($H$2:$H$501=K40))&gt;0)</f>
        <v/>
      </c>
      <c r="S40">
        <f>IF(K40="","",IF(AND(Q40,R40),IF(O40=P40,"Match","Qty Different"),IF(Q40,"Only in List 1","Only in List 2")))</f>
        <v/>
      </c>
      <c r="T40">
        <f>IF(K40="","",IF(ISNUMBER(--L40),TEXT(--L40,"000000000000.000"),LOWER(L40)))</f>
        <v/>
      </c>
      <c r="U40">
        <f>IF(K40="","",IF(ISNUMBER(--M40),TEXT(--M40,"000000000000.000"),LOWER(M40)))</f>
        <v/>
      </c>
      <c r="V40">
        <f>IF(K40="","",LOWER(N40))</f>
        <v/>
      </c>
      <c r="W40">
        <f>IF(K40="","",B40)</f>
        <v/>
      </c>
      <c r="X40">
        <f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>
      <c r="A41">
        <f>IF(TRIM('List 1'!A41&amp;'List 1'!C41&amp;'List 1'!D41)="","",LOWER(TRIM('List 1'!A41)&amp;"|"&amp;TRIM('List 1'!C41)&amp;"|"&amp;TRIM('List 1'!D41)))</f>
        <v/>
      </c>
      <c r="B41">
        <f>IF(A41="","",SUMPRODUCT(--($A$2:A41=A41)))</f>
        <v/>
      </c>
      <c r="C41">
        <f>IF(A41="","",A41&amp;"#"&amp;B41)</f>
        <v/>
      </c>
      <c r="D41">
        <f>IF(A41="","",IFERROR(--'List 1'!B41,0))</f>
        <v/>
      </c>
      <c r="F41">
        <f>IF(TRIM('List 2'!A41&amp;'List 2'!C41&amp;'List 2'!D41)="","",LOWER(TRIM('List 2'!A41)&amp;"|"&amp;TRIM('List 2'!C41)&amp;"|"&amp;TRIM('List 2'!D41)))</f>
        <v/>
      </c>
      <c r="G41">
        <f>IF(F41="","",SUMPRODUCT(--($F$2:F41=F41)))</f>
        <v/>
      </c>
      <c r="H41">
        <f>IF(F41="","",F41&amp;"#"&amp;G41)</f>
        <v/>
      </c>
      <c r="I41">
        <f>IF(F41="","",IFERROR(--'List 2'!B41,0))</f>
        <v/>
      </c>
      <c r="K41">
        <f>C41</f>
        <v/>
      </c>
      <c r="L41">
        <f>IF(K41="","",IF(ISNUMBER('List 1'!A41),'List 1'!A41,TRIM('List 1'!A41)))</f>
        <v/>
      </c>
      <c r="M41">
        <f>IF(K41="","",IF(ISNUMBER('List 1'!C41),'List 1'!C41,TRIM('List 1'!C41)))</f>
        <v/>
      </c>
      <c r="N41">
        <f>IF(K41="","",IF(ISNUMBER('List 1'!D41),'List 1'!D41,TRIM('List 1'!D41)))</f>
        <v/>
      </c>
      <c r="O41">
        <f>IF(K41="","",D41)</f>
        <v/>
      </c>
      <c r="P41">
        <f>IF(K41="","",IF(R41,SUMPRODUCT(--($H$2:$H$501=K41),$I$2:$I$501),0))</f>
        <v/>
      </c>
      <c r="Q41">
        <f>IF(K41="","",TRUE)</f>
        <v/>
      </c>
      <c r="R41">
        <f>IF(K41="","",SUMPRODUCT(--($H$2:$H$501=K41))&gt;0)</f>
        <v/>
      </c>
      <c r="S41">
        <f>IF(K41="","",IF(AND(Q41,R41),IF(O41=P41,"Match","Qty Different"),IF(Q41,"Only in List 1","Only in List 2")))</f>
        <v/>
      </c>
      <c r="T41">
        <f>IF(K41="","",IF(ISNUMBER(--L41),TEXT(--L41,"000000000000.000"),LOWER(L41)))</f>
        <v/>
      </c>
      <c r="U41">
        <f>IF(K41="","",IF(ISNUMBER(--M41),TEXT(--M41,"000000000000.000"),LOWER(M41)))</f>
        <v/>
      </c>
      <c r="V41">
        <f>IF(K41="","",LOWER(N41))</f>
        <v/>
      </c>
      <c r="W41">
        <f>IF(K41="","",B41)</f>
        <v/>
      </c>
      <c r="X41">
        <f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>
      <c r="A42">
        <f>IF(TRIM('List 1'!A42&amp;'List 1'!C42&amp;'List 1'!D42)="","",LOWER(TRIM('List 1'!A42)&amp;"|"&amp;TRIM('List 1'!C42)&amp;"|"&amp;TRIM('List 1'!D42)))</f>
        <v/>
      </c>
      <c r="B42">
        <f>IF(A42="","",SUMPRODUCT(--($A$2:A42=A42)))</f>
        <v/>
      </c>
      <c r="C42">
        <f>IF(A42="","",A42&amp;"#"&amp;B42)</f>
        <v/>
      </c>
      <c r="D42">
        <f>IF(A42="","",IFERROR(--'List 1'!B42,0))</f>
        <v/>
      </c>
      <c r="F42">
        <f>IF(TRIM('List 2'!A42&amp;'List 2'!C42&amp;'List 2'!D42)="","",LOWER(TRIM('List 2'!A42)&amp;"|"&amp;TRIM('List 2'!C42)&amp;"|"&amp;TRIM('List 2'!D42)))</f>
        <v/>
      </c>
      <c r="G42">
        <f>IF(F42="","",SUMPRODUCT(--($F$2:F42=F42)))</f>
        <v/>
      </c>
      <c r="H42">
        <f>IF(F42="","",F42&amp;"#"&amp;G42)</f>
        <v/>
      </c>
      <c r="I42">
        <f>IF(F42="","",IFERROR(--'List 2'!B42,0))</f>
        <v/>
      </c>
      <c r="K42">
        <f>C42</f>
        <v/>
      </c>
      <c r="L42">
        <f>IF(K42="","",IF(ISNUMBER('List 1'!A42),'List 1'!A42,TRIM('List 1'!A42)))</f>
        <v/>
      </c>
      <c r="M42">
        <f>IF(K42="","",IF(ISNUMBER('List 1'!C42),'List 1'!C42,TRIM('List 1'!C42)))</f>
        <v/>
      </c>
      <c r="N42">
        <f>IF(K42="","",IF(ISNUMBER('List 1'!D42),'List 1'!D42,TRIM('List 1'!D42)))</f>
        <v/>
      </c>
      <c r="O42">
        <f>IF(K42="","",D42)</f>
        <v/>
      </c>
      <c r="P42">
        <f>IF(K42="","",IF(R42,SUMPRODUCT(--($H$2:$H$501=K42),$I$2:$I$501),0))</f>
        <v/>
      </c>
      <c r="Q42">
        <f>IF(K42="","",TRUE)</f>
        <v/>
      </c>
      <c r="R42">
        <f>IF(K42="","",SUMPRODUCT(--($H$2:$H$501=K42))&gt;0)</f>
        <v/>
      </c>
      <c r="S42">
        <f>IF(K42="","",IF(AND(Q42,R42),IF(O42=P42,"Match","Qty Different"),IF(Q42,"Only in List 1","Only in List 2")))</f>
        <v/>
      </c>
      <c r="T42">
        <f>IF(K42="","",IF(ISNUMBER(--L42),TEXT(--L42,"000000000000.000"),LOWER(L42)))</f>
        <v/>
      </c>
      <c r="U42">
        <f>IF(K42="","",IF(ISNUMBER(--M42),TEXT(--M42,"000000000000.000"),LOWER(M42)))</f>
        <v/>
      </c>
      <c r="V42">
        <f>IF(K42="","",LOWER(N42))</f>
        <v/>
      </c>
      <c r="W42">
        <f>IF(K42="","",B42)</f>
        <v/>
      </c>
      <c r="X42">
        <f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>
      <c r="A43">
        <f>IF(TRIM('List 1'!A43&amp;'List 1'!C43&amp;'List 1'!D43)="","",LOWER(TRIM('List 1'!A43)&amp;"|"&amp;TRIM('List 1'!C43)&amp;"|"&amp;TRIM('List 1'!D43)))</f>
        <v/>
      </c>
      <c r="B43">
        <f>IF(A43="","",SUMPRODUCT(--($A$2:A43=A43)))</f>
        <v/>
      </c>
      <c r="C43">
        <f>IF(A43="","",A43&amp;"#"&amp;B43)</f>
        <v/>
      </c>
      <c r="D43">
        <f>IF(A43="","",IFERROR(--'List 1'!B43,0))</f>
        <v/>
      </c>
      <c r="F43">
        <f>IF(TRIM('List 2'!A43&amp;'List 2'!C43&amp;'List 2'!D43)="","",LOWER(TRIM('List 2'!A43)&amp;"|"&amp;TRIM('List 2'!C43)&amp;"|"&amp;TRIM('List 2'!D43)))</f>
        <v/>
      </c>
      <c r="G43">
        <f>IF(F43="","",SUMPRODUCT(--($F$2:F43=F43)))</f>
        <v/>
      </c>
      <c r="H43">
        <f>IF(F43="","",F43&amp;"#"&amp;G43)</f>
        <v/>
      </c>
      <c r="I43">
        <f>IF(F43="","",IFERROR(--'List 2'!B43,0))</f>
        <v/>
      </c>
      <c r="K43">
        <f>C43</f>
        <v/>
      </c>
      <c r="L43">
        <f>IF(K43="","",IF(ISNUMBER('List 1'!A43),'List 1'!A43,TRIM('List 1'!A43)))</f>
        <v/>
      </c>
      <c r="M43">
        <f>IF(K43="","",IF(ISNUMBER('List 1'!C43),'List 1'!C43,TRIM('List 1'!C43)))</f>
        <v/>
      </c>
      <c r="N43">
        <f>IF(K43="","",IF(ISNUMBER('List 1'!D43),'List 1'!D43,TRIM('List 1'!D43)))</f>
        <v/>
      </c>
      <c r="O43">
        <f>IF(K43="","",D43)</f>
        <v/>
      </c>
      <c r="P43">
        <f>IF(K43="","",IF(R43,SUMPRODUCT(--($H$2:$H$501=K43),$I$2:$I$501),0))</f>
        <v/>
      </c>
      <c r="Q43">
        <f>IF(K43="","",TRUE)</f>
        <v/>
      </c>
      <c r="R43">
        <f>IF(K43="","",SUMPRODUCT(--($H$2:$H$501=K43))&gt;0)</f>
        <v/>
      </c>
      <c r="S43">
        <f>IF(K43="","",IF(AND(Q43,R43),IF(O43=P43,"Match","Qty Different"),IF(Q43,"Only in List 1","Only in List 2")))</f>
        <v/>
      </c>
      <c r="T43">
        <f>IF(K43="","",IF(ISNUMBER(--L43),TEXT(--L43,"000000000000.000"),LOWER(L43)))</f>
        <v/>
      </c>
      <c r="U43">
        <f>IF(K43="","",IF(ISNUMBER(--M43),TEXT(--M43,"000000000000.000"),LOWER(M43)))</f>
        <v/>
      </c>
      <c r="V43">
        <f>IF(K43="","",LOWER(N43))</f>
        <v/>
      </c>
      <c r="W43">
        <f>IF(K43="","",B43)</f>
        <v/>
      </c>
      <c r="X43">
        <f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>
      <c r="A44">
        <f>IF(TRIM('List 1'!A44&amp;'List 1'!C44&amp;'List 1'!D44)="","",LOWER(TRIM('List 1'!A44)&amp;"|"&amp;TRIM('List 1'!C44)&amp;"|"&amp;TRIM('List 1'!D44)))</f>
        <v/>
      </c>
      <c r="B44">
        <f>IF(A44="","",SUMPRODUCT(--($A$2:A44=A44)))</f>
        <v/>
      </c>
      <c r="C44">
        <f>IF(A44="","",A44&amp;"#"&amp;B44)</f>
        <v/>
      </c>
      <c r="D44">
        <f>IF(A44="","",IFERROR(--'List 1'!B44,0))</f>
        <v/>
      </c>
      <c r="F44">
        <f>IF(TRIM('List 2'!A44&amp;'List 2'!C44&amp;'List 2'!D44)="","",LOWER(TRIM('List 2'!A44)&amp;"|"&amp;TRIM('List 2'!C44)&amp;"|"&amp;TRIM('List 2'!D44)))</f>
        <v/>
      </c>
      <c r="G44">
        <f>IF(F44="","",SUMPRODUCT(--($F$2:F44=F44)))</f>
        <v/>
      </c>
      <c r="H44">
        <f>IF(F44="","",F44&amp;"#"&amp;G44)</f>
        <v/>
      </c>
      <c r="I44">
        <f>IF(F44="","",IFERROR(--'List 2'!B44,0))</f>
        <v/>
      </c>
      <c r="K44">
        <f>C44</f>
        <v/>
      </c>
      <c r="L44">
        <f>IF(K44="","",IF(ISNUMBER('List 1'!A44),'List 1'!A44,TRIM('List 1'!A44)))</f>
        <v/>
      </c>
      <c r="M44">
        <f>IF(K44="","",IF(ISNUMBER('List 1'!C44),'List 1'!C44,TRIM('List 1'!C44)))</f>
        <v/>
      </c>
      <c r="N44">
        <f>IF(K44="","",IF(ISNUMBER('List 1'!D44),'List 1'!D44,TRIM('List 1'!D44)))</f>
        <v/>
      </c>
      <c r="O44">
        <f>IF(K44="","",D44)</f>
        <v/>
      </c>
      <c r="P44">
        <f>IF(K44="","",IF(R44,SUMPRODUCT(--($H$2:$H$501=K44),$I$2:$I$501),0))</f>
        <v/>
      </c>
      <c r="Q44">
        <f>IF(K44="","",TRUE)</f>
        <v/>
      </c>
      <c r="R44">
        <f>IF(K44="","",SUMPRODUCT(--($H$2:$H$501=K44))&gt;0)</f>
        <v/>
      </c>
      <c r="S44">
        <f>IF(K44="","",IF(AND(Q44,R44),IF(O44=P44,"Match","Qty Different"),IF(Q44,"Only in List 1","Only in List 2")))</f>
        <v/>
      </c>
      <c r="T44">
        <f>IF(K44="","",IF(ISNUMBER(--L44),TEXT(--L44,"000000000000.000"),LOWER(L44)))</f>
        <v/>
      </c>
      <c r="U44">
        <f>IF(K44="","",IF(ISNUMBER(--M44),TEXT(--M44,"000000000000.000"),LOWER(M44)))</f>
        <v/>
      </c>
      <c r="V44">
        <f>IF(K44="","",LOWER(N44))</f>
        <v/>
      </c>
      <c r="W44">
        <f>IF(K44="","",B44)</f>
        <v/>
      </c>
      <c r="X44">
        <f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>
      <c r="A45">
        <f>IF(TRIM('List 1'!A45&amp;'List 1'!C45&amp;'List 1'!D45)="","",LOWER(TRIM('List 1'!A45)&amp;"|"&amp;TRIM('List 1'!C45)&amp;"|"&amp;TRIM('List 1'!D45)))</f>
        <v/>
      </c>
      <c r="B45">
        <f>IF(A45="","",SUMPRODUCT(--($A$2:A45=A45)))</f>
        <v/>
      </c>
      <c r="C45">
        <f>IF(A45="","",A45&amp;"#"&amp;B45)</f>
        <v/>
      </c>
      <c r="D45">
        <f>IF(A45="","",IFERROR(--'List 1'!B45,0))</f>
        <v/>
      </c>
      <c r="F45">
        <f>IF(TRIM('List 2'!A45&amp;'List 2'!C45&amp;'List 2'!D45)="","",LOWER(TRIM('List 2'!A45)&amp;"|"&amp;TRIM('List 2'!C45)&amp;"|"&amp;TRIM('List 2'!D45)))</f>
        <v/>
      </c>
      <c r="G45">
        <f>IF(F45="","",SUMPRODUCT(--($F$2:F45=F45)))</f>
        <v/>
      </c>
      <c r="H45">
        <f>IF(F45="","",F45&amp;"#"&amp;G45)</f>
        <v/>
      </c>
      <c r="I45">
        <f>IF(F45="","",IFERROR(--'List 2'!B45,0))</f>
        <v/>
      </c>
      <c r="K45">
        <f>C45</f>
        <v/>
      </c>
      <c r="L45">
        <f>IF(K45="","",IF(ISNUMBER('List 1'!A45),'List 1'!A45,TRIM('List 1'!A45)))</f>
        <v/>
      </c>
      <c r="M45">
        <f>IF(K45="","",IF(ISNUMBER('List 1'!C45),'List 1'!C45,TRIM('List 1'!C45)))</f>
        <v/>
      </c>
      <c r="N45">
        <f>IF(K45="","",IF(ISNUMBER('List 1'!D45),'List 1'!D45,TRIM('List 1'!D45)))</f>
        <v/>
      </c>
      <c r="O45">
        <f>IF(K45="","",D45)</f>
        <v/>
      </c>
      <c r="P45">
        <f>IF(K45="","",IF(R45,SUMPRODUCT(--($H$2:$H$501=K45),$I$2:$I$501),0))</f>
        <v/>
      </c>
      <c r="Q45">
        <f>IF(K45="","",TRUE)</f>
        <v/>
      </c>
      <c r="R45">
        <f>IF(K45="","",SUMPRODUCT(--($H$2:$H$501=K45))&gt;0)</f>
        <v/>
      </c>
      <c r="S45">
        <f>IF(K45="","",IF(AND(Q45,R45),IF(O45=P45,"Match","Qty Different"),IF(Q45,"Only in List 1","Only in List 2")))</f>
        <v/>
      </c>
      <c r="T45">
        <f>IF(K45="","",IF(ISNUMBER(--L45),TEXT(--L45,"000000000000.000"),LOWER(L45)))</f>
        <v/>
      </c>
      <c r="U45">
        <f>IF(K45="","",IF(ISNUMBER(--M45),TEXT(--M45,"000000000000.000"),LOWER(M45)))</f>
        <v/>
      </c>
      <c r="V45">
        <f>IF(K45="","",LOWER(N45))</f>
        <v/>
      </c>
      <c r="W45">
        <f>IF(K45="","",B45)</f>
        <v/>
      </c>
      <c r="X45">
        <f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>
      <c r="A46">
        <f>IF(TRIM('List 1'!A46&amp;'List 1'!C46&amp;'List 1'!D46)="","",LOWER(TRIM('List 1'!A46)&amp;"|"&amp;TRIM('List 1'!C46)&amp;"|"&amp;TRIM('List 1'!D46)))</f>
        <v/>
      </c>
      <c r="B46">
        <f>IF(A46="","",SUMPRODUCT(--($A$2:A46=A46)))</f>
        <v/>
      </c>
      <c r="C46">
        <f>IF(A46="","",A46&amp;"#"&amp;B46)</f>
        <v/>
      </c>
      <c r="D46">
        <f>IF(A46="","",IFERROR(--'List 1'!B46,0))</f>
        <v/>
      </c>
      <c r="F46">
        <f>IF(TRIM('List 2'!A46&amp;'List 2'!C46&amp;'List 2'!D46)="","",LOWER(TRIM('List 2'!A46)&amp;"|"&amp;TRIM('List 2'!C46)&amp;"|"&amp;TRIM('List 2'!D46)))</f>
        <v/>
      </c>
      <c r="G46">
        <f>IF(F46="","",SUMPRODUCT(--($F$2:F46=F46)))</f>
        <v/>
      </c>
      <c r="H46">
        <f>IF(F46="","",F46&amp;"#"&amp;G46)</f>
        <v/>
      </c>
      <c r="I46">
        <f>IF(F46="","",IFERROR(--'List 2'!B46,0))</f>
        <v/>
      </c>
      <c r="K46">
        <f>C46</f>
        <v/>
      </c>
      <c r="L46">
        <f>IF(K46="","",IF(ISNUMBER('List 1'!A46),'List 1'!A46,TRIM('List 1'!A46)))</f>
        <v/>
      </c>
      <c r="M46">
        <f>IF(K46="","",IF(ISNUMBER('List 1'!C46),'List 1'!C46,TRIM('List 1'!C46)))</f>
        <v/>
      </c>
      <c r="N46">
        <f>IF(K46="","",IF(ISNUMBER('List 1'!D46),'List 1'!D46,TRIM('List 1'!D46)))</f>
        <v/>
      </c>
      <c r="O46">
        <f>IF(K46="","",D46)</f>
        <v/>
      </c>
      <c r="P46">
        <f>IF(K46="","",IF(R46,SUMPRODUCT(--($H$2:$H$501=K46),$I$2:$I$501),0))</f>
        <v/>
      </c>
      <c r="Q46">
        <f>IF(K46="","",TRUE)</f>
        <v/>
      </c>
      <c r="R46">
        <f>IF(K46="","",SUMPRODUCT(--($H$2:$H$501=K46))&gt;0)</f>
        <v/>
      </c>
      <c r="S46">
        <f>IF(K46="","",IF(AND(Q46,R46),IF(O46=P46,"Match","Qty Different"),IF(Q46,"Only in List 1","Only in List 2")))</f>
        <v/>
      </c>
      <c r="T46">
        <f>IF(K46="","",IF(ISNUMBER(--L46),TEXT(--L46,"000000000000.000"),LOWER(L46)))</f>
        <v/>
      </c>
      <c r="U46">
        <f>IF(K46="","",IF(ISNUMBER(--M46),TEXT(--M46,"000000000000.000"),LOWER(M46)))</f>
        <v/>
      </c>
      <c r="V46">
        <f>IF(K46="","",LOWER(N46))</f>
        <v/>
      </c>
      <c r="W46">
        <f>IF(K46="","",B46)</f>
        <v/>
      </c>
      <c r="X46">
        <f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>
      <c r="A47">
        <f>IF(TRIM('List 1'!A47&amp;'List 1'!C47&amp;'List 1'!D47)="","",LOWER(TRIM('List 1'!A47)&amp;"|"&amp;TRIM('List 1'!C47)&amp;"|"&amp;TRIM('List 1'!D47)))</f>
        <v/>
      </c>
      <c r="B47">
        <f>IF(A47="","",SUMPRODUCT(--($A$2:A47=A47)))</f>
        <v/>
      </c>
      <c r="C47">
        <f>IF(A47="","",A47&amp;"#"&amp;B47)</f>
        <v/>
      </c>
      <c r="D47">
        <f>IF(A47="","",IFERROR(--'List 1'!B47,0))</f>
        <v/>
      </c>
      <c r="F47">
        <f>IF(TRIM('List 2'!A47&amp;'List 2'!C47&amp;'List 2'!D47)="","",LOWER(TRIM('List 2'!A47)&amp;"|"&amp;TRIM('List 2'!C47)&amp;"|"&amp;TRIM('List 2'!D47)))</f>
        <v/>
      </c>
      <c r="G47">
        <f>IF(F47="","",SUMPRODUCT(--($F$2:F47=F47)))</f>
        <v/>
      </c>
      <c r="H47">
        <f>IF(F47="","",F47&amp;"#"&amp;G47)</f>
        <v/>
      </c>
      <c r="I47">
        <f>IF(F47="","",IFERROR(--'List 2'!B47,0))</f>
        <v/>
      </c>
      <c r="K47">
        <f>C47</f>
        <v/>
      </c>
      <c r="L47">
        <f>IF(K47="","",IF(ISNUMBER('List 1'!A47),'List 1'!A47,TRIM('List 1'!A47)))</f>
        <v/>
      </c>
      <c r="M47">
        <f>IF(K47="","",IF(ISNUMBER('List 1'!C47),'List 1'!C47,TRIM('List 1'!C47)))</f>
        <v/>
      </c>
      <c r="N47">
        <f>IF(K47="","",IF(ISNUMBER('List 1'!D47),'List 1'!D47,TRIM('List 1'!D47)))</f>
        <v/>
      </c>
      <c r="O47">
        <f>IF(K47="","",D47)</f>
        <v/>
      </c>
      <c r="P47">
        <f>IF(K47="","",IF(R47,SUMPRODUCT(--($H$2:$H$501=K47),$I$2:$I$501),0))</f>
        <v/>
      </c>
      <c r="Q47">
        <f>IF(K47="","",TRUE)</f>
        <v/>
      </c>
      <c r="R47">
        <f>IF(K47="","",SUMPRODUCT(--($H$2:$H$501=K47))&gt;0)</f>
        <v/>
      </c>
      <c r="S47">
        <f>IF(K47="","",IF(AND(Q47,R47),IF(O47=P47,"Match","Qty Different"),IF(Q47,"Only in List 1","Only in List 2")))</f>
        <v/>
      </c>
      <c r="T47">
        <f>IF(K47="","",IF(ISNUMBER(--L47),TEXT(--L47,"000000000000.000"),LOWER(L47)))</f>
        <v/>
      </c>
      <c r="U47">
        <f>IF(K47="","",IF(ISNUMBER(--M47),TEXT(--M47,"000000000000.000"),LOWER(M47)))</f>
        <v/>
      </c>
      <c r="V47">
        <f>IF(K47="","",LOWER(N47))</f>
        <v/>
      </c>
      <c r="W47">
        <f>IF(K47="","",B47)</f>
        <v/>
      </c>
      <c r="X47">
        <f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>
      <c r="A48">
        <f>IF(TRIM('List 1'!A48&amp;'List 1'!C48&amp;'List 1'!D48)="","",LOWER(TRIM('List 1'!A48)&amp;"|"&amp;TRIM('List 1'!C48)&amp;"|"&amp;TRIM('List 1'!D48)))</f>
        <v/>
      </c>
      <c r="B48">
        <f>IF(A48="","",SUMPRODUCT(--($A$2:A48=A48)))</f>
        <v/>
      </c>
      <c r="C48">
        <f>IF(A48="","",A48&amp;"#"&amp;B48)</f>
        <v/>
      </c>
      <c r="D48">
        <f>IF(A48="","",IFERROR(--'List 1'!B48,0))</f>
        <v/>
      </c>
      <c r="F48">
        <f>IF(TRIM('List 2'!A48&amp;'List 2'!C48&amp;'List 2'!D48)="","",LOWER(TRIM('List 2'!A48)&amp;"|"&amp;TRIM('List 2'!C48)&amp;"|"&amp;TRIM('List 2'!D48)))</f>
        <v/>
      </c>
      <c r="G48">
        <f>IF(F48="","",SUMPRODUCT(--($F$2:F48=F48)))</f>
        <v/>
      </c>
      <c r="H48">
        <f>IF(F48="","",F48&amp;"#"&amp;G48)</f>
        <v/>
      </c>
      <c r="I48">
        <f>IF(F48="","",IFERROR(--'List 2'!B48,0))</f>
        <v/>
      </c>
      <c r="K48">
        <f>C48</f>
        <v/>
      </c>
      <c r="L48">
        <f>IF(K48="","",IF(ISNUMBER('List 1'!A48),'List 1'!A48,TRIM('List 1'!A48)))</f>
        <v/>
      </c>
      <c r="M48">
        <f>IF(K48="","",IF(ISNUMBER('List 1'!C48),'List 1'!C48,TRIM('List 1'!C48)))</f>
        <v/>
      </c>
      <c r="N48">
        <f>IF(K48="","",IF(ISNUMBER('List 1'!D48),'List 1'!D48,TRIM('List 1'!D48)))</f>
        <v/>
      </c>
      <c r="O48">
        <f>IF(K48="","",D48)</f>
        <v/>
      </c>
      <c r="P48">
        <f>IF(K48="","",IF(R48,SUMPRODUCT(--($H$2:$H$501=K48),$I$2:$I$501),0))</f>
        <v/>
      </c>
      <c r="Q48">
        <f>IF(K48="","",TRUE)</f>
        <v/>
      </c>
      <c r="R48">
        <f>IF(K48="","",SUMPRODUCT(--($H$2:$H$501=K48))&gt;0)</f>
        <v/>
      </c>
      <c r="S48">
        <f>IF(K48="","",IF(AND(Q48,R48),IF(O48=P48,"Match","Qty Different"),IF(Q48,"Only in List 1","Only in List 2")))</f>
        <v/>
      </c>
      <c r="T48">
        <f>IF(K48="","",IF(ISNUMBER(--L48),TEXT(--L48,"000000000000.000"),LOWER(L48)))</f>
        <v/>
      </c>
      <c r="U48">
        <f>IF(K48="","",IF(ISNUMBER(--M48),TEXT(--M48,"000000000000.000"),LOWER(M48)))</f>
        <v/>
      </c>
      <c r="V48">
        <f>IF(K48="","",LOWER(N48))</f>
        <v/>
      </c>
      <c r="W48">
        <f>IF(K48="","",B48)</f>
        <v/>
      </c>
      <c r="X48">
        <f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>
      <c r="A49">
        <f>IF(TRIM('List 1'!A49&amp;'List 1'!C49&amp;'List 1'!D49)="","",LOWER(TRIM('List 1'!A49)&amp;"|"&amp;TRIM('List 1'!C49)&amp;"|"&amp;TRIM('List 1'!D49)))</f>
        <v/>
      </c>
      <c r="B49">
        <f>IF(A49="","",SUMPRODUCT(--($A$2:A49=A49)))</f>
        <v/>
      </c>
      <c r="C49">
        <f>IF(A49="","",A49&amp;"#"&amp;B49)</f>
        <v/>
      </c>
      <c r="D49">
        <f>IF(A49="","",IFERROR(--'List 1'!B49,0))</f>
        <v/>
      </c>
      <c r="F49">
        <f>IF(TRIM('List 2'!A49&amp;'List 2'!C49&amp;'List 2'!D49)="","",LOWER(TRIM('List 2'!A49)&amp;"|"&amp;TRIM('List 2'!C49)&amp;"|"&amp;TRIM('List 2'!D49)))</f>
        <v/>
      </c>
      <c r="G49">
        <f>IF(F49="","",SUMPRODUCT(--($F$2:F49=F49)))</f>
        <v/>
      </c>
      <c r="H49">
        <f>IF(F49="","",F49&amp;"#"&amp;G49)</f>
        <v/>
      </c>
      <c r="I49">
        <f>IF(F49="","",IFERROR(--'List 2'!B49,0))</f>
        <v/>
      </c>
      <c r="K49">
        <f>C49</f>
        <v/>
      </c>
      <c r="L49">
        <f>IF(K49="","",IF(ISNUMBER('List 1'!A49),'List 1'!A49,TRIM('List 1'!A49)))</f>
        <v/>
      </c>
      <c r="M49">
        <f>IF(K49="","",IF(ISNUMBER('List 1'!C49),'List 1'!C49,TRIM('List 1'!C49)))</f>
        <v/>
      </c>
      <c r="N49">
        <f>IF(K49="","",IF(ISNUMBER('List 1'!D49),'List 1'!D49,TRIM('List 1'!D49)))</f>
        <v/>
      </c>
      <c r="O49">
        <f>IF(K49="","",D49)</f>
        <v/>
      </c>
      <c r="P49">
        <f>IF(K49="","",IF(R49,SUMPRODUCT(--($H$2:$H$501=K49),$I$2:$I$501),0))</f>
        <v/>
      </c>
      <c r="Q49">
        <f>IF(K49="","",TRUE)</f>
        <v/>
      </c>
      <c r="R49">
        <f>IF(K49="","",SUMPRODUCT(--($H$2:$H$501=K49))&gt;0)</f>
        <v/>
      </c>
      <c r="S49">
        <f>IF(K49="","",IF(AND(Q49,R49),IF(O49=P49,"Match","Qty Different"),IF(Q49,"Only in List 1","Only in List 2")))</f>
        <v/>
      </c>
      <c r="T49">
        <f>IF(K49="","",IF(ISNUMBER(--L49),TEXT(--L49,"000000000000.000"),LOWER(L49)))</f>
        <v/>
      </c>
      <c r="U49">
        <f>IF(K49="","",IF(ISNUMBER(--M49),TEXT(--M49,"000000000000.000"),LOWER(M49)))</f>
        <v/>
      </c>
      <c r="V49">
        <f>IF(K49="","",LOWER(N49))</f>
        <v/>
      </c>
      <c r="W49">
        <f>IF(K49="","",B49)</f>
        <v/>
      </c>
      <c r="X49">
        <f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>
      <c r="A50">
        <f>IF(TRIM('List 1'!A50&amp;'List 1'!C50&amp;'List 1'!D50)="","",LOWER(TRIM('List 1'!A50)&amp;"|"&amp;TRIM('List 1'!C50)&amp;"|"&amp;TRIM('List 1'!D50)))</f>
        <v/>
      </c>
      <c r="B50">
        <f>IF(A50="","",SUMPRODUCT(--($A$2:A50=A50)))</f>
        <v/>
      </c>
      <c r="C50">
        <f>IF(A50="","",A50&amp;"#"&amp;B50)</f>
        <v/>
      </c>
      <c r="D50">
        <f>IF(A50="","",IFERROR(--'List 1'!B50,0))</f>
        <v/>
      </c>
      <c r="F50">
        <f>IF(TRIM('List 2'!A50&amp;'List 2'!C50&amp;'List 2'!D50)="","",LOWER(TRIM('List 2'!A50)&amp;"|"&amp;TRIM('List 2'!C50)&amp;"|"&amp;TRIM('List 2'!D50)))</f>
        <v/>
      </c>
      <c r="G50">
        <f>IF(F50="","",SUMPRODUCT(--($F$2:F50=F50)))</f>
        <v/>
      </c>
      <c r="H50">
        <f>IF(F50="","",F50&amp;"#"&amp;G50)</f>
        <v/>
      </c>
      <c r="I50">
        <f>IF(F50="","",IFERROR(--'List 2'!B50,0))</f>
        <v/>
      </c>
      <c r="K50">
        <f>C50</f>
        <v/>
      </c>
      <c r="L50">
        <f>IF(K50="","",IF(ISNUMBER('List 1'!A50),'List 1'!A50,TRIM('List 1'!A50)))</f>
        <v/>
      </c>
      <c r="M50">
        <f>IF(K50="","",IF(ISNUMBER('List 1'!C50),'List 1'!C50,TRIM('List 1'!C50)))</f>
        <v/>
      </c>
      <c r="N50">
        <f>IF(K50="","",IF(ISNUMBER('List 1'!D50),'List 1'!D50,TRIM('List 1'!D50)))</f>
        <v/>
      </c>
      <c r="O50">
        <f>IF(K50="","",D50)</f>
        <v/>
      </c>
      <c r="P50">
        <f>IF(K50="","",IF(R50,SUMPRODUCT(--($H$2:$H$501=K50),$I$2:$I$501),0))</f>
        <v/>
      </c>
      <c r="Q50">
        <f>IF(K50="","",TRUE)</f>
        <v/>
      </c>
      <c r="R50">
        <f>IF(K50="","",SUMPRODUCT(--($H$2:$H$501=K50))&gt;0)</f>
        <v/>
      </c>
      <c r="S50">
        <f>IF(K50="","",IF(AND(Q50,R50),IF(O50=P50,"Match","Qty Different"),IF(Q50,"Only in List 1","Only in List 2")))</f>
        <v/>
      </c>
      <c r="T50">
        <f>IF(K50="","",IF(ISNUMBER(--L50),TEXT(--L50,"000000000000.000"),LOWER(L50)))</f>
        <v/>
      </c>
      <c r="U50">
        <f>IF(K50="","",IF(ISNUMBER(--M50),TEXT(--M50,"000000000000.000"),LOWER(M50)))</f>
        <v/>
      </c>
      <c r="V50">
        <f>IF(K50="","",LOWER(N50))</f>
        <v/>
      </c>
      <c r="W50">
        <f>IF(K50="","",B50)</f>
        <v/>
      </c>
      <c r="X50">
        <f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>
      <c r="A51">
        <f>IF(TRIM('List 1'!A51&amp;'List 1'!C51&amp;'List 1'!D51)="","",LOWER(TRIM('List 1'!A51)&amp;"|"&amp;TRIM('List 1'!C51)&amp;"|"&amp;TRIM('List 1'!D51)))</f>
        <v/>
      </c>
      <c r="B51">
        <f>IF(A51="","",SUMPRODUCT(--($A$2:A51=A51)))</f>
        <v/>
      </c>
      <c r="C51">
        <f>IF(A51="","",A51&amp;"#"&amp;B51)</f>
        <v/>
      </c>
      <c r="D51">
        <f>IF(A51="","",IFERROR(--'List 1'!B51,0))</f>
        <v/>
      </c>
      <c r="F51">
        <f>IF(TRIM('List 2'!A51&amp;'List 2'!C51&amp;'List 2'!D51)="","",LOWER(TRIM('List 2'!A51)&amp;"|"&amp;TRIM('List 2'!C51)&amp;"|"&amp;TRIM('List 2'!D51)))</f>
        <v/>
      </c>
      <c r="G51">
        <f>IF(F51="","",SUMPRODUCT(--($F$2:F51=F51)))</f>
        <v/>
      </c>
      <c r="H51">
        <f>IF(F51="","",F51&amp;"#"&amp;G51)</f>
        <v/>
      </c>
      <c r="I51">
        <f>IF(F51="","",IFERROR(--'List 2'!B51,0))</f>
        <v/>
      </c>
      <c r="K51">
        <f>C51</f>
        <v/>
      </c>
      <c r="L51">
        <f>IF(K51="","",IF(ISNUMBER('List 1'!A51),'List 1'!A51,TRIM('List 1'!A51)))</f>
        <v/>
      </c>
      <c r="M51">
        <f>IF(K51="","",IF(ISNUMBER('List 1'!C51),'List 1'!C51,TRIM('List 1'!C51)))</f>
        <v/>
      </c>
      <c r="N51">
        <f>IF(K51="","",IF(ISNUMBER('List 1'!D51),'List 1'!D51,TRIM('List 1'!D51)))</f>
        <v/>
      </c>
      <c r="O51">
        <f>IF(K51="","",D51)</f>
        <v/>
      </c>
      <c r="P51">
        <f>IF(K51="","",IF(R51,SUMPRODUCT(--($H$2:$H$501=K51),$I$2:$I$501),0))</f>
        <v/>
      </c>
      <c r="Q51">
        <f>IF(K51="","",TRUE)</f>
        <v/>
      </c>
      <c r="R51">
        <f>IF(K51="","",SUMPRODUCT(--($H$2:$H$501=K51))&gt;0)</f>
        <v/>
      </c>
      <c r="S51">
        <f>IF(K51="","",IF(AND(Q51,R51),IF(O51=P51,"Match","Qty Different"),IF(Q51,"Only in List 1","Only in List 2")))</f>
        <v/>
      </c>
      <c r="T51">
        <f>IF(K51="","",IF(ISNUMBER(--L51),TEXT(--L51,"000000000000.000"),LOWER(L51)))</f>
        <v/>
      </c>
      <c r="U51">
        <f>IF(K51="","",IF(ISNUMBER(--M51),TEXT(--M51,"000000000000.000"),LOWER(M51)))</f>
        <v/>
      </c>
      <c r="V51">
        <f>IF(K51="","",LOWER(N51))</f>
        <v/>
      </c>
      <c r="W51">
        <f>IF(K51="","",B51)</f>
        <v/>
      </c>
      <c r="X51">
        <f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>
      <c r="A52">
        <f>IF(TRIM('List 1'!A52&amp;'List 1'!C52&amp;'List 1'!D52)="","",LOWER(TRIM('List 1'!A52)&amp;"|"&amp;TRIM('List 1'!C52)&amp;"|"&amp;TRIM('List 1'!D52)))</f>
        <v/>
      </c>
      <c r="B52">
        <f>IF(A52="","",SUMPRODUCT(--($A$2:A52=A52)))</f>
        <v/>
      </c>
      <c r="C52">
        <f>IF(A52="","",A52&amp;"#"&amp;B52)</f>
        <v/>
      </c>
      <c r="D52">
        <f>IF(A52="","",IFERROR(--'List 1'!B52,0))</f>
        <v/>
      </c>
      <c r="F52">
        <f>IF(TRIM('List 2'!A52&amp;'List 2'!C52&amp;'List 2'!D52)="","",LOWER(TRIM('List 2'!A52)&amp;"|"&amp;TRIM('List 2'!C52)&amp;"|"&amp;TRIM('List 2'!D52)))</f>
        <v/>
      </c>
      <c r="G52">
        <f>IF(F52="","",SUMPRODUCT(--($F$2:F52=F52)))</f>
        <v/>
      </c>
      <c r="H52">
        <f>IF(F52="","",F52&amp;"#"&amp;G52)</f>
        <v/>
      </c>
      <c r="I52">
        <f>IF(F52="","",IFERROR(--'List 2'!B52,0))</f>
        <v/>
      </c>
      <c r="K52">
        <f>C52</f>
        <v/>
      </c>
      <c r="L52">
        <f>IF(K52="","",IF(ISNUMBER('List 1'!A52),'List 1'!A52,TRIM('List 1'!A52)))</f>
        <v/>
      </c>
      <c r="M52">
        <f>IF(K52="","",IF(ISNUMBER('List 1'!C52),'List 1'!C52,TRIM('List 1'!C52)))</f>
        <v/>
      </c>
      <c r="N52">
        <f>IF(K52="","",IF(ISNUMBER('List 1'!D52),'List 1'!D52,TRIM('List 1'!D52)))</f>
        <v/>
      </c>
      <c r="O52">
        <f>IF(K52="","",D52)</f>
        <v/>
      </c>
      <c r="P52">
        <f>IF(K52="","",IF(R52,SUMPRODUCT(--($H$2:$H$501=K52),$I$2:$I$501),0))</f>
        <v/>
      </c>
      <c r="Q52">
        <f>IF(K52="","",TRUE)</f>
        <v/>
      </c>
      <c r="R52">
        <f>IF(K52="","",SUMPRODUCT(--($H$2:$H$501=K52))&gt;0)</f>
        <v/>
      </c>
      <c r="S52">
        <f>IF(K52="","",IF(AND(Q52,R52),IF(O52=P52,"Match","Qty Different"),IF(Q52,"Only in List 1","Only in List 2")))</f>
        <v/>
      </c>
      <c r="T52">
        <f>IF(K52="","",IF(ISNUMBER(--L52),TEXT(--L52,"000000000000.000"),LOWER(L52)))</f>
        <v/>
      </c>
      <c r="U52">
        <f>IF(K52="","",IF(ISNUMBER(--M52),TEXT(--M52,"000000000000.000"),LOWER(M52)))</f>
        <v/>
      </c>
      <c r="V52">
        <f>IF(K52="","",LOWER(N52))</f>
        <v/>
      </c>
      <c r="W52">
        <f>IF(K52="","",B52)</f>
        <v/>
      </c>
      <c r="X52">
        <f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>
      <c r="A53">
        <f>IF(TRIM('List 1'!A53&amp;'List 1'!C53&amp;'List 1'!D53)="","",LOWER(TRIM('List 1'!A53)&amp;"|"&amp;TRIM('List 1'!C53)&amp;"|"&amp;TRIM('List 1'!D53)))</f>
        <v/>
      </c>
      <c r="B53">
        <f>IF(A53="","",SUMPRODUCT(--($A$2:A53=A53)))</f>
        <v/>
      </c>
      <c r="C53">
        <f>IF(A53="","",A53&amp;"#"&amp;B53)</f>
        <v/>
      </c>
      <c r="D53">
        <f>IF(A53="","",IFERROR(--'List 1'!B53,0))</f>
        <v/>
      </c>
      <c r="F53">
        <f>IF(TRIM('List 2'!A53&amp;'List 2'!C53&amp;'List 2'!D53)="","",LOWER(TRIM('List 2'!A53)&amp;"|"&amp;TRIM('List 2'!C53)&amp;"|"&amp;TRIM('List 2'!D53)))</f>
        <v/>
      </c>
      <c r="G53">
        <f>IF(F53="","",SUMPRODUCT(--($F$2:F53=F53)))</f>
        <v/>
      </c>
      <c r="H53">
        <f>IF(F53="","",F53&amp;"#"&amp;G53)</f>
        <v/>
      </c>
      <c r="I53">
        <f>IF(F53="","",IFERROR(--'List 2'!B53,0))</f>
        <v/>
      </c>
      <c r="K53">
        <f>C53</f>
        <v/>
      </c>
      <c r="L53">
        <f>IF(K53="","",IF(ISNUMBER('List 1'!A53),'List 1'!A53,TRIM('List 1'!A53)))</f>
        <v/>
      </c>
      <c r="M53">
        <f>IF(K53="","",IF(ISNUMBER('List 1'!C53),'List 1'!C53,TRIM('List 1'!C53)))</f>
        <v/>
      </c>
      <c r="N53">
        <f>IF(K53="","",IF(ISNUMBER('List 1'!D53),'List 1'!D53,TRIM('List 1'!D53)))</f>
        <v/>
      </c>
      <c r="O53">
        <f>IF(K53="","",D53)</f>
        <v/>
      </c>
      <c r="P53">
        <f>IF(K53="","",IF(R53,SUMPRODUCT(--($H$2:$H$501=K53),$I$2:$I$501),0))</f>
        <v/>
      </c>
      <c r="Q53">
        <f>IF(K53="","",TRUE)</f>
        <v/>
      </c>
      <c r="R53">
        <f>IF(K53="","",SUMPRODUCT(--($H$2:$H$501=K53))&gt;0)</f>
        <v/>
      </c>
      <c r="S53">
        <f>IF(K53="","",IF(AND(Q53,R53),IF(O53=P53,"Match","Qty Different"),IF(Q53,"Only in List 1","Only in List 2")))</f>
        <v/>
      </c>
      <c r="T53">
        <f>IF(K53="","",IF(ISNUMBER(--L53),TEXT(--L53,"000000000000.000"),LOWER(L53)))</f>
        <v/>
      </c>
      <c r="U53">
        <f>IF(K53="","",IF(ISNUMBER(--M53),TEXT(--M53,"000000000000.000"),LOWER(M53)))</f>
        <v/>
      </c>
      <c r="V53">
        <f>IF(K53="","",LOWER(N53))</f>
        <v/>
      </c>
      <c r="W53">
        <f>IF(K53="","",B53)</f>
        <v/>
      </c>
      <c r="X53">
        <f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>
      <c r="A54">
        <f>IF(TRIM('List 1'!A54&amp;'List 1'!C54&amp;'List 1'!D54)="","",LOWER(TRIM('List 1'!A54)&amp;"|"&amp;TRIM('List 1'!C54)&amp;"|"&amp;TRIM('List 1'!D54)))</f>
        <v/>
      </c>
      <c r="B54">
        <f>IF(A54="","",SUMPRODUCT(--($A$2:A54=A54)))</f>
        <v/>
      </c>
      <c r="C54">
        <f>IF(A54="","",A54&amp;"#"&amp;B54)</f>
        <v/>
      </c>
      <c r="D54">
        <f>IF(A54="","",IFERROR(--'List 1'!B54,0))</f>
        <v/>
      </c>
      <c r="F54">
        <f>IF(TRIM('List 2'!A54&amp;'List 2'!C54&amp;'List 2'!D54)="","",LOWER(TRIM('List 2'!A54)&amp;"|"&amp;TRIM('List 2'!C54)&amp;"|"&amp;TRIM('List 2'!D54)))</f>
        <v/>
      </c>
      <c r="G54">
        <f>IF(F54="","",SUMPRODUCT(--($F$2:F54=F54)))</f>
        <v/>
      </c>
      <c r="H54">
        <f>IF(F54="","",F54&amp;"#"&amp;G54)</f>
        <v/>
      </c>
      <c r="I54">
        <f>IF(F54="","",IFERROR(--'List 2'!B54,0))</f>
        <v/>
      </c>
      <c r="K54">
        <f>C54</f>
        <v/>
      </c>
      <c r="L54">
        <f>IF(K54="","",IF(ISNUMBER('List 1'!A54),'List 1'!A54,TRIM('List 1'!A54)))</f>
        <v/>
      </c>
      <c r="M54">
        <f>IF(K54="","",IF(ISNUMBER('List 1'!C54),'List 1'!C54,TRIM('List 1'!C54)))</f>
        <v/>
      </c>
      <c r="N54">
        <f>IF(K54="","",IF(ISNUMBER('List 1'!D54),'List 1'!D54,TRIM('List 1'!D54)))</f>
        <v/>
      </c>
      <c r="O54">
        <f>IF(K54="","",D54)</f>
        <v/>
      </c>
      <c r="P54">
        <f>IF(K54="","",IF(R54,SUMPRODUCT(--($H$2:$H$501=K54),$I$2:$I$501),0))</f>
        <v/>
      </c>
      <c r="Q54">
        <f>IF(K54="","",TRUE)</f>
        <v/>
      </c>
      <c r="R54">
        <f>IF(K54="","",SUMPRODUCT(--($H$2:$H$501=K54))&gt;0)</f>
        <v/>
      </c>
      <c r="S54">
        <f>IF(K54="","",IF(AND(Q54,R54),IF(O54=P54,"Match","Qty Different"),IF(Q54,"Only in List 1","Only in List 2")))</f>
        <v/>
      </c>
      <c r="T54">
        <f>IF(K54="","",IF(ISNUMBER(--L54),TEXT(--L54,"000000000000.000"),LOWER(L54)))</f>
        <v/>
      </c>
      <c r="U54">
        <f>IF(K54="","",IF(ISNUMBER(--M54),TEXT(--M54,"000000000000.000"),LOWER(M54)))</f>
        <v/>
      </c>
      <c r="V54">
        <f>IF(K54="","",LOWER(N54))</f>
        <v/>
      </c>
      <c r="W54">
        <f>IF(K54="","",B54)</f>
        <v/>
      </c>
      <c r="X54">
        <f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>
      <c r="A55">
        <f>IF(TRIM('List 1'!A55&amp;'List 1'!C55&amp;'List 1'!D55)="","",LOWER(TRIM('List 1'!A55)&amp;"|"&amp;TRIM('List 1'!C55)&amp;"|"&amp;TRIM('List 1'!D55)))</f>
        <v/>
      </c>
      <c r="B55">
        <f>IF(A55="","",SUMPRODUCT(--($A$2:A55=A55)))</f>
        <v/>
      </c>
      <c r="C55">
        <f>IF(A55="","",A55&amp;"#"&amp;B55)</f>
        <v/>
      </c>
      <c r="D55">
        <f>IF(A55="","",IFERROR(--'List 1'!B55,0))</f>
        <v/>
      </c>
      <c r="F55">
        <f>IF(TRIM('List 2'!A55&amp;'List 2'!C55&amp;'List 2'!D55)="","",LOWER(TRIM('List 2'!A55)&amp;"|"&amp;TRIM('List 2'!C55)&amp;"|"&amp;TRIM('List 2'!D55)))</f>
        <v/>
      </c>
      <c r="G55">
        <f>IF(F55="","",SUMPRODUCT(--($F$2:F55=F55)))</f>
        <v/>
      </c>
      <c r="H55">
        <f>IF(F55="","",F55&amp;"#"&amp;G55)</f>
        <v/>
      </c>
      <c r="I55">
        <f>IF(F55="","",IFERROR(--'List 2'!B55,0))</f>
        <v/>
      </c>
      <c r="K55">
        <f>C55</f>
        <v/>
      </c>
      <c r="L55">
        <f>IF(K55="","",IF(ISNUMBER('List 1'!A55),'List 1'!A55,TRIM('List 1'!A55)))</f>
        <v/>
      </c>
      <c r="M55">
        <f>IF(K55="","",IF(ISNUMBER('List 1'!C55),'List 1'!C55,TRIM('List 1'!C55)))</f>
        <v/>
      </c>
      <c r="N55">
        <f>IF(K55="","",IF(ISNUMBER('List 1'!D55),'List 1'!D55,TRIM('List 1'!D55)))</f>
        <v/>
      </c>
      <c r="O55">
        <f>IF(K55="","",D55)</f>
        <v/>
      </c>
      <c r="P55">
        <f>IF(K55="","",IF(R55,SUMPRODUCT(--($H$2:$H$501=K55),$I$2:$I$501),0))</f>
        <v/>
      </c>
      <c r="Q55">
        <f>IF(K55="","",TRUE)</f>
        <v/>
      </c>
      <c r="R55">
        <f>IF(K55="","",SUMPRODUCT(--($H$2:$H$501=K55))&gt;0)</f>
        <v/>
      </c>
      <c r="S55">
        <f>IF(K55="","",IF(AND(Q55,R55),IF(O55=P55,"Match","Qty Different"),IF(Q55,"Only in List 1","Only in List 2")))</f>
        <v/>
      </c>
      <c r="T55">
        <f>IF(K55="","",IF(ISNUMBER(--L55),TEXT(--L55,"000000000000.000"),LOWER(L55)))</f>
        <v/>
      </c>
      <c r="U55">
        <f>IF(K55="","",IF(ISNUMBER(--M55),TEXT(--M55,"000000000000.000"),LOWER(M55)))</f>
        <v/>
      </c>
      <c r="V55">
        <f>IF(K55="","",LOWER(N55))</f>
        <v/>
      </c>
      <c r="W55">
        <f>IF(K55="","",B55)</f>
        <v/>
      </c>
      <c r="X55">
        <f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>
      <c r="A56">
        <f>IF(TRIM('List 1'!A56&amp;'List 1'!C56&amp;'List 1'!D56)="","",LOWER(TRIM('List 1'!A56)&amp;"|"&amp;TRIM('List 1'!C56)&amp;"|"&amp;TRIM('List 1'!D56)))</f>
        <v/>
      </c>
      <c r="B56">
        <f>IF(A56="","",SUMPRODUCT(--($A$2:A56=A56)))</f>
        <v/>
      </c>
      <c r="C56">
        <f>IF(A56="","",A56&amp;"#"&amp;B56)</f>
        <v/>
      </c>
      <c r="D56">
        <f>IF(A56="","",IFERROR(--'List 1'!B56,0))</f>
        <v/>
      </c>
      <c r="F56">
        <f>IF(TRIM('List 2'!A56&amp;'List 2'!C56&amp;'List 2'!D56)="","",LOWER(TRIM('List 2'!A56)&amp;"|"&amp;TRIM('List 2'!C56)&amp;"|"&amp;TRIM('List 2'!D56)))</f>
        <v/>
      </c>
      <c r="G56">
        <f>IF(F56="","",SUMPRODUCT(--($F$2:F56=F56)))</f>
        <v/>
      </c>
      <c r="H56">
        <f>IF(F56="","",F56&amp;"#"&amp;G56)</f>
        <v/>
      </c>
      <c r="I56">
        <f>IF(F56="","",IFERROR(--'List 2'!B56,0))</f>
        <v/>
      </c>
      <c r="K56">
        <f>C56</f>
        <v/>
      </c>
      <c r="L56">
        <f>IF(K56="","",IF(ISNUMBER('List 1'!A56),'List 1'!A56,TRIM('List 1'!A56)))</f>
        <v/>
      </c>
      <c r="M56">
        <f>IF(K56="","",IF(ISNUMBER('List 1'!C56),'List 1'!C56,TRIM('List 1'!C56)))</f>
        <v/>
      </c>
      <c r="N56">
        <f>IF(K56="","",IF(ISNUMBER('List 1'!D56),'List 1'!D56,TRIM('List 1'!D56)))</f>
        <v/>
      </c>
      <c r="O56">
        <f>IF(K56="","",D56)</f>
        <v/>
      </c>
      <c r="P56">
        <f>IF(K56="","",IF(R56,SUMPRODUCT(--($H$2:$H$501=K56),$I$2:$I$501),0))</f>
        <v/>
      </c>
      <c r="Q56">
        <f>IF(K56="","",TRUE)</f>
        <v/>
      </c>
      <c r="R56">
        <f>IF(K56="","",SUMPRODUCT(--($H$2:$H$501=K56))&gt;0)</f>
        <v/>
      </c>
      <c r="S56">
        <f>IF(K56="","",IF(AND(Q56,R56),IF(O56=P56,"Match","Qty Different"),IF(Q56,"Only in List 1","Only in List 2")))</f>
        <v/>
      </c>
      <c r="T56">
        <f>IF(K56="","",IF(ISNUMBER(--L56),TEXT(--L56,"000000000000.000"),LOWER(L56)))</f>
        <v/>
      </c>
      <c r="U56">
        <f>IF(K56="","",IF(ISNUMBER(--M56),TEXT(--M56,"000000000000.000"),LOWER(M56)))</f>
        <v/>
      </c>
      <c r="V56">
        <f>IF(K56="","",LOWER(N56))</f>
        <v/>
      </c>
      <c r="W56">
        <f>IF(K56="","",B56)</f>
        <v/>
      </c>
      <c r="X56">
        <f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>
      <c r="A57">
        <f>IF(TRIM('List 1'!A57&amp;'List 1'!C57&amp;'List 1'!D57)="","",LOWER(TRIM('List 1'!A57)&amp;"|"&amp;TRIM('List 1'!C57)&amp;"|"&amp;TRIM('List 1'!D57)))</f>
        <v/>
      </c>
      <c r="B57">
        <f>IF(A57="","",SUMPRODUCT(--($A$2:A57=A57)))</f>
        <v/>
      </c>
      <c r="C57">
        <f>IF(A57="","",A57&amp;"#"&amp;B57)</f>
        <v/>
      </c>
      <c r="D57">
        <f>IF(A57="","",IFERROR(--'List 1'!B57,0))</f>
        <v/>
      </c>
      <c r="F57">
        <f>IF(TRIM('List 2'!A57&amp;'List 2'!C57&amp;'List 2'!D57)="","",LOWER(TRIM('List 2'!A57)&amp;"|"&amp;TRIM('List 2'!C57)&amp;"|"&amp;TRIM('List 2'!D57)))</f>
        <v/>
      </c>
      <c r="G57">
        <f>IF(F57="","",SUMPRODUCT(--($F$2:F57=F57)))</f>
        <v/>
      </c>
      <c r="H57">
        <f>IF(F57="","",F57&amp;"#"&amp;G57)</f>
        <v/>
      </c>
      <c r="I57">
        <f>IF(F57="","",IFERROR(--'List 2'!B57,0))</f>
        <v/>
      </c>
      <c r="K57">
        <f>C57</f>
        <v/>
      </c>
      <c r="L57">
        <f>IF(K57="","",IF(ISNUMBER('List 1'!A57),'List 1'!A57,TRIM('List 1'!A57)))</f>
        <v/>
      </c>
      <c r="M57">
        <f>IF(K57="","",IF(ISNUMBER('List 1'!C57),'List 1'!C57,TRIM('List 1'!C57)))</f>
        <v/>
      </c>
      <c r="N57">
        <f>IF(K57="","",IF(ISNUMBER('List 1'!D57),'List 1'!D57,TRIM('List 1'!D57)))</f>
        <v/>
      </c>
      <c r="O57">
        <f>IF(K57="","",D57)</f>
        <v/>
      </c>
      <c r="P57">
        <f>IF(K57="","",IF(R57,SUMPRODUCT(--($H$2:$H$501=K57),$I$2:$I$501),0))</f>
        <v/>
      </c>
      <c r="Q57">
        <f>IF(K57="","",TRUE)</f>
        <v/>
      </c>
      <c r="R57">
        <f>IF(K57="","",SUMPRODUCT(--($H$2:$H$501=K57))&gt;0)</f>
        <v/>
      </c>
      <c r="S57">
        <f>IF(K57="","",IF(AND(Q57,R57),IF(O57=P57,"Match","Qty Different"),IF(Q57,"Only in List 1","Only in List 2")))</f>
        <v/>
      </c>
      <c r="T57">
        <f>IF(K57="","",IF(ISNUMBER(--L57),TEXT(--L57,"000000000000.000"),LOWER(L57)))</f>
        <v/>
      </c>
      <c r="U57">
        <f>IF(K57="","",IF(ISNUMBER(--M57),TEXT(--M57,"000000000000.000"),LOWER(M57)))</f>
        <v/>
      </c>
      <c r="V57">
        <f>IF(K57="","",LOWER(N57))</f>
        <v/>
      </c>
      <c r="W57">
        <f>IF(K57="","",B57)</f>
        <v/>
      </c>
      <c r="X57">
        <f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>
      <c r="A58">
        <f>IF(TRIM('List 1'!A58&amp;'List 1'!C58&amp;'List 1'!D58)="","",LOWER(TRIM('List 1'!A58)&amp;"|"&amp;TRIM('List 1'!C58)&amp;"|"&amp;TRIM('List 1'!D58)))</f>
        <v/>
      </c>
      <c r="B58">
        <f>IF(A58="","",SUMPRODUCT(--($A$2:A58=A58)))</f>
        <v/>
      </c>
      <c r="C58">
        <f>IF(A58="","",A58&amp;"#"&amp;B58)</f>
        <v/>
      </c>
      <c r="D58">
        <f>IF(A58="","",IFERROR(--'List 1'!B58,0))</f>
        <v/>
      </c>
      <c r="F58">
        <f>IF(TRIM('List 2'!A58&amp;'List 2'!C58&amp;'List 2'!D58)="","",LOWER(TRIM('List 2'!A58)&amp;"|"&amp;TRIM('List 2'!C58)&amp;"|"&amp;TRIM('List 2'!D58)))</f>
        <v/>
      </c>
      <c r="G58">
        <f>IF(F58="","",SUMPRODUCT(--($F$2:F58=F58)))</f>
        <v/>
      </c>
      <c r="H58">
        <f>IF(F58="","",F58&amp;"#"&amp;G58)</f>
        <v/>
      </c>
      <c r="I58">
        <f>IF(F58="","",IFERROR(--'List 2'!B58,0))</f>
        <v/>
      </c>
      <c r="K58">
        <f>C58</f>
        <v/>
      </c>
      <c r="L58">
        <f>IF(K58="","",IF(ISNUMBER('List 1'!A58),'List 1'!A58,TRIM('List 1'!A58)))</f>
        <v/>
      </c>
      <c r="M58">
        <f>IF(K58="","",IF(ISNUMBER('List 1'!C58),'List 1'!C58,TRIM('List 1'!C58)))</f>
        <v/>
      </c>
      <c r="N58">
        <f>IF(K58="","",IF(ISNUMBER('List 1'!D58),'List 1'!D58,TRIM('List 1'!D58)))</f>
        <v/>
      </c>
      <c r="O58">
        <f>IF(K58="","",D58)</f>
        <v/>
      </c>
      <c r="P58">
        <f>IF(K58="","",IF(R58,SUMPRODUCT(--($H$2:$H$501=K58),$I$2:$I$501),0))</f>
        <v/>
      </c>
      <c r="Q58">
        <f>IF(K58="","",TRUE)</f>
        <v/>
      </c>
      <c r="R58">
        <f>IF(K58="","",SUMPRODUCT(--($H$2:$H$501=K58))&gt;0)</f>
        <v/>
      </c>
      <c r="S58">
        <f>IF(K58="","",IF(AND(Q58,R58),IF(O58=P58,"Match","Qty Different"),IF(Q58,"Only in List 1","Only in List 2")))</f>
        <v/>
      </c>
      <c r="T58">
        <f>IF(K58="","",IF(ISNUMBER(--L58),TEXT(--L58,"000000000000.000"),LOWER(L58)))</f>
        <v/>
      </c>
      <c r="U58">
        <f>IF(K58="","",IF(ISNUMBER(--M58),TEXT(--M58,"000000000000.000"),LOWER(M58)))</f>
        <v/>
      </c>
      <c r="V58">
        <f>IF(K58="","",LOWER(N58))</f>
        <v/>
      </c>
      <c r="W58">
        <f>IF(K58="","",B58)</f>
        <v/>
      </c>
      <c r="X58">
        <f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>
      <c r="A59">
        <f>IF(TRIM('List 1'!A59&amp;'List 1'!C59&amp;'List 1'!D59)="","",LOWER(TRIM('List 1'!A59)&amp;"|"&amp;TRIM('List 1'!C59)&amp;"|"&amp;TRIM('List 1'!D59)))</f>
        <v/>
      </c>
      <c r="B59">
        <f>IF(A59="","",SUMPRODUCT(--($A$2:A59=A59)))</f>
        <v/>
      </c>
      <c r="C59">
        <f>IF(A59="","",A59&amp;"#"&amp;B59)</f>
        <v/>
      </c>
      <c r="D59">
        <f>IF(A59="","",IFERROR(--'List 1'!B59,0))</f>
        <v/>
      </c>
      <c r="F59">
        <f>IF(TRIM('List 2'!A59&amp;'List 2'!C59&amp;'List 2'!D59)="","",LOWER(TRIM('List 2'!A59)&amp;"|"&amp;TRIM('List 2'!C59)&amp;"|"&amp;TRIM('List 2'!D59)))</f>
        <v/>
      </c>
      <c r="G59">
        <f>IF(F59="","",SUMPRODUCT(--($F$2:F59=F59)))</f>
        <v/>
      </c>
      <c r="H59">
        <f>IF(F59="","",F59&amp;"#"&amp;G59)</f>
        <v/>
      </c>
      <c r="I59">
        <f>IF(F59="","",IFERROR(--'List 2'!B59,0))</f>
        <v/>
      </c>
      <c r="K59">
        <f>C59</f>
        <v/>
      </c>
      <c r="L59">
        <f>IF(K59="","",IF(ISNUMBER('List 1'!A59),'List 1'!A59,TRIM('List 1'!A59)))</f>
        <v/>
      </c>
      <c r="M59">
        <f>IF(K59="","",IF(ISNUMBER('List 1'!C59),'List 1'!C59,TRIM('List 1'!C59)))</f>
        <v/>
      </c>
      <c r="N59">
        <f>IF(K59="","",IF(ISNUMBER('List 1'!D59),'List 1'!D59,TRIM('List 1'!D59)))</f>
        <v/>
      </c>
      <c r="O59">
        <f>IF(K59="","",D59)</f>
        <v/>
      </c>
      <c r="P59">
        <f>IF(K59="","",IF(R59,SUMPRODUCT(--($H$2:$H$501=K59),$I$2:$I$501),0))</f>
        <v/>
      </c>
      <c r="Q59">
        <f>IF(K59="","",TRUE)</f>
        <v/>
      </c>
      <c r="R59">
        <f>IF(K59="","",SUMPRODUCT(--($H$2:$H$501=K59))&gt;0)</f>
        <v/>
      </c>
      <c r="S59">
        <f>IF(K59="","",IF(AND(Q59,R59),IF(O59=P59,"Match","Qty Different"),IF(Q59,"Only in List 1","Only in List 2")))</f>
        <v/>
      </c>
      <c r="T59">
        <f>IF(K59="","",IF(ISNUMBER(--L59),TEXT(--L59,"000000000000.000"),LOWER(L59)))</f>
        <v/>
      </c>
      <c r="U59">
        <f>IF(K59="","",IF(ISNUMBER(--M59),TEXT(--M59,"000000000000.000"),LOWER(M59)))</f>
        <v/>
      </c>
      <c r="V59">
        <f>IF(K59="","",LOWER(N59))</f>
        <v/>
      </c>
      <c r="W59">
        <f>IF(K59="","",B59)</f>
        <v/>
      </c>
      <c r="X59">
        <f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>
      <c r="A60">
        <f>IF(TRIM('List 1'!A60&amp;'List 1'!C60&amp;'List 1'!D60)="","",LOWER(TRIM('List 1'!A60)&amp;"|"&amp;TRIM('List 1'!C60)&amp;"|"&amp;TRIM('List 1'!D60)))</f>
        <v/>
      </c>
      <c r="B60">
        <f>IF(A60="","",SUMPRODUCT(--($A$2:A60=A60)))</f>
        <v/>
      </c>
      <c r="C60">
        <f>IF(A60="","",A60&amp;"#"&amp;B60)</f>
        <v/>
      </c>
      <c r="D60">
        <f>IF(A60="","",IFERROR(--'List 1'!B60,0))</f>
        <v/>
      </c>
      <c r="F60">
        <f>IF(TRIM('List 2'!A60&amp;'List 2'!C60&amp;'List 2'!D60)="","",LOWER(TRIM('List 2'!A60)&amp;"|"&amp;TRIM('List 2'!C60)&amp;"|"&amp;TRIM('List 2'!D60)))</f>
        <v/>
      </c>
      <c r="G60">
        <f>IF(F60="","",SUMPRODUCT(--($F$2:F60=F60)))</f>
        <v/>
      </c>
      <c r="H60">
        <f>IF(F60="","",F60&amp;"#"&amp;G60)</f>
        <v/>
      </c>
      <c r="I60">
        <f>IF(F60="","",IFERROR(--'List 2'!B60,0))</f>
        <v/>
      </c>
      <c r="K60">
        <f>C60</f>
        <v/>
      </c>
      <c r="L60">
        <f>IF(K60="","",IF(ISNUMBER('List 1'!A60),'List 1'!A60,TRIM('List 1'!A60)))</f>
        <v/>
      </c>
      <c r="M60">
        <f>IF(K60="","",IF(ISNUMBER('List 1'!C60),'List 1'!C60,TRIM('List 1'!C60)))</f>
        <v/>
      </c>
      <c r="N60">
        <f>IF(K60="","",IF(ISNUMBER('List 1'!D60),'List 1'!D60,TRIM('List 1'!D60)))</f>
        <v/>
      </c>
      <c r="O60">
        <f>IF(K60="","",D60)</f>
        <v/>
      </c>
      <c r="P60">
        <f>IF(K60="","",IF(R60,SUMPRODUCT(--($H$2:$H$501=K60),$I$2:$I$501),0))</f>
        <v/>
      </c>
      <c r="Q60">
        <f>IF(K60="","",TRUE)</f>
        <v/>
      </c>
      <c r="R60">
        <f>IF(K60="","",SUMPRODUCT(--($H$2:$H$501=K60))&gt;0)</f>
        <v/>
      </c>
      <c r="S60">
        <f>IF(K60="","",IF(AND(Q60,R60),IF(O60=P60,"Match","Qty Different"),IF(Q60,"Only in List 1","Only in List 2")))</f>
        <v/>
      </c>
      <c r="T60">
        <f>IF(K60="","",IF(ISNUMBER(--L60),TEXT(--L60,"000000000000.000"),LOWER(L60)))</f>
        <v/>
      </c>
      <c r="U60">
        <f>IF(K60="","",IF(ISNUMBER(--M60),TEXT(--M60,"000000000000.000"),LOWER(M60)))</f>
        <v/>
      </c>
      <c r="V60">
        <f>IF(K60="","",LOWER(N60))</f>
        <v/>
      </c>
      <c r="W60">
        <f>IF(K60="","",B60)</f>
        <v/>
      </c>
      <c r="X60">
        <f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>
      <c r="A61">
        <f>IF(TRIM('List 1'!A61&amp;'List 1'!C61&amp;'List 1'!D61)="","",LOWER(TRIM('List 1'!A61)&amp;"|"&amp;TRIM('List 1'!C61)&amp;"|"&amp;TRIM('List 1'!D61)))</f>
        <v/>
      </c>
      <c r="B61">
        <f>IF(A61="","",SUMPRODUCT(--($A$2:A61=A61)))</f>
        <v/>
      </c>
      <c r="C61">
        <f>IF(A61="","",A61&amp;"#"&amp;B61)</f>
        <v/>
      </c>
      <c r="D61">
        <f>IF(A61="","",IFERROR(--'List 1'!B61,0))</f>
        <v/>
      </c>
      <c r="F61">
        <f>IF(TRIM('List 2'!A61&amp;'List 2'!C61&amp;'List 2'!D61)="","",LOWER(TRIM('List 2'!A61)&amp;"|"&amp;TRIM('List 2'!C61)&amp;"|"&amp;TRIM('List 2'!D61)))</f>
        <v/>
      </c>
      <c r="G61">
        <f>IF(F61="","",SUMPRODUCT(--($F$2:F61=F61)))</f>
        <v/>
      </c>
      <c r="H61">
        <f>IF(F61="","",F61&amp;"#"&amp;G61)</f>
        <v/>
      </c>
      <c r="I61">
        <f>IF(F61="","",IFERROR(--'List 2'!B61,0))</f>
        <v/>
      </c>
      <c r="K61">
        <f>C61</f>
        <v/>
      </c>
      <c r="L61">
        <f>IF(K61="","",IF(ISNUMBER('List 1'!A61),'List 1'!A61,TRIM('List 1'!A61)))</f>
        <v/>
      </c>
      <c r="M61">
        <f>IF(K61="","",IF(ISNUMBER('List 1'!C61),'List 1'!C61,TRIM('List 1'!C61)))</f>
        <v/>
      </c>
      <c r="N61">
        <f>IF(K61="","",IF(ISNUMBER('List 1'!D61),'List 1'!D61,TRIM('List 1'!D61)))</f>
        <v/>
      </c>
      <c r="O61">
        <f>IF(K61="","",D61)</f>
        <v/>
      </c>
      <c r="P61">
        <f>IF(K61="","",IF(R61,SUMPRODUCT(--($H$2:$H$501=K61),$I$2:$I$501),0))</f>
        <v/>
      </c>
      <c r="Q61">
        <f>IF(K61="","",TRUE)</f>
        <v/>
      </c>
      <c r="R61">
        <f>IF(K61="","",SUMPRODUCT(--($H$2:$H$501=K61))&gt;0)</f>
        <v/>
      </c>
      <c r="S61">
        <f>IF(K61="","",IF(AND(Q61,R61),IF(O61=P61,"Match","Qty Different"),IF(Q61,"Only in List 1","Only in List 2")))</f>
        <v/>
      </c>
      <c r="T61">
        <f>IF(K61="","",IF(ISNUMBER(--L61),TEXT(--L61,"000000000000.000"),LOWER(L61)))</f>
        <v/>
      </c>
      <c r="U61">
        <f>IF(K61="","",IF(ISNUMBER(--M61),TEXT(--M61,"000000000000.000"),LOWER(M61)))</f>
        <v/>
      </c>
      <c r="V61">
        <f>IF(K61="","",LOWER(N61))</f>
        <v/>
      </c>
      <c r="W61">
        <f>IF(K61="","",B61)</f>
        <v/>
      </c>
      <c r="X61">
        <f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>
      <c r="A62">
        <f>IF(TRIM('List 1'!A62&amp;'List 1'!C62&amp;'List 1'!D62)="","",LOWER(TRIM('List 1'!A62)&amp;"|"&amp;TRIM('List 1'!C62)&amp;"|"&amp;TRIM('List 1'!D62)))</f>
        <v/>
      </c>
      <c r="B62">
        <f>IF(A62="","",SUMPRODUCT(--($A$2:A62=A62)))</f>
        <v/>
      </c>
      <c r="C62">
        <f>IF(A62="","",A62&amp;"#"&amp;B62)</f>
        <v/>
      </c>
      <c r="D62">
        <f>IF(A62="","",IFERROR(--'List 1'!B62,0))</f>
        <v/>
      </c>
      <c r="F62">
        <f>IF(TRIM('List 2'!A62&amp;'List 2'!C62&amp;'List 2'!D62)="","",LOWER(TRIM('List 2'!A62)&amp;"|"&amp;TRIM('List 2'!C62)&amp;"|"&amp;TRIM('List 2'!D62)))</f>
        <v/>
      </c>
      <c r="G62">
        <f>IF(F62="","",SUMPRODUCT(--($F$2:F62=F62)))</f>
        <v/>
      </c>
      <c r="H62">
        <f>IF(F62="","",F62&amp;"#"&amp;G62)</f>
        <v/>
      </c>
      <c r="I62">
        <f>IF(F62="","",IFERROR(--'List 2'!B62,0))</f>
        <v/>
      </c>
      <c r="K62">
        <f>C62</f>
        <v/>
      </c>
      <c r="L62">
        <f>IF(K62="","",IF(ISNUMBER('List 1'!A62),'List 1'!A62,TRIM('List 1'!A62)))</f>
        <v/>
      </c>
      <c r="M62">
        <f>IF(K62="","",IF(ISNUMBER('List 1'!C62),'List 1'!C62,TRIM('List 1'!C62)))</f>
        <v/>
      </c>
      <c r="N62">
        <f>IF(K62="","",IF(ISNUMBER('List 1'!D62),'List 1'!D62,TRIM('List 1'!D62)))</f>
        <v/>
      </c>
      <c r="O62">
        <f>IF(K62="","",D62)</f>
        <v/>
      </c>
      <c r="P62">
        <f>IF(K62="","",IF(R62,SUMPRODUCT(--($H$2:$H$501=K62),$I$2:$I$501),0))</f>
        <v/>
      </c>
      <c r="Q62">
        <f>IF(K62="","",TRUE)</f>
        <v/>
      </c>
      <c r="R62">
        <f>IF(K62="","",SUMPRODUCT(--($H$2:$H$501=K62))&gt;0)</f>
        <v/>
      </c>
      <c r="S62">
        <f>IF(K62="","",IF(AND(Q62,R62),IF(O62=P62,"Match","Qty Different"),IF(Q62,"Only in List 1","Only in List 2")))</f>
        <v/>
      </c>
      <c r="T62">
        <f>IF(K62="","",IF(ISNUMBER(--L62),TEXT(--L62,"000000000000.000"),LOWER(L62)))</f>
        <v/>
      </c>
      <c r="U62">
        <f>IF(K62="","",IF(ISNUMBER(--M62),TEXT(--M62,"000000000000.000"),LOWER(M62)))</f>
        <v/>
      </c>
      <c r="V62">
        <f>IF(K62="","",LOWER(N62))</f>
        <v/>
      </c>
      <c r="W62">
        <f>IF(K62="","",B62)</f>
        <v/>
      </c>
      <c r="X62">
        <f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>
      <c r="A63">
        <f>IF(TRIM('List 1'!A63&amp;'List 1'!C63&amp;'List 1'!D63)="","",LOWER(TRIM('List 1'!A63)&amp;"|"&amp;TRIM('List 1'!C63)&amp;"|"&amp;TRIM('List 1'!D63)))</f>
        <v/>
      </c>
      <c r="B63">
        <f>IF(A63="","",SUMPRODUCT(--($A$2:A63=A63)))</f>
        <v/>
      </c>
      <c r="C63">
        <f>IF(A63="","",A63&amp;"#"&amp;B63)</f>
        <v/>
      </c>
      <c r="D63">
        <f>IF(A63="","",IFERROR(--'List 1'!B63,0))</f>
        <v/>
      </c>
      <c r="F63">
        <f>IF(TRIM('List 2'!A63&amp;'List 2'!C63&amp;'List 2'!D63)="","",LOWER(TRIM('List 2'!A63)&amp;"|"&amp;TRIM('List 2'!C63)&amp;"|"&amp;TRIM('List 2'!D63)))</f>
        <v/>
      </c>
      <c r="G63">
        <f>IF(F63="","",SUMPRODUCT(--($F$2:F63=F63)))</f>
        <v/>
      </c>
      <c r="H63">
        <f>IF(F63="","",F63&amp;"#"&amp;G63)</f>
        <v/>
      </c>
      <c r="I63">
        <f>IF(F63="","",IFERROR(--'List 2'!B63,0))</f>
        <v/>
      </c>
      <c r="K63">
        <f>C63</f>
        <v/>
      </c>
      <c r="L63">
        <f>IF(K63="","",IF(ISNUMBER('List 1'!A63),'List 1'!A63,TRIM('List 1'!A63)))</f>
        <v/>
      </c>
      <c r="M63">
        <f>IF(K63="","",IF(ISNUMBER('List 1'!C63),'List 1'!C63,TRIM('List 1'!C63)))</f>
        <v/>
      </c>
      <c r="N63">
        <f>IF(K63="","",IF(ISNUMBER('List 1'!D63),'List 1'!D63,TRIM('List 1'!D63)))</f>
        <v/>
      </c>
      <c r="O63">
        <f>IF(K63="","",D63)</f>
        <v/>
      </c>
      <c r="P63">
        <f>IF(K63="","",IF(R63,SUMPRODUCT(--($H$2:$H$501=K63),$I$2:$I$501),0))</f>
        <v/>
      </c>
      <c r="Q63">
        <f>IF(K63="","",TRUE)</f>
        <v/>
      </c>
      <c r="R63">
        <f>IF(K63="","",SUMPRODUCT(--($H$2:$H$501=K63))&gt;0)</f>
        <v/>
      </c>
      <c r="S63">
        <f>IF(K63="","",IF(AND(Q63,R63),IF(O63=P63,"Match","Qty Different"),IF(Q63,"Only in List 1","Only in List 2")))</f>
        <v/>
      </c>
      <c r="T63">
        <f>IF(K63="","",IF(ISNUMBER(--L63),TEXT(--L63,"000000000000.000"),LOWER(L63)))</f>
        <v/>
      </c>
      <c r="U63">
        <f>IF(K63="","",IF(ISNUMBER(--M63),TEXT(--M63,"000000000000.000"),LOWER(M63)))</f>
        <v/>
      </c>
      <c r="V63">
        <f>IF(K63="","",LOWER(N63))</f>
        <v/>
      </c>
      <c r="W63">
        <f>IF(K63="","",B63)</f>
        <v/>
      </c>
      <c r="X63">
        <f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>
      <c r="A64">
        <f>IF(TRIM('List 1'!A64&amp;'List 1'!C64&amp;'List 1'!D64)="","",LOWER(TRIM('List 1'!A64)&amp;"|"&amp;TRIM('List 1'!C64)&amp;"|"&amp;TRIM('List 1'!D64)))</f>
        <v/>
      </c>
      <c r="B64">
        <f>IF(A64="","",SUMPRODUCT(--($A$2:A64=A64)))</f>
        <v/>
      </c>
      <c r="C64">
        <f>IF(A64="","",A64&amp;"#"&amp;B64)</f>
        <v/>
      </c>
      <c r="D64">
        <f>IF(A64="","",IFERROR(--'List 1'!B64,0))</f>
        <v/>
      </c>
      <c r="F64">
        <f>IF(TRIM('List 2'!A64&amp;'List 2'!C64&amp;'List 2'!D64)="","",LOWER(TRIM('List 2'!A64)&amp;"|"&amp;TRIM('List 2'!C64)&amp;"|"&amp;TRIM('List 2'!D64)))</f>
        <v/>
      </c>
      <c r="G64">
        <f>IF(F64="","",SUMPRODUCT(--($F$2:F64=F64)))</f>
        <v/>
      </c>
      <c r="H64">
        <f>IF(F64="","",F64&amp;"#"&amp;G64)</f>
        <v/>
      </c>
      <c r="I64">
        <f>IF(F64="","",IFERROR(--'List 2'!B64,0))</f>
        <v/>
      </c>
      <c r="K64">
        <f>C64</f>
        <v/>
      </c>
      <c r="L64">
        <f>IF(K64="","",IF(ISNUMBER('List 1'!A64),'List 1'!A64,TRIM('List 1'!A64)))</f>
        <v/>
      </c>
      <c r="M64">
        <f>IF(K64="","",IF(ISNUMBER('List 1'!C64),'List 1'!C64,TRIM('List 1'!C64)))</f>
        <v/>
      </c>
      <c r="N64">
        <f>IF(K64="","",IF(ISNUMBER('List 1'!D64),'List 1'!D64,TRIM('List 1'!D64)))</f>
        <v/>
      </c>
      <c r="O64">
        <f>IF(K64="","",D64)</f>
        <v/>
      </c>
      <c r="P64">
        <f>IF(K64="","",IF(R64,SUMPRODUCT(--($H$2:$H$501=K64),$I$2:$I$501),0))</f>
        <v/>
      </c>
      <c r="Q64">
        <f>IF(K64="","",TRUE)</f>
        <v/>
      </c>
      <c r="R64">
        <f>IF(K64="","",SUMPRODUCT(--($H$2:$H$501=K64))&gt;0)</f>
        <v/>
      </c>
      <c r="S64">
        <f>IF(K64="","",IF(AND(Q64,R64),IF(O64=P64,"Match","Qty Different"),IF(Q64,"Only in List 1","Only in List 2")))</f>
        <v/>
      </c>
      <c r="T64">
        <f>IF(K64="","",IF(ISNUMBER(--L64),TEXT(--L64,"000000000000.000"),LOWER(L64)))</f>
        <v/>
      </c>
      <c r="U64">
        <f>IF(K64="","",IF(ISNUMBER(--M64),TEXT(--M64,"000000000000.000"),LOWER(M64)))</f>
        <v/>
      </c>
      <c r="V64">
        <f>IF(K64="","",LOWER(N64))</f>
        <v/>
      </c>
      <c r="W64">
        <f>IF(K64="","",B64)</f>
        <v/>
      </c>
      <c r="X64">
        <f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>
      <c r="A65">
        <f>IF(TRIM('List 1'!A65&amp;'List 1'!C65&amp;'List 1'!D65)="","",LOWER(TRIM('List 1'!A65)&amp;"|"&amp;TRIM('List 1'!C65)&amp;"|"&amp;TRIM('List 1'!D65)))</f>
        <v/>
      </c>
      <c r="B65">
        <f>IF(A65="","",SUMPRODUCT(--($A$2:A65=A65)))</f>
        <v/>
      </c>
      <c r="C65">
        <f>IF(A65="","",A65&amp;"#"&amp;B65)</f>
        <v/>
      </c>
      <c r="D65">
        <f>IF(A65="","",IFERROR(--'List 1'!B65,0))</f>
        <v/>
      </c>
      <c r="F65">
        <f>IF(TRIM('List 2'!A65&amp;'List 2'!C65&amp;'List 2'!D65)="","",LOWER(TRIM('List 2'!A65)&amp;"|"&amp;TRIM('List 2'!C65)&amp;"|"&amp;TRIM('List 2'!D65)))</f>
        <v/>
      </c>
      <c r="G65">
        <f>IF(F65="","",SUMPRODUCT(--($F$2:F65=F65)))</f>
        <v/>
      </c>
      <c r="H65">
        <f>IF(F65="","",F65&amp;"#"&amp;G65)</f>
        <v/>
      </c>
      <c r="I65">
        <f>IF(F65="","",IFERROR(--'List 2'!B65,0))</f>
        <v/>
      </c>
      <c r="K65">
        <f>C65</f>
        <v/>
      </c>
      <c r="L65">
        <f>IF(K65="","",IF(ISNUMBER('List 1'!A65),'List 1'!A65,TRIM('List 1'!A65)))</f>
        <v/>
      </c>
      <c r="M65">
        <f>IF(K65="","",IF(ISNUMBER('List 1'!C65),'List 1'!C65,TRIM('List 1'!C65)))</f>
        <v/>
      </c>
      <c r="N65">
        <f>IF(K65="","",IF(ISNUMBER('List 1'!D65),'List 1'!D65,TRIM('List 1'!D65)))</f>
        <v/>
      </c>
      <c r="O65">
        <f>IF(K65="","",D65)</f>
        <v/>
      </c>
      <c r="P65">
        <f>IF(K65="","",IF(R65,SUMPRODUCT(--($H$2:$H$501=K65),$I$2:$I$501),0))</f>
        <v/>
      </c>
      <c r="Q65">
        <f>IF(K65="","",TRUE)</f>
        <v/>
      </c>
      <c r="R65">
        <f>IF(K65="","",SUMPRODUCT(--($H$2:$H$501=K65))&gt;0)</f>
        <v/>
      </c>
      <c r="S65">
        <f>IF(K65="","",IF(AND(Q65,R65),IF(O65=P65,"Match","Qty Different"),IF(Q65,"Only in List 1","Only in List 2")))</f>
        <v/>
      </c>
      <c r="T65">
        <f>IF(K65="","",IF(ISNUMBER(--L65),TEXT(--L65,"000000000000.000"),LOWER(L65)))</f>
        <v/>
      </c>
      <c r="U65">
        <f>IF(K65="","",IF(ISNUMBER(--M65),TEXT(--M65,"000000000000.000"),LOWER(M65)))</f>
        <v/>
      </c>
      <c r="V65">
        <f>IF(K65="","",LOWER(N65))</f>
        <v/>
      </c>
      <c r="W65">
        <f>IF(K65="","",B65)</f>
        <v/>
      </c>
      <c r="X65">
        <f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>
      <c r="A66">
        <f>IF(TRIM('List 1'!A66&amp;'List 1'!C66&amp;'List 1'!D66)="","",LOWER(TRIM('List 1'!A66)&amp;"|"&amp;TRIM('List 1'!C66)&amp;"|"&amp;TRIM('List 1'!D66)))</f>
        <v/>
      </c>
      <c r="B66">
        <f>IF(A66="","",SUMPRODUCT(--($A$2:A66=A66)))</f>
        <v/>
      </c>
      <c r="C66">
        <f>IF(A66="","",A66&amp;"#"&amp;B66)</f>
        <v/>
      </c>
      <c r="D66">
        <f>IF(A66="","",IFERROR(--'List 1'!B66,0))</f>
        <v/>
      </c>
      <c r="F66">
        <f>IF(TRIM('List 2'!A66&amp;'List 2'!C66&amp;'List 2'!D66)="","",LOWER(TRIM('List 2'!A66)&amp;"|"&amp;TRIM('List 2'!C66)&amp;"|"&amp;TRIM('List 2'!D66)))</f>
        <v/>
      </c>
      <c r="G66">
        <f>IF(F66="","",SUMPRODUCT(--($F$2:F66=F66)))</f>
        <v/>
      </c>
      <c r="H66">
        <f>IF(F66="","",F66&amp;"#"&amp;G66)</f>
        <v/>
      </c>
      <c r="I66">
        <f>IF(F66="","",IFERROR(--'List 2'!B66,0))</f>
        <v/>
      </c>
      <c r="K66">
        <f>C66</f>
        <v/>
      </c>
      <c r="L66">
        <f>IF(K66="","",IF(ISNUMBER('List 1'!A66),'List 1'!A66,TRIM('List 1'!A66)))</f>
        <v/>
      </c>
      <c r="M66">
        <f>IF(K66="","",IF(ISNUMBER('List 1'!C66),'List 1'!C66,TRIM('List 1'!C66)))</f>
        <v/>
      </c>
      <c r="N66">
        <f>IF(K66="","",IF(ISNUMBER('List 1'!D66),'List 1'!D66,TRIM('List 1'!D66)))</f>
        <v/>
      </c>
      <c r="O66">
        <f>IF(K66="","",D66)</f>
        <v/>
      </c>
      <c r="P66">
        <f>IF(K66="","",IF(R66,SUMPRODUCT(--($H$2:$H$501=K66),$I$2:$I$501),0))</f>
        <v/>
      </c>
      <c r="Q66">
        <f>IF(K66="","",TRUE)</f>
        <v/>
      </c>
      <c r="R66">
        <f>IF(K66="","",SUMPRODUCT(--($H$2:$H$501=K66))&gt;0)</f>
        <v/>
      </c>
      <c r="S66">
        <f>IF(K66="","",IF(AND(Q66,R66),IF(O66=P66,"Match","Qty Different"),IF(Q66,"Only in List 1","Only in List 2")))</f>
        <v/>
      </c>
      <c r="T66">
        <f>IF(K66="","",IF(ISNUMBER(--L66),TEXT(--L66,"000000000000.000"),LOWER(L66)))</f>
        <v/>
      </c>
      <c r="U66">
        <f>IF(K66="","",IF(ISNUMBER(--M66),TEXT(--M66,"000000000000.000"),LOWER(M66)))</f>
        <v/>
      </c>
      <c r="V66">
        <f>IF(K66="","",LOWER(N66))</f>
        <v/>
      </c>
      <c r="W66">
        <f>IF(K66="","",B66)</f>
        <v/>
      </c>
      <c r="X66">
        <f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>
      <c r="A67">
        <f>IF(TRIM('List 1'!A67&amp;'List 1'!C67&amp;'List 1'!D67)="","",LOWER(TRIM('List 1'!A67)&amp;"|"&amp;TRIM('List 1'!C67)&amp;"|"&amp;TRIM('List 1'!D67)))</f>
        <v/>
      </c>
      <c r="B67">
        <f>IF(A67="","",SUMPRODUCT(--($A$2:A67=A67)))</f>
        <v/>
      </c>
      <c r="C67">
        <f>IF(A67="","",A67&amp;"#"&amp;B67)</f>
        <v/>
      </c>
      <c r="D67">
        <f>IF(A67="","",IFERROR(--'List 1'!B67,0))</f>
        <v/>
      </c>
      <c r="F67">
        <f>IF(TRIM('List 2'!A67&amp;'List 2'!C67&amp;'List 2'!D67)="","",LOWER(TRIM('List 2'!A67)&amp;"|"&amp;TRIM('List 2'!C67)&amp;"|"&amp;TRIM('List 2'!D67)))</f>
        <v/>
      </c>
      <c r="G67">
        <f>IF(F67="","",SUMPRODUCT(--($F$2:F67=F67)))</f>
        <v/>
      </c>
      <c r="H67">
        <f>IF(F67="","",F67&amp;"#"&amp;G67)</f>
        <v/>
      </c>
      <c r="I67">
        <f>IF(F67="","",IFERROR(--'List 2'!B67,0))</f>
        <v/>
      </c>
      <c r="K67">
        <f>C67</f>
        <v/>
      </c>
      <c r="L67">
        <f>IF(K67="","",IF(ISNUMBER('List 1'!A67),'List 1'!A67,TRIM('List 1'!A67)))</f>
        <v/>
      </c>
      <c r="M67">
        <f>IF(K67="","",IF(ISNUMBER('List 1'!C67),'List 1'!C67,TRIM('List 1'!C67)))</f>
        <v/>
      </c>
      <c r="N67">
        <f>IF(K67="","",IF(ISNUMBER('List 1'!D67),'List 1'!D67,TRIM('List 1'!D67)))</f>
        <v/>
      </c>
      <c r="O67">
        <f>IF(K67="","",D67)</f>
        <v/>
      </c>
      <c r="P67">
        <f>IF(K67="","",IF(R67,SUMPRODUCT(--($H$2:$H$501=K67),$I$2:$I$501),0))</f>
        <v/>
      </c>
      <c r="Q67">
        <f>IF(K67="","",TRUE)</f>
        <v/>
      </c>
      <c r="R67">
        <f>IF(K67="","",SUMPRODUCT(--($H$2:$H$501=K67))&gt;0)</f>
        <v/>
      </c>
      <c r="S67">
        <f>IF(K67="","",IF(AND(Q67,R67),IF(O67=P67,"Match","Qty Different"),IF(Q67,"Only in List 1","Only in List 2")))</f>
        <v/>
      </c>
      <c r="T67">
        <f>IF(K67="","",IF(ISNUMBER(--L67),TEXT(--L67,"000000000000.000"),LOWER(L67)))</f>
        <v/>
      </c>
      <c r="U67">
        <f>IF(K67="","",IF(ISNUMBER(--M67),TEXT(--M67,"000000000000.000"),LOWER(M67)))</f>
        <v/>
      </c>
      <c r="V67">
        <f>IF(K67="","",LOWER(N67))</f>
        <v/>
      </c>
      <c r="W67">
        <f>IF(K67="","",B67)</f>
        <v/>
      </c>
      <c r="X67">
        <f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>
      <c r="A68">
        <f>IF(TRIM('List 1'!A68&amp;'List 1'!C68&amp;'List 1'!D68)="","",LOWER(TRIM('List 1'!A68)&amp;"|"&amp;TRIM('List 1'!C68)&amp;"|"&amp;TRIM('List 1'!D68)))</f>
        <v/>
      </c>
      <c r="B68">
        <f>IF(A68="","",SUMPRODUCT(--($A$2:A68=A68)))</f>
        <v/>
      </c>
      <c r="C68">
        <f>IF(A68="","",A68&amp;"#"&amp;B68)</f>
        <v/>
      </c>
      <c r="D68">
        <f>IF(A68="","",IFERROR(--'List 1'!B68,0))</f>
        <v/>
      </c>
      <c r="F68">
        <f>IF(TRIM('List 2'!A68&amp;'List 2'!C68&amp;'List 2'!D68)="","",LOWER(TRIM('List 2'!A68)&amp;"|"&amp;TRIM('List 2'!C68)&amp;"|"&amp;TRIM('List 2'!D68)))</f>
        <v/>
      </c>
      <c r="G68">
        <f>IF(F68="","",SUMPRODUCT(--($F$2:F68=F68)))</f>
        <v/>
      </c>
      <c r="H68">
        <f>IF(F68="","",F68&amp;"#"&amp;G68)</f>
        <v/>
      </c>
      <c r="I68">
        <f>IF(F68="","",IFERROR(--'List 2'!B68,0))</f>
        <v/>
      </c>
      <c r="K68">
        <f>C68</f>
        <v/>
      </c>
      <c r="L68">
        <f>IF(K68="","",IF(ISNUMBER('List 1'!A68),'List 1'!A68,TRIM('List 1'!A68)))</f>
        <v/>
      </c>
      <c r="M68">
        <f>IF(K68="","",IF(ISNUMBER('List 1'!C68),'List 1'!C68,TRIM('List 1'!C68)))</f>
        <v/>
      </c>
      <c r="N68">
        <f>IF(K68="","",IF(ISNUMBER('List 1'!D68),'List 1'!D68,TRIM('List 1'!D68)))</f>
        <v/>
      </c>
      <c r="O68">
        <f>IF(K68="","",D68)</f>
        <v/>
      </c>
      <c r="P68">
        <f>IF(K68="","",IF(R68,SUMPRODUCT(--($H$2:$H$501=K68),$I$2:$I$501),0))</f>
        <v/>
      </c>
      <c r="Q68">
        <f>IF(K68="","",TRUE)</f>
        <v/>
      </c>
      <c r="R68">
        <f>IF(K68="","",SUMPRODUCT(--($H$2:$H$501=K68))&gt;0)</f>
        <v/>
      </c>
      <c r="S68">
        <f>IF(K68="","",IF(AND(Q68,R68),IF(O68=P68,"Match","Qty Different"),IF(Q68,"Only in List 1","Only in List 2")))</f>
        <v/>
      </c>
      <c r="T68">
        <f>IF(K68="","",IF(ISNUMBER(--L68),TEXT(--L68,"000000000000.000"),LOWER(L68)))</f>
        <v/>
      </c>
      <c r="U68">
        <f>IF(K68="","",IF(ISNUMBER(--M68),TEXT(--M68,"000000000000.000"),LOWER(M68)))</f>
        <v/>
      </c>
      <c r="V68">
        <f>IF(K68="","",LOWER(N68))</f>
        <v/>
      </c>
      <c r="W68">
        <f>IF(K68="","",B68)</f>
        <v/>
      </c>
      <c r="X68">
        <f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>
      <c r="A69">
        <f>IF(TRIM('List 1'!A69&amp;'List 1'!C69&amp;'List 1'!D69)="","",LOWER(TRIM('List 1'!A69)&amp;"|"&amp;TRIM('List 1'!C69)&amp;"|"&amp;TRIM('List 1'!D69)))</f>
        <v/>
      </c>
      <c r="B69">
        <f>IF(A69="","",SUMPRODUCT(--($A$2:A69=A69)))</f>
        <v/>
      </c>
      <c r="C69">
        <f>IF(A69="","",A69&amp;"#"&amp;B69)</f>
        <v/>
      </c>
      <c r="D69">
        <f>IF(A69="","",IFERROR(--'List 1'!B69,0))</f>
        <v/>
      </c>
      <c r="F69">
        <f>IF(TRIM('List 2'!A69&amp;'List 2'!C69&amp;'List 2'!D69)="","",LOWER(TRIM('List 2'!A69)&amp;"|"&amp;TRIM('List 2'!C69)&amp;"|"&amp;TRIM('List 2'!D69)))</f>
        <v/>
      </c>
      <c r="G69">
        <f>IF(F69="","",SUMPRODUCT(--($F$2:F69=F69)))</f>
        <v/>
      </c>
      <c r="H69">
        <f>IF(F69="","",F69&amp;"#"&amp;G69)</f>
        <v/>
      </c>
      <c r="I69">
        <f>IF(F69="","",IFERROR(--'List 2'!B69,0))</f>
        <v/>
      </c>
      <c r="K69">
        <f>C69</f>
        <v/>
      </c>
      <c r="L69">
        <f>IF(K69="","",IF(ISNUMBER('List 1'!A69),'List 1'!A69,TRIM('List 1'!A69)))</f>
        <v/>
      </c>
      <c r="M69">
        <f>IF(K69="","",IF(ISNUMBER('List 1'!C69),'List 1'!C69,TRIM('List 1'!C69)))</f>
        <v/>
      </c>
      <c r="N69">
        <f>IF(K69="","",IF(ISNUMBER('List 1'!D69),'List 1'!D69,TRIM('List 1'!D69)))</f>
        <v/>
      </c>
      <c r="O69">
        <f>IF(K69="","",D69)</f>
        <v/>
      </c>
      <c r="P69">
        <f>IF(K69="","",IF(R69,SUMPRODUCT(--($H$2:$H$501=K69),$I$2:$I$501),0))</f>
        <v/>
      </c>
      <c r="Q69">
        <f>IF(K69="","",TRUE)</f>
        <v/>
      </c>
      <c r="R69">
        <f>IF(K69="","",SUMPRODUCT(--($H$2:$H$501=K69))&gt;0)</f>
        <v/>
      </c>
      <c r="S69">
        <f>IF(K69="","",IF(AND(Q69,R69),IF(O69=P69,"Match","Qty Different"),IF(Q69,"Only in List 1","Only in List 2")))</f>
        <v/>
      </c>
      <c r="T69">
        <f>IF(K69="","",IF(ISNUMBER(--L69),TEXT(--L69,"000000000000.000"),LOWER(L69)))</f>
        <v/>
      </c>
      <c r="U69">
        <f>IF(K69="","",IF(ISNUMBER(--M69),TEXT(--M69,"000000000000.000"),LOWER(M69)))</f>
        <v/>
      </c>
      <c r="V69">
        <f>IF(K69="","",LOWER(N69))</f>
        <v/>
      </c>
      <c r="W69">
        <f>IF(K69="","",B69)</f>
        <v/>
      </c>
      <c r="X69">
        <f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>
      <c r="A70">
        <f>IF(TRIM('List 1'!A70&amp;'List 1'!C70&amp;'List 1'!D70)="","",LOWER(TRIM('List 1'!A70)&amp;"|"&amp;TRIM('List 1'!C70)&amp;"|"&amp;TRIM('List 1'!D70)))</f>
        <v/>
      </c>
      <c r="B70">
        <f>IF(A70="","",SUMPRODUCT(--($A$2:A70=A70)))</f>
        <v/>
      </c>
      <c r="C70">
        <f>IF(A70="","",A70&amp;"#"&amp;B70)</f>
        <v/>
      </c>
      <c r="D70">
        <f>IF(A70="","",IFERROR(--'List 1'!B70,0))</f>
        <v/>
      </c>
      <c r="F70">
        <f>IF(TRIM('List 2'!A70&amp;'List 2'!C70&amp;'List 2'!D70)="","",LOWER(TRIM('List 2'!A70)&amp;"|"&amp;TRIM('List 2'!C70)&amp;"|"&amp;TRIM('List 2'!D70)))</f>
        <v/>
      </c>
      <c r="G70">
        <f>IF(F70="","",SUMPRODUCT(--($F$2:F70=F70)))</f>
        <v/>
      </c>
      <c r="H70">
        <f>IF(F70="","",F70&amp;"#"&amp;G70)</f>
        <v/>
      </c>
      <c r="I70">
        <f>IF(F70="","",IFERROR(--'List 2'!B70,0))</f>
        <v/>
      </c>
      <c r="K70">
        <f>C70</f>
        <v/>
      </c>
      <c r="L70">
        <f>IF(K70="","",IF(ISNUMBER('List 1'!A70),'List 1'!A70,TRIM('List 1'!A70)))</f>
        <v/>
      </c>
      <c r="M70">
        <f>IF(K70="","",IF(ISNUMBER('List 1'!C70),'List 1'!C70,TRIM('List 1'!C70)))</f>
        <v/>
      </c>
      <c r="N70">
        <f>IF(K70="","",IF(ISNUMBER('List 1'!D70),'List 1'!D70,TRIM('List 1'!D70)))</f>
        <v/>
      </c>
      <c r="O70">
        <f>IF(K70="","",D70)</f>
        <v/>
      </c>
      <c r="P70">
        <f>IF(K70="","",IF(R70,SUMPRODUCT(--($H$2:$H$501=K70),$I$2:$I$501),0))</f>
        <v/>
      </c>
      <c r="Q70">
        <f>IF(K70="","",TRUE)</f>
        <v/>
      </c>
      <c r="R70">
        <f>IF(K70="","",SUMPRODUCT(--($H$2:$H$501=K70))&gt;0)</f>
        <v/>
      </c>
      <c r="S70">
        <f>IF(K70="","",IF(AND(Q70,R70),IF(O70=P70,"Match","Qty Different"),IF(Q70,"Only in List 1","Only in List 2")))</f>
        <v/>
      </c>
      <c r="T70">
        <f>IF(K70="","",IF(ISNUMBER(--L70),TEXT(--L70,"000000000000.000"),LOWER(L70)))</f>
        <v/>
      </c>
      <c r="U70">
        <f>IF(K70="","",IF(ISNUMBER(--M70),TEXT(--M70,"000000000000.000"),LOWER(M70)))</f>
        <v/>
      </c>
      <c r="V70">
        <f>IF(K70="","",LOWER(N70))</f>
        <v/>
      </c>
      <c r="W70">
        <f>IF(K70="","",B70)</f>
        <v/>
      </c>
      <c r="X70">
        <f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>
      <c r="A71">
        <f>IF(TRIM('List 1'!A71&amp;'List 1'!C71&amp;'List 1'!D71)="","",LOWER(TRIM('List 1'!A71)&amp;"|"&amp;TRIM('List 1'!C71)&amp;"|"&amp;TRIM('List 1'!D71)))</f>
        <v/>
      </c>
      <c r="B71">
        <f>IF(A71="","",SUMPRODUCT(--($A$2:A71=A71)))</f>
        <v/>
      </c>
      <c r="C71">
        <f>IF(A71="","",A71&amp;"#"&amp;B71)</f>
        <v/>
      </c>
      <c r="D71">
        <f>IF(A71="","",IFERROR(--'List 1'!B71,0))</f>
        <v/>
      </c>
      <c r="F71">
        <f>IF(TRIM('List 2'!A71&amp;'List 2'!C71&amp;'List 2'!D71)="","",LOWER(TRIM('List 2'!A71)&amp;"|"&amp;TRIM('List 2'!C71)&amp;"|"&amp;TRIM('List 2'!D71)))</f>
        <v/>
      </c>
      <c r="G71">
        <f>IF(F71="","",SUMPRODUCT(--($F$2:F71=F71)))</f>
        <v/>
      </c>
      <c r="H71">
        <f>IF(F71="","",F71&amp;"#"&amp;G71)</f>
        <v/>
      </c>
      <c r="I71">
        <f>IF(F71="","",IFERROR(--'List 2'!B71,0))</f>
        <v/>
      </c>
      <c r="K71">
        <f>C71</f>
        <v/>
      </c>
      <c r="L71">
        <f>IF(K71="","",IF(ISNUMBER('List 1'!A71),'List 1'!A71,TRIM('List 1'!A71)))</f>
        <v/>
      </c>
      <c r="M71">
        <f>IF(K71="","",IF(ISNUMBER('List 1'!C71),'List 1'!C71,TRIM('List 1'!C71)))</f>
        <v/>
      </c>
      <c r="N71">
        <f>IF(K71="","",IF(ISNUMBER('List 1'!D71),'List 1'!D71,TRIM('List 1'!D71)))</f>
        <v/>
      </c>
      <c r="O71">
        <f>IF(K71="","",D71)</f>
        <v/>
      </c>
      <c r="P71">
        <f>IF(K71="","",IF(R71,SUMPRODUCT(--($H$2:$H$501=K71),$I$2:$I$501),0))</f>
        <v/>
      </c>
      <c r="Q71">
        <f>IF(K71="","",TRUE)</f>
        <v/>
      </c>
      <c r="R71">
        <f>IF(K71="","",SUMPRODUCT(--($H$2:$H$501=K71))&gt;0)</f>
        <v/>
      </c>
      <c r="S71">
        <f>IF(K71="","",IF(AND(Q71,R71),IF(O71=P71,"Match","Qty Different"),IF(Q71,"Only in List 1","Only in List 2")))</f>
        <v/>
      </c>
      <c r="T71">
        <f>IF(K71="","",IF(ISNUMBER(--L71),TEXT(--L71,"000000000000.000"),LOWER(L71)))</f>
        <v/>
      </c>
      <c r="U71">
        <f>IF(K71="","",IF(ISNUMBER(--M71),TEXT(--M71,"000000000000.000"),LOWER(M71)))</f>
        <v/>
      </c>
      <c r="V71">
        <f>IF(K71="","",LOWER(N71))</f>
        <v/>
      </c>
      <c r="W71">
        <f>IF(K71="","",B71)</f>
        <v/>
      </c>
      <c r="X71">
        <f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>
      <c r="A72">
        <f>IF(TRIM('List 1'!A72&amp;'List 1'!C72&amp;'List 1'!D72)="","",LOWER(TRIM('List 1'!A72)&amp;"|"&amp;TRIM('List 1'!C72)&amp;"|"&amp;TRIM('List 1'!D72)))</f>
        <v/>
      </c>
      <c r="B72">
        <f>IF(A72="","",SUMPRODUCT(--($A$2:A72=A72)))</f>
        <v/>
      </c>
      <c r="C72">
        <f>IF(A72="","",A72&amp;"#"&amp;B72)</f>
        <v/>
      </c>
      <c r="D72">
        <f>IF(A72="","",IFERROR(--'List 1'!B72,0))</f>
        <v/>
      </c>
      <c r="F72">
        <f>IF(TRIM('List 2'!A72&amp;'List 2'!C72&amp;'List 2'!D72)="","",LOWER(TRIM('List 2'!A72)&amp;"|"&amp;TRIM('List 2'!C72)&amp;"|"&amp;TRIM('List 2'!D72)))</f>
        <v/>
      </c>
      <c r="G72">
        <f>IF(F72="","",SUMPRODUCT(--($F$2:F72=F72)))</f>
        <v/>
      </c>
      <c r="H72">
        <f>IF(F72="","",F72&amp;"#"&amp;G72)</f>
        <v/>
      </c>
      <c r="I72">
        <f>IF(F72="","",IFERROR(--'List 2'!B72,0))</f>
        <v/>
      </c>
      <c r="K72">
        <f>C72</f>
        <v/>
      </c>
      <c r="L72">
        <f>IF(K72="","",IF(ISNUMBER('List 1'!A72),'List 1'!A72,TRIM('List 1'!A72)))</f>
        <v/>
      </c>
      <c r="M72">
        <f>IF(K72="","",IF(ISNUMBER('List 1'!C72),'List 1'!C72,TRIM('List 1'!C72)))</f>
        <v/>
      </c>
      <c r="N72">
        <f>IF(K72="","",IF(ISNUMBER('List 1'!D72),'List 1'!D72,TRIM('List 1'!D72)))</f>
        <v/>
      </c>
      <c r="O72">
        <f>IF(K72="","",D72)</f>
        <v/>
      </c>
      <c r="P72">
        <f>IF(K72="","",IF(R72,SUMPRODUCT(--($H$2:$H$501=K72),$I$2:$I$501),0))</f>
        <v/>
      </c>
      <c r="Q72">
        <f>IF(K72="","",TRUE)</f>
        <v/>
      </c>
      <c r="R72">
        <f>IF(K72="","",SUMPRODUCT(--($H$2:$H$501=K72))&gt;0)</f>
        <v/>
      </c>
      <c r="S72">
        <f>IF(K72="","",IF(AND(Q72,R72),IF(O72=P72,"Match","Qty Different"),IF(Q72,"Only in List 1","Only in List 2")))</f>
        <v/>
      </c>
      <c r="T72">
        <f>IF(K72="","",IF(ISNUMBER(--L72),TEXT(--L72,"000000000000.000"),LOWER(L72)))</f>
        <v/>
      </c>
      <c r="U72">
        <f>IF(K72="","",IF(ISNUMBER(--M72),TEXT(--M72,"000000000000.000"),LOWER(M72)))</f>
        <v/>
      </c>
      <c r="V72">
        <f>IF(K72="","",LOWER(N72))</f>
        <v/>
      </c>
      <c r="W72">
        <f>IF(K72="","",B72)</f>
        <v/>
      </c>
      <c r="X72">
        <f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>
      <c r="A73">
        <f>IF(TRIM('List 1'!A73&amp;'List 1'!C73&amp;'List 1'!D73)="","",LOWER(TRIM('List 1'!A73)&amp;"|"&amp;TRIM('List 1'!C73)&amp;"|"&amp;TRIM('List 1'!D73)))</f>
        <v/>
      </c>
      <c r="B73">
        <f>IF(A73="","",SUMPRODUCT(--($A$2:A73=A73)))</f>
        <v/>
      </c>
      <c r="C73">
        <f>IF(A73="","",A73&amp;"#"&amp;B73)</f>
        <v/>
      </c>
      <c r="D73">
        <f>IF(A73="","",IFERROR(--'List 1'!B73,0))</f>
        <v/>
      </c>
      <c r="F73">
        <f>IF(TRIM('List 2'!A73&amp;'List 2'!C73&amp;'List 2'!D73)="","",LOWER(TRIM('List 2'!A73)&amp;"|"&amp;TRIM('List 2'!C73)&amp;"|"&amp;TRIM('List 2'!D73)))</f>
        <v/>
      </c>
      <c r="G73">
        <f>IF(F73="","",SUMPRODUCT(--($F$2:F73=F73)))</f>
        <v/>
      </c>
      <c r="H73">
        <f>IF(F73="","",F73&amp;"#"&amp;G73)</f>
        <v/>
      </c>
      <c r="I73">
        <f>IF(F73="","",IFERROR(--'List 2'!B73,0))</f>
        <v/>
      </c>
      <c r="K73">
        <f>C73</f>
        <v/>
      </c>
      <c r="L73">
        <f>IF(K73="","",IF(ISNUMBER('List 1'!A73),'List 1'!A73,TRIM('List 1'!A73)))</f>
        <v/>
      </c>
      <c r="M73">
        <f>IF(K73="","",IF(ISNUMBER('List 1'!C73),'List 1'!C73,TRIM('List 1'!C73)))</f>
        <v/>
      </c>
      <c r="N73">
        <f>IF(K73="","",IF(ISNUMBER('List 1'!D73),'List 1'!D73,TRIM('List 1'!D73)))</f>
        <v/>
      </c>
      <c r="O73">
        <f>IF(K73="","",D73)</f>
        <v/>
      </c>
      <c r="P73">
        <f>IF(K73="","",IF(R73,SUMPRODUCT(--($H$2:$H$501=K73),$I$2:$I$501),0))</f>
        <v/>
      </c>
      <c r="Q73">
        <f>IF(K73="","",TRUE)</f>
        <v/>
      </c>
      <c r="R73">
        <f>IF(K73="","",SUMPRODUCT(--($H$2:$H$501=K73))&gt;0)</f>
        <v/>
      </c>
      <c r="S73">
        <f>IF(K73="","",IF(AND(Q73,R73),IF(O73=P73,"Match","Qty Different"),IF(Q73,"Only in List 1","Only in List 2")))</f>
        <v/>
      </c>
      <c r="T73">
        <f>IF(K73="","",IF(ISNUMBER(--L73),TEXT(--L73,"000000000000.000"),LOWER(L73)))</f>
        <v/>
      </c>
      <c r="U73">
        <f>IF(K73="","",IF(ISNUMBER(--M73),TEXT(--M73,"000000000000.000"),LOWER(M73)))</f>
        <v/>
      </c>
      <c r="V73">
        <f>IF(K73="","",LOWER(N73))</f>
        <v/>
      </c>
      <c r="W73">
        <f>IF(K73="","",B73)</f>
        <v/>
      </c>
      <c r="X73">
        <f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>
      <c r="A74">
        <f>IF(TRIM('List 1'!A74&amp;'List 1'!C74&amp;'List 1'!D74)="","",LOWER(TRIM('List 1'!A74)&amp;"|"&amp;TRIM('List 1'!C74)&amp;"|"&amp;TRIM('List 1'!D74)))</f>
        <v/>
      </c>
      <c r="B74">
        <f>IF(A74="","",SUMPRODUCT(--($A$2:A74=A74)))</f>
        <v/>
      </c>
      <c r="C74">
        <f>IF(A74="","",A74&amp;"#"&amp;B74)</f>
        <v/>
      </c>
      <c r="D74">
        <f>IF(A74="","",IFERROR(--'List 1'!B74,0))</f>
        <v/>
      </c>
      <c r="F74">
        <f>IF(TRIM('List 2'!A74&amp;'List 2'!C74&amp;'List 2'!D74)="","",LOWER(TRIM('List 2'!A74)&amp;"|"&amp;TRIM('List 2'!C74)&amp;"|"&amp;TRIM('List 2'!D74)))</f>
        <v/>
      </c>
      <c r="G74">
        <f>IF(F74="","",SUMPRODUCT(--($F$2:F74=F74)))</f>
        <v/>
      </c>
      <c r="H74">
        <f>IF(F74="","",F74&amp;"#"&amp;G74)</f>
        <v/>
      </c>
      <c r="I74">
        <f>IF(F74="","",IFERROR(--'List 2'!B74,0))</f>
        <v/>
      </c>
      <c r="K74">
        <f>C74</f>
        <v/>
      </c>
      <c r="L74">
        <f>IF(K74="","",IF(ISNUMBER('List 1'!A74),'List 1'!A74,TRIM('List 1'!A74)))</f>
        <v/>
      </c>
      <c r="M74">
        <f>IF(K74="","",IF(ISNUMBER('List 1'!C74),'List 1'!C74,TRIM('List 1'!C74)))</f>
        <v/>
      </c>
      <c r="N74">
        <f>IF(K74="","",IF(ISNUMBER('List 1'!D74),'List 1'!D74,TRIM('List 1'!D74)))</f>
        <v/>
      </c>
      <c r="O74">
        <f>IF(K74="","",D74)</f>
        <v/>
      </c>
      <c r="P74">
        <f>IF(K74="","",IF(R74,SUMPRODUCT(--($H$2:$H$501=K74),$I$2:$I$501),0))</f>
        <v/>
      </c>
      <c r="Q74">
        <f>IF(K74="","",TRUE)</f>
        <v/>
      </c>
      <c r="R74">
        <f>IF(K74="","",SUMPRODUCT(--($H$2:$H$501=K74))&gt;0)</f>
        <v/>
      </c>
      <c r="S74">
        <f>IF(K74="","",IF(AND(Q74,R74),IF(O74=P74,"Match","Qty Different"),IF(Q74,"Only in List 1","Only in List 2")))</f>
        <v/>
      </c>
      <c r="T74">
        <f>IF(K74="","",IF(ISNUMBER(--L74),TEXT(--L74,"000000000000.000"),LOWER(L74)))</f>
        <v/>
      </c>
      <c r="U74">
        <f>IF(K74="","",IF(ISNUMBER(--M74),TEXT(--M74,"000000000000.000"),LOWER(M74)))</f>
        <v/>
      </c>
      <c r="V74">
        <f>IF(K74="","",LOWER(N74))</f>
        <v/>
      </c>
      <c r="W74">
        <f>IF(K74="","",B74)</f>
        <v/>
      </c>
      <c r="X74">
        <f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>
      <c r="A75">
        <f>IF(TRIM('List 1'!A75&amp;'List 1'!C75&amp;'List 1'!D75)="","",LOWER(TRIM('List 1'!A75)&amp;"|"&amp;TRIM('List 1'!C75)&amp;"|"&amp;TRIM('List 1'!D75)))</f>
        <v/>
      </c>
      <c r="B75">
        <f>IF(A75="","",SUMPRODUCT(--($A$2:A75=A75)))</f>
        <v/>
      </c>
      <c r="C75">
        <f>IF(A75="","",A75&amp;"#"&amp;B75)</f>
        <v/>
      </c>
      <c r="D75">
        <f>IF(A75="","",IFERROR(--'List 1'!B75,0))</f>
        <v/>
      </c>
      <c r="F75">
        <f>IF(TRIM('List 2'!A75&amp;'List 2'!C75&amp;'List 2'!D75)="","",LOWER(TRIM('List 2'!A75)&amp;"|"&amp;TRIM('List 2'!C75)&amp;"|"&amp;TRIM('List 2'!D75)))</f>
        <v/>
      </c>
      <c r="G75">
        <f>IF(F75="","",SUMPRODUCT(--($F$2:F75=F75)))</f>
        <v/>
      </c>
      <c r="H75">
        <f>IF(F75="","",F75&amp;"#"&amp;G75)</f>
        <v/>
      </c>
      <c r="I75">
        <f>IF(F75="","",IFERROR(--'List 2'!B75,0))</f>
        <v/>
      </c>
      <c r="K75">
        <f>C75</f>
        <v/>
      </c>
      <c r="L75">
        <f>IF(K75="","",IF(ISNUMBER('List 1'!A75),'List 1'!A75,TRIM('List 1'!A75)))</f>
        <v/>
      </c>
      <c r="M75">
        <f>IF(K75="","",IF(ISNUMBER('List 1'!C75),'List 1'!C75,TRIM('List 1'!C75)))</f>
        <v/>
      </c>
      <c r="N75">
        <f>IF(K75="","",IF(ISNUMBER('List 1'!D75),'List 1'!D75,TRIM('List 1'!D75)))</f>
        <v/>
      </c>
      <c r="O75">
        <f>IF(K75="","",D75)</f>
        <v/>
      </c>
      <c r="P75">
        <f>IF(K75="","",IF(R75,SUMPRODUCT(--($H$2:$H$501=K75),$I$2:$I$501),0))</f>
        <v/>
      </c>
      <c r="Q75">
        <f>IF(K75="","",TRUE)</f>
        <v/>
      </c>
      <c r="R75">
        <f>IF(K75="","",SUMPRODUCT(--($H$2:$H$501=K75))&gt;0)</f>
        <v/>
      </c>
      <c r="S75">
        <f>IF(K75="","",IF(AND(Q75,R75),IF(O75=P75,"Match","Qty Different"),IF(Q75,"Only in List 1","Only in List 2")))</f>
        <v/>
      </c>
      <c r="T75">
        <f>IF(K75="","",IF(ISNUMBER(--L75),TEXT(--L75,"000000000000.000"),LOWER(L75)))</f>
        <v/>
      </c>
      <c r="U75">
        <f>IF(K75="","",IF(ISNUMBER(--M75),TEXT(--M75,"000000000000.000"),LOWER(M75)))</f>
        <v/>
      </c>
      <c r="V75">
        <f>IF(K75="","",LOWER(N75))</f>
        <v/>
      </c>
      <c r="W75">
        <f>IF(K75="","",B75)</f>
        <v/>
      </c>
      <c r="X75">
        <f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>
      <c r="A76">
        <f>IF(TRIM('List 1'!A76&amp;'List 1'!C76&amp;'List 1'!D76)="","",LOWER(TRIM('List 1'!A76)&amp;"|"&amp;TRIM('List 1'!C76)&amp;"|"&amp;TRIM('List 1'!D76)))</f>
        <v/>
      </c>
      <c r="B76">
        <f>IF(A76="","",SUMPRODUCT(--($A$2:A76=A76)))</f>
        <v/>
      </c>
      <c r="C76">
        <f>IF(A76="","",A76&amp;"#"&amp;B76)</f>
        <v/>
      </c>
      <c r="D76">
        <f>IF(A76="","",IFERROR(--'List 1'!B76,0))</f>
        <v/>
      </c>
      <c r="F76">
        <f>IF(TRIM('List 2'!A76&amp;'List 2'!C76&amp;'List 2'!D76)="","",LOWER(TRIM('List 2'!A76)&amp;"|"&amp;TRIM('List 2'!C76)&amp;"|"&amp;TRIM('List 2'!D76)))</f>
        <v/>
      </c>
      <c r="G76">
        <f>IF(F76="","",SUMPRODUCT(--($F$2:F76=F76)))</f>
        <v/>
      </c>
      <c r="H76">
        <f>IF(F76="","",F76&amp;"#"&amp;G76)</f>
        <v/>
      </c>
      <c r="I76">
        <f>IF(F76="","",IFERROR(--'List 2'!B76,0))</f>
        <v/>
      </c>
      <c r="K76">
        <f>C76</f>
        <v/>
      </c>
      <c r="L76">
        <f>IF(K76="","",IF(ISNUMBER('List 1'!A76),'List 1'!A76,TRIM('List 1'!A76)))</f>
        <v/>
      </c>
      <c r="M76">
        <f>IF(K76="","",IF(ISNUMBER('List 1'!C76),'List 1'!C76,TRIM('List 1'!C76)))</f>
        <v/>
      </c>
      <c r="N76">
        <f>IF(K76="","",IF(ISNUMBER('List 1'!D76),'List 1'!D76,TRIM('List 1'!D76)))</f>
        <v/>
      </c>
      <c r="O76">
        <f>IF(K76="","",D76)</f>
        <v/>
      </c>
      <c r="P76">
        <f>IF(K76="","",IF(R76,SUMPRODUCT(--($H$2:$H$501=K76),$I$2:$I$501),0))</f>
        <v/>
      </c>
      <c r="Q76">
        <f>IF(K76="","",TRUE)</f>
        <v/>
      </c>
      <c r="R76">
        <f>IF(K76="","",SUMPRODUCT(--($H$2:$H$501=K76))&gt;0)</f>
        <v/>
      </c>
      <c r="S76">
        <f>IF(K76="","",IF(AND(Q76,R76),IF(O76=P76,"Match","Qty Different"),IF(Q76,"Only in List 1","Only in List 2")))</f>
        <v/>
      </c>
      <c r="T76">
        <f>IF(K76="","",IF(ISNUMBER(--L76),TEXT(--L76,"000000000000.000"),LOWER(L76)))</f>
        <v/>
      </c>
      <c r="U76">
        <f>IF(K76="","",IF(ISNUMBER(--M76),TEXT(--M76,"000000000000.000"),LOWER(M76)))</f>
        <v/>
      </c>
      <c r="V76">
        <f>IF(K76="","",LOWER(N76))</f>
        <v/>
      </c>
      <c r="W76">
        <f>IF(K76="","",B76)</f>
        <v/>
      </c>
      <c r="X76">
        <f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>
      <c r="A77">
        <f>IF(TRIM('List 1'!A77&amp;'List 1'!C77&amp;'List 1'!D77)="","",LOWER(TRIM('List 1'!A77)&amp;"|"&amp;TRIM('List 1'!C77)&amp;"|"&amp;TRIM('List 1'!D77)))</f>
        <v/>
      </c>
      <c r="B77">
        <f>IF(A77="","",SUMPRODUCT(--($A$2:A77=A77)))</f>
        <v/>
      </c>
      <c r="C77">
        <f>IF(A77="","",A77&amp;"#"&amp;B77)</f>
        <v/>
      </c>
      <c r="D77">
        <f>IF(A77="","",IFERROR(--'List 1'!B77,0))</f>
        <v/>
      </c>
      <c r="F77">
        <f>IF(TRIM('List 2'!A77&amp;'List 2'!C77&amp;'List 2'!D77)="","",LOWER(TRIM('List 2'!A77)&amp;"|"&amp;TRIM('List 2'!C77)&amp;"|"&amp;TRIM('List 2'!D77)))</f>
        <v/>
      </c>
      <c r="G77">
        <f>IF(F77="","",SUMPRODUCT(--($F$2:F77=F77)))</f>
        <v/>
      </c>
      <c r="H77">
        <f>IF(F77="","",F77&amp;"#"&amp;G77)</f>
        <v/>
      </c>
      <c r="I77">
        <f>IF(F77="","",IFERROR(--'List 2'!B77,0))</f>
        <v/>
      </c>
      <c r="K77">
        <f>C77</f>
        <v/>
      </c>
      <c r="L77">
        <f>IF(K77="","",IF(ISNUMBER('List 1'!A77),'List 1'!A77,TRIM('List 1'!A77)))</f>
        <v/>
      </c>
      <c r="M77">
        <f>IF(K77="","",IF(ISNUMBER('List 1'!C77),'List 1'!C77,TRIM('List 1'!C77)))</f>
        <v/>
      </c>
      <c r="N77">
        <f>IF(K77="","",IF(ISNUMBER('List 1'!D77),'List 1'!D77,TRIM('List 1'!D77)))</f>
        <v/>
      </c>
      <c r="O77">
        <f>IF(K77="","",D77)</f>
        <v/>
      </c>
      <c r="P77">
        <f>IF(K77="","",IF(R77,SUMPRODUCT(--($H$2:$H$501=K77),$I$2:$I$501),0))</f>
        <v/>
      </c>
      <c r="Q77">
        <f>IF(K77="","",TRUE)</f>
        <v/>
      </c>
      <c r="R77">
        <f>IF(K77="","",SUMPRODUCT(--($H$2:$H$501=K77))&gt;0)</f>
        <v/>
      </c>
      <c r="S77">
        <f>IF(K77="","",IF(AND(Q77,R77),IF(O77=P77,"Match","Qty Different"),IF(Q77,"Only in List 1","Only in List 2")))</f>
        <v/>
      </c>
      <c r="T77">
        <f>IF(K77="","",IF(ISNUMBER(--L77),TEXT(--L77,"000000000000.000"),LOWER(L77)))</f>
        <v/>
      </c>
      <c r="U77">
        <f>IF(K77="","",IF(ISNUMBER(--M77),TEXT(--M77,"000000000000.000"),LOWER(M77)))</f>
        <v/>
      </c>
      <c r="V77">
        <f>IF(K77="","",LOWER(N77))</f>
        <v/>
      </c>
      <c r="W77">
        <f>IF(K77="","",B77)</f>
        <v/>
      </c>
      <c r="X77">
        <f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>
      <c r="A78">
        <f>IF(TRIM('List 1'!A78&amp;'List 1'!C78&amp;'List 1'!D78)="","",LOWER(TRIM('List 1'!A78)&amp;"|"&amp;TRIM('List 1'!C78)&amp;"|"&amp;TRIM('List 1'!D78)))</f>
        <v/>
      </c>
      <c r="B78">
        <f>IF(A78="","",SUMPRODUCT(--($A$2:A78=A78)))</f>
        <v/>
      </c>
      <c r="C78">
        <f>IF(A78="","",A78&amp;"#"&amp;B78)</f>
        <v/>
      </c>
      <c r="D78">
        <f>IF(A78="","",IFERROR(--'List 1'!B78,0))</f>
        <v/>
      </c>
      <c r="F78">
        <f>IF(TRIM('List 2'!A78&amp;'List 2'!C78&amp;'List 2'!D78)="","",LOWER(TRIM('List 2'!A78)&amp;"|"&amp;TRIM('List 2'!C78)&amp;"|"&amp;TRIM('List 2'!D78)))</f>
        <v/>
      </c>
      <c r="G78">
        <f>IF(F78="","",SUMPRODUCT(--($F$2:F78=F78)))</f>
        <v/>
      </c>
      <c r="H78">
        <f>IF(F78="","",F78&amp;"#"&amp;G78)</f>
        <v/>
      </c>
      <c r="I78">
        <f>IF(F78="","",IFERROR(--'List 2'!B78,0))</f>
        <v/>
      </c>
      <c r="K78">
        <f>C78</f>
        <v/>
      </c>
      <c r="L78">
        <f>IF(K78="","",IF(ISNUMBER('List 1'!A78),'List 1'!A78,TRIM('List 1'!A78)))</f>
        <v/>
      </c>
      <c r="M78">
        <f>IF(K78="","",IF(ISNUMBER('List 1'!C78),'List 1'!C78,TRIM('List 1'!C78)))</f>
        <v/>
      </c>
      <c r="N78">
        <f>IF(K78="","",IF(ISNUMBER('List 1'!D78),'List 1'!D78,TRIM('List 1'!D78)))</f>
        <v/>
      </c>
      <c r="O78">
        <f>IF(K78="","",D78)</f>
        <v/>
      </c>
      <c r="P78">
        <f>IF(K78="","",IF(R78,SUMPRODUCT(--($H$2:$H$501=K78),$I$2:$I$501),0))</f>
        <v/>
      </c>
      <c r="Q78">
        <f>IF(K78="","",TRUE)</f>
        <v/>
      </c>
      <c r="R78">
        <f>IF(K78="","",SUMPRODUCT(--($H$2:$H$501=K78))&gt;0)</f>
        <v/>
      </c>
      <c r="S78">
        <f>IF(K78="","",IF(AND(Q78,R78),IF(O78=P78,"Match","Qty Different"),IF(Q78,"Only in List 1","Only in List 2")))</f>
        <v/>
      </c>
      <c r="T78">
        <f>IF(K78="","",IF(ISNUMBER(--L78),TEXT(--L78,"000000000000.000"),LOWER(L78)))</f>
        <v/>
      </c>
      <c r="U78">
        <f>IF(K78="","",IF(ISNUMBER(--M78),TEXT(--M78,"000000000000.000"),LOWER(M78)))</f>
        <v/>
      </c>
      <c r="V78">
        <f>IF(K78="","",LOWER(N78))</f>
        <v/>
      </c>
      <c r="W78">
        <f>IF(K78="","",B78)</f>
        <v/>
      </c>
      <c r="X78">
        <f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>
      <c r="A79">
        <f>IF(TRIM('List 1'!A79&amp;'List 1'!C79&amp;'List 1'!D79)="","",LOWER(TRIM('List 1'!A79)&amp;"|"&amp;TRIM('List 1'!C79)&amp;"|"&amp;TRIM('List 1'!D79)))</f>
        <v/>
      </c>
      <c r="B79">
        <f>IF(A79="","",SUMPRODUCT(--($A$2:A79=A79)))</f>
        <v/>
      </c>
      <c r="C79">
        <f>IF(A79="","",A79&amp;"#"&amp;B79)</f>
        <v/>
      </c>
      <c r="D79">
        <f>IF(A79="","",IFERROR(--'List 1'!B79,0))</f>
        <v/>
      </c>
      <c r="F79">
        <f>IF(TRIM('List 2'!A79&amp;'List 2'!C79&amp;'List 2'!D79)="","",LOWER(TRIM('List 2'!A79)&amp;"|"&amp;TRIM('List 2'!C79)&amp;"|"&amp;TRIM('List 2'!D79)))</f>
        <v/>
      </c>
      <c r="G79">
        <f>IF(F79="","",SUMPRODUCT(--($F$2:F79=F79)))</f>
        <v/>
      </c>
      <c r="H79">
        <f>IF(F79="","",F79&amp;"#"&amp;G79)</f>
        <v/>
      </c>
      <c r="I79">
        <f>IF(F79="","",IFERROR(--'List 2'!B79,0))</f>
        <v/>
      </c>
      <c r="K79">
        <f>C79</f>
        <v/>
      </c>
      <c r="L79">
        <f>IF(K79="","",IF(ISNUMBER('List 1'!A79),'List 1'!A79,TRIM('List 1'!A79)))</f>
        <v/>
      </c>
      <c r="M79">
        <f>IF(K79="","",IF(ISNUMBER('List 1'!C79),'List 1'!C79,TRIM('List 1'!C79)))</f>
        <v/>
      </c>
      <c r="N79">
        <f>IF(K79="","",IF(ISNUMBER('List 1'!D79),'List 1'!D79,TRIM('List 1'!D79)))</f>
        <v/>
      </c>
      <c r="O79">
        <f>IF(K79="","",D79)</f>
        <v/>
      </c>
      <c r="P79">
        <f>IF(K79="","",IF(R79,SUMPRODUCT(--($H$2:$H$501=K79),$I$2:$I$501),0))</f>
        <v/>
      </c>
      <c r="Q79">
        <f>IF(K79="","",TRUE)</f>
        <v/>
      </c>
      <c r="R79">
        <f>IF(K79="","",SUMPRODUCT(--($H$2:$H$501=K79))&gt;0)</f>
        <v/>
      </c>
      <c r="S79">
        <f>IF(K79="","",IF(AND(Q79,R79),IF(O79=P79,"Match","Qty Different"),IF(Q79,"Only in List 1","Only in List 2")))</f>
        <v/>
      </c>
      <c r="T79">
        <f>IF(K79="","",IF(ISNUMBER(--L79),TEXT(--L79,"000000000000.000"),LOWER(L79)))</f>
        <v/>
      </c>
      <c r="U79">
        <f>IF(K79="","",IF(ISNUMBER(--M79),TEXT(--M79,"000000000000.000"),LOWER(M79)))</f>
        <v/>
      </c>
      <c r="V79">
        <f>IF(K79="","",LOWER(N79))</f>
        <v/>
      </c>
      <c r="W79">
        <f>IF(K79="","",B79)</f>
        <v/>
      </c>
      <c r="X79">
        <f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>
      <c r="A80">
        <f>IF(TRIM('List 1'!A80&amp;'List 1'!C80&amp;'List 1'!D80)="","",LOWER(TRIM('List 1'!A80)&amp;"|"&amp;TRIM('List 1'!C80)&amp;"|"&amp;TRIM('List 1'!D80)))</f>
        <v/>
      </c>
      <c r="B80">
        <f>IF(A80="","",SUMPRODUCT(--($A$2:A80=A80)))</f>
        <v/>
      </c>
      <c r="C80">
        <f>IF(A80="","",A80&amp;"#"&amp;B80)</f>
        <v/>
      </c>
      <c r="D80">
        <f>IF(A80="","",IFERROR(--'List 1'!B80,0))</f>
        <v/>
      </c>
      <c r="F80">
        <f>IF(TRIM('List 2'!A80&amp;'List 2'!C80&amp;'List 2'!D80)="","",LOWER(TRIM('List 2'!A80)&amp;"|"&amp;TRIM('List 2'!C80)&amp;"|"&amp;TRIM('List 2'!D80)))</f>
        <v/>
      </c>
      <c r="G80">
        <f>IF(F80="","",SUMPRODUCT(--($F$2:F80=F80)))</f>
        <v/>
      </c>
      <c r="H80">
        <f>IF(F80="","",F80&amp;"#"&amp;G80)</f>
        <v/>
      </c>
      <c r="I80">
        <f>IF(F80="","",IFERROR(--'List 2'!B80,0))</f>
        <v/>
      </c>
      <c r="K80">
        <f>C80</f>
        <v/>
      </c>
      <c r="L80">
        <f>IF(K80="","",IF(ISNUMBER('List 1'!A80),'List 1'!A80,TRIM('List 1'!A80)))</f>
        <v/>
      </c>
      <c r="M80">
        <f>IF(K80="","",IF(ISNUMBER('List 1'!C80),'List 1'!C80,TRIM('List 1'!C80)))</f>
        <v/>
      </c>
      <c r="N80">
        <f>IF(K80="","",IF(ISNUMBER('List 1'!D80),'List 1'!D80,TRIM('List 1'!D80)))</f>
        <v/>
      </c>
      <c r="O80">
        <f>IF(K80="","",D80)</f>
        <v/>
      </c>
      <c r="P80">
        <f>IF(K80="","",IF(R80,SUMPRODUCT(--($H$2:$H$501=K80),$I$2:$I$501),0))</f>
        <v/>
      </c>
      <c r="Q80">
        <f>IF(K80="","",TRUE)</f>
        <v/>
      </c>
      <c r="R80">
        <f>IF(K80="","",SUMPRODUCT(--($H$2:$H$501=K80))&gt;0)</f>
        <v/>
      </c>
      <c r="S80">
        <f>IF(K80="","",IF(AND(Q80,R80),IF(O80=P80,"Match","Qty Different"),IF(Q80,"Only in List 1","Only in List 2")))</f>
        <v/>
      </c>
      <c r="T80">
        <f>IF(K80="","",IF(ISNUMBER(--L80),TEXT(--L80,"000000000000.000"),LOWER(L80)))</f>
        <v/>
      </c>
      <c r="U80">
        <f>IF(K80="","",IF(ISNUMBER(--M80),TEXT(--M80,"000000000000.000"),LOWER(M80)))</f>
        <v/>
      </c>
      <c r="V80">
        <f>IF(K80="","",LOWER(N80))</f>
        <v/>
      </c>
      <c r="W80">
        <f>IF(K80="","",B80)</f>
        <v/>
      </c>
      <c r="X80">
        <f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>
      <c r="A81">
        <f>IF(TRIM('List 1'!A81&amp;'List 1'!C81&amp;'List 1'!D81)="","",LOWER(TRIM('List 1'!A81)&amp;"|"&amp;TRIM('List 1'!C81)&amp;"|"&amp;TRIM('List 1'!D81)))</f>
        <v/>
      </c>
      <c r="B81">
        <f>IF(A81="","",SUMPRODUCT(--($A$2:A81=A81)))</f>
        <v/>
      </c>
      <c r="C81">
        <f>IF(A81="","",A81&amp;"#"&amp;B81)</f>
        <v/>
      </c>
      <c r="D81">
        <f>IF(A81="","",IFERROR(--'List 1'!B81,0))</f>
        <v/>
      </c>
      <c r="F81">
        <f>IF(TRIM('List 2'!A81&amp;'List 2'!C81&amp;'List 2'!D81)="","",LOWER(TRIM('List 2'!A81)&amp;"|"&amp;TRIM('List 2'!C81)&amp;"|"&amp;TRIM('List 2'!D81)))</f>
        <v/>
      </c>
      <c r="G81">
        <f>IF(F81="","",SUMPRODUCT(--($F$2:F81=F81)))</f>
        <v/>
      </c>
      <c r="H81">
        <f>IF(F81="","",F81&amp;"#"&amp;G81)</f>
        <v/>
      </c>
      <c r="I81">
        <f>IF(F81="","",IFERROR(--'List 2'!B81,0))</f>
        <v/>
      </c>
      <c r="K81">
        <f>C81</f>
        <v/>
      </c>
      <c r="L81">
        <f>IF(K81="","",IF(ISNUMBER('List 1'!A81),'List 1'!A81,TRIM('List 1'!A81)))</f>
        <v/>
      </c>
      <c r="M81">
        <f>IF(K81="","",IF(ISNUMBER('List 1'!C81),'List 1'!C81,TRIM('List 1'!C81)))</f>
        <v/>
      </c>
      <c r="N81">
        <f>IF(K81="","",IF(ISNUMBER('List 1'!D81),'List 1'!D81,TRIM('List 1'!D81)))</f>
        <v/>
      </c>
      <c r="O81">
        <f>IF(K81="","",D81)</f>
        <v/>
      </c>
      <c r="P81">
        <f>IF(K81="","",IF(R81,SUMPRODUCT(--($H$2:$H$501=K81),$I$2:$I$501),0))</f>
        <v/>
      </c>
      <c r="Q81">
        <f>IF(K81="","",TRUE)</f>
        <v/>
      </c>
      <c r="R81">
        <f>IF(K81="","",SUMPRODUCT(--($H$2:$H$501=K81))&gt;0)</f>
        <v/>
      </c>
      <c r="S81">
        <f>IF(K81="","",IF(AND(Q81,R81),IF(O81=P81,"Match","Qty Different"),IF(Q81,"Only in List 1","Only in List 2")))</f>
        <v/>
      </c>
      <c r="T81">
        <f>IF(K81="","",IF(ISNUMBER(--L81),TEXT(--L81,"000000000000.000"),LOWER(L81)))</f>
        <v/>
      </c>
      <c r="U81">
        <f>IF(K81="","",IF(ISNUMBER(--M81),TEXT(--M81,"000000000000.000"),LOWER(M81)))</f>
        <v/>
      </c>
      <c r="V81">
        <f>IF(K81="","",LOWER(N81))</f>
        <v/>
      </c>
      <c r="W81">
        <f>IF(K81="","",B81)</f>
        <v/>
      </c>
      <c r="X81">
        <f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>
      <c r="A82">
        <f>IF(TRIM('List 1'!A82&amp;'List 1'!C82&amp;'List 1'!D82)="","",LOWER(TRIM('List 1'!A82)&amp;"|"&amp;TRIM('List 1'!C82)&amp;"|"&amp;TRIM('List 1'!D82)))</f>
        <v/>
      </c>
      <c r="B82">
        <f>IF(A82="","",SUMPRODUCT(--($A$2:A82=A82)))</f>
        <v/>
      </c>
      <c r="C82">
        <f>IF(A82="","",A82&amp;"#"&amp;B82)</f>
        <v/>
      </c>
      <c r="D82">
        <f>IF(A82="","",IFERROR(--'List 1'!B82,0))</f>
        <v/>
      </c>
      <c r="F82">
        <f>IF(TRIM('List 2'!A82&amp;'List 2'!C82&amp;'List 2'!D82)="","",LOWER(TRIM('List 2'!A82)&amp;"|"&amp;TRIM('List 2'!C82)&amp;"|"&amp;TRIM('List 2'!D82)))</f>
        <v/>
      </c>
      <c r="G82">
        <f>IF(F82="","",SUMPRODUCT(--($F$2:F82=F82)))</f>
        <v/>
      </c>
      <c r="H82">
        <f>IF(F82="","",F82&amp;"#"&amp;G82)</f>
        <v/>
      </c>
      <c r="I82">
        <f>IF(F82="","",IFERROR(--'List 2'!B82,0))</f>
        <v/>
      </c>
      <c r="K82">
        <f>C82</f>
        <v/>
      </c>
      <c r="L82">
        <f>IF(K82="","",IF(ISNUMBER('List 1'!A82),'List 1'!A82,TRIM('List 1'!A82)))</f>
        <v/>
      </c>
      <c r="M82">
        <f>IF(K82="","",IF(ISNUMBER('List 1'!C82),'List 1'!C82,TRIM('List 1'!C82)))</f>
        <v/>
      </c>
      <c r="N82">
        <f>IF(K82="","",IF(ISNUMBER('List 1'!D82),'List 1'!D82,TRIM('List 1'!D82)))</f>
        <v/>
      </c>
      <c r="O82">
        <f>IF(K82="","",D82)</f>
        <v/>
      </c>
      <c r="P82">
        <f>IF(K82="","",IF(R82,SUMPRODUCT(--($H$2:$H$501=K82),$I$2:$I$501),0))</f>
        <v/>
      </c>
      <c r="Q82">
        <f>IF(K82="","",TRUE)</f>
        <v/>
      </c>
      <c r="R82">
        <f>IF(K82="","",SUMPRODUCT(--($H$2:$H$501=K82))&gt;0)</f>
        <v/>
      </c>
      <c r="S82">
        <f>IF(K82="","",IF(AND(Q82,R82),IF(O82=P82,"Match","Qty Different"),IF(Q82,"Only in List 1","Only in List 2")))</f>
        <v/>
      </c>
      <c r="T82">
        <f>IF(K82="","",IF(ISNUMBER(--L82),TEXT(--L82,"000000000000.000"),LOWER(L82)))</f>
        <v/>
      </c>
      <c r="U82">
        <f>IF(K82="","",IF(ISNUMBER(--M82),TEXT(--M82,"000000000000.000"),LOWER(M82)))</f>
        <v/>
      </c>
      <c r="V82">
        <f>IF(K82="","",LOWER(N82))</f>
        <v/>
      </c>
      <c r="W82">
        <f>IF(K82="","",B82)</f>
        <v/>
      </c>
      <c r="X82">
        <f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>
      <c r="A83">
        <f>IF(TRIM('List 1'!A83&amp;'List 1'!C83&amp;'List 1'!D83)="","",LOWER(TRIM('List 1'!A83)&amp;"|"&amp;TRIM('List 1'!C83)&amp;"|"&amp;TRIM('List 1'!D83)))</f>
        <v/>
      </c>
      <c r="B83">
        <f>IF(A83="","",SUMPRODUCT(--($A$2:A83=A83)))</f>
        <v/>
      </c>
      <c r="C83">
        <f>IF(A83="","",A83&amp;"#"&amp;B83)</f>
        <v/>
      </c>
      <c r="D83">
        <f>IF(A83="","",IFERROR(--'List 1'!B83,0))</f>
        <v/>
      </c>
      <c r="F83">
        <f>IF(TRIM('List 2'!A83&amp;'List 2'!C83&amp;'List 2'!D83)="","",LOWER(TRIM('List 2'!A83)&amp;"|"&amp;TRIM('List 2'!C83)&amp;"|"&amp;TRIM('List 2'!D83)))</f>
        <v/>
      </c>
      <c r="G83">
        <f>IF(F83="","",SUMPRODUCT(--($F$2:F83=F83)))</f>
        <v/>
      </c>
      <c r="H83">
        <f>IF(F83="","",F83&amp;"#"&amp;G83)</f>
        <v/>
      </c>
      <c r="I83">
        <f>IF(F83="","",IFERROR(--'List 2'!B83,0))</f>
        <v/>
      </c>
      <c r="K83">
        <f>C83</f>
        <v/>
      </c>
      <c r="L83">
        <f>IF(K83="","",IF(ISNUMBER('List 1'!A83),'List 1'!A83,TRIM('List 1'!A83)))</f>
        <v/>
      </c>
      <c r="M83">
        <f>IF(K83="","",IF(ISNUMBER('List 1'!C83),'List 1'!C83,TRIM('List 1'!C83)))</f>
        <v/>
      </c>
      <c r="N83">
        <f>IF(K83="","",IF(ISNUMBER('List 1'!D83),'List 1'!D83,TRIM('List 1'!D83)))</f>
        <v/>
      </c>
      <c r="O83">
        <f>IF(K83="","",D83)</f>
        <v/>
      </c>
      <c r="P83">
        <f>IF(K83="","",IF(R83,SUMPRODUCT(--($H$2:$H$501=K83),$I$2:$I$501),0))</f>
        <v/>
      </c>
      <c r="Q83">
        <f>IF(K83="","",TRUE)</f>
        <v/>
      </c>
      <c r="R83">
        <f>IF(K83="","",SUMPRODUCT(--($H$2:$H$501=K83))&gt;0)</f>
        <v/>
      </c>
      <c r="S83">
        <f>IF(K83="","",IF(AND(Q83,R83),IF(O83=P83,"Match","Qty Different"),IF(Q83,"Only in List 1","Only in List 2")))</f>
        <v/>
      </c>
      <c r="T83">
        <f>IF(K83="","",IF(ISNUMBER(--L83),TEXT(--L83,"000000000000.000"),LOWER(L83)))</f>
        <v/>
      </c>
      <c r="U83">
        <f>IF(K83="","",IF(ISNUMBER(--M83),TEXT(--M83,"000000000000.000"),LOWER(M83)))</f>
        <v/>
      </c>
      <c r="V83">
        <f>IF(K83="","",LOWER(N83))</f>
        <v/>
      </c>
      <c r="W83">
        <f>IF(K83="","",B83)</f>
        <v/>
      </c>
      <c r="X83">
        <f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>
      <c r="A84">
        <f>IF(TRIM('List 1'!A84&amp;'List 1'!C84&amp;'List 1'!D84)="","",LOWER(TRIM('List 1'!A84)&amp;"|"&amp;TRIM('List 1'!C84)&amp;"|"&amp;TRIM('List 1'!D84)))</f>
        <v/>
      </c>
      <c r="B84">
        <f>IF(A84="","",SUMPRODUCT(--($A$2:A84=A84)))</f>
        <v/>
      </c>
      <c r="C84">
        <f>IF(A84="","",A84&amp;"#"&amp;B84)</f>
        <v/>
      </c>
      <c r="D84">
        <f>IF(A84="","",IFERROR(--'List 1'!B84,0))</f>
        <v/>
      </c>
      <c r="F84">
        <f>IF(TRIM('List 2'!A84&amp;'List 2'!C84&amp;'List 2'!D84)="","",LOWER(TRIM('List 2'!A84)&amp;"|"&amp;TRIM('List 2'!C84)&amp;"|"&amp;TRIM('List 2'!D84)))</f>
        <v/>
      </c>
      <c r="G84">
        <f>IF(F84="","",SUMPRODUCT(--($F$2:F84=F84)))</f>
        <v/>
      </c>
      <c r="H84">
        <f>IF(F84="","",F84&amp;"#"&amp;G84)</f>
        <v/>
      </c>
      <c r="I84">
        <f>IF(F84="","",IFERROR(--'List 2'!B84,0))</f>
        <v/>
      </c>
      <c r="K84">
        <f>C84</f>
        <v/>
      </c>
      <c r="L84">
        <f>IF(K84="","",IF(ISNUMBER('List 1'!A84),'List 1'!A84,TRIM('List 1'!A84)))</f>
        <v/>
      </c>
      <c r="M84">
        <f>IF(K84="","",IF(ISNUMBER('List 1'!C84),'List 1'!C84,TRIM('List 1'!C84)))</f>
        <v/>
      </c>
      <c r="N84">
        <f>IF(K84="","",IF(ISNUMBER('List 1'!D84),'List 1'!D84,TRIM('List 1'!D84)))</f>
        <v/>
      </c>
      <c r="O84">
        <f>IF(K84="","",D84)</f>
        <v/>
      </c>
      <c r="P84">
        <f>IF(K84="","",IF(R84,SUMPRODUCT(--($H$2:$H$501=K84),$I$2:$I$501),0))</f>
        <v/>
      </c>
      <c r="Q84">
        <f>IF(K84="","",TRUE)</f>
        <v/>
      </c>
      <c r="R84">
        <f>IF(K84="","",SUMPRODUCT(--($H$2:$H$501=K84))&gt;0)</f>
        <v/>
      </c>
      <c r="S84">
        <f>IF(K84="","",IF(AND(Q84,R84),IF(O84=P84,"Match","Qty Different"),IF(Q84,"Only in List 1","Only in List 2")))</f>
        <v/>
      </c>
      <c r="T84">
        <f>IF(K84="","",IF(ISNUMBER(--L84),TEXT(--L84,"000000000000.000"),LOWER(L84)))</f>
        <v/>
      </c>
      <c r="U84">
        <f>IF(K84="","",IF(ISNUMBER(--M84),TEXT(--M84,"000000000000.000"),LOWER(M84)))</f>
        <v/>
      </c>
      <c r="V84">
        <f>IF(K84="","",LOWER(N84))</f>
        <v/>
      </c>
      <c r="W84">
        <f>IF(K84="","",B84)</f>
        <v/>
      </c>
      <c r="X84">
        <f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>
      <c r="A85">
        <f>IF(TRIM('List 1'!A85&amp;'List 1'!C85&amp;'List 1'!D85)="","",LOWER(TRIM('List 1'!A85)&amp;"|"&amp;TRIM('List 1'!C85)&amp;"|"&amp;TRIM('List 1'!D85)))</f>
        <v/>
      </c>
      <c r="B85">
        <f>IF(A85="","",SUMPRODUCT(--($A$2:A85=A85)))</f>
        <v/>
      </c>
      <c r="C85">
        <f>IF(A85="","",A85&amp;"#"&amp;B85)</f>
        <v/>
      </c>
      <c r="D85">
        <f>IF(A85="","",IFERROR(--'List 1'!B85,0))</f>
        <v/>
      </c>
      <c r="F85">
        <f>IF(TRIM('List 2'!A85&amp;'List 2'!C85&amp;'List 2'!D85)="","",LOWER(TRIM('List 2'!A85)&amp;"|"&amp;TRIM('List 2'!C85)&amp;"|"&amp;TRIM('List 2'!D85)))</f>
        <v/>
      </c>
      <c r="G85">
        <f>IF(F85="","",SUMPRODUCT(--($F$2:F85=F85)))</f>
        <v/>
      </c>
      <c r="H85">
        <f>IF(F85="","",F85&amp;"#"&amp;G85)</f>
        <v/>
      </c>
      <c r="I85">
        <f>IF(F85="","",IFERROR(--'List 2'!B85,0))</f>
        <v/>
      </c>
      <c r="K85">
        <f>C85</f>
        <v/>
      </c>
      <c r="L85">
        <f>IF(K85="","",IF(ISNUMBER('List 1'!A85),'List 1'!A85,TRIM('List 1'!A85)))</f>
        <v/>
      </c>
      <c r="M85">
        <f>IF(K85="","",IF(ISNUMBER('List 1'!C85),'List 1'!C85,TRIM('List 1'!C85)))</f>
        <v/>
      </c>
      <c r="N85">
        <f>IF(K85="","",IF(ISNUMBER('List 1'!D85),'List 1'!D85,TRIM('List 1'!D85)))</f>
        <v/>
      </c>
      <c r="O85">
        <f>IF(K85="","",D85)</f>
        <v/>
      </c>
      <c r="P85">
        <f>IF(K85="","",IF(R85,SUMPRODUCT(--($H$2:$H$501=K85),$I$2:$I$501),0))</f>
        <v/>
      </c>
      <c r="Q85">
        <f>IF(K85="","",TRUE)</f>
        <v/>
      </c>
      <c r="R85">
        <f>IF(K85="","",SUMPRODUCT(--($H$2:$H$501=K85))&gt;0)</f>
        <v/>
      </c>
      <c r="S85">
        <f>IF(K85="","",IF(AND(Q85,R85),IF(O85=P85,"Match","Qty Different"),IF(Q85,"Only in List 1","Only in List 2")))</f>
        <v/>
      </c>
      <c r="T85">
        <f>IF(K85="","",IF(ISNUMBER(--L85),TEXT(--L85,"000000000000.000"),LOWER(L85)))</f>
        <v/>
      </c>
      <c r="U85">
        <f>IF(K85="","",IF(ISNUMBER(--M85),TEXT(--M85,"000000000000.000"),LOWER(M85)))</f>
        <v/>
      </c>
      <c r="V85">
        <f>IF(K85="","",LOWER(N85))</f>
        <v/>
      </c>
      <c r="W85">
        <f>IF(K85="","",B85)</f>
        <v/>
      </c>
      <c r="X85">
        <f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>
      <c r="A86">
        <f>IF(TRIM('List 1'!A86&amp;'List 1'!C86&amp;'List 1'!D86)="","",LOWER(TRIM('List 1'!A86)&amp;"|"&amp;TRIM('List 1'!C86)&amp;"|"&amp;TRIM('List 1'!D86)))</f>
        <v/>
      </c>
      <c r="B86">
        <f>IF(A86="","",SUMPRODUCT(--($A$2:A86=A86)))</f>
        <v/>
      </c>
      <c r="C86">
        <f>IF(A86="","",A86&amp;"#"&amp;B86)</f>
        <v/>
      </c>
      <c r="D86">
        <f>IF(A86="","",IFERROR(--'List 1'!B86,0))</f>
        <v/>
      </c>
      <c r="F86">
        <f>IF(TRIM('List 2'!A86&amp;'List 2'!C86&amp;'List 2'!D86)="","",LOWER(TRIM('List 2'!A86)&amp;"|"&amp;TRIM('List 2'!C86)&amp;"|"&amp;TRIM('List 2'!D86)))</f>
        <v/>
      </c>
      <c r="G86">
        <f>IF(F86="","",SUMPRODUCT(--($F$2:F86=F86)))</f>
        <v/>
      </c>
      <c r="H86">
        <f>IF(F86="","",F86&amp;"#"&amp;G86)</f>
        <v/>
      </c>
      <c r="I86">
        <f>IF(F86="","",IFERROR(--'List 2'!B86,0))</f>
        <v/>
      </c>
      <c r="K86">
        <f>C86</f>
        <v/>
      </c>
      <c r="L86">
        <f>IF(K86="","",IF(ISNUMBER('List 1'!A86),'List 1'!A86,TRIM('List 1'!A86)))</f>
        <v/>
      </c>
      <c r="M86">
        <f>IF(K86="","",IF(ISNUMBER('List 1'!C86),'List 1'!C86,TRIM('List 1'!C86)))</f>
        <v/>
      </c>
      <c r="N86">
        <f>IF(K86="","",IF(ISNUMBER('List 1'!D86),'List 1'!D86,TRIM('List 1'!D86)))</f>
        <v/>
      </c>
      <c r="O86">
        <f>IF(K86="","",D86)</f>
        <v/>
      </c>
      <c r="P86">
        <f>IF(K86="","",IF(R86,SUMPRODUCT(--($H$2:$H$501=K86),$I$2:$I$501),0))</f>
        <v/>
      </c>
      <c r="Q86">
        <f>IF(K86="","",TRUE)</f>
        <v/>
      </c>
      <c r="R86">
        <f>IF(K86="","",SUMPRODUCT(--($H$2:$H$501=K86))&gt;0)</f>
        <v/>
      </c>
      <c r="S86">
        <f>IF(K86="","",IF(AND(Q86,R86),IF(O86=P86,"Match","Qty Different"),IF(Q86,"Only in List 1","Only in List 2")))</f>
        <v/>
      </c>
      <c r="T86">
        <f>IF(K86="","",IF(ISNUMBER(--L86),TEXT(--L86,"000000000000.000"),LOWER(L86)))</f>
        <v/>
      </c>
      <c r="U86">
        <f>IF(K86="","",IF(ISNUMBER(--M86),TEXT(--M86,"000000000000.000"),LOWER(M86)))</f>
        <v/>
      </c>
      <c r="V86">
        <f>IF(K86="","",LOWER(N86))</f>
        <v/>
      </c>
      <c r="W86">
        <f>IF(K86="","",B86)</f>
        <v/>
      </c>
      <c r="X86">
        <f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>
      <c r="A87">
        <f>IF(TRIM('List 1'!A87&amp;'List 1'!C87&amp;'List 1'!D87)="","",LOWER(TRIM('List 1'!A87)&amp;"|"&amp;TRIM('List 1'!C87)&amp;"|"&amp;TRIM('List 1'!D87)))</f>
        <v/>
      </c>
      <c r="B87">
        <f>IF(A87="","",SUMPRODUCT(--($A$2:A87=A87)))</f>
        <v/>
      </c>
      <c r="C87">
        <f>IF(A87="","",A87&amp;"#"&amp;B87)</f>
        <v/>
      </c>
      <c r="D87">
        <f>IF(A87="","",IFERROR(--'List 1'!B87,0))</f>
        <v/>
      </c>
      <c r="F87">
        <f>IF(TRIM('List 2'!A87&amp;'List 2'!C87&amp;'List 2'!D87)="","",LOWER(TRIM('List 2'!A87)&amp;"|"&amp;TRIM('List 2'!C87)&amp;"|"&amp;TRIM('List 2'!D87)))</f>
        <v/>
      </c>
      <c r="G87">
        <f>IF(F87="","",SUMPRODUCT(--($F$2:F87=F87)))</f>
        <v/>
      </c>
      <c r="H87">
        <f>IF(F87="","",F87&amp;"#"&amp;G87)</f>
        <v/>
      </c>
      <c r="I87">
        <f>IF(F87="","",IFERROR(--'List 2'!B87,0))</f>
        <v/>
      </c>
      <c r="K87">
        <f>C87</f>
        <v/>
      </c>
      <c r="L87">
        <f>IF(K87="","",IF(ISNUMBER('List 1'!A87),'List 1'!A87,TRIM('List 1'!A87)))</f>
        <v/>
      </c>
      <c r="M87">
        <f>IF(K87="","",IF(ISNUMBER('List 1'!C87),'List 1'!C87,TRIM('List 1'!C87)))</f>
        <v/>
      </c>
      <c r="N87">
        <f>IF(K87="","",IF(ISNUMBER('List 1'!D87),'List 1'!D87,TRIM('List 1'!D87)))</f>
        <v/>
      </c>
      <c r="O87">
        <f>IF(K87="","",D87)</f>
        <v/>
      </c>
      <c r="P87">
        <f>IF(K87="","",IF(R87,SUMPRODUCT(--($H$2:$H$501=K87),$I$2:$I$501),0))</f>
        <v/>
      </c>
      <c r="Q87">
        <f>IF(K87="","",TRUE)</f>
        <v/>
      </c>
      <c r="R87">
        <f>IF(K87="","",SUMPRODUCT(--($H$2:$H$501=K87))&gt;0)</f>
        <v/>
      </c>
      <c r="S87">
        <f>IF(K87="","",IF(AND(Q87,R87),IF(O87=P87,"Match","Qty Different"),IF(Q87,"Only in List 1","Only in List 2")))</f>
        <v/>
      </c>
      <c r="T87">
        <f>IF(K87="","",IF(ISNUMBER(--L87),TEXT(--L87,"000000000000.000"),LOWER(L87)))</f>
        <v/>
      </c>
      <c r="U87">
        <f>IF(K87="","",IF(ISNUMBER(--M87),TEXT(--M87,"000000000000.000"),LOWER(M87)))</f>
        <v/>
      </c>
      <c r="V87">
        <f>IF(K87="","",LOWER(N87))</f>
        <v/>
      </c>
      <c r="W87">
        <f>IF(K87="","",B87)</f>
        <v/>
      </c>
      <c r="X87">
        <f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>
      <c r="A88">
        <f>IF(TRIM('List 1'!A88&amp;'List 1'!C88&amp;'List 1'!D88)="","",LOWER(TRIM('List 1'!A88)&amp;"|"&amp;TRIM('List 1'!C88)&amp;"|"&amp;TRIM('List 1'!D88)))</f>
        <v/>
      </c>
      <c r="B88">
        <f>IF(A88="","",SUMPRODUCT(--($A$2:A88=A88)))</f>
        <v/>
      </c>
      <c r="C88">
        <f>IF(A88="","",A88&amp;"#"&amp;B88)</f>
        <v/>
      </c>
      <c r="D88">
        <f>IF(A88="","",IFERROR(--'List 1'!B88,0))</f>
        <v/>
      </c>
      <c r="F88">
        <f>IF(TRIM('List 2'!A88&amp;'List 2'!C88&amp;'List 2'!D88)="","",LOWER(TRIM('List 2'!A88)&amp;"|"&amp;TRIM('List 2'!C88)&amp;"|"&amp;TRIM('List 2'!D88)))</f>
        <v/>
      </c>
      <c r="G88">
        <f>IF(F88="","",SUMPRODUCT(--($F$2:F88=F88)))</f>
        <v/>
      </c>
      <c r="H88">
        <f>IF(F88="","",F88&amp;"#"&amp;G88)</f>
        <v/>
      </c>
      <c r="I88">
        <f>IF(F88="","",IFERROR(--'List 2'!B88,0))</f>
        <v/>
      </c>
      <c r="K88">
        <f>C88</f>
        <v/>
      </c>
      <c r="L88">
        <f>IF(K88="","",IF(ISNUMBER('List 1'!A88),'List 1'!A88,TRIM('List 1'!A88)))</f>
        <v/>
      </c>
      <c r="M88">
        <f>IF(K88="","",IF(ISNUMBER('List 1'!C88),'List 1'!C88,TRIM('List 1'!C88)))</f>
        <v/>
      </c>
      <c r="N88">
        <f>IF(K88="","",IF(ISNUMBER('List 1'!D88),'List 1'!D88,TRIM('List 1'!D88)))</f>
        <v/>
      </c>
      <c r="O88">
        <f>IF(K88="","",D88)</f>
        <v/>
      </c>
      <c r="P88">
        <f>IF(K88="","",IF(R88,SUMPRODUCT(--($H$2:$H$501=K88),$I$2:$I$501),0))</f>
        <v/>
      </c>
      <c r="Q88">
        <f>IF(K88="","",TRUE)</f>
        <v/>
      </c>
      <c r="R88">
        <f>IF(K88="","",SUMPRODUCT(--($H$2:$H$501=K88))&gt;0)</f>
        <v/>
      </c>
      <c r="S88">
        <f>IF(K88="","",IF(AND(Q88,R88),IF(O88=P88,"Match","Qty Different"),IF(Q88,"Only in List 1","Only in List 2")))</f>
        <v/>
      </c>
      <c r="T88">
        <f>IF(K88="","",IF(ISNUMBER(--L88),TEXT(--L88,"000000000000.000"),LOWER(L88)))</f>
        <v/>
      </c>
      <c r="U88">
        <f>IF(K88="","",IF(ISNUMBER(--M88),TEXT(--M88,"000000000000.000"),LOWER(M88)))</f>
        <v/>
      </c>
      <c r="V88">
        <f>IF(K88="","",LOWER(N88))</f>
        <v/>
      </c>
      <c r="W88">
        <f>IF(K88="","",B88)</f>
        <v/>
      </c>
      <c r="X88">
        <f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>
      <c r="A89">
        <f>IF(TRIM('List 1'!A89&amp;'List 1'!C89&amp;'List 1'!D89)="","",LOWER(TRIM('List 1'!A89)&amp;"|"&amp;TRIM('List 1'!C89)&amp;"|"&amp;TRIM('List 1'!D89)))</f>
        <v/>
      </c>
      <c r="B89">
        <f>IF(A89="","",SUMPRODUCT(--($A$2:A89=A89)))</f>
        <v/>
      </c>
      <c r="C89">
        <f>IF(A89="","",A89&amp;"#"&amp;B89)</f>
        <v/>
      </c>
      <c r="D89">
        <f>IF(A89="","",IFERROR(--'List 1'!B89,0))</f>
        <v/>
      </c>
      <c r="F89">
        <f>IF(TRIM('List 2'!A89&amp;'List 2'!C89&amp;'List 2'!D89)="","",LOWER(TRIM('List 2'!A89)&amp;"|"&amp;TRIM('List 2'!C89)&amp;"|"&amp;TRIM('List 2'!D89)))</f>
        <v/>
      </c>
      <c r="G89">
        <f>IF(F89="","",SUMPRODUCT(--($F$2:F89=F89)))</f>
        <v/>
      </c>
      <c r="H89">
        <f>IF(F89="","",F89&amp;"#"&amp;G89)</f>
        <v/>
      </c>
      <c r="I89">
        <f>IF(F89="","",IFERROR(--'List 2'!B89,0))</f>
        <v/>
      </c>
      <c r="K89">
        <f>C89</f>
        <v/>
      </c>
      <c r="L89">
        <f>IF(K89="","",IF(ISNUMBER('List 1'!A89),'List 1'!A89,TRIM('List 1'!A89)))</f>
        <v/>
      </c>
      <c r="M89">
        <f>IF(K89="","",IF(ISNUMBER('List 1'!C89),'List 1'!C89,TRIM('List 1'!C89)))</f>
        <v/>
      </c>
      <c r="N89">
        <f>IF(K89="","",IF(ISNUMBER('List 1'!D89),'List 1'!D89,TRIM('List 1'!D89)))</f>
        <v/>
      </c>
      <c r="O89">
        <f>IF(K89="","",D89)</f>
        <v/>
      </c>
      <c r="P89">
        <f>IF(K89="","",IF(R89,SUMPRODUCT(--($H$2:$H$501=K89),$I$2:$I$501),0))</f>
        <v/>
      </c>
      <c r="Q89">
        <f>IF(K89="","",TRUE)</f>
        <v/>
      </c>
      <c r="R89">
        <f>IF(K89="","",SUMPRODUCT(--($H$2:$H$501=K89))&gt;0)</f>
        <v/>
      </c>
      <c r="S89">
        <f>IF(K89="","",IF(AND(Q89,R89),IF(O89=P89,"Match","Qty Different"),IF(Q89,"Only in List 1","Only in List 2")))</f>
        <v/>
      </c>
      <c r="T89">
        <f>IF(K89="","",IF(ISNUMBER(--L89),TEXT(--L89,"000000000000.000"),LOWER(L89)))</f>
        <v/>
      </c>
      <c r="U89">
        <f>IF(K89="","",IF(ISNUMBER(--M89),TEXT(--M89,"000000000000.000"),LOWER(M89)))</f>
        <v/>
      </c>
      <c r="V89">
        <f>IF(K89="","",LOWER(N89))</f>
        <v/>
      </c>
      <c r="W89">
        <f>IF(K89="","",B89)</f>
        <v/>
      </c>
      <c r="X89">
        <f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>
      <c r="A90">
        <f>IF(TRIM('List 1'!A90&amp;'List 1'!C90&amp;'List 1'!D90)="","",LOWER(TRIM('List 1'!A90)&amp;"|"&amp;TRIM('List 1'!C90)&amp;"|"&amp;TRIM('List 1'!D90)))</f>
        <v/>
      </c>
      <c r="B90">
        <f>IF(A90="","",SUMPRODUCT(--($A$2:A90=A90)))</f>
        <v/>
      </c>
      <c r="C90">
        <f>IF(A90="","",A90&amp;"#"&amp;B90)</f>
        <v/>
      </c>
      <c r="D90">
        <f>IF(A90="","",IFERROR(--'List 1'!B90,0))</f>
        <v/>
      </c>
      <c r="F90">
        <f>IF(TRIM('List 2'!A90&amp;'List 2'!C90&amp;'List 2'!D90)="","",LOWER(TRIM('List 2'!A90)&amp;"|"&amp;TRIM('List 2'!C90)&amp;"|"&amp;TRIM('List 2'!D90)))</f>
        <v/>
      </c>
      <c r="G90">
        <f>IF(F90="","",SUMPRODUCT(--($F$2:F90=F90)))</f>
        <v/>
      </c>
      <c r="H90">
        <f>IF(F90="","",F90&amp;"#"&amp;G90)</f>
        <v/>
      </c>
      <c r="I90">
        <f>IF(F90="","",IFERROR(--'List 2'!B90,0))</f>
        <v/>
      </c>
      <c r="K90">
        <f>C90</f>
        <v/>
      </c>
      <c r="L90">
        <f>IF(K90="","",IF(ISNUMBER('List 1'!A90),'List 1'!A90,TRIM('List 1'!A90)))</f>
        <v/>
      </c>
      <c r="M90">
        <f>IF(K90="","",IF(ISNUMBER('List 1'!C90),'List 1'!C90,TRIM('List 1'!C90)))</f>
        <v/>
      </c>
      <c r="N90">
        <f>IF(K90="","",IF(ISNUMBER('List 1'!D90),'List 1'!D90,TRIM('List 1'!D90)))</f>
        <v/>
      </c>
      <c r="O90">
        <f>IF(K90="","",D90)</f>
        <v/>
      </c>
      <c r="P90">
        <f>IF(K90="","",IF(R90,SUMPRODUCT(--($H$2:$H$501=K90),$I$2:$I$501),0))</f>
        <v/>
      </c>
      <c r="Q90">
        <f>IF(K90="","",TRUE)</f>
        <v/>
      </c>
      <c r="R90">
        <f>IF(K90="","",SUMPRODUCT(--($H$2:$H$501=K90))&gt;0)</f>
        <v/>
      </c>
      <c r="S90">
        <f>IF(K90="","",IF(AND(Q90,R90),IF(O90=P90,"Match","Qty Different"),IF(Q90,"Only in List 1","Only in List 2")))</f>
        <v/>
      </c>
      <c r="T90">
        <f>IF(K90="","",IF(ISNUMBER(--L90),TEXT(--L90,"000000000000.000"),LOWER(L90)))</f>
        <v/>
      </c>
      <c r="U90">
        <f>IF(K90="","",IF(ISNUMBER(--M90),TEXT(--M90,"000000000000.000"),LOWER(M90)))</f>
        <v/>
      </c>
      <c r="V90">
        <f>IF(K90="","",LOWER(N90))</f>
        <v/>
      </c>
      <c r="W90">
        <f>IF(K90="","",B90)</f>
        <v/>
      </c>
      <c r="X90">
        <f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>
      <c r="A91">
        <f>IF(TRIM('List 1'!A91&amp;'List 1'!C91&amp;'List 1'!D91)="","",LOWER(TRIM('List 1'!A91)&amp;"|"&amp;TRIM('List 1'!C91)&amp;"|"&amp;TRIM('List 1'!D91)))</f>
        <v/>
      </c>
      <c r="B91">
        <f>IF(A91="","",SUMPRODUCT(--($A$2:A91=A91)))</f>
        <v/>
      </c>
      <c r="C91">
        <f>IF(A91="","",A91&amp;"#"&amp;B91)</f>
        <v/>
      </c>
      <c r="D91">
        <f>IF(A91="","",IFERROR(--'List 1'!B91,0))</f>
        <v/>
      </c>
      <c r="F91">
        <f>IF(TRIM('List 2'!A91&amp;'List 2'!C91&amp;'List 2'!D91)="","",LOWER(TRIM('List 2'!A91)&amp;"|"&amp;TRIM('List 2'!C91)&amp;"|"&amp;TRIM('List 2'!D91)))</f>
        <v/>
      </c>
      <c r="G91">
        <f>IF(F91="","",SUMPRODUCT(--($F$2:F91=F91)))</f>
        <v/>
      </c>
      <c r="H91">
        <f>IF(F91="","",F91&amp;"#"&amp;G91)</f>
        <v/>
      </c>
      <c r="I91">
        <f>IF(F91="","",IFERROR(--'List 2'!B91,0))</f>
        <v/>
      </c>
      <c r="K91">
        <f>C91</f>
        <v/>
      </c>
      <c r="L91">
        <f>IF(K91="","",IF(ISNUMBER('List 1'!A91),'List 1'!A91,TRIM('List 1'!A91)))</f>
        <v/>
      </c>
      <c r="M91">
        <f>IF(K91="","",IF(ISNUMBER('List 1'!C91),'List 1'!C91,TRIM('List 1'!C91)))</f>
        <v/>
      </c>
      <c r="N91">
        <f>IF(K91="","",IF(ISNUMBER('List 1'!D91),'List 1'!D91,TRIM('List 1'!D91)))</f>
        <v/>
      </c>
      <c r="O91">
        <f>IF(K91="","",D91)</f>
        <v/>
      </c>
      <c r="P91">
        <f>IF(K91="","",IF(R91,SUMPRODUCT(--($H$2:$H$501=K91),$I$2:$I$501),0))</f>
        <v/>
      </c>
      <c r="Q91">
        <f>IF(K91="","",TRUE)</f>
        <v/>
      </c>
      <c r="R91">
        <f>IF(K91="","",SUMPRODUCT(--($H$2:$H$501=K91))&gt;0)</f>
        <v/>
      </c>
      <c r="S91">
        <f>IF(K91="","",IF(AND(Q91,R91),IF(O91=P91,"Match","Qty Different"),IF(Q91,"Only in List 1","Only in List 2")))</f>
        <v/>
      </c>
      <c r="T91">
        <f>IF(K91="","",IF(ISNUMBER(--L91),TEXT(--L91,"000000000000.000"),LOWER(L91)))</f>
        <v/>
      </c>
      <c r="U91">
        <f>IF(K91="","",IF(ISNUMBER(--M91),TEXT(--M91,"000000000000.000"),LOWER(M91)))</f>
        <v/>
      </c>
      <c r="V91">
        <f>IF(K91="","",LOWER(N91))</f>
        <v/>
      </c>
      <c r="W91">
        <f>IF(K91="","",B91)</f>
        <v/>
      </c>
      <c r="X91">
        <f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>
      <c r="A92">
        <f>IF(TRIM('List 1'!A92&amp;'List 1'!C92&amp;'List 1'!D92)="","",LOWER(TRIM('List 1'!A92)&amp;"|"&amp;TRIM('List 1'!C92)&amp;"|"&amp;TRIM('List 1'!D92)))</f>
        <v/>
      </c>
      <c r="B92">
        <f>IF(A92="","",SUMPRODUCT(--($A$2:A92=A92)))</f>
        <v/>
      </c>
      <c r="C92">
        <f>IF(A92="","",A92&amp;"#"&amp;B92)</f>
        <v/>
      </c>
      <c r="D92">
        <f>IF(A92="","",IFERROR(--'List 1'!B92,0))</f>
        <v/>
      </c>
      <c r="F92">
        <f>IF(TRIM('List 2'!A92&amp;'List 2'!C92&amp;'List 2'!D92)="","",LOWER(TRIM('List 2'!A92)&amp;"|"&amp;TRIM('List 2'!C92)&amp;"|"&amp;TRIM('List 2'!D92)))</f>
        <v/>
      </c>
      <c r="G92">
        <f>IF(F92="","",SUMPRODUCT(--($F$2:F92=F92)))</f>
        <v/>
      </c>
      <c r="H92">
        <f>IF(F92="","",F92&amp;"#"&amp;G92)</f>
        <v/>
      </c>
      <c r="I92">
        <f>IF(F92="","",IFERROR(--'List 2'!B92,0))</f>
        <v/>
      </c>
      <c r="K92">
        <f>C92</f>
        <v/>
      </c>
      <c r="L92">
        <f>IF(K92="","",IF(ISNUMBER('List 1'!A92),'List 1'!A92,TRIM('List 1'!A92)))</f>
        <v/>
      </c>
      <c r="M92">
        <f>IF(K92="","",IF(ISNUMBER('List 1'!C92),'List 1'!C92,TRIM('List 1'!C92)))</f>
        <v/>
      </c>
      <c r="N92">
        <f>IF(K92="","",IF(ISNUMBER('List 1'!D92),'List 1'!D92,TRIM('List 1'!D92)))</f>
        <v/>
      </c>
      <c r="O92">
        <f>IF(K92="","",D92)</f>
        <v/>
      </c>
      <c r="P92">
        <f>IF(K92="","",IF(R92,SUMPRODUCT(--($H$2:$H$501=K92),$I$2:$I$501),0))</f>
        <v/>
      </c>
      <c r="Q92">
        <f>IF(K92="","",TRUE)</f>
        <v/>
      </c>
      <c r="R92">
        <f>IF(K92="","",SUMPRODUCT(--($H$2:$H$501=K92))&gt;0)</f>
        <v/>
      </c>
      <c r="S92">
        <f>IF(K92="","",IF(AND(Q92,R92),IF(O92=P92,"Match","Qty Different"),IF(Q92,"Only in List 1","Only in List 2")))</f>
        <v/>
      </c>
      <c r="T92">
        <f>IF(K92="","",IF(ISNUMBER(--L92),TEXT(--L92,"000000000000.000"),LOWER(L92)))</f>
        <v/>
      </c>
      <c r="U92">
        <f>IF(K92="","",IF(ISNUMBER(--M92),TEXT(--M92,"000000000000.000"),LOWER(M92)))</f>
        <v/>
      </c>
      <c r="V92">
        <f>IF(K92="","",LOWER(N92))</f>
        <v/>
      </c>
      <c r="W92">
        <f>IF(K92="","",B92)</f>
        <v/>
      </c>
      <c r="X92">
        <f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>
      <c r="A93">
        <f>IF(TRIM('List 1'!A93&amp;'List 1'!C93&amp;'List 1'!D93)="","",LOWER(TRIM('List 1'!A93)&amp;"|"&amp;TRIM('List 1'!C93)&amp;"|"&amp;TRIM('List 1'!D93)))</f>
        <v/>
      </c>
      <c r="B93">
        <f>IF(A93="","",SUMPRODUCT(--($A$2:A93=A93)))</f>
        <v/>
      </c>
      <c r="C93">
        <f>IF(A93="","",A93&amp;"#"&amp;B93)</f>
        <v/>
      </c>
      <c r="D93">
        <f>IF(A93="","",IFERROR(--'List 1'!B93,0))</f>
        <v/>
      </c>
      <c r="F93">
        <f>IF(TRIM('List 2'!A93&amp;'List 2'!C93&amp;'List 2'!D93)="","",LOWER(TRIM('List 2'!A93)&amp;"|"&amp;TRIM('List 2'!C93)&amp;"|"&amp;TRIM('List 2'!D93)))</f>
        <v/>
      </c>
      <c r="G93">
        <f>IF(F93="","",SUMPRODUCT(--($F$2:F93=F93)))</f>
        <v/>
      </c>
      <c r="H93">
        <f>IF(F93="","",F93&amp;"#"&amp;G93)</f>
        <v/>
      </c>
      <c r="I93">
        <f>IF(F93="","",IFERROR(--'List 2'!B93,0))</f>
        <v/>
      </c>
      <c r="K93">
        <f>C93</f>
        <v/>
      </c>
      <c r="L93">
        <f>IF(K93="","",IF(ISNUMBER('List 1'!A93),'List 1'!A93,TRIM('List 1'!A93)))</f>
        <v/>
      </c>
      <c r="M93">
        <f>IF(K93="","",IF(ISNUMBER('List 1'!C93),'List 1'!C93,TRIM('List 1'!C93)))</f>
        <v/>
      </c>
      <c r="N93">
        <f>IF(K93="","",IF(ISNUMBER('List 1'!D93),'List 1'!D93,TRIM('List 1'!D93)))</f>
        <v/>
      </c>
      <c r="O93">
        <f>IF(K93="","",D93)</f>
        <v/>
      </c>
      <c r="P93">
        <f>IF(K93="","",IF(R93,SUMPRODUCT(--($H$2:$H$501=K93),$I$2:$I$501),0))</f>
        <v/>
      </c>
      <c r="Q93">
        <f>IF(K93="","",TRUE)</f>
        <v/>
      </c>
      <c r="R93">
        <f>IF(K93="","",SUMPRODUCT(--($H$2:$H$501=K93))&gt;0)</f>
        <v/>
      </c>
      <c r="S93">
        <f>IF(K93="","",IF(AND(Q93,R93),IF(O93=P93,"Match","Qty Different"),IF(Q93,"Only in List 1","Only in List 2")))</f>
        <v/>
      </c>
      <c r="T93">
        <f>IF(K93="","",IF(ISNUMBER(--L93),TEXT(--L93,"000000000000.000"),LOWER(L93)))</f>
        <v/>
      </c>
      <c r="U93">
        <f>IF(K93="","",IF(ISNUMBER(--M93),TEXT(--M93,"000000000000.000"),LOWER(M93)))</f>
        <v/>
      </c>
      <c r="V93">
        <f>IF(K93="","",LOWER(N93))</f>
        <v/>
      </c>
      <c r="W93">
        <f>IF(K93="","",B93)</f>
        <v/>
      </c>
      <c r="X93">
        <f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>
      <c r="A94">
        <f>IF(TRIM('List 1'!A94&amp;'List 1'!C94&amp;'List 1'!D94)="","",LOWER(TRIM('List 1'!A94)&amp;"|"&amp;TRIM('List 1'!C94)&amp;"|"&amp;TRIM('List 1'!D94)))</f>
        <v/>
      </c>
      <c r="B94">
        <f>IF(A94="","",SUMPRODUCT(--($A$2:A94=A94)))</f>
        <v/>
      </c>
      <c r="C94">
        <f>IF(A94="","",A94&amp;"#"&amp;B94)</f>
        <v/>
      </c>
      <c r="D94">
        <f>IF(A94="","",IFERROR(--'List 1'!B94,0))</f>
        <v/>
      </c>
      <c r="F94">
        <f>IF(TRIM('List 2'!A94&amp;'List 2'!C94&amp;'List 2'!D94)="","",LOWER(TRIM('List 2'!A94)&amp;"|"&amp;TRIM('List 2'!C94)&amp;"|"&amp;TRIM('List 2'!D94)))</f>
        <v/>
      </c>
      <c r="G94">
        <f>IF(F94="","",SUMPRODUCT(--($F$2:F94=F94)))</f>
        <v/>
      </c>
      <c r="H94">
        <f>IF(F94="","",F94&amp;"#"&amp;G94)</f>
        <v/>
      </c>
      <c r="I94">
        <f>IF(F94="","",IFERROR(--'List 2'!B94,0))</f>
        <v/>
      </c>
      <c r="K94">
        <f>C94</f>
        <v/>
      </c>
      <c r="L94">
        <f>IF(K94="","",IF(ISNUMBER('List 1'!A94),'List 1'!A94,TRIM('List 1'!A94)))</f>
        <v/>
      </c>
      <c r="M94">
        <f>IF(K94="","",IF(ISNUMBER('List 1'!C94),'List 1'!C94,TRIM('List 1'!C94)))</f>
        <v/>
      </c>
      <c r="N94">
        <f>IF(K94="","",IF(ISNUMBER('List 1'!D94),'List 1'!D94,TRIM('List 1'!D94)))</f>
        <v/>
      </c>
      <c r="O94">
        <f>IF(K94="","",D94)</f>
        <v/>
      </c>
      <c r="P94">
        <f>IF(K94="","",IF(R94,SUMPRODUCT(--($H$2:$H$501=K94),$I$2:$I$501),0))</f>
        <v/>
      </c>
      <c r="Q94">
        <f>IF(K94="","",TRUE)</f>
        <v/>
      </c>
      <c r="R94">
        <f>IF(K94="","",SUMPRODUCT(--($H$2:$H$501=K94))&gt;0)</f>
        <v/>
      </c>
      <c r="S94">
        <f>IF(K94="","",IF(AND(Q94,R94),IF(O94=P94,"Match","Qty Different"),IF(Q94,"Only in List 1","Only in List 2")))</f>
        <v/>
      </c>
      <c r="T94">
        <f>IF(K94="","",IF(ISNUMBER(--L94),TEXT(--L94,"000000000000.000"),LOWER(L94)))</f>
        <v/>
      </c>
      <c r="U94">
        <f>IF(K94="","",IF(ISNUMBER(--M94),TEXT(--M94,"000000000000.000"),LOWER(M94)))</f>
        <v/>
      </c>
      <c r="V94">
        <f>IF(K94="","",LOWER(N94))</f>
        <v/>
      </c>
      <c r="W94">
        <f>IF(K94="","",B94)</f>
        <v/>
      </c>
      <c r="X94">
        <f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>
      <c r="A95">
        <f>IF(TRIM('List 1'!A95&amp;'List 1'!C95&amp;'List 1'!D95)="","",LOWER(TRIM('List 1'!A95)&amp;"|"&amp;TRIM('List 1'!C95)&amp;"|"&amp;TRIM('List 1'!D95)))</f>
        <v/>
      </c>
      <c r="B95">
        <f>IF(A95="","",SUMPRODUCT(--($A$2:A95=A95)))</f>
        <v/>
      </c>
      <c r="C95">
        <f>IF(A95="","",A95&amp;"#"&amp;B95)</f>
        <v/>
      </c>
      <c r="D95">
        <f>IF(A95="","",IFERROR(--'List 1'!B95,0))</f>
        <v/>
      </c>
      <c r="F95">
        <f>IF(TRIM('List 2'!A95&amp;'List 2'!C95&amp;'List 2'!D95)="","",LOWER(TRIM('List 2'!A95)&amp;"|"&amp;TRIM('List 2'!C95)&amp;"|"&amp;TRIM('List 2'!D95)))</f>
        <v/>
      </c>
      <c r="G95">
        <f>IF(F95="","",SUMPRODUCT(--($F$2:F95=F95)))</f>
        <v/>
      </c>
      <c r="H95">
        <f>IF(F95="","",F95&amp;"#"&amp;G95)</f>
        <v/>
      </c>
      <c r="I95">
        <f>IF(F95="","",IFERROR(--'List 2'!B95,0))</f>
        <v/>
      </c>
      <c r="K95">
        <f>C95</f>
        <v/>
      </c>
      <c r="L95">
        <f>IF(K95="","",IF(ISNUMBER('List 1'!A95),'List 1'!A95,TRIM('List 1'!A95)))</f>
        <v/>
      </c>
      <c r="M95">
        <f>IF(K95="","",IF(ISNUMBER('List 1'!C95),'List 1'!C95,TRIM('List 1'!C95)))</f>
        <v/>
      </c>
      <c r="N95">
        <f>IF(K95="","",IF(ISNUMBER('List 1'!D95),'List 1'!D95,TRIM('List 1'!D95)))</f>
        <v/>
      </c>
      <c r="O95">
        <f>IF(K95="","",D95)</f>
        <v/>
      </c>
      <c r="P95">
        <f>IF(K95="","",IF(R95,SUMPRODUCT(--($H$2:$H$501=K95),$I$2:$I$501),0))</f>
        <v/>
      </c>
      <c r="Q95">
        <f>IF(K95="","",TRUE)</f>
        <v/>
      </c>
      <c r="R95">
        <f>IF(K95="","",SUMPRODUCT(--($H$2:$H$501=K95))&gt;0)</f>
        <v/>
      </c>
      <c r="S95">
        <f>IF(K95="","",IF(AND(Q95,R95),IF(O95=P95,"Match","Qty Different"),IF(Q95,"Only in List 1","Only in List 2")))</f>
        <v/>
      </c>
      <c r="T95">
        <f>IF(K95="","",IF(ISNUMBER(--L95),TEXT(--L95,"000000000000.000"),LOWER(L95)))</f>
        <v/>
      </c>
      <c r="U95">
        <f>IF(K95="","",IF(ISNUMBER(--M95),TEXT(--M95,"000000000000.000"),LOWER(M95)))</f>
        <v/>
      </c>
      <c r="V95">
        <f>IF(K95="","",LOWER(N95))</f>
        <v/>
      </c>
      <c r="W95">
        <f>IF(K95="","",B95)</f>
        <v/>
      </c>
      <c r="X95">
        <f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>
      <c r="A96">
        <f>IF(TRIM('List 1'!A96&amp;'List 1'!C96&amp;'List 1'!D96)="","",LOWER(TRIM('List 1'!A96)&amp;"|"&amp;TRIM('List 1'!C96)&amp;"|"&amp;TRIM('List 1'!D96)))</f>
        <v/>
      </c>
      <c r="B96">
        <f>IF(A96="","",SUMPRODUCT(--($A$2:A96=A96)))</f>
        <v/>
      </c>
      <c r="C96">
        <f>IF(A96="","",A96&amp;"#"&amp;B96)</f>
        <v/>
      </c>
      <c r="D96">
        <f>IF(A96="","",IFERROR(--'List 1'!B96,0))</f>
        <v/>
      </c>
      <c r="F96">
        <f>IF(TRIM('List 2'!A96&amp;'List 2'!C96&amp;'List 2'!D96)="","",LOWER(TRIM('List 2'!A96)&amp;"|"&amp;TRIM('List 2'!C96)&amp;"|"&amp;TRIM('List 2'!D96)))</f>
        <v/>
      </c>
      <c r="G96">
        <f>IF(F96="","",SUMPRODUCT(--($F$2:F96=F96)))</f>
        <v/>
      </c>
      <c r="H96">
        <f>IF(F96="","",F96&amp;"#"&amp;G96)</f>
        <v/>
      </c>
      <c r="I96">
        <f>IF(F96="","",IFERROR(--'List 2'!B96,0))</f>
        <v/>
      </c>
      <c r="K96">
        <f>C96</f>
        <v/>
      </c>
      <c r="L96">
        <f>IF(K96="","",IF(ISNUMBER('List 1'!A96),'List 1'!A96,TRIM('List 1'!A96)))</f>
        <v/>
      </c>
      <c r="M96">
        <f>IF(K96="","",IF(ISNUMBER('List 1'!C96),'List 1'!C96,TRIM('List 1'!C96)))</f>
        <v/>
      </c>
      <c r="N96">
        <f>IF(K96="","",IF(ISNUMBER('List 1'!D96),'List 1'!D96,TRIM('List 1'!D96)))</f>
        <v/>
      </c>
      <c r="O96">
        <f>IF(K96="","",D96)</f>
        <v/>
      </c>
      <c r="P96">
        <f>IF(K96="","",IF(R96,SUMPRODUCT(--($H$2:$H$501=K96),$I$2:$I$501),0))</f>
        <v/>
      </c>
      <c r="Q96">
        <f>IF(K96="","",TRUE)</f>
        <v/>
      </c>
      <c r="R96">
        <f>IF(K96="","",SUMPRODUCT(--($H$2:$H$501=K96))&gt;0)</f>
        <v/>
      </c>
      <c r="S96">
        <f>IF(K96="","",IF(AND(Q96,R96),IF(O96=P96,"Match","Qty Different"),IF(Q96,"Only in List 1","Only in List 2")))</f>
        <v/>
      </c>
      <c r="T96">
        <f>IF(K96="","",IF(ISNUMBER(--L96),TEXT(--L96,"000000000000.000"),LOWER(L96)))</f>
        <v/>
      </c>
      <c r="U96">
        <f>IF(K96="","",IF(ISNUMBER(--M96),TEXT(--M96,"000000000000.000"),LOWER(M96)))</f>
        <v/>
      </c>
      <c r="V96">
        <f>IF(K96="","",LOWER(N96))</f>
        <v/>
      </c>
      <c r="W96">
        <f>IF(K96="","",B96)</f>
        <v/>
      </c>
      <c r="X96">
        <f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>
      <c r="A97">
        <f>IF(TRIM('List 1'!A97&amp;'List 1'!C97&amp;'List 1'!D97)="","",LOWER(TRIM('List 1'!A97)&amp;"|"&amp;TRIM('List 1'!C97)&amp;"|"&amp;TRIM('List 1'!D97)))</f>
        <v/>
      </c>
      <c r="B97">
        <f>IF(A97="","",SUMPRODUCT(--($A$2:A97=A97)))</f>
        <v/>
      </c>
      <c r="C97">
        <f>IF(A97="","",A97&amp;"#"&amp;B97)</f>
        <v/>
      </c>
      <c r="D97">
        <f>IF(A97="","",IFERROR(--'List 1'!B97,0))</f>
        <v/>
      </c>
      <c r="F97">
        <f>IF(TRIM('List 2'!A97&amp;'List 2'!C97&amp;'List 2'!D97)="","",LOWER(TRIM('List 2'!A97)&amp;"|"&amp;TRIM('List 2'!C97)&amp;"|"&amp;TRIM('List 2'!D97)))</f>
        <v/>
      </c>
      <c r="G97">
        <f>IF(F97="","",SUMPRODUCT(--($F$2:F97=F97)))</f>
        <v/>
      </c>
      <c r="H97">
        <f>IF(F97="","",F97&amp;"#"&amp;G97)</f>
        <v/>
      </c>
      <c r="I97">
        <f>IF(F97="","",IFERROR(--'List 2'!B97,0))</f>
        <v/>
      </c>
      <c r="K97">
        <f>C97</f>
        <v/>
      </c>
      <c r="L97">
        <f>IF(K97="","",IF(ISNUMBER('List 1'!A97),'List 1'!A97,TRIM('List 1'!A97)))</f>
        <v/>
      </c>
      <c r="M97">
        <f>IF(K97="","",IF(ISNUMBER('List 1'!C97),'List 1'!C97,TRIM('List 1'!C97)))</f>
        <v/>
      </c>
      <c r="N97">
        <f>IF(K97="","",IF(ISNUMBER('List 1'!D97),'List 1'!D97,TRIM('List 1'!D97)))</f>
        <v/>
      </c>
      <c r="O97">
        <f>IF(K97="","",D97)</f>
        <v/>
      </c>
      <c r="P97">
        <f>IF(K97="","",IF(R97,SUMPRODUCT(--($H$2:$H$501=K97),$I$2:$I$501),0))</f>
        <v/>
      </c>
      <c r="Q97">
        <f>IF(K97="","",TRUE)</f>
        <v/>
      </c>
      <c r="R97">
        <f>IF(K97="","",SUMPRODUCT(--($H$2:$H$501=K97))&gt;0)</f>
        <v/>
      </c>
      <c r="S97">
        <f>IF(K97="","",IF(AND(Q97,R97),IF(O97=P97,"Match","Qty Different"),IF(Q97,"Only in List 1","Only in List 2")))</f>
        <v/>
      </c>
      <c r="T97">
        <f>IF(K97="","",IF(ISNUMBER(--L97),TEXT(--L97,"000000000000.000"),LOWER(L97)))</f>
        <v/>
      </c>
      <c r="U97">
        <f>IF(K97="","",IF(ISNUMBER(--M97),TEXT(--M97,"000000000000.000"),LOWER(M97)))</f>
        <v/>
      </c>
      <c r="V97">
        <f>IF(K97="","",LOWER(N97))</f>
        <v/>
      </c>
      <c r="W97">
        <f>IF(K97="","",B97)</f>
        <v/>
      </c>
      <c r="X97">
        <f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>
      <c r="A98">
        <f>IF(TRIM('List 1'!A98&amp;'List 1'!C98&amp;'List 1'!D98)="","",LOWER(TRIM('List 1'!A98)&amp;"|"&amp;TRIM('List 1'!C98)&amp;"|"&amp;TRIM('List 1'!D98)))</f>
        <v/>
      </c>
      <c r="B98">
        <f>IF(A98="","",SUMPRODUCT(--($A$2:A98=A98)))</f>
        <v/>
      </c>
      <c r="C98">
        <f>IF(A98="","",A98&amp;"#"&amp;B98)</f>
        <v/>
      </c>
      <c r="D98">
        <f>IF(A98="","",IFERROR(--'List 1'!B98,0))</f>
        <v/>
      </c>
      <c r="F98">
        <f>IF(TRIM('List 2'!A98&amp;'List 2'!C98&amp;'List 2'!D98)="","",LOWER(TRIM('List 2'!A98)&amp;"|"&amp;TRIM('List 2'!C98)&amp;"|"&amp;TRIM('List 2'!D98)))</f>
        <v/>
      </c>
      <c r="G98">
        <f>IF(F98="","",SUMPRODUCT(--($F$2:F98=F98)))</f>
        <v/>
      </c>
      <c r="H98">
        <f>IF(F98="","",F98&amp;"#"&amp;G98)</f>
        <v/>
      </c>
      <c r="I98">
        <f>IF(F98="","",IFERROR(--'List 2'!B98,0))</f>
        <v/>
      </c>
      <c r="K98">
        <f>C98</f>
        <v/>
      </c>
      <c r="L98">
        <f>IF(K98="","",IF(ISNUMBER('List 1'!A98),'List 1'!A98,TRIM('List 1'!A98)))</f>
        <v/>
      </c>
      <c r="M98">
        <f>IF(K98="","",IF(ISNUMBER('List 1'!C98),'List 1'!C98,TRIM('List 1'!C98)))</f>
        <v/>
      </c>
      <c r="N98">
        <f>IF(K98="","",IF(ISNUMBER('List 1'!D98),'List 1'!D98,TRIM('List 1'!D98)))</f>
        <v/>
      </c>
      <c r="O98">
        <f>IF(K98="","",D98)</f>
        <v/>
      </c>
      <c r="P98">
        <f>IF(K98="","",IF(R98,SUMPRODUCT(--($H$2:$H$501=K98),$I$2:$I$501),0))</f>
        <v/>
      </c>
      <c r="Q98">
        <f>IF(K98="","",TRUE)</f>
        <v/>
      </c>
      <c r="R98">
        <f>IF(K98="","",SUMPRODUCT(--($H$2:$H$501=K98))&gt;0)</f>
        <v/>
      </c>
      <c r="S98">
        <f>IF(K98="","",IF(AND(Q98,R98),IF(O98=P98,"Match","Qty Different"),IF(Q98,"Only in List 1","Only in List 2")))</f>
        <v/>
      </c>
      <c r="T98">
        <f>IF(K98="","",IF(ISNUMBER(--L98),TEXT(--L98,"000000000000.000"),LOWER(L98)))</f>
        <v/>
      </c>
      <c r="U98">
        <f>IF(K98="","",IF(ISNUMBER(--M98),TEXT(--M98,"000000000000.000"),LOWER(M98)))</f>
        <v/>
      </c>
      <c r="V98">
        <f>IF(K98="","",LOWER(N98))</f>
        <v/>
      </c>
      <c r="W98">
        <f>IF(K98="","",B98)</f>
        <v/>
      </c>
      <c r="X98">
        <f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>
      <c r="A99">
        <f>IF(TRIM('List 1'!A99&amp;'List 1'!C99&amp;'List 1'!D99)="","",LOWER(TRIM('List 1'!A99)&amp;"|"&amp;TRIM('List 1'!C99)&amp;"|"&amp;TRIM('List 1'!D99)))</f>
        <v/>
      </c>
      <c r="B99">
        <f>IF(A99="","",SUMPRODUCT(--($A$2:A99=A99)))</f>
        <v/>
      </c>
      <c r="C99">
        <f>IF(A99="","",A99&amp;"#"&amp;B99)</f>
        <v/>
      </c>
      <c r="D99">
        <f>IF(A99="","",IFERROR(--'List 1'!B99,0))</f>
        <v/>
      </c>
      <c r="F99">
        <f>IF(TRIM('List 2'!A99&amp;'List 2'!C99&amp;'List 2'!D99)="","",LOWER(TRIM('List 2'!A99)&amp;"|"&amp;TRIM('List 2'!C99)&amp;"|"&amp;TRIM('List 2'!D99)))</f>
        <v/>
      </c>
      <c r="G99">
        <f>IF(F99="","",SUMPRODUCT(--($F$2:F99=F99)))</f>
        <v/>
      </c>
      <c r="H99">
        <f>IF(F99="","",F99&amp;"#"&amp;G99)</f>
        <v/>
      </c>
      <c r="I99">
        <f>IF(F99="","",IFERROR(--'List 2'!B99,0))</f>
        <v/>
      </c>
      <c r="K99">
        <f>C99</f>
        <v/>
      </c>
      <c r="L99">
        <f>IF(K99="","",IF(ISNUMBER('List 1'!A99),'List 1'!A99,TRIM('List 1'!A99)))</f>
        <v/>
      </c>
      <c r="M99">
        <f>IF(K99="","",IF(ISNUMBER('List 1'!C99),'List 1'!C99,TRIM('List 1'!C99)))</f>
        <v/>
      </c>
      <c r="N99">
        <f>IF(K99="","",IF(ISNUMBER('List 1'!D99),'List 1'!D99,TRIM('List 1'!D99)))</f>
        <v/>
      </c>
      <c r="O99">
        <f>IF(K99="","",D99)</f>
        <v/>
      </c>
      <c r="P99">
        <f>IF(K99="","",IF(R99,SUMPRODUCT(--($H$2:$H$501=K99),$I$2:$I$501),0))</f>
        <v/>
      </c>
      <c r="Q99">
        <f>IF(K99="","",TRUE)</f>
        <v/>
      </c>
      <c r="R99">
        <f>IF(K99="","",SUMPRODUCT(--($H$2:$H$501=K99))&gt;0)</f>
        <v/>
      </c>
      <c r="S99">
        <f>IF(K99="","",IF(AND(Q99,R99),IF(O99=P99,"Match","Qty Different"),IF(Q99,"Only in List 1","Only in List 2")))</f>
        <v/>
      </c>
      <c r="T99">
        <f>IF(K99="","",IF(ISNUMBER(--L99),TEXT(--L99,"000000000000.000"),LOWER(L99)))</f>
        <v/>
      </c>
      <c r="U99">
        <f>IF(K99="","",IF(ISNUMBER(--M99),TEXT(--M99,"000000000000.000"),LOWER(M99)))</f>
        <v/>
      </c>
      <c r="V99">
        <f>IF(K99="","",LOWER(N99))</f>
        <v/>
      </c>
      <c r="W99">
        <f>IF(K99="","",B99)</f>
        <v/>
      </c>
      <c r="X99">
        <f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>
      <c r="A100">
        <f>IF(TRIM('List 1'!A100&amp;'List 1'!C100&amp;'List 1'!D100)="","",LOWER(TRIM('List 1'!A100)&amp;"|"&amp;TRIM('List 1'!C100)&amp;"|"&amp;TRIM('List 1'!D100)))</f>
        <v/>
      </c>
      <c r="B100">
        <f>IF(A100="","",SUMPRODUCT(--($A$2:A100=A100)))</f>
        <v/>
      </c>
      <c r="C100">
        <f>IF(A100="","",A100&amp;"#"&amp;B100)</f>
        <v/>
      </c>
      <c r="D100">
        <f>IF(A100="","",IFERROR(--'List 1'!B100,0))</f>
        <v/>
      </c>
      <c r="F100">
        <f>IF(TRIM('List 2'!A100&amp;'List 2'!C100&amp;'List 2'!D100)="","",LOWER(TRIM('List 2'!A100)&amp;"|"&amp;TRIM('List 2'!C100)&amp;"|"&amp;TRIM('List 2'!D100)))</f>
        <v/>
      </c>
      <c r="G100">
        <f>IF(F100="","",SUMPRODUCT(--($F$2:F100=F100)))</f>
        <v/>
      </c>
      <c r="H100">
        <f>IF(F100="","",F100&amp;"#"&amp;G100)</f>
        <v/>
      </c>
      <c r="I100">
        <f>IF(F100="","",IFERROR(--'List 2'!B100,0))</f>
        <v/>
      </c>
      <c r="K100">
        <f>C100</f>
        <v/>
      </c>
      <c r="L100">
        <f>IF(K100="","",IF(ISNUMBER('List 1'!A100),'List 1'!A100,TRIM('List 1'!A100)))</f>
        <v/>
      </c>
      <c r="M100">
        <f>IF(K100="","",IF(ISNUMBER('List 1'!C100),'List 1'!C100,TRIM('List 1'!C100)))</f>
        <v/>
      </c>
      <c r="N100">
        <f>IF(K100="","",IF(ISNUMBER('List 1'!D100),'List 1'!D100,TRIM('List 1'!D100)))</f>
        <v/>
      </c>
      <c r="O100">
        <f>IF(K100="","",D100)</f>
        <v/>
      </c>
      <c r="P100">
        <f>IF(K100="","",IF(R100,SUMPRODUCT(--($H$2:$H$501=K100),$I$2:$I$501),0))</f>
        <v/>
      </c>
      <c r="Q100">
        <f>IF(K100="","",TRUE)</f>
        <v/>
      </c>
      <c r="R100">
        <f>IF(K100="","",SUMPRODUCT(--($H$2:$H$501=K100))&gt;0)</f>
        <v/>
      </c>
      <c r="S100">
        <f>IF(K100="","",IF(AND(Q100,R100),IF(O100=P100,"Match","Qty Different"),IF(Q100,"Only in List 1","Only in List 2")))</f>
        <v/>
      </c>
      <c r="T100">
        <f>IF(K100="","",IF(ISNUMBER(--L100),TEXT(--L100,"000000000000.000"),LOWER(L100)))</f>
        <v/>
      </c>
      <c r="U100">
        <f>IF(K100="","",IF(ISNUMBER(--M100),TEXT(--M100,"000000000000.000"),LOWER(M100)))</f>
        <v/>
      </c>
      <c r="V100">
        <f>IF(K100="","",LOWER(N100))</f>
        <v/>
      </c>
      <c r="W100">
        <f>IF(K100="","",B100)</f>
        <v/>
      </c>
      <c r="X100">
        <f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>
      <c r="A101">
        <f>IF(TRIM('List 1'!A101&amp;'List 1'!C101&amp;'List 1'!D101)="","",LOWER(TRIM('List 1'!A101)&amp;"|"&amp;TRIM('List 1'!C101)&amp;"|"&amp;TRIM('List 1'!D101)))</f>
        <v/>
      </c>
      <c r="B101">
        <f>IF(A101="","",SUMPRODUCT(--($A$2:A101=A101)))</f>
        <v/>
      </c>
      <c r="C101">
        <f>IF(A101="","",A101&amp;"#"&amp;B101)</f>
        <v/>
      </c>
      <c r="D101">
        <f>IF(A101="","",IFERROR(--'List 1'!B101,0))</f>
        <v/>
      </c>
      <c r="F101">
        <f>IF(TRIM('List 2'!A101&amp;'List 2'!C101&amp;'List 2'!D101)="","",LOWER(TRIM('List 2'!A101)&amp;"|"&amp;TRIM('List 2'!C101)&amp;"|"&amp;TRIM('List 2'!D101)))</f>
        <v/>
      </c>
      <c r="G101">
        <f>IF(F101="","",SUMPRODUCT(--($F$2:F101=F101)))</f>
        <v/>
      </c>
      <c r="H101">
        <f>IF(F101="","",F101&amp;"#"&amp;G101)</f>
        <v/>
      </c>
      <c r="I101">
        <f>IF(F101="","",IFERROR(--'List 2'!B101,0))</f>
        <v/>
      </c>
      <c r="K101">
        <f>C101</f>
        <v/>
      </c>
      <c r="L101">
        <f>IF(K101="","",IF(ISNUMBER('List 1'!A101),'List 1'!A101,TRIM('List 1'!A101)))</f>
        <v/>
      </c>
      <c r="M101">
        <f>IF(K101="","",IF(ISNUMBER('List 1'!C101),'List 1'!C101,TRIM('List 1'!C101)))</f>
        <v/>
      </c>
      <c r="N101">
        <f>IF(K101="","",IF(ISNUMBER('List 1'!D101),'List 1'!D101,TRIM('List 1'!D101)))</f>
        <v/>
      </c>
      <c r="O101">
        <f>IF(K101="","",D101)</f>
        <v/>
      </c>
      <c r="P101">
        <f>IF(K101="","",IF(R101,SUMPRODUCT(--($H$2:$H$501=K101),$I$2:$I$501),0))</f>
        <v/>
      </c>
      <c r="Q101">
        <f>IF(K101="","",TRUE)</f>
        <v/>
      </c>
      <c r="R101">
        <f>IF(K101="","",SUMPRODUCT(--($H$2:$H$501=K101))&gt;0)</f>
        <v/>
      </c>
      <c r="S101">
        <f>IF(K101="","",IF(AND(Q101,R101),IF(O101=P101,"Match","Qty Different"),IF(Q101,"Only in List 1","Only in List 2")))</f>
        <v/>
      </c>
      <c r="T101">
        <f>IF(K101="","",IF(ISNUMBER(--L101),TEXT(--L101,"000000000000.000"),LOWER(L101)))</f>
        <v/>
      </c>
      <c r="U101">
        <f>IF(K101="","",IF(ISNUMBER(--M101),TEXT(--M101,"000000000000.000"),LOWER(M101)))</f>
        <v/>
      </c>
      <c r="V101">
        <f>IF(K101="","",LOWER(N101))</f>
        <v/>
      </c>
      <c r="W101">
        <f>IF(K101="","",B101)</f>
        <v/>
      </c>
      <c r="X101">
        <f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>
      <c r="A102">
        <f>IF(TRIM('List 1'!A102&amp;'List 1'!C102&amp;'List 1'!D102)="","",LOWER(TRIM('List 1'!A102)&amp;"|"&amp;TRIM('List 1'!C102)&amp;"|"&amp;TRIM('List 1'!D102)))</f>
        <v/>
      </c>
      <c r="B102">
        <f>IF(A102="","",SUMPRODUCT(--($A$2:A102=A102)))</f>
        <v/>
      </c>
      <c r="C102">
        <f>IF(A102="","",A102&amp;"#"&amp;B102)</f>
        <v/>
      </c>
      <c r="D102">
        <f>IF(A102="","",IFERROR(--'List 1'!B102,0))</f>
        <v/>
      </c>
      <c r="F102">
        <f>IF(TRIM('List 2'!A102&amp;'List 2'!C102&amp;'List 2'!D102)="","",LOWER(TRIM('List 2'!A102)&amp;"|"&amp;TRIM('List 2'!C102)&amp;"|"&amp;TRIM('List 2'!D102)))</f>
        <v/>
      </c>
      <c r="G102">
        <f>IF(F102="","",SUMPRODUCT(--($F$2:F102=F102)))</f>
        <v/>
      </c>
      <c r="H102">
        <f>IF(F102="","",F102&amp;"#"&amp;G102)</f>
        <v/>
      </c>
      <c r="I102">
        <f>IF(F102="","",IFERROR(--'List 2'!B102,0))</f>
        <v/>
      </c>
      <c r="K102">
        <f>C102</f>
        <v/>
      </c>
      <c r="L102">
        <f>IF(K102="","",IF(ISNUMBER('List 1'!A102),'List 1'!A102,TRIM('List 1'!A102)))</f>
        <v/>
      </c>
      <c r="M102">
        <f>IF(K102="","",IF(ISNUMBER('List 1'!C102),'List 1'!C102,TRIM('List 1'!C102)))</f>
        <v/>
      </c>
      <c r="N102">
        <f>IF(K102="","",IF(ISNUMBER('List 1'!D102),'List 1'!D102,TRIM('List 1'!D102)))</f>
        <v/>
      </c>
      <c r="O102">
        <f>IF(K102="","",D102)</f>
        <v/>
      </c>
      <c r="P102">
        <f>IF(K102="","",IF(R102,SUMPRODUCT(--($H$2:$H$501=K102),$I$2:$I$501),0))</f>
        <v/>
      </c>
      <c r="Q102">
        <f>IF(K102="","",TRUE)</f>
        <v/>
      </c>
      <c r="R102">
        <f>IF(K102="","",SUMPRODUCT(--($H$2:$H$501=K102))&gt;0)</f>
        <v/>
      </c>
      <c r="S102">
        <f>IF(K102="","",IF(AND(Q102,R102),IF(O102=P102,"Match","Qty Different"),IF(Q102,"Only in List 1","Only in List 2")))</f>
        <v/>
      </c>
      <c r="T102">
        <f>IF(K102="","",IF(ISNUMBER(--L102),TEXT(--L102,"000000000000.000"),LOWER(L102)))</f>
        <v/>
      </c>
      <c r="U102">
        <f>IF(K102="","",IF(ISNUMBER(--M102),TEXT(--M102,"000000000000.000"),LOWER(M102)))</f>
        <v/>
      </c>
      <c r="V102">
        <f>IF(K102="","",LOWER(N102))</f>
        <v/>
      </c>
      <c r="W102">
        <f>IF(K102="","",B102)</f>
        <v/>
      </c>
      <c r="X102">
        <f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>
      <c r="A103">
        <f>IF(TRIM('List 1'!A103&amp;'List 1'!C103&amp;'List 1'!D103)="","",LOWER(TRIM('List 1'!A103)&amp;"|"&amp;TRIM('List 1'!C103)&amp;"|"&amp;TRIM('List 1'!D103)))</f>
        <v/>
      </c>
      <c r="B103">
        <f>IF(A103="","",SUMPRODUCT(--($A$2:A103=A103)))</f>
        <v/>
      </c>
      <c r="C103">
        <f>IF(A103="","",A103&amp;"#"&amp;B103)</f>
        <v/>
      </c>
      <c r="D103">
        <f>IF(A103="","",IFERROR(--'List 1'!B103,0))</f>
        <v/>
      </c>
      <c r="F103">
        <f>IF(TRIM('List 2'!A103&amp;'List 2'!C103&amp;'List 2'!D103)="","",LOWER(TRIM('List 2'!A103)&amp;"|"&amp;TRIM('List 2'!C103)&amp;"|"&amp;TRIM('List 2'!D103)))</f>
        <v/>
      </c>
      <c r="G103">
        <f>IF(F103="","",SUMPRODUCT(--($F$2:F103=F103)))</f>
        <v/>
      </c>
      <c r="H103">
        <f>IF(F103="","",F103&amp;"#"&amp;G103)</f>
        <v/>
      </c>
      <c r="I103">
        <f>IF(F103="","",IFERROR(--'List 2'!B103,0))</f>
        <v/>
      </c>
      <c r="K103">
        <f>C103</f>
        <v/>
      </c>
      <c r="L103">
        <f>IF(K103="","",IF(ISNUMBER('List 1'!A103),'List 1'!A103,TRIM('List 1'!A103)))</f>
        <v/>
      </c>
      <c r="M103">
        <f>IF(K103="","",IF(ISNUMBER('List 1'!C103),'List 1'!C103,TRIM('List 1'!C103)))</f>
        <v/>
      </c>
      <c r="N103">
        <f>IF(K103="","",IF(ISNUMBER('List 1'!D103),'List 1'!D103,TRIM('List 1'!D103)))</f>
        <v/>
      </c>
      <c r="O103">
        <f>IF(K103="","",D103)</f>
        <v/>
      </c>
      <c r="P103">
        <f>IF(K103="","",IF(R103,SUMPRODUCT(--($H$2:$H$501=K103),$I$2:$I$501),0))</f>
        <v/>
      </c>
      <c r="Q103">
        <f>IF(K103="","",TRUE)</f>
        <v/>
      </c>
      <c r="R103">
        <f>IF(K103="","",SUMPRODUCT(--($H$2:$H$501=K103))&gt;0)</f>
        <v/>
      </c>
      <c r="S103">
        <f>IF(K103="","",IF(AND(Q103,R103),IF(O103=P103,"Match","Qty Different"),IF(Q103,"Only in List 1","Only in List 2")))</f>
        <v/>
      </c>
      <c r="T103">
        <f>IF(K103="","",IF(ISNUMBER(--L103),TEXT(--L103,"000000000000.000"),LOWER(L103)))</f>
        <v/>
      </c>
      <c r="U103">
        <f>IF(K103="","",IF(ISNUMBER(--M103),TEXT(--M103,"000000000000.000"),LOWER(M103)))</f>
        <v/>
      </c>
      <c r="V103">
        <f>IF(K103="","",LOWER(N103))</f>
        <v/>
      </c>
      <c r="W103">
        <f>IF(K103="","",B103)</f>
        <v/>
      </c>
      <c r="X103">
        <f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>
      <c r="A104">
        <f>IF(TRIM('List 1'!A104&amp;'List 1'!C104&amp;'List 1'!D104)="","",LOWER(TRIM('List 1'!A104)&amp;"|"&amp;TRIM('List 1'!C104)&amp;"|"&amp;TRIM('List 1'!D104)))</f>
        <v/>
      </c>
      <c r="B104">
        <f>IF(A104="","",SUMPRODUCT(--($A$2:A104=A104)))</f>
        <v/>
      </c>
      <c r="C104">
        <f>IF(A104="","",A104&amp;"#"&amp;B104)</f>
        <v/>
      </c>
      <c r="D104">
        <f>IF(A104="","",IFERROR(--'List 1'!B104,0))</f>
        <v/>
      </c>
      <c r="F104">
        <f>IF(TRIM('List 2'!A104&amp;'List 2'!C104&amp;'List 2'!D104)="","",LOWER(TRIM('List 2'!A104)&amp;"|"&amp;TRIM('List 2'!C104)&amp;"|"&amp;TRIM('List 2'!D104)))</f>
        <v/>
      </c>
      <c r="G104">
        <f>IF(F104="","",SUMPRODUCT(--($F$2:F104=F104)))</f>
        <v/>
      </c>
      <c r="H104">
        <f>IF(F104="","",F104&amp;"#"&amp;G104)</f>
        <v/>
      </c>
      <c r="I104">
        <f>IF(F104="","",IFERROR(--'List 2'!B104,0))</f>
        <v/>
      </c>
      <c r="K104">
        <f>C104</f>
        <v/>
      </c>
      <c r="L104">
        <f>IF(K104="","",IF(ISNUMBER('List 1'!A104),'List 1'!A104,TRIM('List 1'!A104)))</f>
        <v/>
      </c>
      <c r="M104">
        <f>IF(K104="","",IF(ISNUMBER('List 1'!C104),'List 1'!C104,TRIM('List 1'!C104)))</f>
        <v/>
      </c>
      <c r="N104">
        <f>IF(K104="","",IF(ISNUMBER('List 1'!D104),'List 1'!D104,TRIM('List 1'!D104)))</f>
        <v/>
      </c>
      <c r="O104">
        <f>IF(K104="","",D104)</f>
        <v/>
      </c>
      <c r="P104">
        <f>IF(K104="","",IF(R104,SUMPRODUCT(--($H$2:$H$501=K104),$I$2:$I$501),0))</f>
        <v/>
      </c>
      <c r="Q104">
        <f>IF(K104="","",TRUE)</f>
        <v/>
      </c>
      <c r="R104">
        <f>IF(K104="","",SUMPRODUCT(--($H$2:$H$501=K104))&gt;0)</f>
        <v/>
      </c>
      <c r="S104">
        <f>IF(K104="","",IF(AND(Q104,R104),IF(O104=P104,"Match","Qty Different"),IF(Q104,"Only in List 1","Only in List 2")))</f>
        <v/>
      </c>
      <c r="T104">
        <f>IF(K104="","",IF(ISNUMBER(--L104),TEXT(--L104,"000000000000.000"),LOWER(L104)))</f>
        <v/>
      </c>
      <c r="U104">
        <f>IF(K104="","",IF(ISNUMBER(--M104),TEXT(--M104,"000000000000.000"),LOWER(M104)))</f>
        <v/>
      </c>
      <c r="V104">
        <f>IF(K104="","",LOWER(N104))</f>
        <v/>
      </c>
      <c r="W104">
        <f>IF(K104="","",B104)</f>
        <v/>
      </c>
      <c r="X104">
        <f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>
      <c r="A105">
        <f>IF(TRIM('List 1'!A105&amp;'List 1'!C105&amp;'List 1'!D105)="","",LOWER(TRIM('List 1'!A105)&amp;"|"&amp;TRIM('List 1'!C105)&amp;"|"&amp;TRIM('List 1'!D105)))</f>
        <v/>
      </c>
      <c r="B105">
        <f>IF(A105="","",SUMPRODUCT(--($A$2:A105=A105)))</f>
        <v/>
      </c>
      <c r="C105">
        <f>IF(A105="","",A105&amp;"#"&amp;B105)</f>
        <v/>
      </c>
      <c r="D105">
        <f>IF(A105="","",IFERROR(--'List 1'!B105,0))</f>
        <v/>
      </c>
      <c r="F105">
        <f>IF(TRIM('List 2'!A105&amp;'List 2'!C105&amp;'List 2'!D105)="","",LOWER(TRIM('List 2'!A105)&amp;"|"&amp;TRIM('List 2'!C105)&amp;"|"&amp;TRIM('List 2'!D105)))</f>
        <v/>
      </c>
      <c r="G105">
        <f>IF(F105="","",SUMPRODUCT(--($F$2:F105=F105)))</f>
        <v/>
      </c>
      <c r="H105">
        <f>IF(F105="","",F105&amp;"#"&amp;G105)</f>
        <v/>
      </c>
      <c r="I105">
        <f>IF(F105="","",IFERROR(--'List 2'!B105,0))</f>
        <v/>
      </c>
      <c r="K105">
        <f>C105</f>
        <v/>
      </c>
      <c r="L105">
        <f>IF(K105="","",IF(ISNUMBER('List 1'!A105),'List 1'!A105,TRIM('List 1'!A105)))</f>
        <v/>
      </c>
      <c r="M105">
        <f>IF(K105="","",IF(ISNUMBER('List 1'!C105),'List 1'!C105,TRIM('List 1'!C105)))</f>
        <v/>
      </c>
      <c r="N105">
        <f>IF(K105="","",IF(ISNUMBER('List 1'!D105),'List 1'!D105,TRIM('List 1'!D105)))</f>
        <v/>
      </c>
      <c r="O105">
        <f>IF(K105="","",D105)</f>
        <v/>
      </c>
      <c r="P105">
        <f>IF(K105="","",IF(R105,SUMPRODUCT(--($H$2:$H$501=K105),$I$2:$I$501),0))</f>
        <v/>
      </c>
      <c r="Q105">
        <f>IF(K105="","",TRUE)</f>
        <v/>
      </c>
      <c r="R105">
        <f>IF(K105="","",SUMPRODUCT(--($H$2:$H$501=K105))&gt;0)</f>
        <v/>
      </c>
      <c r="S105">
        <f>IF(K105="","",IF(AND(Q105,R105),IF(O105=P105,"Match","Qty Different"),IF(Q105,"Only in List 1","Only in List 2")))</f>
        <v/>
      </c>
      <c r="T105">
        <f>IF(K105="","",IF(ISNUMBER(--L105),TEXT(--L105,"000000000000.000"),LOWER(L105)))</f>
        <v/>
      </c>
      <c r="U105">
        <f>IF(K105="","",IF(ISNUMBER(--M105),TEXT(--M105,"000000000000.000"),LOWER(M105)))</f>
        <v/>
      </c>
      <c r="V105">
        <f>IF(K105="","",LOWER(N105))</f>
        <v/>
      </c>
      <c r="W105">
        <f>IF(K105="","",B105)</f>
        <v/>
      </c>
      <c r="X105">
        <f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>
      <c r="A106">
        <f>IF(TRIM('List 1'!A106&amp;'List 1'!C106&amp;'List 1'!D106)="","",LOWER(TRIM('List 1'!A106)&amp;"|"&amp;TRIM('List 1'!C106)&amp;"|"&amp;TRIM('List 1'!D106)))</f>
        <v/>
      </c>
      <c r="B106">
        <f>IF(A106="","",SUMPRODUCT(--($A$2:A106=A106)))</f>
        <v/>
      </c>
      <c r="C106">
        <f>IF(A106="","",A106&amp;"#"&amp;B106)</f>
        <v/>
      </c>
      <c r="D106">
        <f>IF(A106="","",IFERROR(--'List 1'!B106,0))</f>
        <v/>
      </c>
      <c r="F106">
        <f>IF(TRIM('List 2'!A106&amp;'List 2'!C106&amp;'List 2'!D106)="","",LOWER(TRIM('List 2'!A106)&amp;"|"&amp;TRIM('List 2'!C106)&amp;"|"&amp;TRIM('List 2'!D106)))</f>
        <v/>
      </c>
      <c r="G106">
        <f>IF(F106="","",SUMPRODUCT(--($F$2:F106=F106)))</f>
        <v/>
      </c>
      <c r="H106">
        <f>IF(F106="","",F106&amp;"#"&amp;G106)</f>
        <v/>
      </c>
      <c r="I106">
        <f>IF(F106="","",IFERROR(--'List 2'!B106,0))</f>
        <v/>
      </c>
      <c r="K106">
        <f>C106</f>
        <v/>
      </c>
      <c r="L106">
        <f>IF(K106="","",IF(ISNUMBER('List 1'!A106),'List 1'!A106,TRIM('List 1'!A106)))</f>
        <v/>
      </c>
      <c r="M106">
        <f>IF(K106="","",IF(ISNUMBER('List 1'!C106),'List 1'!C106,TRIM('List 1'!C106)))</f>
        <v/>
      </c>
      <c r="N106">
        <f>IF(K106="","",IF(ISNUMBER('List 1'!D106),'List 1'!D106,TRIM('List 1'!D106)))</f>
        <v/>
      </c>
      <c r="O106">
        <f>IF(K106="","",D106)</f>
        <v/>
      </c>
      <c r="P106">
        <f>IF(K106="","",IF(R106,SUMPRODUCT(--($H$2:$H$501=K106),$I$2:$I$501),0))</f>
        <v/>
      </c>
      <c r="Q106">
        <f>IF(K106="","",TRUE)</f>
        <v/>
      </c>
      <c r="R106">
        <f>IF(K106="","",SUMPRODUCT(--($H$2:$H$501=K106))&gt;0)</f>
        <v/>
      </c>
      <c r="S106">
        <f>IF(K106="","",IF(AND(Q106,R106),IF(O106=P106,"Match","Qty Different"),IF(Q106,"Only in List 1","Only in List 2")))</f>
        <v/>
      </c>
      <c r="T106">
        <f>IF(K106="","",IF(ISNUMBER(--L106),TEXT(--L106,"000000000000.000"),LOWER(L106)))</f>
        <v/>
      </c>
      <c r="U106">
        <f>IF(K106="","",IF(ISNUMBER(--M106),TEXT(--M106,"000000000000.000"),LOWER(M106)))</f>
        <v/>
      </c>
      <c r="V106">
        <f>IF(K106="","",LOWER(N106))</f>
        <v/>
      </c>
      <c r="W106">
        <f>IF(K106="","",B106)</f>
        <v/>
      </c>
      <c r="X106">
        <f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>
      <c r="A107">
        <f>IF(TRIM('List 1'!A107&amp;'List 1'!C107&amp;'List 1'!D107)="","",LOWER(TRIM('List 1'!A107)&amp;"|"&amp;TRIM('List 1'!C107)&amp;"|"&amp;TRIM('List 1'!D107)))</f>
        <v/>
      </c>
      <c r="B107">
        <f>IF(A107="","",SUMPRODUCT(--($A$2:A107=A107)))</f>
        <v/>
      </c>
      <c r="C107">
        <f>IF(A107="","",A107&amp;"#"&amp;B107)</f>
        <v/>
      </c>
      <c r="D107">
        <f>IF(A107="","",IFERROR(--'List 1'!B107,0))</f>
        <v/>
      </c>
      <c r="F107">
        <f>IF(TRIM('List 2'!A107&amp;'List 2'!C107&amp;'List 2'!D107)="","",LOWER(TRIM('List 2'!A107)&amp;"|"&amp;TRIM('List 2'!C107)&amp;"|"&amp;TRIM('List 2'!D107)))</f>
        <v/>
      </c>
      <c r="G107">
        <f>IF(F107="","",SUMPRODUCT(--($F$2:F107=F107)))</f>
        <v/>
      </c>
      <c r="H107">
        <f>IF(F107="","",F107&amp;"#"&amp;G107)</f>
        <v/>
      </c>
      <c r="I107">
        <f>IF(F107="","",IFERROR(--'List 2'!B107,0))</f>
        <v/>
      </c>
      <c r="K107">
        <f>C107</f>
        <v/>
      </c>
      <c r="L107">
        <f>IF(K107="","",IF(ISNUMBER('List 1'!A107),'List 1'!A107,TRIM('List 1'!A107)))</f>
        <v/>
      </c>
      <c r="M107">
        <f>IF(K107="","",IF(ISNUMBER('List 1'!C107),'List 1'!C107,TRIM('List 1'!C107)))</f>
        <v/>
      </c>
      <c r="N107">
        <f>IF(K107="","",IF(ISNUMBER('List 1'!D107),'List 1'!D107,TRIM('List 1'!D107)))</f>
        <v/>
      </c>
      <c r="O107">
        <f>IF(K107="","",D107)</f>
        <v/>
      </c>
      <c r="P107">
        <f>IF(K107="","",IF(R107,SUMPRODUCT(--($H$2:$H$501=K107),$I$2:$I$501),0))</f>
        <v/>
      </c>
      <c r="Q107">
        <f>IF(K107="","",TRUE)</f>
        <v/>
      </c>
      <c r="R107">
        <f>IF(K107="","",SUMPRODUCT(--($H$2:$H$501=K107))&gt;0)</f>
        <v/>
      </c>
      <c r="S107">
        <f>IF(K107="","",IF(AND(Q107,R107),IF(O107=P107,"Match","Qty Different"),IF(Q107,"Only in List 1","Only in List 2")))</f>
        <v/>
      </c>
      <c r="T107">
        <f>IF(K107="","",IF(ISNUMBER(--L107),TEXT(--L107,"000000000000.000"),LOWER(L107)))</f>
        <v/>
      </c>
      <c r="U107">
        <f>IF(K107="","",IF(ISNUMBER(--M107),TEXT(--M107,"000000000000.000"),LOWER(M107)))</f>
        <v/>
      </c>
      <c r="V107">
        <f>IF(K107="","",LOWER(N107))</f>
        <v/>
      </c>
      <c r="W107">
        <f>IF(K107="","",B107)</f>
        <v/>
      </c>
      <c r="X107">
        <f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>
      <c r="A108">
        <f>IF(TRIM('List 1'!A108&amp;'List 1'!C108&amp;'List 1'!D108)="","",LOWER(TRIM('List 1'!A108)&amp;"|"&amp;TRIM('List 1'!C108)&amp;"|"&amp;TRIM('List 1'!D108)))</f>
        <v/>
      </c>
      <c r="B108">
        <f>IF(A108="","",SUMPRODUCT(--($A$2:A108=A108)))</f>
        <v/>
      </c>
      <c r="C108">
        <f>IF(A108="","",A108&amp;"#"&amp;B108)</f>
        <v/>
      </c>
      <c r="D108">
        <f>IF(A108="","",IFERROR(--'List 1'!B108,0))</f>
        <v/>
      </c>
      <c r="F108">
        <f>IF(TRIM('List 2'!A108&amp;'List 2'!C108&amp;'List 2'!D108)="","",LOWER(TRIM('List 2'!A108)&amp;"|"&amp;TRIM('List 2'!C108)&amp;"|"&amp;TRIM('List 2'!D108)))</f>
        <v/>
      </c>
      <c r="G108">
        <f>IF(F108="","",SUMPRODUCT(--($F$2:F108=F108)))</f>
        <v/>
      </c>
      <c r="H108">
        <f>IF(F108="","",F108&amp;"#"&amp;G108)</f>
        <v/>
      </c>
      <c r="I108">
        <f>IF(F108="","",IFERROR(--'List 2'!B108,0))</f>
        <v/>
      </c>
      <c r="K108">
        <f>C108</f>
        <v/>
      </c>
      <c r="L108">
        <f>IF(K108="","",IF(ISNUMBER('List 1'!A108),'List 1'!A108,TRIM('List 1'!A108)))</f>
        <v/>
      </c>
      <c r="M108">
        <f>IF(K108="","",IF(ISNUMBER('List 1'!C108),'List 1'!C108,TRIM('List 1'!C108)))</f>
        <v/>
      </c>
      <c r="N108">
        <f>IF(K108="","",IF(ISNUMBER('List 1'!D108),'List 1'!D108,TRIM('List 1'!D108)))</f>
        <v/>
      </c>
      <c r="O108">
        <f>IF(K108="","",D108)</f>
        <v/>
      </c>
      <c r="P108">
        <f>IF(K108="","",IF(R108,SUMPRODUCT(--($H$2:$H$501=K108),$I$2:$I$501),0))</f>
        <v/>
      </c>
      <c r="Q108">
        <f>IF(K108="","",TRUE)</f>
        <v/>
      </c>
      <c r="R108">
        <f>IF(K108="","",SUMPRODUCT(--($H$2:$H$501=K108))&gt;0)</f>
        <v/>
      </c>
      <c r="S108">
        <f>IF(K108="","",IF(AND(Q108,R108),IF(O108=P108,"Match","Qty Different"),IF(Q108,"Only in List 1","Only in List 2")))</f>
        <v/>
      </c>
      <c r="T108">
        <f>IF(K108="","",IF(ISNUMBER(--L108),TEXT(--L108,"000000000000.000"),LOWER(L108)))</f>
        <v/>
      </c>
      <c r="U108">
        <f>IF(K108="","",IF(ISNUMBER(--M108),TEXT(--M108,"000000000000.000"),LOWER(M108)))</f>
        <v/>
      </c>
      <c r="V108">
        <f>IF(K108="","",LOWER(N108))</f>
        <v/>
      </c>
      <c r="W108">
        <f>IF(K108="","",B108)</f>
        <v/>
      </c>
      <c r="X108">
        <f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>
      <c r="A109">
        <f>IF(TRIM('List 1'!A109&amp;'List 1'!C109&amp;'List 1'!D109)="","",LOWER(TRIM('List 1'!A109)&amp;"|"&amp;TRIM('List 1'!C109)&amp;"|"&amp;TRIM('List 1'!D109)))</f>
        <v/>
      </c>
      <c r="B109">
        <f>IF(A109="","",SUMPRODUCT(--($A$2:A109=A109)))</f>
        <v/>
      </c>
      <c r="C109">
        <f>IF(A109="","",A109&amp;"#"&amp;B109)</f>
        <v/>
      </c>
      <c r="D109">
        <f>IF(A109="","",IFERROR(--'List 1'!B109,0))</f>
        <v/>
      </c>
      <c r="F109">
        <f>IF(TRIM('List 2'!A109&amp;'List 2'!C109&amp;'List 2'!D109)="","",LOWER(TRIM('List 2'!A109)&amp;"|"&amp;TRIM('List 2'!C109)&amp;"|"&amp;TRIM('List 2'!D109)))</f>
        <v/>
      </c>
      <c r="G109">
        <f>IF(F109="","",SUMPRODUCT(--($F$2:F109=F109)))</f>
        <v/>
      </c>
      <c r="H109">
        <f>IF(F109="","",F109&amp;"#"&amp;G109)</f>
        <v/>
      </c>
      <c r="I109">
        <f>IF(F109="","",IFERROR(--'List 2'!B109,0))</f>
        <v/>
      </c>
      <c r="K109">
        <f>C109</f>
        <v/>
      </c>
      <c r="L109">
        <f>IF(K109="","",IF(ISNUMBER('List 1'!A109),'List 1'!A109,TRIM('List 1'!A109)))</f>
        <v/>
      </c>
      <c r="M109">
        <f>IF(K109="","",IF(ISNUMBER('List 1'!C109),'List 1'!C109,TRIM('List 1'!C109)))</f>
        <v/>
      </c>
      <c r="N109">
        <f>IF(K109="","",IF(ISNUMBER('List 1'!D109),'List 1'!D109,TRIM('List 1'!D109)))</f>
        <v/>
      </c>
      <c r="O109">
        <f>IF(K109="","",D109)</f>
        <v/>
      </c>
      <c r="P109">
        <f>IF(K109="","",IF(R109,SUMPRODUCT(--($H$2:$H$501=K109),$I$2:$I$501),0))</f>
        <v/>
      </c>
      <c r="Q109">
        <f>IF(K109="","",TRUE)</f>
        <v/>
      </c>
      <c r="R109">
        <f>IF(K109="","",SUMPRODUCT(--($H$2:$H$501=K109))&gt;0)</f>
        <v/>
      </c>
      <c r="S109">
        <f>IF(K109="","",IF(AND(Q109,R109),IF(O109=P109,"Match","Qty Different"),IF(Q109,"Only in List 1","Only in List 2")))</f>
        <v/>
      </c>
      <c r="T109">
        <f>IF(K109="","",IF(ISNUMBER(--L109),TEXT(--L109,"000000000000.000"),LOWER(L109)))</f>
        <v/>
      </c>
      <c r="U109">
        <f>IF(K109="","",IF(ISNUMBER(--M109),TEXT(--M109,"000000000000.000"),LOWER(M109)))</f>
        <v/>
      </c>
      <c r="V109">
        <f>IF(K109="","",LOWER(N109))</f>
        <v/>
      </c>
      <c r="W109">
        <f>IF(K109="","",B109)</f>
        <v/>
      </c>
      <c r="X109">
        <f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>
      <c r="A110">
        <f>IF(TRIM('List 1'!A110&amp;'List 1'!C110&amp;'List 1'!D110)="","",LOWER(TRIM('List 1'!A110)&amp;"|"&amp;TRIM('List 1'!C110)&amp;"|"&amp;TRIM('List 1'!D110)))</f>
        <v/>
      </c>
      <c r="B110">
        <f>IF(A110="","",SUMPRODUCT(--($A$2:A110=A110)))</f>
        <v/>
      </c>
      <c r="C110">
        <f>IF(A110="","",A110&amp;"#"&amp;B110)</f>
        <v/>
      </c>
      <c r="D110">
        <f>IF(A110="","",IFERROR(--'List 1'!B110,0))</f>
        <v/>
      </c>
      <c r="F110">
        <f>IF(TRIM('List 2'!A110&amp;'List 2'!C110&amp;'List 2'!D110)="","",LOWER(TRIM('List 2'!A110)&amp;"|"&amp;TRIM('List 2'!C110)&amp;"|"&amp;TRIM('List 2'!D110)))</f>
        <v/>
      </c>
      <c r="G110">
        <f>IF(F110="","",SUMPRODUCT(--($F$2:F110=F110)))</f>
        <v/>
      </c>
      <c r="H110">
        <f>IF(F110="","",F110&amp;"#"&amp;G110)</f>
        <v/>
      </c>
      <c r="I110">
        <f>IF(F110="","",IFERROR(--'List 2'!B110,0))</f>
        <v/>
      </c>
      <c r="K110">
        <f>C110</f>
        <v/>
      </c>
      <c r="L110">
        <f>IF(K110="","",IF(ISNUMBER('List 1'!A110),'List 1'!A110,TRIM('List 1'!A110)))</f>
        <v/>
      </c>
      <c r="M110">
        <f>IF(K110="","",IF(ISNUMBER('List 1'!C110),'List 1'!C110,TRIM('List 1'!C110)))</f>
        <v/>
      </c>
      <c r="N110">
        <f>IF(K110="","",IF(ISNUMBER('List 1'!D110),'List 1'!D110,TRIM('List 1'!D110)))</f>
        <v/>
      </c>
      <c r="O110">
        <f>IF(K110="","",D110)</f>
        <v/>
      </c>
      <c r="P110">
        <f>IF(K110="","",IF(R110,SUMPRODUCT(--($H$2:$H$501=K110),$I$2:$I$501),0))</f>
        <v/>
      </c>
      <c r="Q110">
        <f>IF(K110="","",TRUE)</f>
        <v/>
      </c>
      <c r="R110">
        <f>IF(K110="","",SUMPRODUCT(--($H$2:$H$501=K110))&gt;0)</f>
        <v/>
      </c>
      <c r="S110">
        <f>IF(K110="","",IF(AND(Q110,R110),IF(O110=P110,"Match","Qty Different"),IF(Q110,"Only in List 1","Only in List 2")))</f>
        <v/>
      </c>
      <c r="T110">
        <f>IF(K110="","",IF(ISNUMBER(--L110),TEXT(--L110,"000000000000.000"),LOWER(L110)))</f>
        <v/>
      </c>
      <c r="U110">
        <f>IF(K110="","",IF(ISNUMBER(--M110),TEXT(--M110,"000000000000.000"),LOWER(M110)))</f>
        <v/>
      </c>
      <c r="V110">
        <f>IF(K110="","",LOWER(N110))</f>
        <v/>
      </c>
      <c r="W110">
        <f>IF(K110="","",B110)</f>
        <v/>
      </c>
      <c r="X110">
        <f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>
      <c r="A111">
        <f>IF(TRIM('List 1'!A111&amp;'List 1'!C111&amp;'List 1'!D111)="","",LOWER(TRIM('List 1'!A111)&amp;"|"&amp;TRIM('List 1'!C111)&amp;"|"&amp;TRIM('List 1'!D111)))</f>
        <v/>
      </c>
      <c r="B111">
        <f>IF(A111="","",SUMPRODUCT(--($A$2:A111=A111)))</f>
        <v/>
      </c>
      <c r="C111">
        <f>IF(A111="","",A111&amp;"#"&amp;B111)</f>
        <v/>
      </c>
      <c r="D111">
        <f>IF(A111="","",IFERROR(--'List 1'!B111,0))</f>
        <v/>
      </c>
      <c r="F111">
        <f>IF(TRIM('List 2'!A111&amp;'List 2'!C111&amp;'List 2'!D111)="","",LOWER(TRIM('List 2'!A111)&amp;"|"&amp;TRIM('List 2'!C111)&amp;"|"&amp;TRIM('List 2'!D111)))</f>
        <v/>
      </c>
      <c r="G111">
        <f>IF(F111="","",SUMPRODUCT(--($F$2:F111=F111)))</f>
        <v/>
      </c>
      <c r="H111">
        <f>IF(F111="","",F111&amp;"#"&amp;G111)</f>
        <v/>
      </c>
      <c r="I111">
        <f>IF(F111="","",IFERROR(--'List 2'!B111,0))</f>
        <v/>
      </c>
      <c r="K111">
        <f>C111</f>
        <v/>
      </c>
      <c r="L111">
        <f>IF(K111="","",IF(ISNUMBER('List 1'!A111),'List 1'!A111,TRIM('List 1'!A111)))</f>
        <v/>
      </c>
      <c r="M111">
        <f>IF(K111="","",IF(ISNUMBER('List 1'!C111),'List 1'!C111,TRIM('List 1'!C111)))</f>
        <v/>
      </c>
      <c r="N111">
        <f>IF(K111="","",IF(ISNUMBER('List 1'!D111),'List 1'!D111,TRIM('List 1'!D111)))</f>
        <v/>
      </c>
      <c r="O111">
        <f>IF(K111="","",D111)</f>
        <v/>
      </c>
      <c r="P111">
        <f>IF(K111="","",IF(R111,SUMPRODUCT(--($H$2:$H$501=K111),$I$2:$I$501),0))</f>
        <v/>
      </c>
      <c r="Q111">
        <f>IF(K111="","",TRUE)</f>
        <v/>
      </c>
      <c r="R111">
        <f>IF(K111="","",SUMPRODUCT(--($H$2:$H$501=K111))&gt;0)</f>
        <v/>
      </c>
      <c r="S111">
        <f>IF(K111="","",IF(AND(Q111,R111),IF(O111=P111,"Match","Qty Different"),IF(Q111,"Only in List 1","Only in List 2")))</f>
        <v/>
      </c>
      <c r="T111">
        <f>IF(K111="","",IF(ISNUMBER(--L111),TEXT(--L111,"000000000000.000"),LOWER(L111)))</f>
        <v/>
      </c>
      <c r="U111">
        <f>IF(K111="","",IF(ISNUMBER(--M111),TEXT(--M111,"000000000000.000"),LOWER(M111)))</f>
        <v/>
      </c>
      <c r="V111">
        <f>IF(K111="","",LOWER(N111))</f>
        <v/>
      </c>
      <c r="W111">
        <f>IF(K111="","",B111)</f>
        <v/>
      </c>
      <c r="X111">
        <f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>
      <c r="A112">
        <f>IF(TRIM('List 1'!A112&amp;'List 1'!C112&amp;'List 1'!D112)="","",LOWER(TRIM('List 1'!A112)&amp;"|"&amp;TRIM('List 1'!C112)&amp;"|"&amp;TRIM('List 1'!D112)))</f>
        <v/>
      </c>
      <c r="B112">
        <f>IF(A112="","",SUMPRODUCT(--($A$2:A112=A112)))</f>
        <v/>
      </c>
      <c r="C112">
        <f>IF(A112="","",A112&amp;"#"&amp;B112)</f>
        <v/>
      </c>
      <c r="D112">
        <f>IF(A112="","",IFERROR(--'List 1'!B112,0))</f>
        <v/>
      </c>
      <c r="F112">
        <f>IF(TRIM('List 2'!A112&amp;'List 2'!C112&amp;'List 2'!D112)="","",LOWER(TRIM('List 2'!A112)&amp;"|"&amp;TRIM('List 2'!C112)&amp;"|"&amp;TRIM('List 2'!D112)))</f>
        <v/>
      </c>
      <c r="G112">
        <f>IF(F112="","",SUMPRODUCT(--($F$2:F112=F112)))</f>
        <v/>
      </c>
      <c r="H112">
        <f>IF(F112="","",F112&amp;"#"&amp;G112)</f>
        <v/>
      </c>
      <c r="I112">
        <f>IF(F112="","",IFERROR(--'List 2'!B112,0))</f>
        <v/>
      </c>
      <c r="K112">
        <f>C112</f>
        <v/>
      </c>
      <c r="L112">
        <f>IF(K112="","",IF(ISNUMBER('List 1'!A112),'List 1'!A112,TRIM('List 1'!A112)))</f>
        <v/>
      </c>
      <c r="M112">
        <f>IF(K112="","",IF(ISNUMBER('List 1'!C112),'List 1'!C112,TRIM('List 1'!C112)))</f>
        <v/>
      </c>
      <c r="N112">
        <f>IF(K112="","",IF(ISNUMBER('List 1'!D112),'List 1'!D112,TRIM('List 1'!D112)))</f>
        <v/>
      </c>
      <c r="O112">
        <f>IF(K112="","",D112)</f>
        <v/>
      </c>
      <c r="P112">
        <f>IF(K112="","",IF(R112,SUMPRODUCT(--($H$2:$H$501=K112),$I$2:$I$501),0))</f>
        <v/>
      </c>
      <c r="Q112">
        <f>IF(K112="","",TRUE)</f>
        <v/>
      </c>
      <c r="R112">
        <f>IF(K112="","",SUMPRODUCT(--($H$2:$H$501=K112))&gt;0)</f>
        <v/>
      </c>
      <c r="S112">
        <f>IF(K112="","",IF(AND(Q112,R112),IF(O112=P112,"Match","Qty Different"),IF(Q112,"Only in List 1","Only in List 2")))</f>
        <v/>
      </c>
      <c r="T112">
        <f>IF(K112="","",IF(ISNUMBER(--L112),TEXT(--L112,"000000000000.000"),LOWER(L112)))</f>
        <v/>
      </c>
      <c r="U112">
        <f>IF(K112="","",IF(ISNUMBER(--M112),TEXT(--M112,"000000000000.000"),LOWER(M112)))</f>
        <v/>
      </c>
      <c r="V112">
        <f>IF(K112="","",LOWER(N112))</f>
        <v/>
      </c>
      <c r="W112">
        <f>IF(K112="","",B112)</f>
        <v/>
      </c>
      <c r="X112">
        <f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>
      <c r="A113">
        <f>IF(TRIM('List 1'!A113&amp;'List 1'!C113&amp;'List 1'!D113)="","",LOWER(TRIM('List 1'!A113)&amp;"|"&amp;TRIM('List 1'!C113)&amp;"|"&amp;TRIM('List 1'!D113)))</f>
        <v/>
      </c>
      <c r="B113">
        <f>IF(A113="","",SUMPRODUCT(--($A$2:A113=A113)))</f>
        <v/>
      </c>
      <c r="C113">
        <f>IF(A113="","",A113&amp;"#"&amp;B113)</f>
        <v/>
      </c>
      <c r="D113">
        <f>IF(A113="","",IFERROR(--'List 1'!B113,0))</f>
        <v/>
      </c>
      <c r="F113">
        <f>IF(TRIM('List 2'!A113&amp;'List 2'!C113&amp;'List 2'!D113)="","",LOWER(TRIM('List 2'!A113)&amp;"|"&amp;TRIM('List 2'!C113)&amp;"|"&amp;TRIM('List 2'!D113)))</f>
        <v/>
      </c>
      <c r="G113">
        <f>IF(F113="","",SUMPRODUCT(--($F$2:F113=F113)))</f>
        <v/>
      </c>
      <c r="H113">
        <f>IF(F113="","",F113&amp;"#"&amp;G113)</f>
        <v/>
      </c>
      <c r="I113">
        <f>IF(F113="","",IFERROR(--'List 2'!B113,0))</f>
        <v/>
      </c>
      <c r="K113">
        <f>C113</f>
        <v/>
      </c>
      <c r="L113">
        <f>IF(K113="","",IF(ISNUMBER('List 1'!A113),'List 1'!A113,TRIM('List 1'!A113)))</f>
        <v/>
      </c>
      <c r="M113">
        <f>IF(K113="","",IF(ISNUMBER('List 1'!C113),'List 1'!C113,TRIM('List 1'!C113)))</f>
        <v/>
      </c>
      <c r="N113">
        <f>IF(K113="","",IF(ISNUMBER('List 1'!D113),'List 1'!D113,TRIM('List 1'!D113)))</f>
        <v/>
      </c>
      <c r="O113">
        <f>IF(K113="","",D113)</f>
        <v/>
      </c>
      <c r="P113">
        <f>IF(K113="","",IF(R113,SUMPRODUCT(--($H$2:$H$501=K113),$I$2:$I$501),0))</f>
        <v/>
      </c>
      <c r="Q113">
        <f>IF(K113="","",TRUE)</f>
        <v/>
      </c>
      <c r="R113">
        <f>IF(K113="","",SUMPRODUCT(--($H$2:$H$501=K113))&gt;0)</f>
        <v/>
      </c>
      <c r="S113">
        <f>IF(K113="","",IF(AND(Q113,R113),IF(O113=P113,"Match","Qty Different"),IF(Q113,"Only in List 1","Only in List 2")))</f>
        <v/>
      </c>
      <c r="T113">
        <f>IF(K113="","",IF(ISNUMBER(--L113),TEXT(--L113,"000000000000.000"),LOWER(L113)))</f>
        <v/>
      </c>
      <c r="U113">
        <f>IF(K113="","",IF(ISNUMBER(--M113),TEXT(--M113,"000000000000.000"),LOWER(M113)))</f>
        <v/>
      </c>
      <c r="V113">
        <f>IF(K113="","",LOWER(N113))</f>
        <v/>
      </c>
      <c r="W113">
        <f>IF(K113="","",B113)</f>
        <v/>
      </c>
      <c r="X113">
        <f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>
      <c r="A114">
        <f>IF(TRIM('List 1'!A114&amp;'List 1'!C114&amp;'List 1'!D114)="","",LOWER(TRIM('List 1'!A114)&amp;"|"&amp;TRIM('List 1'!C114)&amp;"|"&amp;TRIM('List 1'!D114)))</f>
        <v/>
      </c>
      <c r="B114">
        <f>IF(A114="","",SUMPRODUCT(--($A$2:A114=A114)))</f>
        <v/>
      </c>
      <c r="C114">
        <f>IF(A114="","",A114&amp;"#"&amp;B114)</f>
        <v/>
      </c>
      <c r="D114">
        <f>IF(A114="","",IFERROR(--'List 1'!B114,0))</f>
        <v/>
      </c>
      <c r="F114">
        <f>IF(TRIM('List 2'!A114&amp;'List 2'!C114&amp;'List 2'!D114)="","",LOWER(TRIM('List 2'!A114)&amp;"|"&amp;TRIM('List 2'!C114)&amp;"|"&amp;TRIM('List 2'!D114)))</f>
        <v/>
      </c>
      <c r="G114">
        <f>IF(F114="","",SUMPRODUCT(--($F$2:F114=F114)))</f>
        <v/>
      </c>
      <c r="H114">
        <f>IF(F114="","",F114&amp;"#"&amp;G114)</f>
        <v/>
      </c>
      <c r="I114">
        <f>IF(F114="","",IFERROR(--'List 2'!B114,0))</f>
        <v/>
      </c>
      <c r="K114">
        <f>C114</f>
        <v/>
      </c>
      <c r="L114">
        <f>IF(K114="","",IF(ISNUMBER('List 1'!A114),'List 1'!A114,TRIM('List 1'!A114)))</f>
        <v/>
      </c>
      <c r="M114">
        <f>IF(K114="","",IF(ISNUMBER('List 1'!C114),'List 1'!C114,TRIM('List 1'!C114)))</f>
        <v/>
      </c>
      <c r="N114">
        <f>IF(K114="","",IF(ISNUMBER('List 1'!D114),'List 1'!D114,TRIM('List 1'!D114)))</f>
        <v/>
      </c>
      <c r="O114">
        <f>IF(K114="","",D114)</f>
        <v/>
      </c>
      <c r="P114">
        <f>IF(K114="","",IF(R114,SUMPRODUCT(--($H$2:$H$501=K114),$I$2:$I$501),0))</f>
        <v/>
      </c>
      <c r="Q114">
        <f>IF(K114="","",TRUE)</f>
        <v/>
      </c>
      <c r="R114">
        <f>IF(K114="","",SUMPRODUCT(--($H$2:$H$501=K114))&gt;0)</f>
        <v/>
      </c>
      <c r="S114">
        <f>IF(K114="","",IF(AND(Q114,R114),IF(O114=P114,"Match","Qty Different"),IF(Q114,"Only in List 1","Only in List 2")))</f>
        <v/>
      </c>
      <c r="T114">
        <f>IF(K114="","",IF(ISNUMBER(--L114),TEXT(--L114,"000000000000.000"),LOWER(L114)))</f>
        <v/>
      </c>
      <c r="U114">
        <f>IF(K114="","",IF(ISNUMBER(--M114),TEXT(--M114,"000000000000.000"),LOWER(M114)))</f>
        <v/>
      </c>
      <c r="V114">
        <f>IF(K114="","",LOWER(N114))</f>
        <v/>
      </c>
      <c r="W114">
        <f>IF(K114="","",B114)</f>
        <v/>
      </c>
      <c r="X114">
        <f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>
      <c r="A115">
        <f>IF(TRIM('List 1'!A115&amp;'List 1'!C115&amp;'List 1'!D115)="","",LOWER(TRIM('List 1'!A115)&amp;"|"&amp;TRIM('List 1'!C115)&amp;"|"&amp;TRIM('List 1'!D115)))</f>
        <v/>
      </c>
      <c r="B115">
        <f>IF(A115="","",SUMPRODUCT(--($A$2:A115=A115)))</f>
        <v/>
      </c>
      <c r="C115">
        <f>IF(A115="","",A115&amp;"#"&amp;B115)</f>
        <v/>
      </c>
      <c r="D115">
        <f>IF(A115="","",IFERROR(--'List 1'!B115,0))</f>
        <v/>
      </c>
      <c r="F115">
        <f>IF(TRIM('List 2'!A115&amp;'List 2'!C115&amp;'List 2'!D115)="","",LOWER(TRIM('List 2'!A115)&amp;"|"&amp;TRIM('List 2'!C115)&amp;"|"&amp;TRIM('List 2'!D115)))</f>
        <v/>
      </c>
      <c r="G115">
        <f>IF(F115="","",SUMPRODUCT(--($F$2:F115=F115)))</f>
        <v/>
      </c>
      <c r="H115">
        <f>IF(F115="","",F115&amp;"#"&amp;G115)</f>
        <v/>
      </c>
      <c r="I115">
        <f>IF(F115="","",IFERROR(--'List 2'!B115,0))</f>
        <v/>
      </c>
      <c r="K115">
        <f>C115</f>
        <v/>
      </c>
      <c r="L115">
        <f>IF(K115="","",IF(ISNUMBER('List 1'!A115),'List 1'!A115,TRIM('List 1'!A115)))</f>
        <v/>
      </c>
      <c r="M115">
        <f>IF(K115="","",IF(ISNUMBER('List 1'!C115),'List 1'!C115,TRIM('List 1'!C115)))</f>
        <v/>
      </c>
      <c r="N115">
        <f>IF(K115="","",IF(ISNUMBER('List 1'!D115),'List 1'!D115,TRIM('List 1'!D115)))</f>
        <v/>
      </c>
      <c r="O115">
        <f>IF(K115="","",D115)</f>
        <v/>
      </c>
      <c r="P115">
        <f>IF(K115="","",IF(R115,SUMPRODUCT(--($H$2:$H$501=K115),$I$2:$I$501),0))</f>
        <v/>
      </c>
      <c r="Q115">
        <f>IF(K115="","",TRUE)</f>
        <v/>
      </c>
      <c r="R115">
        <f>IF(K115="","",SUMPRODUCT(--($H$2:$H$501=K115))&gt;0)</f>
        <v/>
      </c>
      <c r="S115">
        <f>IF(K115="","",IF(AND(Q115,R115),IF(O115=P115,"Match","Qty Different"),IF(Q115,"Only in List 1","Only in List 2")))</f>
        <v/>
      </c>
      <c r="T115">
        <f>IF(K115="","",IF(ISNUMBER(--L115),TEXT(--L115,"000000000000.000"),LOWER(L115)))</f>
        <v/>
      </c>
      <c r="U115">
        <f>IF(K115="","",IF(ISNUMBER(--M115),TEXT(--M115,"000000000000.000"),LOWER(M115)))</f>
        <v/>
      </c>
      <c r="V115">
        <f>IF(K115="","",LOWER(N115))</f>
        <v/>
      </c>
      <c r="W115">
        <f>IF(K115="","",B115)</f>
        <v/>
      </c>
      <c r="X115">
        <f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>
      <c r="A116">
        <f>IF(TRIM('List 1'!A116&amp;'List 1'!C116&amp;'List 1'!D116)="","",LOWER(TRIM('List 1'!A116)&amp;"|"&amp;TRIM('List 1'!C116)&amp;"|"&amp;TRIM('List 1'!D116)))</f>
        <v/>
      </c>
      <c r="B116">
        <f>IF(A116="","",SUMPRODUCT(--($A$2:A116=A116)))</f>
        <v/>
      </c>
      <c r="C116">
        <f>IF(A116="","",A116&amp;"#"&amp;B116)</f>
        <v/>
      </c>
      <c r="D116">
        <f>IF(A116="","",IFERROR(--'List 1'!B116,0))</f>
        <v/>
      </c>
      <c r="F116">
        <f>IF(TRIM('List 2'!A116&amp;'List 2'!C116&amp;'List 2'!D116)="","",LOWER(TRIM('List 2'!A116)&amp;"|"&amp;TRIM('List 2'!C116)&amp;"|"&amp;TRIM('List 2'!D116)))</f>
        <v/>
      </c>
      <c r="G116">
        <f>IF(F116="","",SUMPRODUCT(--($F$2:F116=F116)))</f>
        <v/>
      </c>
      <c r="H116">
        <f>IF(F116="","",F116&amp;"#"&amp;G116)</f>
        <v/>
      </c>
      <c r="I116">
        <f>IF(F116="","",IFERROR(--'List 2'!B116,0))</f>
        <v/>
      </c>
      <c r="K116">
        <f>C116</f>
        <v/>
      </c>
      <c r="L116">
        <f>IF(K116="","",IF(ISNUMBER('List 1'!A116),'List 1'!A116,TRIM('List 1'!A116)))</f>
        <v/>
      </c>
      <c r="M116">
        <f>IF(K116="","",IF(ISNUMBER('List 1'!C116),'List 1'!C116,TRIM('List 1'!C116)))</f>
        <v/>
      </c>
      <c r="N116">
        <f>IF(K116="","",IF(ISNUMBER('List 1'!D116),'List 1'!D116,TRIM('List 1'!D116)))</f>
        <v/>
      </c>
      <c r="O116">
        <f>IF(K116="","",D116)</f>
        <v/>
      </c>
      <c r="P116">
        <f>IF(K116="","",IF(R116,SUMPRODUCT(--($H$2:$H$501=K116),$I$2:$I$501),0))</f>
        <v/>
      </c>
      <c r="Q116">
        <f>IF(K116="","",TRUE)</f>
        <v/>
      </c>
      <c r="R116">
        <f>IF(K116="","",SUMPRODUCT(--($H$2:$H$501=K116))&gt;0)</f>
        <v/>
      </c>
      <c r="S116">
        <f>IF(K116="","",IF(AND(Q116,R116),IF(O116=P116,"Match","Qty Different"),IF(Q116,"Only in List 1","Only in List 2")))</f>
        <v/>
      </c>
      <c r="T116">
        <f>IF(K116="","",IF(ISNUMBER(--L116),TEXT(--L116,"000000000000.000"),LOWER(L116)))</f>
        <v/>
      </c>
      <c r="U116">
        <f>IF(K116="","",IF(ISNUMBER(--M116),TEXT(--M116,"000000000000.000"),LOWER(M116)))</f>
        <v/>
      </c>
      <c r="V116">
        <f>IF(K116="","",LOWER(N116))</f>
        <v/>
      </c>
      <c r="W116">
        <f>IF(K116="","",B116)</f>
        <v/>
      </c>
      <c r="X116">
        <f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>
      <c r="A117">
        <f>IF(TRIM('List 1'!A117&amp;'List 1'!C117&amp;'List 1'!D117)="","",LOWER(TRIM('List 1'!A117)&amp;"|"&amp;TRIM('List 1'!C117)&amp;"|"&amp;TRIM('List 1'!D117)))</f>
        <v/>
      </c>
      <c r="B117">
        <f>IF(A117="","",SUMPRODUCT(--($A$2:A117=A117)))</f>
        <v/>
      </c>
      <c r="C117">
        <f>IF(A117="","",A117&amp;"#"&amp;B117)</f>
        <v/>
      </c>
      <c r="D117">
        <f>IF(A117="","",IFERROR(--'List 1'!B117,0))</f>
        <v/>
      </c>
      <c r="F117">
        <f>IF(TRIM('List 2'!A117&amp;'List 2'!C117&amp;'List 2'!D117)="","",LOWER(TRIM('List 2'!A117)&amp;"|"&amp;TRIM('List 2'!C117)&amp;"|"&amp;TRIM('List 2'!D117)))</f>
        <v/>
      </c>
      <c r="G117">
        <f>IF(F117="","",SUMPRODUCT(--($F$2:F117=F117)))</f>
        <v/>
      </c>
      <c r="H117">
        <f>IF(F117="","",F117&amp;"#"&amp;G117)</f>
        <v/>
      </c>
      <c r="I117">
        <f>IF(F117="","",IFERROR(--'List 2'!B117,0))</f>
        <v/>
      </c>
      <c r="K117">
        <f>C117</f>
        <v/>
      </c>
      <c r="L117">
        <f>IF(K117="","",IF(ISNUMBER('List 1'!A117),'List 1'!A117,TRIM('List 1'!A117)))</f>
        <v/>
      </c>
      <c r="M117">
        <f>IF(K117="","",IF(ISNUMBER('List 1'!C117),'List 1'!C117,TRIM('List 1'!C117)))</f>
        <v/>
      </c>
      <c r="N117">
        <f>IF(K117="","",IF(ISNUMBER('List 1'!D117),'List 1'!D117,TRIM('List 1'!D117)))</f>
        <v/>
      </c>
      <c r="O117">
        <f>IF(K117="","",D117)</f>
        <v/>
      </c>
      <c r="P117">
        <f>IF(K117="","",IF(R117,SUMPRODUCT(--($H$2:$H$501=K117),$I$2:$I$501),0))</f>
        <v/>
      </c>
      <c r="Q117">
        <f>IF(K117="","",TRUE)</f>
        <v/>
      </c>
      <c r="R117">
        <f>IF(K117="","",SUMPRODUCT(--($H$2:$H$501=K117))&gt;0)</f>
        <v/>
      </c>
      <c r="S117">
        <f>IF(K117="","",IF(AND(Q117,R117),IF(O117=P117,"Match","Qty Different"),IF(Q117,"Only in List 1","Only in List 2")))</f>
        <v/>
      </c>
      <c r="T117">
        <f>IF(K117="","",IF(ISNUMBER(--L117),TEXT(--L117,"000000000000.000"),LOWER(L117)))</f>
        <v/>
      </c>
      <c r="U117">
        <f>IF(K117="","",IF(ISNUMBER(--M117),TEXT(--M117,"000000000000.000"),LOWER(M117)))</f>
        <v/>
      </c>
      <c r="V117">
        <f>IF(K117="","",LOWER(N117))</f>
        <v/>
      </c>
      <c r="W117">
        <f>IF(K117="","",B117)</f>
        <v/>
      </c>
      <c r="X117">
        <f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>
      <c r="A118">
        <f>IF(TRIM('List 1'!A118&amp;'List 1'!C118&amp;'List 1'!D118)="","",LOWER(TRIM('List 1'!A118)&amp;"|"&amp;TRIM('List 1'!C118)&amp;"|"&amp;TRIM('List 1'!D118)))</f>
        <v/>
      </c>
      <c r="B118">
        <f>IF(A118="","",SUMPRODUCT(--($A$2:A118=A118)))</f>
        <v/>
      </c>
      <c r="C118">
        <f>IF(A118="","",A118&amp;"#"&amp;B118)</f>
        <v/>
      </c>
      <c r="D118">
        <f>IF(A118="","",IFERROR(--'List 1'!B118,0))</f>
        <v/>
      </c>
      <c r="F118">
        <f>IF(TRIM('List 2'!A118&amp;'List 2'!C118&amp;'List 2'!D118)="","",LOWER(TRIM('List 2'!A118)&amp;"|"&amp;TRIM('List 2'!C118)&amp;"|"&amp;TRIM('List 2'!D118)))</f>
        <v/>
      </c>
      <c r="G118">
        <f>IF(F118="","",SUMPRODUCT(--($F$2:F118=F118)))</f>
        <v/>
      </c>
      <c r="H118">
        <f>IF(F118="","",F118&amp;"#"&amp;G118)</f>
        <v/>
      </c>
      <c r="I118">
        <f>IF(F118="","",IFERROR(--'List 2'!B118,0))</f>
        <v/>
      </c>
      <c r="K118">
        <f>C118</f>
        <v/>
      </c>
      <c r="L118">
        <f>IF(K118="","",IF(ISNUMBER('List 1'!A118),'List 1'!A118,TRIM('List 1'!A118)))</f>
        <v/>
      </c>
      <c r="M118">
        <f>IF(K118="","",IF(ISNUMBER('List 1'!C118),'List 1'!C118,TRIM('List 1'!C118)))</f>
        <v/>
      </c>
      <c r="N118">
        <f>IF(K118="","",IF(ISNUMBER('List 1'!D118),'List 1'!D118,TRIM('List 1'!D118)))</f>
        <v/>
      </c>
      <c r="O118">
        <f>IF(K118="","",D118)</f>
        <v/>
      </c>
      <c r="P118">
        <f>IF(K118="","",IF(R118,SUMPRODUCT(--($H$2:$H$501=K118),$I$2:$I$501),0))</f>
        <v/>
      </c>
      <c r="Q118">
        <f>IF(K118="","",TRUE)</f>
        <v/>
      </c>
      <c r="R118">
        <f>IF(K118="","",SUMPRODUCT(--($H$2:$H$501=K118))&gt;0)</f>
        <v/>
      </c>
      <c r="S118">
        <f>IF(K118="","",IF(AND(Q118,R118),IF(O118=P118,"Match","Qty Different"),IF(Q118,"Only in List 1","Only in List 2")))</f>
        <v/>
      </c>
      <c r="T118">
        <f>IF(K118="","",IF(ISNUMBER(--L118),TEXT(--L118,"000000000000.000"),LOWER(L118)))</f>
        <v/>
      </c>
      <c r="U118">
        <f>IF(K118="","",IF(ISNUMBER(--M118),TEXT(--M118,"000000000000.000"),LOWER(M118)))</f>
        <v/>
      </c>
      <c r="V118">
        <f>IF(K118="","",LOWER(N118))</f>
        <v/>
      </c>
      <c r="W118">
        <f>IF(K118="","",B118)</f>
        <v/>
      </c>
      <c r="X118">
        <f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>
      <c r="A119">
        <f>IF(TRIM('List 1'!A119&amp;'List 1'!C119&amp;'List 1'!D119)="","",LOWER(TRIM('List 1'!A119)&amp;"|"&amp;TRIM('List 1'!C119)&amp;"|"&amp;TRIM('List 1'!D119)))</f>
        <v/>
      </c>
      <c r="B119">
        <f>IF(A119="","",SUMPRODUCT(--($A$2:A119=A119)))</f>
        <v/>
      </c>
      <c r="C119">
        <f>IF(A119="","",A119&amp;"#"&amp;B119)</f>
        <v/>
      </c>
      <c r="D119">
        <f>IF(A119="","",IFERROR(--'List 1'!B119,0))</f>
        <v/>
      </c>
      <c r="F119">
        <f>IF(TRIM('List 2'!A119&amp;'List 2'!C119&amp;'List 2'!D119)="","",LOWER(TRIM('List 2'!A119)&amp;"|"&amp;TRIM('List 2'!C119)&amp;"|"&amp;TRIM('List 2'!D119)))</f>
        <v/>
      </c>
      <c r="G119">
        <f>IF(F119="","",SUMPRODUCT(--($F$2:F119=F119)))</f>
        <v/>
      </c>
      <c r="H119">
        <f>IF(F119="","",F119&amp;"#"&amp;G119)</f>
        <v/>
      </c>
      <c r="I119">
        <f>IF(F119="","",IFERROR(--'List 2'!B119,0))</f>
        <v/>
      </c>
      <c r="K119">
        <f>C119</f>
        <v/>
      </c>
      <c r="L119">
        <f>IF(K119="","",IF(ISNUMBER('List 1'!A119),'List 1'!A119,TRIM('List 1'!A119)))</f>
        <v/>
      </c>
      <c r="M119">
        <f>IF(K119="","",IF(ISNUMBER('List 1'!C119),'List 1'!C119,TRIM('List 1'!C119)))</f>
        <v/>
      </c>
      <c r="N119">
        <f>IF(K119="","",IF(ISNUMBER('List 1'!D119),'List 1'!D119,TRIM('List 1'!D119)))</f>
        <v/>
      </c>
      <c r="O119">
        <f>IF(K119="","",D119)</f>
        <v/>
      </c>
      <c r="P119">
        <f>IF(K119="","",IF(R119,SUMPRODUCT(--($H$2:$H$501=K119),$I$2:$I$501),0))</f>
        <v/>
      </c>
      <c r="Q119">
        <f>IF(K119="","",TRUE)</f>
        <v/>
      </c>
      <c r="R119">
        <f>IF(K119="","",SUMPRODUCT(--($H$2:$H$501=K119))&gt;0)</f>
        <v/>
      </c>
      <c r="S119">
        <f>IF(K119="","",IF(AND(Q119,R119),IF(O119=P119,"Match","Qty Different"),IF(Q119,"Only in List 1","Only in List 2")))</f>
        <v/>
      </c>
      <c r="T119">
        <f>IF(K119="","",IF(ISNUMBER(--L119),TEXT(--L119,"000000000000.000"),LOWER(L119)))</f>
        <v/>
      </c>
      <c r="U119">
        <f>IF(K119="","",IF(ISNUMBER(--M119),TEXT(--M119,"000000000000.000"),LOWER(M119)))</f>
        <v/>
      </c>
      <c r="V119">
        <f>IF(K119="","",LOWER(N119))</f>
        <v/>
      </c>
      <c r="W119">
        <f>IF(K119="","",B119)</f>
        <v/>
      </c>
      <c r="X119">
        <f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>
      <c r="A120">
        <f>IF(TRIM('List 1'!A120&amp;'List 1'!C120&amp;'List 1'!D120)="","",LOWER(TRIM('List 1'!A120)&amp;"|"&amp;TRIM('List 1'!C120)&amp;"|"&amp;TRIM('List 1'!D120)))</f>
        <v/>
      </c>
      <c r="B120">
        <f>IF(A120="","",SUMPRODUCT(--($A$2:A120=A120)))</f>
        <v/>
      </c>
      <c r="C120">
        <f>IF(A120="","",A120&amp;"#"&amp;B120)</f>
        <v/>
      </c>
      <c r="D120">
        <f>IF(A120="","",IFERROR(--'List 1'!B120,0))</f>
        <v/>
      </c>
      <c r="F120">
        <f>IF(TRIM('List 2'!A120&amp;'List 2'!C120&amp;'List 2'!D120)="","",LOWER(TRIM('List 2'!A120)&amp;"|"&amp;TRIM('List 2'!C120)&amp;"|"&amp;TRIM('List 2'!D120)))</f>
        <v/>
      </c>
      <c r="G120">
        <f>IF(F120="","",SUMPRODUCT(--($F$2:F120=F120)))</f>
        <v/>
      </c>
      <c r="H120">
        <f>IF(F120="","",F120&amp;"#"&amp;G120)</f>
        <v/>
      </c>
      <c r="I120">
        <f>IF(F120="","",IFERROR(--'List 2'!B120,0))</f>
        <v/>
      </c>
      <c r="K120">
        <f>C120</f>
        <v/>
      </c>
      <c r="L120">
        <f>IF(K120="","",IF(ISNUMBER('List 1'!A120),'List 1'!A120,TRIM('List 1'!A120)))</f>
        <v/>
      </c>
      <c r="M120">
        <f>IF(K120="","",IF(ISNUMBER('List 1'!C120),'List 1'!C120,TRIM('List 1'!C120)))</f>
        <v/>
      </c>
      <c r="N120">
        <f>IF(K120="","",IF(ISNUMBER('List 1'!D120),'List 1'!D120,TRIM('List 1'!D120)))</f>
        <v/>
      </c>
      <c r="O120">
        <f>IF(K120="","",D120)</f>
        <v/>
      </c>
      <c r="P120">
        <f>IF(K120="","",IF(R120,SUMPRODUCT(--($H$2:$H$501=K120),$I$2:$I$501),0))</f>
        <v/>
      </c>
      <c r="Q120">
        <f>IF(K120="","",TRUE)</f>
        <v/>
      </c>
      <c r="R120">
        <f>IF(K120="","",SUMPRODUCT(--($H$2:$H$501=K120))&gt;0)</f>
        <v/>
      </c>
      <c r="S120">
        <f>IF(K120="","",IF(AND(Q120,R120),IF(O120=P120,"Match","Qty Different"),IF(Q120,"Only in List 1","Only in List 2")))</f>
        <v/>
      </c>
      <c r="T120">
        <f>IF(K120="","",IF(ISNUMBER(--L120),TEXT(--L120,"000000000000.000"),LOWER(L120)))</f>
        <v/>
      </c>
      <c r="U120">
        <f>IF(K120="","",IF(ISNUMBER(--M120),TEXT(--M120,"000000000000.000"),LOWER(M120)))</f>
        <v/>
      </c>
      <c r="V120">
        <f>IF(K120="","",LOWER(N120))</f>
        <v/>
      </c>
      <c r="W120">
        <f>IF(K120="","",B120)</f>
        <v/>
      </c>
      <c r="X120">
        <f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>
      <c r="A121">
        <f>IF(TRIM('List 1'!A121&amp;'List 1'!C121&amp;'List 1'!D121)="","",LOWER(TRIM('List 1'!A121)&amp;"|"&amp;TRIM('List 1'!C121)&amp;"|"&amp;TRIM('List 1'!D121)))</f>
        <v/>
      </c>
      <c r="B121">
        <f>IF(A121="","",SUMPRODUCT(--($A$2:A121=A121)))</f>
        <v/>
      </c>
      <c r="C121">
        <f>IF(A121="","",A121&amp;"#"&amp;B121)</f>
        <v/>
      </c>
      <c r="D121">
        <f>IF(A121="","",IFERROR(--'List 1'!B121,0))</f>
        <v/>
      </c>
      <c r="F121">
        <f>IF(TRIM('List 2'!A121&amp;'List 2'!C121&amp;'List 2'!D121)="","",LOWER(TRIM('List 2'!A121)&amp;"|"&amp;TRIM('List 2'!C121)&amp;"|"&amp;TRIM('List 2'!D121)))</f>
        <v/>
      </c>
      <c r="G121">
        <f>IF(F121="","",SUMPRODUCT(--($F$2:F121=F121)))</f>
        <v/>
      </c>
      <c r="H121">
        <f>IF(F121="","",F121&amp;"#"&amp;G121)</f>
        <v/>
      </c>
      <c r="I121">
        <f>IF(F121="","",IFERROR(--'List 2'!B121,0))</f>
        <v/>
      </c>
      <c r="K121">
        <f>C121</f>
        <v/>
      </c>
      <c r="L121">
        <f>IF(K121="","",IF(ISNUMBER('List 1'!A121),'List 1'!A121,TRIM('List 1'!A121)))</f>
        <v/>
      </c>
      <c r="M121">
        <f>IF(K121="","",IF(ISNUMBER('List 1'!C121),'List 1'!C121,TRIM('List 1'!C121)))</f>
        <v/>
      </c>
      <c r="N121">
        <f>IF(K121="","",IF(ISNUMBER('List 1'!D121),'List 1'!D121,TRIM('List 1'!D121)))</f>
        <v/>
      </c>
      <c r="O121">
        <f>IF(K121="","",D121)</f>
        <v/>
      </c>
      <c r="P121">
        <f>IF(K121="","",IF(R121,SUMPRODUCT(--($H$2:$H$501=K121),$I$2:$I$501),0))</f>
        <v/>
      </c>
      <c r="Q121">
        <f>IF(K121="","",TRUE)</f>
        <v/>
      </c>
      <c r="R121">
        <f>IF(K121="","",SUMPRODUCT(--($H$2:$H$501=K121))&gt;0)</f>
        <v/>
      </c>
      <c r="S121">
        <f>IF(K121="","",IF(AND(Q121,R121),IF(O121=P121,"Match","Qty Different"),IF(Q121,"Only in List 1","Only in List 2")))</f>
        <v/>
      </c>
      <c r="T121">
        <f>IF(K121="","",IF(ISNUMBER(--L121),TEXT(--L121,"000000000000.000"),LOWER(L121)))</f>
        <v/>
      </c>
      <c r="U121">
        <f>IF(K121="","",IF(ISNUMBER(--M121),TEXT(--M121,"000000000000.000"),LOWER(M121)))</f>
        <v/>
      </c>
      <c r="V121">
        <f>IF(K121="","",LOWER(N121))</f>
        <v/>
      </c>
      <c r="W121">
        <f>IF(K121="","",B121)</f>
        <v/>
      </c>
      <c r="X121">
        <f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>
      <c r="A122">
        <f>IF(TRIM('List 1'!A122&amp;'List 1'!C122&amp;'List 1'!D122)="","",LOWER(TRIM('List 1'!A122)&amp;"|"&amp;TRIM('List 1'!C122)&amp;"|"&amp;TRIM('List 1'!D122)))</f>
        <v/>
      </c>
      <c r="B122">
        <f>IF(A122="","",SUMPRODUCT(--($A$2:A122=A122)))</f>
        <v/>
      </c>
      <c r="C122">
        <f>IF(A122="","",A122&amp;"#"&amp;B122)</f>
        <v/>
      </c>
      <c r="D122">
        <f>IF(A122="","",IFERROR(--'List 1'!B122,0))</f>
        <v/>
      </c>
      <c r="F122">
        <f>IF(TRIM('List 2'!A122&amp;'List 2'!C122&amp;'List 2'!D122)="","",LOWER(TRIM('List 2'!A122)&amp;"|"&amp;TRIM('List 2'!C122)&amp;"|"&amp;TRIM('List 2'!D122)))</f>
        <v/>
      </c>
      <c r="G122">
        <f>IF(F122="","",SUMPRODUCT(--($F$2:F122=F122)))</f>
        <v/>
      </c>
      <c r="H122">
        <f>IF(F122="","",F122&amp;"#"&amp;G122)</f>
        <v/>
      </c>
      <c r="I122">
        <f>IF(F122="","",IFERROR(--'List 2'!B122,0))</f>
        <v/>
      </c>
      <c r="K122">
        <f>C122</f>
        <v/>
      </c>
      <c r="L122">
        <f>IF(K122="","",IF(ISNUMBER('List 1'!A122),'List 1'!A122,TRIM('List 1'!A122)))</f>
        <v/>
      </c>
      <c r="M122">
        <f>IF(K122="","",IF(ISNUMBER('List 1'!C122),'List 1'!C122,TRIM('List 1'!C122)))</f>
        <v/>
      </c>
      <c r="N122">
        <f>IF(K122="","",IF(ISNUMBER('List 1'!D122),'List 1'!D122,TRIM('List 1'!D122)))</f>
        <v/>
      </c>
      <c r="O122">
        <f>IF(K122="","",D122)</f>
        <v/>
      </c>
      <c r="P122">
        <f>IF(K122="","",IF(R122,SUMPRODUCT(--($H$2:$H$501=K122),$I$2:$I$501),0))</f>
        <v/>
      </c>
      <c r="Q122">
        <f>IF(K122="","",TRUE)</f>
        <v/>
      </c>
      <c r="R122">
        <f>IF(K122="","",SUMPRODUCT(--($H$2:$H$501=K122))&gt;0)</f>
        <v/>
      </c>
      <c r="S122">
        <f>IF(K122="","",IF(AND(Q122,R122),IF(O122=P122,"Match","Qty Different"),IF(Q122,"Only in List 1","Only in List 2")))</f>
        <v/>
      </c>
      <c r="T122">
        <f>IF(K122="","",IF(ISNUMBER(--L122),TEXT(--L122,"000000000000.000"),LOWER(L122)))</f>
        <v/>
      </c>
      <c r="U122">
        <f>IF(K122="","",IF(ISNUMBER(--M122),TEXT(--M122,"000000000000.000"),LOWER(M122)))</f>
        <v/>
      </c>
      <c r="V122">
        <f>IF(K122="","",LOWER(N122))</f>
        <v/>
      </c>
      <c r="W122">
        <f>IF(K122="","",B122)</f>
        <v/>
      </c>
      <c r="X122">
        <f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>
      <c r="A123">
        <f>IF(TRIM('List 1'!A123&amp;'List 1'!C123&amp;'List 1'!D123)="","",LOWER(TRIM('List 1'!A123)&amp;"|"&amp;TRIM('List 1'!C123)&amp;"|"&amp;TRIM('List 1'!D123)))</f>
        <v/>
      </c>
      <c r="B123">
        <f>IF(A123="","",SUMPRODUCT(--($A$2:A123=A123)))</f>
        <v/>
      </c>
      <c r="C123">
        <f>IF(A123="","",A123&amp;"#"&amp;B123)</f>
        <v/>
      </c>
      <c r="D123">
        <f>IF(A123="","",IFERROR(--'List 1'!B123,0))</f>
        <v/>
      </c>
      <c r="F123">
        <f>IF(TRIM('List 2'!A123&amp;'List 2'!C123&amp;'List 2'!D123)="","",LOWER(TRIM('List 2'!A123)&amp;"|"&amp;TRIM('List 2'!C123)&amp;"|"&amp;TRIM('List 2'!D123)))</f>
        <v/>
      </c>
      <c r="G123">
        <f>IF(F123="","",SUMPRODUCT(--($F$2:F123=F123)))</f>
        <v/>
      </c>
      <c r="H123">
        <f>IF(F123="","",F123&amp;"#"&amp;G123)</f>
        <v/>
      </c>
      <c r="I123">
        <f>IF(F123="","",IFERROR(--'List 2'!B123,0))</f>
        <v/>
      </c>
      <c r="K123">
        <f>C123</f>
        <v/>
      </c>
      <c r="L123">
        <f>IF(K123="","",IF(ISNUMBER('List 1'!A123),'List 1'!A123,TRIM('List 1'!A123)))</f>
        <v/>
      </c>
      <c r="M123">
        <f>IF(K123="","",IF(ISNUMBER('List 1'!C123),'List 1'!C123,TRIM('List 1'!C123)))</f>
        <v/>
      </c>
      <c r="N123">
        <f>IF(K123="","",IF(ISNUMBER('List 1'!D123),'List 1'!D123,TRIM('List 1'!D123)))</f>
        <v/>
      </c>
      <c r="O123">
        <f>IF(K123="","",D123)</f>
        <v/>
      </c>
      <c r="P123">
        <f>IF(K123="","",IF(R123,SUMPRODUCT(--($H$2:$H$501=K123),$I$2:$I$501),0))</f>
        <v/>
      </c>
      <c r="Q123">
        <f>IF(K123="","",TRUE)</f>
        <v/>
      </c>
      <c r="R123">
        <f>IF(K123="","",SUMPRODUCT(--($H$2:$H$501=K123))&gt;0)</f>
        <v/>
      </c>
      <c r="S123">
        <f>IF(K123="","",IF(AND(Q123,R123),IF(O123=P123,"Match","Qty Different"),IF(Q123,"Only in List 1","Only in List 2")))</f>
        <v/>
      </c>
      <c r="T123">
        <f>IF(K123="","",IF(ISNUMBER(--L123),TEXT(--L123,"000000000000.000"),LOWER(L123)))</f>
        <v/>
      </c>
      <c r="U123">
        <f>IF(K123="","",IF(ISNUMBER(--M123),TEXT(--M123,"000000000000.000"),LOWER(M123)))</f>
        <v/>
      </c>
      <c r="V123">
        <f>IF(K123="","",LOWER(N123))</f>
        <v/>
      </c>
      <c r="W123">
        <f>IF(K123="","",B123)</f>
        <v/>
      </c>
      <c r="X123">
        <f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>
      <c r="A124">
        <f>IF(TRIM('List 1'!A124&amp;'List 1'!C124&amp;'List 1'!D124)="","",LOWER(TRIM('List 1'!A124)&amp;"|"&amp;TRIM('List 1'!C124)&amp;"|"&amp;TRIM('List 1'!D124)))</f>
        <v/>
      </c>
      <c r="B124">
        <f>IF(A124="","",SUMPRODUCT(--($A$2:A124=A124)))</f>
        <v/>
      </c>
      <c r="C124">
        <f>IF(A124="","",A124&amp;"#"&amp;B124)</f>
        <v/>
      </c>
      <c r="D124">
        <f>IF(A124="","",IFERROR(--'List 1'!B124,0))</f>
        <v/>
      </c>
      <c r="F124">
        <f>IF(TRIM('List 2'!A124&amp;'List 2'!C124&amp;'List 2'!D124)="","",LOWER(TRIM('List 2'!A124)&amp;"|"&amp;TRIM('List 2'!C124)&amp;"|"&amp;TRIM('List 2'!D124)))</f>
        <v/>
      </c>
      <c r="G124">
        <f>IF(F124="","",SUMPRODUCT(--($F$2:F124=F124)))</f>
        <v/>
      </c>
      <c r="H124">
        <f>IF(F124="","",F124&amp;"#"&amp;G124)</f>
        <v/>
      </c>
      <c r="I124">
        <f>IF(F124="","",IFERROR(--'List 2'!B124,0))</f>
        <v/>
      </c>
      <c r="K124">
        <f>C124</f>
        <v/>
      </c>
      <c r="L124">
        <f>IF(K124="","",IF(ISNUMBER('List 1'!A124),'List 1'!A124,TRIM('List 1'!A124)))</f>
        <v/>
      </c>
      <c r="M124">
        <f>IF(K124="","",IF(ISNUMBER('List 1'!C124),'List 1'!C124,TRIM('List 1'!C124)))</f>
        <v/>
      </c>
      <c r="N124">
        <f>IF(K124="","",IF(ISNUMBER('List 1'!D124),'List 1'!D124,TRIM('List 1'!D124)))</f>
        <v/>
      </c>
      <c r="O124">
        <f>IF(K124="","",D124)</f>
        <v/>
      </c>
      <c r="P124">
        <f>IF(K124="","",IF(R124,SUMPRODUCT(--($H$2:$H$501=K124),$I$2:$I$501),0))</f>
        <v/>
      </c>
      <c r="Q124">
        <f>IF(K124="","",TRUE)</f>
        <v/>
      </c>
      <c r="R124">
        <f>IF(K124="","",SUMPRODUCT(--($H$2:$H$501=K124))&gt;0)</f>
        <v/>
      </c>
      <c r="S124">
        <f>IF(K124="","",IF(AND(Q124,R124),IF(O124=P124,"Match","Qty Different"),IF(Q124,"Only in List 1","Only in List 2")))</f>
        <v/>
      </c>
      <c r="T124">
        <f>IF(K124="","",IF(ISNUMBER(--L124),TEXT(--L124,"000000000000.000"),LOWER(L124)))</f>
        <v/>
      </c>
      <c r="U124">
        <f>IF(K124="","",IF(ISNUMBER(--M124),TEXT(--M124,"000000000000.000"),LOWER(M124)))</f>
        <v/>
      </c>
      <c r="V124">
        <f>IF(K124="","",LOWER(N124))</f>
        <v/>
      </c>
      <c r="W124">
        <f>IF(K124="","",B124)</f>
        <v/>
      </c>
      <c r="X124">
        <f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>
      <c r="A125">
        <f>IF(TRIM('List 1'!A125&amp;'List 1'!C125&amp;'List 1'!D125)="","",LOWER(TRIM('List 1'!A125)&amp;"|"&amp;TRIM('List 1'!C125)&amp;"|"&amp;TRIM('List 1'!D125)))</f>
        <v/>
      </c>
      <c r="B125">
        <f>IF(A125="","",SUMPRODUCT(--($A$2:A125=A125)))</f>
        <v/>
      </c>
      <c r="C125">
        <f>IF(A125="","",A125&amp;"#"&amp;B125)</f>
        <v/>
      </c>
      <c r="D125">
        <f>IF(A125="","",IFERROR(--'List 1'!B125,0))</f>
        <v/>
      </c>
      <c r="F125">
        <f>IF(TRIM('List 2'!A125&amp;'List 2'!C125&amp;'List 2'!D125)="","",LOWER(TRIM('List 2'!A125)&amp;"|"&amp;TRIM('List 2'!C125)&amp;"|"&amp;TRIM('List 2'!D125)))</f>
        <v/>
      </c>
      <c r="G125">
        <f>IF(F125="","",SUMPRODUCT(--($F$2:F125=F125)))</f>
        <v/>
      </c>
      <c r="H125">
        <f>IF(F125="","",F125&amp;"#"&amp;G125)</f>
        <v/>
      </c>
      <c r="I125">
        <f>IF(F125="","",IFERROR(--'List 2'!B125,0))</f>
        <v/>
      </c>
      <c r="K125">
        <f>C125</f>
        <v/>
      </c>
      <c r="L125">
        <f>IF(K125="","",IF(ISNUMBER('List 1'!A125),'List 1'!A125,TRIM('List 1'!A125)))</f>
        <v/>
      </c>
      <c r="M125">
        <f>IF(K125="","",IF(ISNUMBER('List 1'!C125),'List 1'!C125,TRIM('List 1'!C125)))</f>
        <v/>
      </c>
      <c r="N125">
        <f>IF(K125="","",IF(ISNUMBER('List 1'!D125),'List 1'!D125,TRIM('List 1'!D125)))</f>
        <v/>
      </c>
      <c r="O125">
        <f>IF(K125="","",D125)</f>
        <v/>
      </c>
      <c r="P125">
        <f>IF(K125="","",IF(R125,SUMPRODUCT(--($H$2:$H$501=K125),$I$2:$I$501),0))</f>
        <v/>
      </c>
      <c r="Q125">
        <f>IF(K125="","",TRUE)</f>
        <v/>
      </c>
      <c r="R125">
        <f>IF(K125="","",SUMPRODUCT(--($H$2:$H$501=K125))&gt;0)</f>
        <v/>
      </c>
      <c r="S125">
        <f>IF(K125="","",IF(AND(Q125,R125),IF(O125=P125,"Match","Qty Different"),IF(Q125,"Only in List 1","Only in List 2")))</f>
        <v/>
      </c>
      <c r="T125">
        <f>IF(K125="","",IF(ISNUMBER(--L125),TEXT(--L125,"000000000000.000"),LOWER(L125)))</f>
        <v/>
      </c>
      <c r="U125">
        <f>IF(K125="","",IF(ISNUMBER(--M125),TEXT(--M125,"000000000000.000"),LOWER(M125)))</f>
        <v/>
      </c>
      <c r="V125">
        <f>IF(K125="","",LOWER(N125))</f>
        <v/>
      </c>
      <c r="W125">
        <f>IF(K125="","",B125)</f>
        <v/>
      </c>
      <c r="X125">
        <f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>
      <c r="A126">
        <f>IF(TRIM('List 1'!A126&amp;'List 1'!C126&amp;'List 1'!D126)="","",LOWER(TRIM('List 1'!A126)&amp;"|"&amp;TRIM('List 1'!C126)&amp;"|"&amp;TRIM('List 1'!D126)))</f>
        <v/>
      </c>
      <c r="B126">
        <f>IF(A126="","",SUMPRODUCT(--($A$2:A126=A126)))</f>
        <v/>
      </c>
      <c r="C126">
        <f>IF(A126="","",A126&amp;"#"&amp;B126)</f>
        <v/>
      </c>
      <c r="D126">
        <f>IF(A126="","",IFERROR(--'List 1'!B126,0))</f>
        <v/>
      </c>
      <c r="F126">
        <f>IF(TRIM('List 2'!A126&amp;'List 2'!C126&amp;'List 2'!D126)="","",LOWER(TRIM('List 2'!A126)&amp;"|"&amp;TRIM('List 2'!C126)&amp;"|"&amp;TRIM('List 2'!D126)))</f>
        <v/>
      </c>
      <c r="G126">
        <f>IF(F126="","",SUMPRODUCT(--($F$2:F126=F126)))</f>
        <v/>
      </c>
      <c r="H126">
        <f>IF(F126="","",F126&amp;"#"&amp;G126)</f>
        <v/>
      </c>
      <c r="I126">
        <f>IF(F126="","",IFERROR(--'List 2'!B126,0))</f>
        <v/>
      </c>
      <c r="K126">
        <f>C126</f>
        <v/>
      </c>
      <c r="L126">
        <f>IF(K126="","",IF(ISNUMBER('List 1'!A126),'List 1'!A126,TRIM('List 1'!A126)))</f>
        <v/>
      </c>
      <c r="M126">
        <f>IF(K126="","",IF(ISNUMBER('List 1'!C126),'List 1'!C126,TRIM('List 1'!C126)))</f>
        <v/>
      </c>
      <c r="N126">
        <f>IF(K126="","",IF(ISNUMBER('List 1'!D126),'List 1'!D126,TRIM('List 1'!D126)))</f>
        <v/>
      </c>
      <c r="O126">
        <f>IF(K126="","",D126)</f>
        <v/>
      </c>
      <c r="P126">
        <f>IF(K126="","",IF(R126,SUMPRODUCT(--($H$2:$H$501=K126),$I$2:$I$501),0))</f>
        <v/>
      </c>
      <c r="Q126">
        <f>IF(K126="","",TRUE)</f>
        <v/>
      </c>
      <c r="R126">
        <f>IF(K126="","",SUMPRODUCT(--($H$2:$H$501=K126))&gt;0)</f>
        <v/>
      </c>
      <c r="S126">
        <f>IF(K126="","",IF(AND(Q126,R126),IF(O126=P126,"Match","Qty Different"),IF(Q126,"Only in List 1","Only in List 2")))</f>
        <v/>
      </c>
      <c r="T126">
        <f>IF(K126="","",IF(ISNUMBER(--L126),TEXT(--L126,"000000000000.000"),LOWER(L126)))</f>
        <v/>
      </c>
      <c r="U126">
        <f>IF(K126="","",IF(ISNUMBER(--M126),TEXT(--M126,"000000000000.000"),LOWER(M126)))</f>
        <v/>
      </c>
      <c r="V126">
        <f>IF(K126="","",LOWER(N126))</f>
        <v/>
      </c>
      <c r="W126">
        <f>IF(K126="","",B126)</f>
        <v/>
      </c>
      <c r="X126">
        <f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>
      <c r="A127">
        <f>IF(TRIM('List 1'!A127&amp;'List 1'!C127&amp;'List 1'!D127)="","",LOWER(TRIM('List 1'!A127)&amp;"|"&amp;TRIM('List 1'!C127)&amp;"|"&amp;TRIM('List 1'!D127)))</f>
        <v/>
      </c>
      <c r="B127">
        <f>IF(A127="","",SUMPRODUCT(--($A$2:A127=A127)))</f>
        <v/>
      </c>
      <c r="C127">
        <f>IF(A127="","",A127&amp;"#"&amp;B127)</f>
        <v/>
      </c>
      <c r="D127">
        <f>IF(A127="","",IFERROR(--'List 1'!B127,0))</f>
        <v/>
      </c>
      <c r="F127">
        <f>IF(TRIM('List 2'!A127&amp;'List 2'!C127&amp;'List 2'!D127)="","",LOWER(TRIM('List 2'!A127)&amp;"|"&amp;TRIM('List 2'!C127)&amp;"|"&amp;TRIM('List 2'!D127)))</f>
        <v/>
      </c>
      <c r="G127">
        <f>IF(F127="","",SUMPRODUCT(--($F$2:F127=F127)))</f>
        <v/>
      </c>
      <c r="H127">
        <f>IF(F127="","",F127&amp;"#"&amp;G127)</f>
        <v/>
      </c>
      <c r="I127">
        <f>IF(F127="","",IFERROR(--'List 2'!B127,0))</f>
        <v/>
      </c>
      <c r="K127">
        <f>C127</f>
        <v/>
      </c>
      <c r="L127">
        <f>IF(K127="","",IF(ISNUMBER('List 1'!A127),'List 1'!A127,TRIM('List 1'!A127)))</f>
        <v/>
      </c>
      <c r="M127">
        <f>IF(K127="","",IF(ISNUMBER('List 1'!C127),'List 1'!C127,TRIM('List 1'!C127)))</f>
        <v/>
      </c>
      <c r="N127">
        <f>IF(K127="","",IF(ISNUMBER('List 1'!D127),'List 1'!D127,TRIM('List 1'!D127)))</f>
        <v/>
      </c>
      <c r="O127">
        <f>IF(K127="","",D127)</f>
        <v/>
      </c>
      <c r="P127">
        <f>IF(K127="","",IF(R127,SUMPRODUCT(--($H$2:$H$501=K127),$I$2:$I$501),0))</f>
        <v/>
      </c>
      <c r="Q127">
        <f>IF(K127="","",TRUE)</f>
        <v/>
      </c>
      <c r="R127">
        <f>IF(K127="","",SUMPRODUCT(--($H$2:$H$501=K127))&gt;0)</f>
        <v/>
      </c>
      <c r="S127">
        <f>IF(K127="","",IF(AND(Q127,R127),IF(O127=P127,"Match","Qty Different"),IF(Q127,"Only in List 1","Only in List 2")))</f>
        <v/>
      </c>
      <c r="T127">
        <f>IF(K127="","",IF(ISNUMBER(--L127),TEXT(--L127,"000000000000.000"),LOWER(L127)))</f>
        <v/>
      </c>
      <c r="U127">
        <f>IF(K127="","",IF(ISNUMBER(--M127),TEXT(--M127,"000000000000.000"),LOWER(M127)))</f>
        <v/>
      </c>
      <c r="V127">
        <f>IF(K127="","",LOWER(N127))</f>
        <v/>
      </c>
      <c r="W127">
        <f>IF(K127="","",B127)</f>
        <v/>
      </c>
      <c r="X127">
        <f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>
      <c r="A128">
        <f>IF(TRIM('List 1'!A128&amp;'List 1'!C128&amp;'List 1'!D128)="","",LOWER(TRIM('List 1'!A128)&amp;"|"&amp;TRIM('List 1'!C128)&amp;"|"&amp;TRIM('List 1'!D128)))</f>
        <v/>
      </c>
      <c r="B128">
        <f>IF(A128="","",SUMPRODUCT(--($A$2:A128=A128)))</f>
        <v/>
      </c>
      <c r="C128">
        <f>IF(A128="","",A128&amp;"#"&amp;B128)</f>
        <v/>
      </c>
      <c r="D128">
        <f>IF(A128="","",IFERROR(--'List 1'!B128,0))</f>
        <v/>
      </c>
      <c r="F128">
        <f>IF(TRIM('List 2'!A128&amp;'List 2'!C128&amp;'List 2'!D128)="","",LOWER(TRIM('List 2'!A128)&amp;"|"&amp;TRIM('List 2'!C128)&amp;"|"&amp;TRIM('List 2'!D128)))</f>
        <v/>
      </c>
      <c r="G128">
        <f>IF(F128="","",SUMPRODUCT(--($F$2:F128=F128)))</f>
        <v/>
      </c>
      <c r="H128">
        <f>IF(F128="","",F128&amp;"#"&amp;G128)</f>
        <v/>
      </c>
      <c r="I128">
        <f>IF(F128="","",IFERROR(--'List 2'!B128,0))</f>
        <v/>
      </c>
      <c r="K128">
        <f>C128</f>
        <v/>
      </c>
      <c r="L128">
        <f>IF(K128="","",IF(ISNUMBER('List 1'!A128),'List 1'!A128,TRIM('List 1'!A128)))</f>
        <v/>
      </c>
      <c r="M128">
        <f>IF(K128="","",IF(ISNUMBER('List 1'!C128),'List 1'!C128,TRIM('List 1'!C128)))</f>
        <v/>
      </c>
      <c r="N128">
        <f>IF(K128="","",IF(ISNUMBER('List 1'!D128),'List 1'!D128,TRIM('List 1'!D128)))</f>
        <v/>
      </c>
      <c r="O128">
        <f>IF(K128="","",D128)</f>
        <v/>
      </c>
      <c r="P128">
        <f>IF(K128="","",IF(R128,SUMPRODUCT(--($H$2:$H$501=K128),$I$2:$I$501),0))</f>
        <v/>
      </c>
      <c r="Q128">
        <f>IF(K128="","",TRUE)</f>
        <v/>
      </c>
      <c r="R128">
        <f>IF(K128="","",SUMPRODUCT(--($H$2:$H$501=K128))&gt;0)</f>
        <v/>
      </c>
      <c r="S128">
        <f>IF(K128="","",IF(AND(Q128,R128),IF(O128=P128,"Match","Qty Different"),IF(Q128,"Only in List 1","Only in List 2")))</f>
        <v/>
      </c>
      <c r="T128">
        <f>IF(K128="","",IF(ISNUMBER(--L128),TEXT(--L128,"000000000000.000"),LOWER(L128)))</f>
        <v/>
      </c>
      <c r="U128">
        <f>IF(K128="","",IF(ISNUMBER(--M128),TEXT(--M128,"000000000000.000"),LOWER(M128)))</f>
        <v/>
      </c>
      <c r="V128">
        <f>IF(K128="","",LOWER(N128))</f>
        <v/>
      </c>
      <c r="W128">
        <f>IF(K128="","",B128)</f>
        <v/>
      </c>
      <c r="X128">
        <f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>
      <c r="A129">
        <f>IF(TRIM('List 1'!A129&amp;'List 1'!C129&amp;'List 1'!D129)="","",LOWER(TRIM('List 1'!A129)&amp;"|"&amp;TRIM('List 1'!C129)&amp;"|"&amp;TRIM('List 1'!D129)))</f>
        <v/>
      </c>
      <c r="B129">
        <f>IF(A129="","",SUMPRODUCT(--($A$2:A129=A129)))</f>
        <v/>
      </c>
      <c r="C129">
        <f>IF(A129="","",A129&amp;"#"&amp;B129)</f>
        <v/>
      </c>
      <c r="D129">
        <f>IF(A129="","",IFERROR(--'List 1'!B129,0))</f>
        <v/>
      </c>
      <c r="F129">
        <f>IF(TRIM('List 2'!A129&amp;'List 2'!C129&amp;'List 2'!D129)="","",LOWER(TRIM('List 2'!A129)&amp;"|"&amp;TRIM('List 2'!C129)&amp;"|"&amp;TRIM('List 2'!D129)))</f>
        <v/>
      </c>
      <c r="G129">
        <f>IF(F129="","",SUMPRODUCT(--($F$2:F129=F129)))</f>
        <v/>
      </c>
      <c r="H129">
        <f>IF(F129="","",F129&amp;"#"&amp;G129)</f>
        <v/>
      </c>
      <c r="I129">
        <f>IF(F129="","",IFERROR(--'List 2'!B129,0))</f>
        <v/>
      </c>
      <c r="K129">
        <f>C129</f>
        <v/>
      </c>
      <c r="L129">
        <f>IF(K129="","",IF(ISNUMBER('List 1'!A129),'List 1'!A129,TRIM('List 1'!A129)))</f>
        <v/>
      </c>
      <c r="M129">
        <f>IF(K129="","",IF(ISNUMBER('List 1'!C129),'List 1'!C129,TRIM('List 1'!C129)))</f>
        <v/>
      </c>
      <c r="N129">
        <f>IF(K129="","",IF(ISNUMBER('List 1'!D129),'List 1'!D129,TRIM('List 1'!D129)))</f>
        <v/>
      </c>
      <c r="O129">
        <f>IF(K129="","",D129)</f>
        <v/>
      </c>
      <c r="P129">
        <f>IF(K129="","",IF(R129,SUMPRODUCT(--($H$2:$H$501=K129),$I$2:$I$501),0))</f>
        <v/>
      </c>
      <c r="Q129">
        <f>IF(K129="","",TRUE)</f>
        <v/>
      </c>
      <c r="R129">
        <f>IF(K129="","",SUMPRODUCT(--($H$2:$H$501=K129))&gt;0)</f>
        <v/>
      </c>
      <c r="S129">
        <f>IF(K129="","",IF(AND(Q129,R129),IF(O129=P129,"Match","Qty Different"),IF(Q129,"Only in List 1","Only in List 2")))</f>
        <v/>
      </c>
      <c r="T129">
        <f>IF(K129="","",IF(ISNUMBER(--L129),TEXT(--L129,"000000000000.000"),LOWER(L129)))</f>
        <v/>
      </c>
      <c r="U129">
        <f>IF(K129="","",IF(ISNUMBER(--M129),TEXT(--M129,"000000000000.000"),LOWER(M129)))</f>
        <v/>
      </c>
      <c r="V129">
        <f>IF(K129="","",LOWER(N129))</f>
        <v/>
      </c>
      <c r="W129">
        <f>IF(K129="","",B129)</f>
        <v/>
      </c>
      <c r="X129">
        <f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>
      <c r="A130">
        <f>IF(TRIM('List 1'!A130&amp;'List 1'!C130&amp;'List 1'!D130)="","",LOWER(TRIM('List 1'!A130)&amp;"|"&amp;TRIM('List 1'!C130)&amp;"|"&amp;TRIM('List 1'!D130)))</f>
        <v/>
      </c>
      <c r="B130">
        <f>IF(A130="","",SUMPRODUCT(--($A$2:A130=A130)))</f>
        <v/>
      </c>
      <c r="C130">
        <f>IF(A130="","",A130&amp;"#"&amp;B130)</f>
        <v/>
      </c>
      <c r="D130">
        <f>IF(A130="","",IFERROR(--'List 1'!B130,0))</f>
        <v/>
      </c>
      <c r="F130">
        <f>IF(TRIM('List 2'!A130&amp;'List 2'!C130&amp;'List 2'!D130)="","",LOWER(TRIM('List 2'!A130)&amp;"|"&amp;TRIM('List 2'!C130)&amp;"|"&amp;TRIM('List 2'!D130)))</f>
        <v/>
      </c>
      <c r="G130">
        <f>IF(F130="","",SUMPRODUCT(--($F$2:F130=F130)))</f>
        <v/>
      </c>
      <c r="H130">
        <f>IF(F130="","",F130&amp;"#"&amp;G130)</f>
        <v/>
      </c>
      <c r="I130">
        <f>IF(F130="","",IFERROR(--'List 2'!B130,0))</f>
        <v/>
      </c>
      <c r="K130">
        <f>C130</f>
        <v/>
      </c>
      <c r="L130">
        <f>IF(K130="","",IF(ISNUMBER('List 1'!A130),'List 1'!A130,TRIM('List 1'!A130)))</f>
        <v/>
      </c>
      <c r="M130">
        <f>IF(K130="","",IF(ISNUMBER('List 1'!C130),'List 1'!C130,TRIM('List 1'!C130)))</f>
        <v/>
      </c>
      <c r="N130">
        <f>IF(K130="","",IF(ISNUMBER('List 1'!D130),'List 1'!D130,TRIM('List 1'!D130)))</f>
        <v/>
      </c>
      <c r="O130">
        <f>IF(K130="","",D130)</f>
        <v/>
      </c>
      <c r="P130">
        <f>IF(K130="","",IF(R130,SUMPRODUCT(--($H$2:$H$501=K130),$I$2:$I$501),0))</f>
        <v/>
      </c>
      <c r="Q130">
        <f>IF(K130="","",TRUE)</f>
        <v/>
      </c>
      <c r="R130">
        <f>IF(K130="","",SUMPRODUCT(--($H$2:$H$501=K130))&gt;0)</f>
        <v/>
      </c>
      <c r="S130">
        <f>IF(K130="","",IF(AND(Q130,R130),IF(O130=P130,"Match","Qty Different"),IF(Q130,"Only in List 1","Only in List 2")))</f>
        <v/>
      </c>
      <c r="T130">
        <f>IF(K130="","",IF(ISNUMBER(--L130),TEXT(--L130,"000000000000.000"),LOWER(L130)))</f>
        <v/>
      </c>
      <c r="U130">
        <f>IF(K130="","",IF(ISNUMBER(--M130),TEXT(--M130,"000000000000.000"),LOWER(M130)))</f>
        <v/>
      </c>
      <c r="V130">
        <f>IF(K130="","",LOWER(N130))</f>
        <v/>
      </c>
      <c r="W130">
        <f>IF(K130="","",B130)</f>
        <v/>
      </c>
      <c r="X130">
        <f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>
      <c r="A131">
        <f>IF(TRIM('List 1'!A131&amp;'List 1'!C131&amp;'List 1'!D131)="","",LOWER(TRIM('List 1'!A131)&amp;"|"&amp;TRIM('List 1'!C131)&amp;"|"&amp;TRIM('List 1'!D131)))</f>
        <v/>
      </c>
      <c r="B131">
        <f>IF(A131="","",SUMPRODUCT(--($A$2:A131=A131)))</f>
        <v/>
      </c>
      <c r="C131">
        <f>IF(A131="","",A131&amp;"#"&amp;B131)</f>
        <v/>
      </c>
      <c r="D131">
        <f>IF(A131="","",IFERROR(--'List 1'!B131,0))</f>
        <v/>
      </c>
      <c r="F131">
        <f>IF(TRIM('List 2'!A131&amp;'List 2'!C131&amp;'List 2'!D131)="","",LOWER(TRIM('List 2'!A131)&amp;"|"&amp;TRIM('List 2'!C131)&amp;"|"&amp;TRIM('List 2'!D131)))</f>
        <v/>
      </c>
      <c r="G131">
        <f>IF(F131="","",SUMPRODUCT(--($F$2:F131=F131)))</f>
        <v/>
      </c>
      <c r="H131">
        <f>IF(F131="","",F131&amp;"#"&amp;G131)</f>
        <v/>
      </c>
      <c r="I131">
        <f>IF(F131="","",IFERROR(--'List 2'!B131,0))</f>
        <v/>
      </c>
      <c r="K131">
        <f>C131</f>
        <v/>
      </c>
      <c r="L131">
        <f>IF(K131="","",IF(ISNUMBER('List 1'!A131),'List 1'!A131,TRIM('List 1'!A131)))</f>
        <v/>
      </c>
      <c r="M131">
        <f>IF(K131="","",IF(ISNUMBER('List 1'!C131),'List 1'!C131,TRIM('List 1'!C131)))</f>
        <v/>
      </c>
      <c r="N131">
        <f>IF(K131="","",IF(ISNUMBER('List 1'!D131),'List 1'!D131,TRIM('List 1'!D131)))</f>
        <v/>
      </c>
      <c r="O131">
        <f>IF(K131="","",D131)</f>
        <v/>
      </c>
      <c r="P131">
        <f>IF(K131="","",IF(R131,SUMPRODUCT(--($H$2:$H$501=K131),$I$2:$I$501),0))</f>
        <v/>
      </c>
      <c r="Q131">
        <f>IF(K131="","",TRUE)</f>
        <v/>
      </c>
      <c r="R131">
        <f>IF(K131="","",SUMPRODUCT(--($H$2:$H$501=K131))&gt;0)</f>
        <v/>
      </c>
      <c r="S131">
        <f>IF(K131="","",IF(AND(Q131,R131),IF(O131=P131,"Match","Qty Different"),IF(Q131,"Only in List 1","Only in List 2")))</f>
        <v/>
      </c>
      <c r="T131">
        <f>IF(K131="","",IF(ISNUMBER(--L131),TEXT(--L131,"000000000000.000"),LOWER(L131)))</f>
        <v/>
      </c>
      <c r="U131">
        <f>IF(K131="","",IF(ISNUMBER(--M131),TEXT(--M131,"000000000000.000"),LOWER(M131)))</f>
        <v/>
      </c>
      <c r="V131">
        <f>IF(K131="","",LOWER(N131))</f>
        <v/>
      </c>
      <c r="W131">
        <f>IF(K131="","",B131)</f>
        <v/>
      </c>
      <c r="X131">
        <f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>
      <c r="A132">
        <f>IF(TRIM('List 1'!A132&amp;'List 1'!C132&amp;'List 1'!D132)="","",LOWER(TRIM('List 1'!A132)&amp;"|"&amp;TRIM('List 1'!C132)&amp;"|"&amp;TRIM('List 1'!D132)))</f>
        <v/>
      </c>
      <c r="B132">
        <f>IF(A132="","",SUMPRODUCT(--($A$2:A132=A132)))</f>
        <v/>
      </c>
      <c r="C132">
        <f>IF(A132="","",A132&amp;"#"&amp;B132)</f>
        <v/>
      </c>
      <c r="D132">
        <f>IF(A132="","",IFERROR(--'List 1'!B132,0))</f>
        <v/>
      </c>
      <c r="F132">
        <f>IF(TRIM('List 2'!A132&amp;'List 2'!C132&amp;'List 2'!D132)="","",LOWER(TRIM('List 2'!A132)&amp;"|"&amp;TRIM('List 2'!C132)&amp;"|"&amp;TRIM('List 2'!D132)))</f>
        <v/>
      </c>
      <c r="G132">
        <f>IF(F132="","",SUMPRODUCT(--($F$2:F132=F132)))</f>
        <v/>
      </c>
      <c r="H132">
        <f>IF(F132="","",F132&amp;"#"&amp;G132)</f>
        <v/>
      </c>
      <c r="I132">
        <f>IF(F132="","",IFERROR(--'List 2'!B132,0))</f>
        <v/>
      </c>
      <c r="K132">
        <f>C132</f>
        <v/>
      </c>
      <c r="L132">
        <f>IF(K132="","",IF(ISNUMBER('List 1'!A132),'List 1'!A132,TRIM('List 1'!A132)))</f>
        <v/>
      </c>
      <c r="M132">
        <f>IF(K132="","",IF(ISNUMBER('List 1'!C132),'List 1'!C132,TRIM('List 1'!C132)))</f>
        <v/>
      </c>
      <c r="N132">
        <f>IF(K132="","",IF(ISNUMBER('List 1'!D132),'List 1'!D132,TRIM('List 1'!D132)))</f>
        <v/>
      </c>
      <c r="O132">
        <f>IF(K132="","",D132)</f>
        <v/>
      </c>
      <c r="P132">
        <f>IF(K132="","",IF(R132,SUMPRODUCT(--($H$2:$H$501=K132),$I$2:$I$501),0))</f>
        <v/>
      </c>
      <c r="Q132">
        <f>IF(K132="","",TRUE)</f>
        <v/>
      </c>
      <c r="R132">
        <f>IF(K132="","",SUMPRODUCT(--($H$2:$H$501=K132))&gt;0)</f>
        <v/>
      </c>
      <c r="S132">
        <f>IF(K132="","",IF(AND(Q132,R132),IF(O132=P132,"Match","Qty Different"),IF(Q132,"Only in List 1","Only in List 2")))</f>
        <v/>
      </c>
      <c r="T132">
        <f>IF(K132="","",IF(ISNUMBER(--L132),TEXT(--L132,"000000000000.000"),LOWER(L132)))</f>
        <v/>
      </c>
      <c r="U132">
        <f>IF(K132="","",IF(ISNUMBER(--M132),TEXT(--M132,"000000000000.000"),LOWER(M132)))</f>
        <v/>
      </c>
      <c r="V132">
        <f>IF(K132="","",LOWER(N132))</f>
        <v/>
      </c>
      <c r="W132">
        <f>IF(K132="","",B132)</f>
        <v/>
      </c>
      <c r="X132">
        <f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>
      <c r="A133">
        <f>IF(TRIM('List 1'!A133&amp;'List 1'!C133&amp;'List 1'!D133)="","",LOWER(TRIM('List 1'!A133)&amp;"|"&amp;TRIM('List 1'!C133)&amp;"|"&amp;TRIM('List 1'!D133)))</f>
        <v/>
      </c>
      <c r="B133">
        <f>IF(A133="","",SUMPRODUCT(--($A$2:A133=A133)))</f>
        <v/>
      </c>
      <c r="C133">
        <f>IF(A133="","",A133&amp;"#"&amp;B133)</f>
        <v/>
      </c>
      <c r="D133">
        <f>IF(A133="","",IFERROR(--'List 1'!B133,0))</f>
        <v/>
      </c>
      <c r="F133">
        <f>IF(TRIM('List 2'!A133&amp;'List 2'!C133&amp;'List 2'!D133)="","",LOWER(TRIM('List 2'!A133)&amp;"|"&amp;TRIM('List 2'!C133)&amp;"|"&amp;TRIM('List 2'!D133)))</f>
        <v/>
      </c>
      <c r="G133">
        <f>IF(F133="","",SUMPRODUCT(--($F$2:F133=F133)))</f>
        <v/>
      </c>
      <c r="H133">
        <f>IF(F133="","",F133&amp;"#"&amp;G133)</f>
        <v/>
      </c>
      <c r="I133">
        <f>IF(F133="","",IFERROR(--'List 2'!B133,0))</f>
        <v/>
      </c>
      <c r="K133">
        <f>C133</f>
        <v/>
      </c>
      <c r="L133">
        <f>IF(K133="","",IF(ISNUMBER('List 1'!A133),'List 1'!A133,TRIM('List 1'!A133)))</f>
        <v/>
      </c>
      <c r="M133">
        <f>IF(K133="","",IF(ISNUMBER('List 1'!C133),'List 1'!C133,TRIM('List 1'!C133)))</f>
        <v/>
      </c>
      <c r="N133">
        <f>IF(K133="","",IF(ISNUMBER('List 1'!D133),'List 1'!D133,TRIM('List 1'!D133)))</f>
        <v/>
      </c>
      <c r="O133">
        <f>IF(K133="","",D133)</f>
        <v/>
      </c>
      <c r="P133">
        <f>IF(K133="","",IF(R133,SUMPRODUCT(--($H$2:$H$501=K133),$I$2:$I$501),0))</f>
        <v/>
      </c>
      <c r="Q133">
        <f>IF(K133="","",TRUE)</f>
        <v/>
      </c>
      <c r="R133">
        <f>IF(K133="","",SUMPRODUCT(--($H$2:$H$501=K133))&gt;0)</f>
        <v/>
      </c>
      <c r="S133">
        <f>IF(K133="","",IF(AND(Q133,R133),IF(O133=P133,"Match","Qty Different"),IF(Q133,"Only in List 1","Only in List 2")))</f>
        <v/>
      </c>
      <c r="T133">
        <f>IF(K133="","",IF(ISNUMBER(--L133),TEXT(--L133,"000000000000.000"),LOWER(L133)))</f>
        <v/>
      </c>
      <c r="U133">
        <f>IF(K133="","",IF(ISNUMBER(--M133),TEXT(--M133,"000000000000.000"),LOWER(M133)))</f>
        <v/>
      </c>
      <c r="V133">
        <f>IF(K133="","",LOWER(N133))</f>
        <v/>
      </c>
      <c r="W133">
        <f>IF(K133="","",B133)</f>
        <v/>
      </c>
      <c r="X133">
        <f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>
      <c r="A134">
        <f>IF(TRIM('List 1'!A134&amp;'List 1'!C134&amp;'List 1'!D134)="","",LOWER(TRIM('List 1'!A134)&amp;"|"&amp;TRIM('List 1'!C134)&amp;"|"&amp;TRIM('List 1'!D134)))</f>
        <v/>
      </c>
      <c r="B134">
        <f>IF(A134="","",SUMPRODUCT(--($A$2:A134=A134)))</f>
        <v/>
      </c>
      <c r="C134">
        <f>IF(A134="","",A134&amp;"#"&amp;B134)</f>
        <v/>
      </c>
      <c r="D134">
        <f>IF(A134="","",IFERROR(--'List 1'!B134,0))</f>
        <v/>
      </c>
      <c r="F134">
        <f>IF(TRIM('List 2'!A134&amp;'List 2'!C134&amp;'List 2'!D134)="","",LOWER(TRIM('List 2'!A134)&amp;"|"&amp;TRIM('List 2'!C134)&amp;"|"&amp;TRIM('List 2'!D134)))</f>
        <v/>
      </c>
      <c r="G134">
        <f>IF(F134="","",SUMPRODUCT(--($F$2:F134=F134)))</f>
        <v/>
      </c>
      <c r="H134">
        <f>IF(F134="","",F134&amp;"#"&amp;G134)</f>
        <v/>
      </c>
      <c r="I134">
        <f>IF(F134="","",IFERROR(--'List 2'!B134,0))</f>
        <v/>
      </c>
      <c r="K134">
        <f>C134</f>
        <v/>
      </c>
      <c r="L134">
        <f>IF(K134="","",IF(ISNUMBER('List 1'!A134),'List 1'!A134,TRIM('List 1'!A134)))</f>
        <v/>
      </c>
      <c r="M134">
        <f>IF(K134="","",IF(ISNUMBER('List 1'!C134),'List 1'!C134,TRIM('List 1'!C134)))</f>
        <v/>
      </c>
      <c r="N134">
        <f>IF(K134="","",IF(ISNUMBER('List 1'!D134),'List 1'!D134,TRIM('List 1'!D134)))</f>
        <v/>
      </c>
      <c r="O134">
        <f>IF(K134="","",D134)</f>
        <v/>
      </c>
      <c r="P134">
        <f>IF(K134="","",IF(R134,SUMPRODUCT(--($H$2:$H$501=K134),$I$2:$I$501),0))</f>
        <v/>
      </c>
      <c r="Q134">
        <f>IF(K134="","",TRUE)</f>
        <v/>
      </c>
      <c r="R134">
        <f>IF(K134="","",SUMPRODUCT(--($H$2:$H$501=K134))&gt;0)</f>
        <v/>
      </c>
      <c r="S134">
        <f>IF(K134="","",IF(AND(Q134,R134),IF(O134=P134,"Match","Qty Different"),IF(Q134,"Only in List 1","Only in List 2")))</f>
        <v/>
      </c>
      <c r="T134">
        <f>IF(K134="","",IF(ISNUMBER(--L134),TEXT(--L134,"000000000000.000"),LOWER(L134)))</f>
        <v/>
      </c>
      <c r="U134">
        <f>IF(K134="","",IF(ISNUMBER(--M134),TEXT(--M134,"000000000000.000"),LOWER(M134)))</f>
        <v/>
      </c>
      <c r="V134">
        <f>IF(K134="","",LOWER(N134))</f>
        <v/>
      </c>
      <c r="W134">
        <f>IF(K134="","",B134)</f>
        <v/>
      </c>
      <c r="X134">
        <f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>
      <c r="A135">
        <f>IF(TRIM('List 1'!A135&amp;'List 1'!C135&amp;'List 1'!D135)="","",LOWER(TRIM('List 1'!A135)&amp;"|"&amp;TRIM('List 1'!C135)&amp;"|"&amp;TRIM('List 1'!D135)))</f>
        <v/>
      </c>
      <c r="B135">
        <f>IF(A135="","",SUMPRODUCT(--($A$2:A135=A135)))</f>
        <v/>
      </c>
      <c r="C135">
        <f>IF(A135="","",A135&amp;"#"&amp;B135)</f>
        <v/>
      </c>
      <c r="D135">
        <f>IF(A135="","",IFERROR(--'List 1'!B135,0))</f>
        <v/>
      </c>
      <c r="F135">
        <f>IF(TRIM('List 2'!A135&amp;'List 2'!C135&amp;'List 2'!D135)="","",LOWER(TRIM('List 2'!A135)&amp;"|"&amp;TRIM('List 2'!C135)&amp;"|"&amp;TRIM('List 2'!D135)))</f>
        <v/>
      </c>
      <c r="G135">
        <f>IF(F135="","",SUMPRODUCT(--($F$2:F135=F135)))</f>
        <v/>
      </c>
      <c r="H135">
        <f>IF(F135="","",F135&amp;"#"&amp;G135)</f>
        <v/>
      </c>
      <c r="I135">
        <f>IF(F135="","",IFERROR(--'List 2'!B135,0))</f>
        <v/>
      </c>
      <c r="K135">
        <f>C135</f>
        <v/>
      </c>
      <c r="L135">
        <f>IF(K135="","",IF(ISNUMBER('List 1'!A135),'List 1'!A135,TRIM('List 1'!A135)))</f>
        <v/>
      </c>
      <c r="M135">
        <f>IF(K135="","",IF(ISNUMBER('List 1'!C135),'List 1'!C135,TRIM('List 1'!C135)))</f>
        <v/>
      </c>
      <c r="N135">
        <f>IF(K135="","",IF(ISNUMBER('List 1'!D135),'List 1'!D135,TRIM('List 1'!D135)))</f>
        <v/>
      </c>
      <c r="O135">
        <f>IF(K135="","",D135)</f>
        <v/>
      </c>
      <c r="P135">
        <f>IF(K135="","",IF(R135,SUMPRODUCT(--($H$2:$H$501=K135),$I$2:$I$501),0))</f>
        <v/>
      </c>
      <c r="Q135">
        <f>IF(K135="","",TRUE)</f>
        <v/>
      </c>
      <c r="R135">
        <f>IF(K135="","",SUMPRODUCT(--($H$2:$H$501=K135))&gt;0)</f>
        <v/>
      </c>
      <c r="S135">
        <f>IF(K135="","",IF(AND(Q135,R135),IF(O135=P135,"Match","Qty Different"),IF(Q135,"Only in List 1","Only in List 2")))</f>
        <v/>
      </c>
      <c r="T135">
        <f>IF(K135="","",IF(ISNUMBER(--L135),TEXT(--L135,"000000000000.000"),LOWER(L135)))</f>
        <v/>
      </c>
      <c r="U135">
        <f>IF(K135="","",IF(ISNUMBER(--M135),TEXT(--M135,"000000000000.000"),LOWER(M135)))</f>
        <v/>
      </c>
      <c r="V135">
        <f>IF(K135="","",LOWER(N135))</f>
        <v/>
      </c>
      <c r="W135">
        <f>IF(K135="","",B135)</f>
        <v/>
      </c>
      <c r="X135">
        <f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>
      <c r="A136">
        <f>IF(TRIM('List 1'!A136&amp;'List 1'!C136&amp;'List 1'!D136)="","",LOWER(TRIM('List 1'!A136)&amp;"|"&amp;TRIM('List 1'!C136)&amp;"|"&amp;TRIM('List 1'!D136)))</f>
        <v/>
      </c>
      <c r="B136">
        <f>IF(A136="","",SUMPRODUCT(--($A$2:A136=A136)))</f>
        <v/>
      </c>
      <c r="C136">
        <f>IF(A136="","",A136&amp;"#"&amp;B136)</f>
        <v/>
      </c>
      <c r="D136">
        <f>IF(A136="","",IFERROR(--'List 1'!B136,0))</f>
        <v/>
      </c>
      <c r="F136">
        <f>IF(TRIM('List 2'!A136&amp;'List 2'!C136&amp;'List 2'!D136)="","",LOWER(TRIM('List 2'!A136)&amp;"|"&amp;TRIM('List 2'!C136)&amp;"|"&amp;TRIM('List 2'!D136)))</f>
        <v/>
      </c>
      <c r="G136">
        <f>IF(F136="","",SUMPRODUCT(--($F$2:F136=F136)))</f>
        <v/>
      </c>
      <c r="H136">
        <f>IF(F136="","",F136&amp;"#"&amp;G136)</f>
        <v/>
      </c>
      <c r="I136">
        <f>IF(F136="","",IFERROR(--'List 2'!B136,0))</f>
        <v/>
      </c>
      <c r="K136">
        <f>C136</f>
        <v/>
      </c>
      <c r="L136">
        <f>IF(K136="","",IF(ISNUMBER('List 1'!A136),'List 1'!A136,TRIM('List 1'!A136)))</f>
        <v/>
      </c>
      <c r="M136">
        <f>IF(K136="","",IF(ISNUMBER('List 1'!C136),'List 1'!C136,TRIM('List 1'!C136)))</f>
        <v/>
      </c>
      <c r="N136">
        <f>IF(K136="","",IF(ISNUMBER('List 1'!D136),'List 1'!D136,TRIM('List 1'!D136)))</f>
        <v/>
      </c>
      <c r="O136">
        <f>IF(K136="","",D136)</f>
        <v/>
      </c>
      <c r="P136">
        <f>IF(K136="","",IF(R136,SUMPRODUCT(--($H$2:$H$501=K136),$I$2:$I$501),0))</f>
        <v/>
      </c>
      <c r="Q136">
        <f>IF(K136="","",TRUE)</f>
        <v/>
      </c>
      <c r="R136">
        <f>IF(K136="","",SUMPRODUCT(--($H$2:$H$501=K136))&gt;0)</f>
        <v/>
      </c>
      <c r="S136">
        <f>IF(K136="","",IF(AND(Q136,R136),IF(O136=P136,"Match","Qty Different"),IF(Q136,"Only in List 1","Only in List 2")))</f>
        <v/>
      </c>
      <c r="T136">
        <f>IF(K136="","",IF(ISNUMBER(--L136),TEXT(--L136,"000000000000.000"),LOWER(L136)))</f>
        <v/>
      </c>
      <c r="U136">
        <f>IF(K136="","",IF(ISNUMBER(--M136),TEXT(--M136,"000000000000.000"),LOWER(M136)))</f>
        <v/>
      </c>
      <c r="V136">
        <f>IF(K136="","",LOWER(N136))</f>
        <v/>
      </c>
      <c r="W136">
        <f>IF(K136="","",B136)</f>
        <v/>
      </c>
      <c r="X136">
        <f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>
      <c r="A137">
        <f>IF(TRIM('List 1'!A137&amp;'List 1'!C137&amp;'List 1'!D137)="","",LOWER(TRIM('List 1'!A137)&amp;"|"&amp;TRIM('List 1'!C137)&amp;"|"&amp;TRIM('List 1'!D137)))</f>
        <v/>
      </c>
      <c r="B137">
        <f>IF(A137="","",SUMPRODUCT(--($A$2:A137=A137)))</f>
        <v/>
      </c>
      <c r="C137">
        <f>IF(A137="","",A137&amp;"#"&amp;B137)</f>
        <v/>
      </c>
      <c r="D137">
        <f>IF(A137="","",IFERROR(--'List 1'!B137,0))</f>
        <v/>
      </c>
      <c r="F137">
        <f>IF(TRIM('List 2'!A137&amp;'List 2'!C137&amp;'List 2'!D137)="","",LOWER(TRIM('List 2'!A137)&amp;"|"&amp;TRIM('List 2'!C137)&amp;"|"&amp;TRIM('List 2'!D137)))</f>
        <v/>
      </c>
      <c r="G137">
        <f>IF(F137="","",SUMPRODUCT(--($F$2:F137=F137)))</f>
        <v/>
      </c>
      <c r="H137">
        <f>IF(F137="","",F137&amp;"#"&amp;G137)</f>
        <v/>
      </c>
      <c r="I137">
        <f>IF(F137="","",IFERROR(--'List 2'!B137,0))</f>
        <v/>
      </c>
      <c r="K137">
        <f>C137</f>
        <v/>
      </c>
      <c r="L137">
        <f>IF(K137="","",IF(ISNUMBER('List 1'!A137),'List 1'!A137,TRIM('List 1'!A137)))</f>
        <v/>
      </c>
      <c r="M137">
        <f>IF(K137="","",IF(ISNUMBER('List 1'!C137),'List 1'!C137,TRIM('List 1'!C137)))</f>
        <v/>
      </c>
      <c r="N137">
        <f>IF(K137="","",IF(ISNUMBER('List 1'!D137),'List 1'!D137,TRIM('List 1'!D137)))</f>
        <v/>
      </c>
      <c r="O137">
        <f>IF(K137="","",D137)</f>
        <v/>
      </c>
      <c r="P137">
        <f>IF(K137="","",IF(R137,SUMPRODUCT(--($H$2:$H$501=K137),$I$2:$I$501),0))</f>
        <v/>
      </c>
      <c r="Q137">
        <f>IF(K137="","",TRUE)</f>
        <v/>
      </c>
      <c r="R137">
        <f>IF(K137="","",SUMPRODUCT(--($H$2:$H$501=K137))&gt;0)</f>
        <v/>
      </c>
      <c r="S137">
        <f>IF(K137="","",IF(AND(Q137,R137),IF(O137=P137,"Match","Qty Different"),IF(Q137,"Only in List 1","Only in List 2")))</f>
        <v/>
      </c>
      <c r="T137">
        <f>IF(K137="","",IF(ISNUMBER(--L137),TEXT(--L137,"000000000000.000"),LOWER(L137)))</f>
        <v/>
      </c>
      <c r="U137">
        <f>IF(K137="","",IF(ISNUMBER(--M137),TEXT(--M137,"000000000000.000"),LOWER(M137)))</f>
        <v/>
      </c>
      <c r="V137">
        <f>IF(K137="","",LOWER(N137))</f>
        <v/>
      </c>
      <c r="W137">
        <f>IF(K137="","",B137)</f>
        <v/>
      </c>
      <c r="X137">
        <f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>
      <c r="A138">
        <f>IF(TRIM('List 1'!A138&amp;'List 1'!C138&amp;'List 1'!D138)="","",LOWER(TRIM('List 1'!A138)&amp;"|"&amp;TRIM('List 1'!C138)&amp;"|"&amp;TRIM('List 1'!D138)))</f>
        <v/>
      </c>
      <c r="B138">
        <f>IF(A138="","",SUMPRODUCT(--($A$2:A138=A138)))</f>
        <v/>
      </c>
      <c r="C138">
        <f>IF(A138="","",A138&amp;"#"&amp;B138)</f>
        <v/>
      </c>
      <c r="D138">
        <f>IF(A138="","",IFERROR(--'List 1'!B138,0))</f>
        <v/>
      </c>
      <c r="F138">
        <f>IF(TRIM('List 2'!A138&amp;'List 2'!C138&amp;'List 2'!D138)="","",LOWER(TRIM('List 2'!A138)&amp;"|"&amp;TRIM('List 2'!C138)&amp;"|"&amp;TRIM('List 2'!D138)))</f>
        <v/>
      </c>
      <c r="G138">
        <f>IF(F138="","",SUMPRODUCT(--($F$2:F138=F138)))</f>
        <v/>
      </c>
      <c r="H138">
        <f>IF(F138="","",F138&amp;"#"&amp;G138)</f>
        <v/>
      </c>
      <c r="I138">
        <f>IF(F138="","",IFERROR(--'List 2'!B138,0))</f>
        <v/>
      </c>
      <c r="K138">
        <f>C138</f>
        <v/>
      </c>
      <c r="L138">
        <f>IF(K138="","",IF(ISNUMBER('List 1'!A138),'List 1'!A138,TRIM('List 1'!A138)))</f>
        <v/>
      </c>
      <c r="M138">
        <f>IF(K138="","",IF(ISNUMBER('List 1'!C138),'List 1'!C138,TRIM('List 1'!C138)))</f>
        <v/>
      </c>
      <c r="N138">
        <f>IF(K138="","",IF(ISNUMBER('List 1'!D138),'List 1'!D138,TRIM('List 1'!D138)))</f>
        <v/>
      </c>
      <c r="O138">
        <f>IF(K138="","",D138)</f>
        <v/>
      </c>
      <c r="P138">
        <f>IF(K138="","",IF(R138,SUMPRODUCT(--($H$2:$H$501=K138),$I$2:$I$501),0))</f>
        <v/>
      </c>
      <c r="Q138">
        <f>IF(K138="","",TRUE)</f>
        <v/>
      </c>
      <c r="R138">
        <f>IF(K138="","",SUMPRODUCT(--($H$2:$H$501=K138))&gt;0)</f>
        <v/>
      </c>
      <c r="S138">
        <f>IF(K138="","",IF(AND(Q138,R138),IF(O138=P138,"Match","Qty Different"),IF(Q138,"Only in List 1","Only in List 2")))</f>
        <v/>
      </c>
      <c r="T138">
        <f>IF(K138="","",IF(ISNUMBER(--L138),TEXT(--L138,"000000000000.000"),LOWER(L138)))</f>
        <v/>
      </c>
      <c r="U138">
        <f>IF(K138="","",IF(ISNUMBER(--M138),TEXT(--M138,"000000000000.000"),LOWER(M138)))</f>
        <v/>
      </c>
      <c r="V138">
        <f>IF(K138="","",LOWER(N138))</f>
        <v/>
      </c>
      <c r="W138">
        <f>IF(K138="","",B138)</f>
        <v/>
      </c>
      <c r="X138">
        <f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>
      <c r="A139">
        <f>IF(TRIM('List 1'!A139&amp;'List 1'!C139&amp;'List 1'!D139)="","",LOWER(TRIM('List 1'!A139)&amp;"|"&amp;TRIM('List 1'!C139)&amp;"|"&amp;TRIM('List 1'!D139)))</f>
        <v/>
      </c>
      <c r="B139">
        <f>IF(A139="","",SUMPRODUCT(--($A$2:A139=A139)))</f>
        <v/>
      </c>
      <c r="C139">
        <f>IF(A139="","",A139&amp;"#"&amp;B139)</f>
        <v/>
      </c>
      <c r="D139">
        <f>IF(A139="","",IFERROR(--'List 1'!B139,0))</f>
        <v/>
      </c>
      <c r="F139">
        <f>IF(TRIM('List 2'!A139&amp;'List 2'!C139&amp;'List 2'!D139)="","",LOWER(TRIM('List 2'!A139)&amp;"|"&amp;TRIM('List 2'!C139)&amp;"|"&amp;TRIM('List 2'!D139)))</f>
        <v/>
      </c>
      <c r="G139">
        <f>IF(F139="","",SUMPRODUCT(--($F$2:F139=F139)))</f>
        <v/>
      </c>
      <c r="H139">
        <f>IF(F139="","",F139&amp;"#"&amp;G139)</f>
        <v/>
      </c>
      <c r="I139">
        <f>IF(F139="","",IFERROR(--'List 2'!B139,0))</f>
        <v/>
      </c>
      <c r="K139">
        <f>C139</f>
        <v/>
      </c>
      <c r="L139">
        <f>IF(K139="","",IF(ISNUMBER('List 1'!A139),'List 1'!A139,TRIM('List 1'!A139)))</f>
        <v/>
      </c>
      <c r="M139">
        <f>IF(K139="","",IF(ISNUMBER('List 1'!C139),'List 1'!C139,TRIM('List 1'!C139)))</f>
        <v/>
      </c>
      <c r="N139">
        <f>IF(K139="","",IF(ISNUMBER('List 1'!D139),'List 1'!D139,TRIM('List 1'!D139)))</f>
        <v/>
      </c>
      <c r="O139">
        <f>IF(K139="","",D139)</f>
        <v/>
      </c>
      <c r="P139">
        <f>IF(K139="","",IF(R139,SUMPRODUCT(--($H$2:$H$501=K139),$I$2:$I$501),0))</f>
        <v/>
      </c>
      <c r="Q139">
        <f>IF(K139="","",TRUE)</f>
        <v/>
      </c>
      <c r="R139">
        <f>IF(K139="","",SUMPRODUCT(--($H$2:$H$501=K139))&gt;0)</f>
        <v/>
      </c>
      <c r="S139">
        <f>IF(K139="","",IF(AND(Q139,R139),IF(O139=P139,"Match","Qty Different"),IF(Q139,"Only in List 1","Only in List 2")))</f>
        <v/>
      </c>
      <c r="T139">
        <f>IF(K139="","",IF(ISNUMBER(--L139),TEXT(--L139,"000000000000.000"),LOWER(L139)))</f>
        <v/>
      </c>
      <c r="U139">
        <f>IF(K139="","",IF(ISNUMBER(--M139),TEXT(--M139,"000000000000.000"),LOWER(M139)))</f>
        <v/>
      </c>
      <c r="V139">
        <f>IF(K139="","",LOWER(N139))</f>
        <v/>
      </c>
      <c r="W139">
        <f>IF(K139="","",B139)</f>
        <v/>
      </c>
      <c r="X139">
        <f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>
      <c r="A140">
        <f>IF(TRIM('List 1'!A140&amp;'List 1'!C140&amp;'List 1'!D140)="","",LOWER(TRIM('List 1'!A140)&amp;"|"&amp;TRIM('List 1'!C140)&amp;"|"&amp;TRIM('List 1'!D140)))</f>
        <v/>
      </c>
      <c r="B140">
        <f>IF(A140="","",SUMPRODUCT(--($A$2:A140=A140)))</f>
        <v/>
      </c>
      <c r="C140">
        <f>IF(A140="","",A140&amp;"#"&amp;B140)</f>
        <v/>
      </c>
      <c r="D140">
        <f>IF(A140="","",IFERROR(--'List 1'!B140,0))</f>
        <v/>
      </c>
      <c r="F140">
        <f>IF(TRIM('List 2'!A140&amp;'List 2'!C140&amp;'List 2'!D140)="","",LOWER(TRIM('List 2'!A140)&amp;"|"&amp;TRIM('List 2'!C140)&amp;"|"&amp;TRIM('List 2'!D140)))</f>
        <v/>
      </c>
      <c r="G140">
        <f>IF(F140="","",SUMPRODUCT(--($F$2:F140=F140)))</f>
        <v/>
      </c>
      <c r="H140">
        <f>IF(F140="","",F140&amp;"#"&amp;G140)</f>
        <v/>
      </c>
      <c r="I140">
        <f>IF(F140="","",IFERROR(--'List 2'!B140,0))</f>
        <v/>
      </c>
      <c r="K140">
        <f>C140</f>
        <v/>
      </c>
      <c r="L140">
        <f>IF(K140="","",IF(ISNUMBER('List 1'!A140),'List 1'!A140,TRIM('List 1'!A140)))</f>
        <v/>
      </c>
      <c r="M140">
        <f>IF(K140="","",IF(ISNUMBER('List 1'!C140),'List 1'!C140,TRIM('List 1'!C140)))</f>
        <v/>
      </c>
      <c r="N140">
        <f>IF(K140="","",IF(ISNUMBER('List 1'!D140),'List 1'!D140,TRIM('List 1'!D140)))</f>
        <v/>
      </c>
      <c r="O140">
        <f>IF(K140="","",D140)</f>
        <v/>
      </c>
      <c r="P140">
        <f>IF(K140="","",IF(R140,SUMPRODUCT(--($H$2:$H$501=K140),$I$2:$I$501),0))</f>
        <v/>
      </c>
      <c r="Q140">
        <f>IF(K140="","",TRUE)</f>
        <v/>
      </c>
      <c r="R140">
        <f>IF(K140="","",SUMPRODUCT(--($H$2:$H$501=K140))&gt;0)</f>
        <v/>
      </c>
      <c r="S140">
        <f>IF(K140="","",IF(AND(Q140,R140),IF(O140=P140,"Match","Qty Different"),IF(Q140,"Only in List 1","Only in List 2")))</f>
        <v/>
      </c>
      <c r="T140">
        <f>IF(K140="","",IF(ISNUMBER(--L140),TEXT(--L140,"000000000000.000"),LOWER(L140)))</f>
        <v/>
      </c>
      <c r="U140">
        <f>IF(K140="","",IF(ISNUMBER(--M140),TEXT(--M140,"000000000000.000"),LOWER(M140)))</f>
        <v/>
      </c>
      <c r="V140">
        <f>IF(K140="","",LOWER(N140))</f>
        <v/>
      </c>
      <c r="W140">
        <f>IF(K140="","",B140)</f>
        <v/>
      </c>
      <c r="X140">
        <f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>
      <c r="A141">
        <f>IF(TRIM('List 1'!A141&amp;'List 1'!C141&amp;'List 1'!D141)="","",LOWER(TRIM('List 1'!A141)&amp;"|"&amp;TRIM('List 1'!C141)&amp;"|"&amp;TRIM('List 1'!D141)))</f>
        <v/>
      </c>
      <c r="B141">
        <f>IF(A141="","",SUMPRODUCT(--($A$2:A141=A141)))</f>
        <v/>
      </c>
      <c r="C141">
        <f>IF(A141="","",A141&amp;"#"&amp;B141)</f>
        <v/>
      </c>
      <c r="D141">
        <f>IF(A141="","",IFERROR(--'List 1'!B141,0))</f>
        <v/>
      </c>
      <c r="F141">
        <f>IF(TRIM('List 2'!A141&amp;'List 2'!C141&amp;'List 2'!D141)="","",LOWER(TRIM('List 2'!A141)&amp;"|"&amp;TRIM('List 2'!C141)&amp;"|"&amp;TRIM('List 2'!D141)))</f>
        <v/>
      </c>
      <c r="G141">
        <f>IF(F141="","",SUMPRODUCT(--($F$2:F141=F141)))</f>
        <v/>
      </c>
      <c r="H141">
        <f>IF(F141="","",F141&amp;"#"&amp;G141)</f>
        <v/>
      </c>
      <c r="I141">
        <f>IF(F141="","",IFERROR(--'List 2'!B141,0))</f>
        <v/>
      </c>
      <c r="K141">
        <f>C141</f>
        <v/>
      </c>
      <c r="L141">
        <f>IF(K141="","",IF(ISNUMBER('List 1'!A141),'List 1'!A141,TRIM('List 1'!A141)))</f>
        <v/>
      </c>
      <c r="M141">
        <f>IF(K141="","",IF(ISNUMBER('List 1'!C141),'List 1'!C141,TRIM('List 1'!C141)))</f>
        <v/>
      </c>
      <c r="N141">
        <f>IF(K141="","",IF(ISNUMBER('List 1'!D141),'List 1'!D141,TRIM('List 1'!D141)))</f>
        <v/>
      </c>
      <c r="O141">
        <f>IF(K141="","",D141)</f>
        <v/>
      </c>
      <c r="P141">
        <f>IF(K141="","",IF(R141,SUMPRODUCT(--($H$2:$H$501=K141),$I$2:$I$501),0))</f>
        <v/>
      </c>
      <c r="Q141">
        <f>IF(K141="","",TRUE)</f>
        <v/>
      </c>
      <c r="R141">
        <f>IF(K141="","",SUMPRODUCT(--($H$2:$H$501=K141))&gt;0)</f>
        <v/>
      </c>
      <c r="S141">
        <f>IF(K141="","",IF(AND(Q141,R141),IF(O141=P141,"Match","Qty Different"),IF(Q141,"Only in List 1","Only in List 2")))</f>
        <v/>
      </c>
      <c r="T141">
        <f>IF(K141="","",IF(ISNUMBER(--L141),TEXT(--L141,"000000000000.000"),LOWER(L141)))</f>
        <v/>
      </c>
      <c r="U141">
        <f>IF(K141="","",IF(ISNUMBER(--M141),TEXT(--M141,"000000000000.000"),LOWER(M141)))</f>
        <v/>
      </c>
      <c r="V141">
        <f>IF(K141="","",LOWER(N141))</f>
        <v/>
      </c>
      <c r="W141">
        <f>IF(K141="","",B141)</f>
        <v/>
      </c>
      <c r="X141">
        <f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>
      <c r="A142">
        <f>IF(TRIM('List 1'!A142&amp;'List 1'!C142&amp;'List 1'!D142)="","",LOWER(TRIM('List 1'!A142)&amp;"|"&amp;TRIM('List 1'!C142)&amp;"|"&amp;TRIM('List 1'!D142)))</f>
        <v/>
      </c>
      <c r="B142">
        <f>IF(A142="","",SUMPRODUCT(--($A$2:A142=A142)))</f>
        <v/>
      </c>
      <c r="C142">
        <f>IF(A142="","",A142&amp;"#"&amp;B142)</f>
        <v/>
      </c>
      <c r="D142">
        <f>IF(A142="","",IFERROR(--'List 1'!B142,0))</f>
        <v/>
      </c>
      <c r="F142">
        <f>IF(TRIM('List 2'!A142&amp;'List 2'!C142&amp;'List 2'!D142)="","",LOWER(TRIM('List 2'!A142)&amp;"|"&amp;TRIM('List 2'!C142)&amp;"|"&amp;TRIM('List 2'!D142)))</f>
        <v/>
      </c>
      <c r="G142">
        <f>IF(F142="","",SUMPRODUCT(--($F$2:F142=F142)))</f>
        <v/>
      </c>
      <c r="H142">
        <f>IF(F142="","",F142&amp;"#"&amp;G142)</f>
        <v/>
      </c>
      <c r="I142">
        <f>IF(F142="","",IFERROR(--'List 2'!B142,0))</f>
        <v/>
      </c>
      <c r="K142">
        <f>C142</f>
        <v/>
      </c>
      <c r="L142">
        <f>IF(K142="","",IF(ISNUMBER('List 1'!A142),'List 1'!A142,TRIM('List 1'!A142)))</f>
        <v/>
      </c>
      <c r="M142">
        <f>IF(K142="","",IF(ISNUMBER('List 1'!C142),'List 1'!C142,TRIM('List 1'!C142)))</f>
        <v/>
      </c>
      <c r="N142">
        <f>IF(K142="","",IF(ISNUMBER('List 1'!D142),'List 1'!D142,TRIM('List 1'!D142)))</f>
        <v/>
      </c>
      <c r="O142">
        <f>IF(K142="","",D142)</f>
        <v/>
      </c>
      <c r="P142">
        <f>IF(K142="","",IF(R142,SUMPRODUCT(--($H$2:$H$501=K142),$I$2:$I$501),0))</f>
        <v/>
      </c>
      <c r="Q142">
        <f>IF(K142="","",TRUE)</f>
        <v/>
      </c>
      <c r="R142">
        <f>IF(K142="","",SUMPRODUCT(--($H$2:$H$501=K142))&gt;0)</f>
        <v/>
      </c>
      <c r="S142">
        <f>IF(K142="","",IF(AND(Q142,R142),IF(O142=P142,"Match","Qty Different"),IF(Q142,"Only in List 1","Only in List 2")))</f>
        <v/>
      </c>
      <c r="T142">
        <f>IF(K142="","",IF(ISNUMBER(--L142),TEXT(--L142,"000000000000.000"),LOWER(L142)))</f>
        <v/>
      </c>
      <c r="U142">
        <f>IF(K142="","",IF(ISNUMBER(--M142),TEXT(--M142,"000000000000.000"),LOWER(M142)))</f>
        <v/>
      </c>
      <c r="V142">
        <f>IF(K142="","",LOWER(N142))</f>
        <v/>
      </c>
      <c r="W142">
        <f>IF(K142="","",B142)</f>
        <v/>
      </c>
      <c r="X142">
        <f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>
      <c r="A143">
        <f>IF(TRIM('List 1'!A143&amp;'List 1'!C143&amp;'List 1'!D143)="","",LOWER(TRIM('List 1'!A143)&amp;"|"&amp;TRIM('List 1'!C143)&amp;"|"&amp;TRIM('List 1'!D143)))</f>
        <v/>
      </c>
      <c r="B143">
        <f>IF(A143="","",SUMPRODUCT(--($A$2:A143=A143)))</f>
        <v/>
      </c>
      <c r="C143">
        <f>IF(A143="","",A143&amp;"#"&amp;B143)</f>
        <v/>
      </c>
      <c r="D143">
        <f>IF(A143="","",IFERROR(--'List 1'!B143,0))</f>
        <v/>
      </c>
      <c r="F143">
        <f>IF(TRIM('List 2'!A143&amp;'List 2'!C143&amp;'List 2'!D143)="","",LOWER(TRIM('List 2'!A143)&amp;"|"&amp;TRIM('List 2'!C143)&amp;"|"&amp;TRIM('List 2'!D143)))</f>
        <v/>
      </c>
      <c r="G143">
        <f>IF(F143="","",SUMPRODUCT(--($F$2:F143=F143)))</f>
        <v/>
      </c>
      <c r="H143">
        <f>IF(F143="","",F143&amp;"#"&amp;G143)</f>
        <v/>
      </c>
      <c r="I143">
        <f>IF(F143="","",IFERROR(--'List 2'!B143,0))</f>
        <v/>
      </c>
      <c r="K143">
        <f>C143</f>
        <v/>
      </c>
      <c r="L143">
        <f>IF(K143="","",IF(ISNUMBER('List 1'!A143),'List 1'!A143,TRIM('List 1'!A143)))</f>
        <v/>
      </c>
      <c r="M143">
        <f>IF(K143="","",IF(ISNUMBER('List 1'!C143),'List 1'!C143,TRIM('List 1'!C143)))</f>
        <v/>
      </c>
      <c r="N143">
        <f>IF(K143="","",IF(ISNUMBER('List 1'!D143),'List 1'!D143,TRIM('List 1'!D143)))</f>
        <v/>
      </c>
      <c r="O143">
        <f>IF(K143="","",D143)</f>
        <v/>
      </c>
      <c r="P143">
        <f>IF(K143="","",IF(R143,SUMPRODUCT(--($H$2:$H$501=K143),$I$2:$I$501),0))</f>
        <v/>
      </c>
      <c r="Q143">
        <f>IF(K143="","",TRUE)</f>
        <v/>
      </c>
      <c r="R143">
        <f>IF(K143="","",SUMPRODUCT(--($H$2:$H$501=K143))&gt;0)</f>
        <v/>
      </c>
      <c r="S143">
        <f>IF(K143="","",IF(AND(Q143,R143),IF(O143=P143,"Match","Qty Different"),IF(Q143,"Only in List 1","Only in List 2")))</f>
        <v/>
      </c>
      <c r="T143">
        <f>IF(K143="","",IF(ISNUMBER(--L143),TEXT(--L143,"000000000000.000"),LOWER(L143)))</f>
        <v/>
      </c>
      <c r="U143">
        <f>IF(K143="","",IF(ISNUMBER(--M143),TEXT(--M143,"000000000000.000"),LOWER(M143)))</f>
        <v/>
      </c>
      <c r="V143">
        <f>IF(K143="","",LOWER(N143))</f>
        <v/>
      </c>
      <c r="W143">
        <f>IF(K143="","",B143)</f>
        <v/>
      </c>
      <c r="X143">
        <f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>
      <c r="A144">
        <f>IF(TRIM('List 1'!A144&amp;'List 1'!C144&amp;'List 1'!D144)="","",LOWER(TRIM('List 1'!A144)&amp;"|"&amp;TRIM('List 1'!C144)&amp;"|"&amp;TRIM('List 1'!D144)))</f>
        <v/>
      </c>
      <c r="B144">
        <f>IF(A144="","",SUMPRODUCT(--($A$2:A144=A144)))</f>
        <v/>
      </c>
      <c r="C144">
        <f>IF(A144="","",A144&amp;"#"&amp;B144)</f>
        <v/>
      </c>
      <c r="D144">
        <f>IF(A144="","",IFERROR(--'List 1'!B144,0))</f>
        <v/>
      </c>
      <c r="F144">
        <f>IF(TRIM('List 2'!A144&amp;'List 2'!C144&amp;'List 2'!D144)="","",LOWER(TRIM('List 2'!A144)&amp;"|"&amp;TRIM('List 2'!C144)&amp;"|"&amp;TRIM('List 2'!D144)))</f>
        <v/>
      </c>
      <c r="G144">
        <f>IF(F144="","",SUMPRODUCT(--($F$2:F144=F144)))</f>
        <v/>
      </c>
      <c r="H144">
        <f>IF(F144="","",F144&amp;"#"&amp;G144)</f>
        <v/>
      </c>
      <c r="I144">
        <f>IF(F144="","",IFERROR(--'List 2'!B144,0))</f>
        <v/>
      </c>
      <c r="K144">
        <f>C144</f>
        <v/>
      </c>
      <c r="L144">
        <f>IF(K144="","",IF(ISNUMBER('List 1'!A144),'List 1'!A144,TRIM('List 1'!A144)))</f>
        <v/>
      </c>
      <c r="M144">
        <f>IF(K144="","",IF(ISNUMBER('List 1'!C144),'List 1'!C144,TRIM('List 1'!C144)))</f>
        <v/>
      </c>
      <c r="N144">
        <f>IF(K144="","",IF(ISNUMBER('List 1'!D144),'List 1'!D144,TRIM('List 1'!D144)))</f>
        <v/>
      </c>
      <c r="O144">
        <f>IF(K144="","",D144)</f>
        <v/>
      </c>
      <c r="P144">
        <f>IF(K144="","",IF(R144,SUMPRODUCT(--($H$2:$H$501=K144),$I$2:$I$501),0))</f>
        <v/>
      </c>
      <c r="Q144">
        <f>IF(K144="","",TRUE)</f>
        <v/>
      </c>
      <c r="R144">
        <f>IF(K144="","",SUMPRODUCT(--($H$2:$H$501=K144))&gt;0)</f>
        <v/>
      </c>
      <c r="S144">
        <f>IF(K144="","",IF(AND(Q144,R144),IF(O144=P144,"Match","Qty Different"),IF(Q144,"Only in List 1","Only in List 2")))</f>
        <v/>
      </c>
      <c r="T144">
        <f>IF(K144="","",IF(ISNUMBER(--L144),TEXT(--L144,"000000000000.000"),LOWER(L144)))</f>
        <v/>
      </c>
      <c r="U144">
        <f>IF(K144="","",IF(ISNUMBER(--M144),TEXT(--M144,"000000000000.000"),LOWER(M144)))</f>
        <v/>
      </c>
      <c r="V144">
        <f>IF(K144="","",LOWER(N144))</f>
        <v/>
      </c>
      <c r="W144">
        <f>IF(K144="","",B144)</f>
        <v/>
      </c>
      <c r="X144">
        <f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>
      <c r="A145">
        <f>IF(TRIM('List 1'!A145&amp;'List 1'!C145&amp;'List 1'!D145)="","",LOWER(TRIM('List 1'!A145)&amp;"|"&amp;TRIM('List 1'!C145)&amp;"|"&amp;TRIM('List 1'!D145)))</f>
        <v/>
      </c>
      <c r="B145">
        <f>IF(A145="","",SUMPRODUCT(--($A$2:A145=A145)))</f>
        <v/>
      </c>
      <c r="C145">
        <f>IF(A145="","",A145&amp;"#"&amp;B145)</f>
        <v/>
      </c>
      <c r="D145">
        <f>IF(A145="","",IFERROR(--'List 1'!B145,0))</f>
        <v/>
      </c>
      <c r="F145">
        <f>IF(TRIM('List 2'!A145&amp;'List 2'!C145&amp;'List 2'!D145)="","",LOWER(TRIM('List 2'!A145)&amp;"|"&amp;TRIM('List 2'!C145)&amp;"|"&amp;TRIM('List 2'!D145)))</f>
        <v/>
      </c>
      <c r="G145">
        <f>IF(F145="","",SUMPRODUCT(--($F$2:F145=F145)))</f>
        <v/>
      </c>
      <c r="H145">
        <f>IF(F145="","",F145&amp;"#"&amp;G145)</f>
        <v/>
      </c>
      <c r="I145">
        <f>IF(F145="","",IFERROR(--'List 2'!B145,0))</f>
        <v/>
      </c>
      <c r="K145">
        <f>C145</f>
        <v/>
      </c>
      <c r="L145">
        <f>IF(K145="","",IF(ISNUMBER('List 1'!A145),'List 1'!A145,TRIM('List 1'!A145)))</f>
        <v/>
      </c>
      <c r="M145">
        <f>IF(K145="","",IF(ISNUMBER('List 1'!C145),'List 1'!C145,TRIM('List 1'!C145)))</f>
        <v/>
      </c>
      <c r="N145">
        <f>IF(K145="","",IF(ISNUMBER('List 1'!D145),'List 1'!D145,TRIM('List 1'!D145)))</f>
        <v/>
      </c>
      <c r="O145">
        <f>IF(K145="","",D145)</f>
        <v/>
      </c>
      <c r="P145">
        <f>IF(K145="","",IF(R145,SUMPRODUCT(--($H$2:$H$501=K145),$I$2:$I$501),0))</f>
        <v/>
      </c>
      <c r="Q145">
        <f>IF(K145="","",TRUE)</f>
        <v/>
      </c>
      <c r="R145">
        <f>IF(K145="","",SUMPRODUCT(--($H$2:$H$501=K145))&gt;0)</f>
        <v/>
      </c>
      <c r="S145">
        <f>IF(K145="","",IF(AND(Q145,R145),IF(O145=P145,"Match","Qty Different"),IF(Q145,"Only in List 1","Only in List 2")))</f>
        <v/>
      </c>
      <c r="T145">
        <f>IF(K145="","",IF(ISNUMBER(--L145),TEXT(--L145,"000000000000.000"),LOWER(L145)))</f>
        <v/>
      </c>
      <c r="U145">
        <f>IF(K145="","",IF(ISNUMBER(--M145),TEXT(--M145,"000000000000.000"),LOWER(M145)))</f>
        <v/>
      </c>
      <c r="V145">
        <f>IF(K145="","",LOWER(N145))</f>
        <v/>
      </c>
      <c r="W145">
        <f>IF(K145="","",B145)</f>
        <v/>
      </c>
      <c r="X145">
        <f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>
      <c r="A146">
        <f>IF(TRIM('List 1'!A146&amp;'List 1'!C146&amp;'List 1'!D146)="","",LOWER(TRIM('List 1'!A146)&amp;"|"&amp;TRIM('List 1'!C146)&amp;"|"&amp;TRIM('List 1'!D146)))</f>
        <v/>
      </c>
      <c r="B146">
        <f>IF(A146="","",SUMPRODUCT(--($A$2:A146=A146)))</f>
        <v/>
      </c>
      <c r="C146">
        <f>IF(A146="","",A146&amp;"#"&amp;B146)</f>
        <v/>
      </c>
      <c r="D146">
        <f>IF(A146="","",IFERROR(--'List 1'!B146,0))</f>
        <v/>
      </c>
      <c r="F146">
        <f>IF(TRIM('List 2'!A146&amp;'List 2'!C146&amp;'List 2'!D146)="","",LOWER(TRIM('List 2'!A146)&amp;"|"&amp;TRIM('List 2'!C146)&amp;"|"&amp;TRIM('List 2'!D146)))</f>
        <v/>
      </c>
      <c r="G146">
        <f>IF(F146="","",SUMPRODUCT(--($F$2:F146=F146)))</f>
        <v/>
      </c>
      <c r="H146">
        <f>IF(F146="","",F146&amp;"#"&amp;G146)</f>
        <v/>
      </c>
      <c r="I146">
        <f>IF(F146="","",IFERROR(--'List 2'!B146,0))</f>
        <v/>
      </c>
      <c r="K146">
        <f>C146</f>
        <v/>
      </c>
      <c r="L146">
        <f>IF(K146="","",IF(ISNUMBER('List 1'!A146),'List 1'!A146,TRIM('List 1'!A146)))</f>
        <v/>
      </c>
      <c r="M146">
        <f>IF(K146="","",IF(ISNUMBER('List 1'!C146),'List 1'!C146,TRIM('List 1'!C146)))</f>
        <v/>
      </c>
      <c r="N146">
        <f>IF(K146="","",IF(ISNUMBER('List 1'!D146),'List 1'!D146,TRIM('List 1'!D146)))</f>
        <v/>
      </c>
      <c r="O146">
        <f>IF(K146="","",D146)</f>
        <v/>
      </c>
      <c r="P146">
        <f>IF(K146="","",IF(R146,SUMPRODUCT(--($H$2:$H$501=K146),$I$2:$I$501),0))</f>
        <v/>
      </c>
      <c r="Q146">
        <f>IF(K146="","",TRUE)</f>
        <v/>
      </c>
      <c r="R146">
        <f>IF(K146="","",SUMPRODUCT(--($H$2:$H$501=K146))&gt;0)</f>
        <v/>
      </c>
      <c r="S146">
        <f>IF(K146="","",IF(AND(Q146,R146),IF(O146=P146,"Match","Qty Different"),IF(Q146,"Only in List 1","Only in List 2")))</f>
        <v/>
      </c>
      <c r="T146">
        <f>IF(K146="","",IF(ISNUMBER(--L146),TEXT(--L146,"000000000000.000"),LOWER(L146)))</f>
        <v/>
      </c>
      <c r="U146">
        <f>IF(K146="","",IF(ISNUMBER(--M146),TEXT(--M146,"000000000000.000"),LOWER(M146)))</f>
        <v/>
      </c>
      <c r="V146">
        <f>IF(K146="","",LOWER(N146))</f>
        <v/>
      </c>
      <c r="W146">
        <f>IF(K146="","",B146)</f>
        <v/>
      </c>
      <c r="X146">
        <f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>
      <c r="A147">
        <f>IF(TRIM('List 1'!A147&amp;'List 1'!C147&amp;'List 1'!D147)="","",LOWER(TRIM('List 1'!A147)&amp;"|"&amp;TRIM('List 1'!C147)&amp;"|"&amp;TRIM('List 1'!D147)))</f>
        <v/>
      </c>
      <c r="B147">
        <f>IF(A147="","",SUMPRODUCT(--($A$2:A147=A147)))</f>
        <v/>
      </c>
      <c r="C147">
        <f>IF(A147="","",A147&amp;"#"&amp;B147)</f>
        <v/>
      </c>
      <c r="D147">
        <f>IF(A147="","",IFERROR(--'List 1'!B147,0))</f>
        <v/>
      </c>
      <c r="F147">
        <f>IF(TRIM('List 2'!A147&amp;'List 2'!C147&amp;'List 2'!D147)="","",LOWER(TRIM('List 2'!A147)&amp;"|"&amp;TRIM('List 2'!C147)&amp;"|"&amp;TRIM('List 2'!D147)))</f>
        <v/>
      </c>
      <c r="G147">
        <f>IF(F147="","",SUMPRODUCT(--($F$2:F147=F147)))</f>
        <v/>
      </c>
      <c r="H147">
        <f>IF(F147="","",F147&amp;"#"&amp;G147)</f>
        <v/>
      </c>
      <c r="I147">
        <f>IF(F147="","",IFERROR(--'List 2'!B147,0))</f>
        <v/>
      </c>
      <c r="K147">
        <f>C147</f>
        <v/>
      </c>
      <c r="L147">
        <f>IF(K147="","",IF(ISNUMBER('List 1'!A147),'List 1'!A147,TRIM('List 1'!A147)))</f>
        <v/>
      </c>
      <c r="M147">
        <f>IF(K147="","",IF(ISNUMBER('List 1'!C147),'List 1'!C147,TRIM('List 1'!C147)))</f>
        <v/>
      </c>
      <c r="N147">
        <f>IF(K147="","",IF(ISNUMBER('List 1'!D147),'List 1'!D147,TRIM('List 1'!D147)))</f>
        <v/>
      </c>
      <c r="O147">
        <f>IF(K147="","",D147)</f>
        <v/>
      </c>
      <c r="P147">
        <f>IF(K147="","",IF(R147,SUMPRODUCT(--($H$2:$H$501=K147),$I$2:$I$501),0))</f>
        <v/>
      </c>
      <c r="Q147">
        <f>IF(K147="","",TRUE)</f>
        <v/>
      </c>
      <c r="R147">
        <f>IF(K147="","",SUMPRODUCT(--($H$2:$H$501=K147))&gt;0)</f>
        <v/>
      </c>
      <c r="S147">
        <f>IF(K147="","",IF(AND(Q147,R147),IF(O147=P147,"Match","Qty Different"),IF(Q147,"Only in List 1","Only in List 2")))</f>
        <v/>
      </c>
      <c r="T147">
        <f>IF(K147="","",IF(ISNUMBER(--L147),TEXT(--L147,"000000000000.000"),LOWER(L147)))</f>
        <v/>
      </c>
      <c r="U147">
        <f>IF(K147="","",IF(ISNUMBER(--M147),TEXT(--M147,"000000000000.000"),LOWER(M147)))</f>
        <v/>
      </c>
      <c r="V147">
        <f>IF(K147="","",LOWER(N147))</f>
        <v/>
      </c>
      <c r="W147">
        <f>IF(K147="","",B147)</f>
        <v/>
      </c>
      <c r="X147">
        <f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>
      <c r="A148">
        <f>IF(TRIM('List 1'!A148&amp;'List 1'!C148&amp;'List 1'!D148)="","",LOWER(TRIM('List 1'!A148)&amp;"|"&amp;TRIM('List 1'!C148)&amp;"|"&amp;TRIM('List 1'!D148)))</f>
        <v/>
      </c>
      <c r="B148">
        <f>IF(A148="","",SUMPRODUCT(--($A$2:A148=A148)))</f>
        <v/>
      </c>
      <c r="C148">
        <f>IF(A148="","",A148&amp;"#"&amp;B148)</f>
        <v/>
      </c>
      <c r="D148">
        <f>IF(A148="","",IFERROR(--'List 1'!B148,0))</f>
        <v/>
      </c>
      <c r="F148">
        <f>IF(TRIM('List 2'!A148&amp;'List 2'!C148&amp;'List 2'!D148)="","",LOWER(TRIM('List 2'!A148)&amp;"|"&amp;TRIM('List 2'!C148)&amp;"|"&amp;TRIM('List 2'!D148)))</f>
        <v/>
      </c>
      <c r="G148">
        <f>IF(F148="","",SUMPRODUCT(--($F$2:F148=F148)))</f>
        <v/>
      </c>
      <c r="H148">
        <f>IF(F148="","",F148&amp;"#"&amp;G148)</f>
        <v/>
      </c>
      <c r="I148">
        <f>IF(F148="","",IFERROR(--'List 2'!B148,0))</f>
        <v/>
      </c>
      <c r="K148">
        <f>C148</f>
        <v/>
      </c>
      <c r="L148">
        <f>IF(K148="","",IF(ISNUMBER('List 1'!A148),'List 1'!A148,TRIM('List 1'!A148)))</f>
        <v/>
      </c>
      <c r="M148">
        <f>IF(K148="","",IF(ISNUMBER('List 1'!C148),'List 1'!C148,TRIM('List 1'!C148)))</f>
        <v/>
      </c>
      <c r="N148">
        <f>IF(K148="","",IF(ISNUMBER('List 1'!D148),'List 1'!D148,TRIM('List 1'!D148)))</f>
        <v/>
      </c>
      <c r="O148">
        <f>IF(K148="","",D148)</f>
        <v/>
      </c>
      <c r="P148">
        <f>IF(K148="","",IF(R148,SUMPRODUCT(--($H$2:$H$501=K148),$I$2:$I$501),0))</f>
        <v/>
      </c>
      <c r="Q148">
        <f>IF(K148="","",TRUE)</f>
        <v/>
      </c>
      <c r="R148">
        <f>IF(K148="","",SUMPRODUCT(--($H$2:$H$501=K148))&gt;0)</f>
        <v/>
      </c>
      <c r="S148">
        <f>IF(K148="","",IF(AND(Q148,R148),IF(O148=P148,"Match","Qty Different"),IF(Q148,"Only in List 1","Only in List 2")))</f>
        <v/>
      </c>
      <c r="T148">
        <f>IF(K148="","",IF(ISNUMBER(--L148),TEXT(--L148,"000000000000.000"),LOWER(L148)))</f>
        <v/>
      </c>
      <c r="U148">
        <f>IF(K148="","",IF(ISNUMBER(--M148),TEXT(--M148,"000000000000.000"),LOWER(M148)))</f>
        <v/>
      </c>
      <c r="V148">
        <f>IF(K148="","",LOWER(N148))</f>
        <v/>
      </c>
      <c r="W148">
        <f>IF(K148="","",B148)</f>
        <v/>
      </c>
      <c r="X148">
        <f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>
      <c r="A149">
        <f>IF(TRIM('List 1'!A149&amp;'List 1'!C149&amp;'List 1'!D149)="","",LOWER(TRIM('List 1'!A149)&amp;"|"&amp;TRIM('List 1'!C149)&amp;"|"&amp;TRIM('List 1'!D149)))</f>
        <v/>
      </c>
      <c r="B149">
        <f>IF(A149="","",SUMPRODUCT(--($A$2:A149=A149)))</f>
        <v/>
      </c>
      <c r="C149">
        <f>IF(A149="","",A149&amp;"#"&amp;B149)</f>
        <v/>
      </c>
      <c r="D149">
        <f>IF(A149="","",IFERROR(--'List 1'!B149,0))</f>
        <v/>
      </c>
      <c r="F149">
        <f>IF(TRIM('List 2'!A149&amp;'List 2'!C149&amp;'List 2'!D149)="","",LOWER(TRIM('List 2'!A149)&amp;"|"&amp;TRIM('List 2'!C149)&amp;"|"&amp;TRIM('List 2'!D149)))</f>
        <v/>
      </c>
      <c r="G149">
        <f>IF(F149="","",SUMPRODUCT(--($F$2:F149=F149)))</f>
        <v/>
      </c>
      <c r="H149">
        <f>IF(F149="","",F149&amp;"#"&amp;G149)</f>
        <v/>
      </c>
      <c r="I149">
        <f>IF(F149="","",IFERROR(--'List 2'!B149,0))</f>
        <v/>
      </c>
      <c r="K149">
        <f>C149</f>
        <v/>
      </c>
      <c r="L149">
        <f>IF(K149="","",IF(ISNUMBER('List 1'!A149),'List 1'!A149,TRIM('List 1'!A149)))</f>
        <v/>
      </c>
      <c r="M149">
        <f>IF(K149="","",IF(ISNUMBER('List 1'!C149),'List 1'!C149,TRIM('List 1'!C149)))</f>
        <v/>
      </c>
      <c r="N149">
        <f>IF(K149="","",IF(ISNUMBER('List 1'!D149),'List 1'!D149,TRIM('List 1'!D149)))</f>
        <v/>
      </c>
      <c r="O149">
        <f>IF(K149="","",D149)</f>
        <v/>
      </c>
      <c r="P149">
        <f>IF(K149="","",IF(R149,SUMPRODUCT(--($H$2:$H$501=K149),$I$2:$I$501),0))</f>
        <v/>
      </c>
      <c r="Q149">
        <f>IF(K149="","",TRUE)</f>
        <v/>
      </c>
      <c r="R149">
        <f>IF(K149="","",SUMPRODUCT(--($H$2:$H$501=K149))&gt;0)</f>
        <v/>
      </c>
      <c r="S149">
        <f>IF(K149="","",IF(AND(Q149,R149),IF(O149=P149,"Match","Qty Different"),IF(Q149,"Only in List 1","Only in List 2")))</f>
        <v/>
      </c>
      <c r="T149">
        <f>IF(K149="","",IF(ISNUMBER(--L149),TEXT(--L149,"000000000000.000"),LOWER(L149)))</f>
        <v/>
      </c>
      <c r="U149">
        <f>IF(K149="","",IF(ISNUMBER(--M149),TEXT(--M149,"000000000000.000"),LOWER(M149)))</f>
        <v/>
      </c>
      <c r="V149">
        <f>IF(K149="","",LOWER(N149))</f>
        <v/>
      </c>
      <c r="W149">
        <f>IF(K149="","",B149)</f>
        <v/>
      </c>
      <c r="X149">
        <f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>
      <c r="A150">
        <f>IF(TRIM('List 1'!A150&amp;'List 1'!C150&amp;'List 1'!D150)="","",LOWER(TRIM('List 1'!A150)&amp;"|"&amp;TRIM('List 1'!C150)&amp;"|"&amp;TRIM('List 1'!D150)))</f>
        <v/>
      </c>
      <c r="B150">
        <f>IF(A150="","",SUMPRODUCT(--($A$2:A150=A150)))</f>
        <v/>
      </c>
      <c r="C150">
        <f>IF(A150="","",A150&amp;"#"&amp;B150)</f>
        <v/>
      </c>
      <c r="D150">
        <f>IF(A150="","",IFERROR(--'List 1'!B150,0))</f>
        <v/>
      </c>
      <c r="F150">
        <f>IF(TRIM('List 2'!A150&amp;'List 2'!C150&amp;'List 2'!D150)="","",LOWER(TRIM('List 2'!A150)&amp;"|"&amp;TRIM('List 2'!C150)&amp;"|"&amp;TRIM('List 2'!D150)))</f>
        <v/>
      </c>
      <c r="G150">
        <f>IF(F150="","",SUMPRODUCT(--($F$2:F150=F150)))</f>
        <v/>
      </c>
      <c r="H150">
        <f>IF(F150="","",F150&amp;"#"&amp;G150)</f>
        <v/>
      </c>
      <c r="I150">
        <f>IF(F150="","",IFERROR(--'List 2'!B150,0))</f>
        <v/>
      </c>
      <c r="K150">
        <f>C150</f>
        <v/>
      </c>
      <c r="L150">
        <f>IF(K150="","",IF(ISNUMBER('List 1'!A150),'List 1'!A150,TRIM('List 1'!A150)))</f>
        <v/>
      </c>
      <c r="M150">
        <f>IF(K150="","",IF(ISNUMBER('List 1'!C150),'List 1'!C150,TRIM('List 1'!C150)))</f>
        <v/>
      </c>
      <c r="N150">
        <f>IF(K150="","",IF(ISNUMBER('List 1'!D150),'List 1'!D150,TRIM('List 1'!D150)))</f>
        <v/>
      </c>
      <c r="O150">
        <f>IF(K150="","",D150)</f>
        <v/>
      </c>
      <c r="P150">
        <f>IF(K150="","",IF(R150,SUMPRODUCT(--($H$2:$H$501=K150),$I$2:$I$501),0))</f>
        <v/>
      </c>
      <c r="Q150">
        <f>IF(K150="","",TRUE)</f>
        <v/>
      </c>
      <c r="R150">
        <f>IF(K150="","",SUMPRODUCT(--($H$2:$H$501=K150))&gt;0)</f>
        <v/>
      </c>
      <c r="S150">
        <f>IF(K150="","",IF(AND(Q150,R150),IF(O150=P150,"Match","Qty Different"),IF(Q150,"Only in List 1","Only in List 2")))</f>
        <v/>
      </c>
      <c r="T150">
        <f>IF(K150="","",IF(ISNUMBER(--L150),TEXT(--L150,"000000000000.000"),LOWER(L150)))</f>
        <v/>
      </c>
      <c r="U150">
        <f>IF(K150="","",IF(ISNUMBER(--M150),TEXT(--M150,"000000000000.000"),LOWER(M150)))</f>
        <v/>
      </c>
      <c r="V150">
        <f>IF(K150="","",LOWER(N150))</f>
        <v/>
      </c>
      <c r="W150">
        <f>IF(K150="","",B150)</f>
        <v/>
      </c>
      <c r="X150">
        <f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>
      <c r="A151">
        <f>IF(TRIM('List 1'!A151&amp;'List 1'!C151&amp;'List 1'!D151)="","",LOWER(TRIM('List 1'!A151)&amp;"|"&amp;TRIM('List 1'!C151)&amp;"|"&amp;TRIM('List 1'!D151)))</f>
        <v/>
      </c>
      <c r="B151">
        <f>IF(A151="","",SUMPRODUCT(--($A$2:A151=A151)))</f>
        <v/>
      </c>
      <c r="C151">
        <f>IF(A151="","",A151&amp;"#"&amp;B151)</f>
        <v/>
      </c>
      <c r="D151">
        <f>IF(A151="","",IFERROR(--'List 1'!B151,0))</f>
        <v/>
      </c>
      <c r="F151">
        <f>IF(TRIM('List 2'!A151&amp;'List 2'!C151&amp;'List 2'!D151)="","",LOWER(TRIM('List 2'!A151)&amp;"|"&amp;TRIM('List 2'!C151)&amp;"|"&amp;TRIM('List 2'!D151)))</f>
        <v/>
      </c>
      <c r="G151">
        <f>IF(F151="","",SUMPRODUCT(--($F$2:F151=F151)))</f>
        <v/>
      </c>
      <c r="H151">
        <f>IF(F151="","",F151&amp;"#"&amp;G151)</f>
        <v/>
      </c>
      <c r="I151">
        <f>IF(F151="","",IFERROR(--'List 2'!B151,0))</f>
        <v/>
      </c>
      <c r="K151">
        <f>C151</f>
        <v/>
      </c>
      <c r="L151">
        <f>IF(K151="","",IF(ISNUMBER('List 1'!A151),'List 1'!A151,TRIM('List 1'!A151)))</f>
        <v/>
      </c>
      <c r="M151">
        <f>IF(K151="","",IF(ISNUMBER('List 1'!C151),'List 1'!C151,TRIM('List 1'!C151)))</f>
        <v/>
      </c>
      <c r="N151">
        <f>IF(K151="","",IF(ISNUMBER('List 1'!D151),'List 1'!D151,TRIM('List 1'!D151)))</f>
        <v/>
      </c>
      <c r="O151">
        <f>IF(K151="","",D151)</f>
        <v/>
      </c>
      <c r="P151">
        <f>IF(K151="","",IF(R151,SUMPRODUCT(--($H$2:$H$501=K151),$I$2:$I$501),0))</f>
        <v/>
      </c>
      <c r="Q151">
        <f>IF(K151="","",TRUE)</f>
        <v/>
      </c>
      <c r="R151">
        <f>IF(K151="","",SUMPRODUCT(--($H$2:$H$501=K151))&gt;0)</f>
        <v/>
      </c>
      <c r="S151">
        <f>IF(K151="","",IF(AND(Q151,R151),IF(O151=P151,"Match","Qty Different"),IF(Q151,"Only in List 1","Only in List 2")))</f>
        <v/>
      </c>
      <c r="T151">
        <f>IF(K151="","",IF(ISNUMBER(--L151),TEXT(--L151,"000000000000.000"),LOWER(L151)))</f>
        <v/>
      </c>
      <c r="U151">
        <f>IF(K151="","",IF(ISNUMBER(--M151),TEXT(--M151,"000000000000.000"),LOWER(M151)))</f>
        <v/>
      </c>
      <c r="V151">
        <f>IF(K151="","",LOWER(N151))</f>
        <v/>
      </c>
      <c r="W151">
        <f>IF(K151="","",B151)</f>
        <v/>
      </c>
      <c r="X151">
        <f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>
      <c r="A152">
        <f>IF(TRIM('List 1'!A152&amp;'List 1'!C152&amp;'List 1'!D152)="","",LOWER(TRIM('List 1'!A152)&amp;"|"&amp;TRIM('List 1'!C152)&amp;"|"&amp;TRIM('List 1'!D152)))</f>
        <v/>
      </c>
      <c r="B152">
        <f>IF(A152="","",SUMPRODUCT(--($A$2:A152=A152)))</f>
        <v/>
      </c>
      <c r="C152">
        <f>IF(A152="","",A152&amp;"#"&amp;B152)</f>
        <v/>
      </c>
      <c r="D152">
        <f>IF(A152="","",IFERROR(--'List 1'!B152,0))</f>
        <v/>
      </c>
      <c r="F152">
        <f>IF(TRIM('List 2'!A152&amp;'List 2'!C152&amp;'List 2'!D152)="","",LOWER(TRIM('List 2'!A152)&amp;"|"&amp;TRIM('List 2'!C152)&amp;"|"&amp;TRIM('List 2'!D152)))</f>
        <v/>
      </c>
      <c r="G152">
        <f>IF(F152="","",SUMPRODUCT(--($F$2:F152=F152)))</f>
        <v/>
      </c>
      <c r="H152">
        <f>IF(F152="","",F152&amp;"#"&amp;G152)</f>
        <v/>
      </c>
      <c r="I152">
        <f>IF(F152="","",IFERROR(--'List 2'!B152,0))</f>
        <v/>
      </c>
      <c r="K152">
        <f>C152</f>
        <v/>
      </c>
      <c r="L152">
        <f>IF(K152="","",IF(ISNUMBER('List 1'!A152),'List 1'!A152,TRIM('List 1'!A152)))</f>
        <v/>
      </c>
      <c r="M152">
        <f>IF(K152="","",IF(ISNUMBER('List 1'!C152),'List 1'!C152,TRIM('List 1'!C152)))</f>
        <v/>
      </c>
      <c r="N152">
        <f>IF(K152="","",IF(ISNUMBER('List 1'!D152),'List 1'!D152,TRIM('List 1'!D152)))</f>
        <v/>
      </c>
      <c r="O152">
        <f>IF(K152="","",D152)</f>
        <v/>
      </c>
      <c r="P152">
        <f>IF(K152="","",IF(R152,SUMPRODUCT(--($H$2:$H$501=K152),$I$2:$I$501),0))</f>
        <v/>
      </c>
      <c r="Q152">
        <f>IF(K152="","",TRUE)</f>
        <v/>
      </c>
      <c r="R152">
        <f>IF(K152="","",SUMPRODUCT(--($H$2:$H$501=K152))&gt;0)</f>
        <v/>
      </c>
      <c r="S152">
        <f>IF(K152="","",IF(AND(Q152,R152),IF(O152=P152,"Match","Qty Different"),IF(Q152,"Only in List 1","Only in List 2")))</f>
        <v/>
      </c>
      <c r="T152">
        <f>IF(K152="","",IF(ISNUMBER(--L152),TEXT(--L152,"000000000000.000"),LOWER(L152)))</f>
        <v/>
      </c>
      <c r="U152">
        <f>IF(K152="","",IF(ISNUMBER(--M152),TEXT(--M152,"000000000000.000"),LOWER(M152)))</f>
        <v/>
      </c>
      <c r="V152">
        <f>IF(K152="","",LOWER(N152))</f>
        <v/>
      </c>
      <c r="W152">
        <f>IF(K152="","",B152)</f>
        <v/>
      </c>
      <c r="X152">
        <f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>
      <c r="A153">
        <f>IF(TRIM('List 1'!A153&amp;'List 1'!C153&amp;'List 1'!D153)="","",LOWER(TRIM('List 1'!A153)&amp;"|"&amp;TRIM('List 1'!C153)&amp;"|"&amp;TRIM('List 1'!D153)))</f>
        <v/>
      </c>
      <c r="B153">
        <f>IF(A153="","",SUMPRODUCT(--($A$2:A153=A153)))</f>
        <v/>
      </c>
      <c r="C153">
        <f>IF(A153="","",A153&amp;"#"&amp;B153)</f>
        <v/>
      </c>
      <c r="D153">
        <f>IF(A153="","",IFERROR(--'List 1'!B153,0))</f>
        <v/>
      </c>
      <c r="F153">
        <f>IF(TRIM('List 2'!A153&amp;'List 2'!C153&amp;'List 2'!D153)="","",LOWER(TRIM('List 2'!A153)&amp;"|"&amp;TRIM('List 2'!C153)&amp;"|"&amp;TRIM('List 2'!D153)))</f>
        <v/>
      </c>
      <c r="G153">
        <f>IF(F153="","",SUMPRODUCT(--($F$2:F153=F153)))</f>
        <v/>
      </c>
      <c r="H153">
        <f>IF(F153="","",F153&amp;"#"&amp;G153)</f>
        <v/>
      </c>
      <c r="I153">
        <f>IF(F153="","",IFERROR(--'List 2'!B153,0))</f>
        <v/>
      </c>
      <c r="K153">
        <f>C153</f>
        <v/>
      </c>
      <c r="L153">
        <f>IF(K153="","",IF(ISNUMBER('List 1'!A153),'List 1'!A153,TRIM('List 1'!A153)))</f>
        <v/>
      </c>
      <c r="M153">
        <f>IF(K153="","",IF(ISNUMBER('List 1'!C153),'List 1'!C153,TRIM('List 1'!C153)))</f>
        <v/>
      </c>
      <c r="N153">
        <f>IF(K153="","",IF(ISNUMBER('List 1'!D153),'List 1'!D153,TRIM('List 1'!D153)))</f>
        <v/>
      </c>
      <c r="O153">
        <f>IF(K153="","",D153)</f>
        <v/>
      </c>
      <c r="P153">
        <f>IF(K153="","",IF(R153,SUMPRODUCT(--($H$2:$H$501=K153),$I$2:$I$501),0))</f>
        <v/>
      </c>
      <c r="Q153">
        <f>IF(K153="","",TRUE)</f>
        <v/>
      </c>
      <c r="R153">
        <f>IF(K153="","",SUMPRODUCT(--($H$2:$H$501=K153))&gt;0)</f>
        <v/>
      </c>
      <c r="S153">
        <f>IF(K153="","",IF(AND(Q153,R153),IF(O153=P153,"Match","Qty Different"),IF(Q153,"Only in List 1","Only in List 2")))</f>
        <v/>
      </c>
      <c r="T153">
        <f>IF(K153="","",IF(ISNUMBER(--L153),TEXT(--L153,"000000000000.000"),LOWER(L153)))</f>
        <v/>
      </c>
      <c r="U153">
        <f>IF(K153="","",IF(ISNUMBER(--M153),TEXT(--M153,"000000000000.000"),LOWER(M153)))</f>
        <v/>
      </c>
      <c r="V153">
        <f>IF(K153="","",LOWER(N153))</f>
        <v/>
      </c>
      <c r="W153">
        <f>IF(K153="","",B153)</f>
        <v/>
      </c>
      <c r="X153">
        <f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>
      <c r="A154">
        <f>IF(TRIM('List 1'!A154&amp;'List 1'!C154&amp;'List 1'!D154)="","",LOWER(TRIM('List 1'!A154)&amp;"|"&amp;TRIM('List 1'!C154)&amp;"|"&amp;TRIM('List 1'!D154)))</f>
        <v/>
      </c>
      <c r="B154">
        <f>IF(A154="","",SUMPRODUCT(--($A$2:A154=A154)))</f>
        <v/>
      </c>
      <c r="C154">
        <f>IF(A154="","",A154&amp;"#"&amp;B154)</f>
        <v/>
      </c>
      <c r="D154">
        <f>IF(A154="","",IFERROR(--'List 1'!B154,0))</f>
        <v/>
      </c>
      <c r="F154">
        <f>IF(TRIM('List 2'!A154&amp;'List 2'!C154&amp;'List 2'!D154)="","",LOWER(TRIM('List 2'!A154)&amp;"|"&amp;TRIM('List 2'!C154)&amp;"|"&amp;TRIM('List 2'!D154)))</f>
        <v/>
      </c>
      <c r="G154">
        <f>IF(F154="","",SUMPRODUCT(--($F$2:F154=F154)))</f>
        <v/>
      </c>
      <c r="H154">
        <f>IF(F154="","",F154&amp;"#"&amp;G154)</f>
        <v/>
      </c>
      <c r="I154">
        <f>IF(F154="","",IFERROR(--'List 2'!B154,0))</f>
        <v/>
      </c>
      <c r="K154">
        <f>C154</f>
        <v/>
      </c>
      <c r="L154">
        <f>IF(K154="","",IF(ISNUMBER('List 1'!A154),'List 1'!A154,TRIM('List 1'!A154)))</f>
        <v/>
      </c>
      <c r="M154">
        <f>IF(K154="","",IF(ISNUMBER('List 1'!C154),'List 1'!C154,TRIM('List 1'!C154)))</f>
        <v/>
      </c>
      <c r="N154">
        <f>IF(K154="","",IF(ISNUMBER('List 1'!D154),'List 1'!D154,TRIM('List 1'!D154)))</f>
        <v/>
      </c>
      <c r="O154">
        <f>IF(K154="","",D154)</f>
        <v/>
      </c>
      <c r="P154">
        <f>IF(K154="","",IF(R154,SUMPRODUCT(--($H$2:$H$501=K154),$I$2:$I$501),0))</f>
        <v/>
      </c>
      <c r="Q154">
        <f>IF(K154="","",TRUE)</f>
        <v/>
      </c>
      <c r="R154">
        <f>IF(K154="","",SUMPRODUCT(--($H$2:$H$501=K154))&gt;0)</f>
        <v/>
      </c>
      <c r="S154">
        <f>IF(K154="","",IF(AND(Q154,R154),IF(O154=P154,"Match","Qty Different"),IF(Q154,"Only in List 1","Only in List 2")))</f>
        <v/>
      </c>
      <c r="T154">
        <f>IF(K154="","",IF(ISNUMBER(--L154),TEXT(--L154,"000000000000.000"),LOWER(L154)))</f>
        <v/>
      </c>
      <c r="U154">
        <f>IF(K154="","",IF(ISNUMBER(--M154),TEXT(--M154,"000000000000.000"),LOWER(M154)))</f>
        <v/>
      </c>
      <c r="V154">
        <f>IF(K154="","",LOWER(N154))</f>
        <v/>
      </c>
      <c r="W154">
        <f>IF(K154="","",B154)</f>
        <v/>
      </c>
      <c r="X154">
        <f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>
      <c r="A155">
        <f>IF(TRIM('List 1'!A155&amp;'List 1'!C155&amp;'List 1'!D155)="","",LOWER(TRIM('List 1'!A155)&amp;"|"&amp;TRIM('List 1'!C155)&amp;"|"&amp;TRIM('List 1'!D155)))</f>
        <v/>
      </c>
      <c r="B155">
        <f>IF(A155="","",SUMPRODUCT(--($A$2:A155=A155)))</f>
        <v/>
      </c>
      <c r="C155">
        <f>IF(A155="","",A155&amp;"#"&amp;B155)</f>
        <v/>
      </c>
      <c r="D155">
        <f>IF(A155="","",IFERROR(--'List 1'!B155,0))</f>
        <v/>
      </c>
      <c r="F155">
        <f>IF(TRIM('List 2'!A155&amp;'List 2'!C155&amp;'List 2'!D155)="","",LOWER(TRIM('List 2'!A155)&amp;"|"&amp;TRIM('List 2'!C155)&amp;"|"&amp;TRIM('List 2'!D155)))</f>
        <v/>
      </c>
      <c r="G155">
        <f>IF(F155="","",SUMPRODUCT(--($F$2:F155=F155)))</f>
        <v/>
      </c>
      <c r="H155">
        <f>IF(F155="","",F155&amp;"#"&amp;G155)</f>
        <v/>
      </c>
      <c r="I155">
        <f>IF(F155="","",IFERROR(--'List 2'!B155,0))</f>
        <v/>
      </c>
      <c r="K155">
        <f>C155</f>
        <v/>
      </c>
      <c r="L155">
        <f>IF(K155="","",IF(ISNUMBER('List 1'!A155),'List 1'!A155,TRIM('List 1'!A155)))</f>
        <v/>
      </c>
      <c r="M155">
        <f>IF(K155="","",IF(ISNUMBER('List 1'!C155),'List 1'!C155,TRIM('List 1'!C155)))</f>
        <v/>
      </c>
      <c r="N155">
        <f>IF(K155="","",IF(ISNUMBER('List 1'!D155),'List 1'!D155,TRIM('List 1'!D155)))</f>
        <v/>
      </c>
      <c r="O155">
        <f>IF(K155="","",D155)</f>
        <v/>
      </c>
      <c r="P155">
        <f>IF(K155="","",IF(R155,SUMPRODUCT(--($H$2:$H$501=K155),$I$2:$I$501),0))</f>
        <v/>
      </c>
      <c r="Q155">
        <f>IF(K155="","",TRUE)</f>
        <v/>
      </c>
      <c r="R155">
        <f>IF(K155="","",SUMPRODUCT(--($H$2:$H$501=K155))&gt;0)</f>
        <v/>
      </c>
      <c r="S155">
        <f>IF(K155="","",IF(AND(Q155,R155),IF(O155=P155,"Match","Qty Different"),IF(Q155,"Only in List 1","Only in List 2")))</f>
        <v/>
      </c>
      <c r="T155">
        <f>IF(K155="","",IF(ISNUMBER(--L155),TEXT(--L155,"000000000000.000"),LOWER(L155)))</f>
        <v/>
      </c>
      <c r="U155">
        <f>IF(K155="","",IF(ISNUMBER(--M155),TEXT(--M155,"000000000000.000"),LOWER(M155)))</f>
        <v/>
      </c>
      <c r="V155">
        <f>IF(K155="","",LOWER(N155))</f>
        <v/>
      </c>
      <c r="W155">
        <f>IF(K155="","",B155)</f>
        <v/>
      </c>
      <c r="X155">
        <f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>
      <c r="A156">
        <f>IF(TRIM('List 1'!A156&amp;'List 1'!C156&amp;'List 1'!D156)="","",LOWER(TRIM('List 1'!A156)&amp;"|"&amp;TRIM('List 1'!C156)&amp;"|"&amp;TRIM('List 1'!D156)))</f>
        <v/>
      </c>
      <c r="B156">
        <f>IF(A156="","",SUMPRODUCT(--($A$2:A156=A156)))</f>
        <v/>
      </c>
      <c r="C156">
        <f>IF(A156="","",A156&amp;"#"&amp;B156)</f>
        <v/>
      </c>
      <c r="D156">
        <f>IF(A156="","",IFERROR(--'List 1'!B156,0))</f>
        <v/>
      </c>
      <c r="F156">
        <f>IF(TRIM('List 2'!A156&amp;'List 2'!C156&amp;'List 2'!D156)="","",LOWER(TRIM('List 2'!A156)&amp;"|"&amp;TRIM('List 2'!C156)&amp;"|"&amp;TRIM('List 2'!D156)))</f>
        <v/>
      </c>
      <c r="G156">
        <f>IF(F156="","",SUMPRODUCT(--($F$2:F156=F156)))</f>
        <v/>
      </c>
      <c r="H156">
        <f>IF(F156="","",F156&amp;"#"&amp;G156)</f>
        <v/>
      </c>
      <c r="I156">
        <f>IF(F156="","",IFERROR(--'List 2'!B156,0))</f>
        <v/>
      </c>
      <c r="K156">
        <f>C156</f>
        <v/>
      </c>
      <c r="L156">
        <f>IF(K156="","",IF(ISNUMBER('List 1'!A156),'List 1'!A156,TRIM('List 1'!A156)))</f>
        <v/>
      </c>
      <c r="M156">
        <f>IF(K156="","",IF(ISNUMBER('List 1'!C156),'List 1'!C156,TRIM('List 1'!C156)))</f>
        <v/>
      </c>
      <c r="N156">
        <f>IF(K156="","",IF(ISNUMBER('List 1'!D156),'List 1'!D156,TRIM('List 1'!D156)))</f>
        <v/>
      </c>
      <c r="O156">
        <f>IF(K156="","",D156)</f>
        <v/>
      </c>
      <c r="P156">
        <f>IF(K156="","",IF(R156,SUMPRODUCT(--($H$2:$H$501=K156),$I$2:$I$501),0))</f>
        <v/>
      </c>
      <c r="Q156">
        <f>IF(K156="","",TRUE)</f>
        <v/>
      </c>
      <c r="R156">
        <f>IF(K156="","",SUMPRODUCT(--($H$2:$H$501=K156))&gt;0)</f>
        <v/>
      </c>
      <c r="S156">
        <f>IF(K156="","",IF(AND(Q156,R156),IF(O156=P156,"Match","Qty Different"),IF(Q156,"Only in List 1","Only in List 2")))</f>
        <v/>
      </c>
      <c r="T156">
        <f>IF(K156="","",IF(ISNUMBER(--L156),TEXT(--L156,"000000000000.000"),LOWER(L156)))</f>
        <v/>
      </c>
      <c r="U156">
        <f>IF(K156="","",IF(ISNUMBER(--M156),TEXT(--M156,"000000000000.000"),LOWER(M156)))</f>
        <v/>
      </c>
      <c r="V156">
        <f>IF(K156="","",LOWER(N156))</f>
        <v/>
      </c>
      <c r="W156">
        <f>IF(K156="","",B156)</f>
        <v/>
      </c>
      <c r="X156">
        <f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>
      <c r="A157">
        <f>IF(TRIM('List 1'!A157&amp;'List 1'!C157&amp;'List 1'!D157)="","",LOWER(TRIM('List 1'!A157)&amp;"|"&amp;TRIM('List 1'!C157)&amp;"|"&amp;TRIM('List 1'!D157)))</f>
        <v/>
      </c>
      <c r="B157">
        <f>IF(A157="","",SUMPRODUCT(--($A$2:A157=A157)))</f>
        <v/>
      </c>
      <c r="C157">
        <f>IF(A157="","",A157&amp;"#"&amp;B157)</f>
        <v/>
      </c>
      <c r="D157">
        <f>IF(A157="","",IFERROR(--'List 1'!B157,0))</f>
        <v/>
      </c>
      <c r="F157">
        <f>IF(TRIM('List 2'!A157&amp;'List 2'!C157&amp;'List 2'!D157)="","",LOWER(TRIM('List 2'!A157)&amp;"|"&amp;TRIM('List 2'!C157)&amp;"|"&amp;TRIM('List 2'!D157)))</f>
        <v/>
      </c>
      <c r="G157">
        <f>IF(F157="","",SUMPRODUCT(--($F$2:F157=F157)))</f>
        <v/>
      </c>
      <c r="H157">
        <f>IF(F157="","",F157&amp;"#"&amp;G157)</f>
        <v/>
      </c>
      <c r="I157">
        <f>IF(F157="","",IFERROR(--'List 2'!B157,0))</f>
        <v/>
      </c>
      <c r="K157">
        <f>C157</f>
        <v/>
      </c>
      <c r="L157">
        <f>IF(K157="","",IF(ISNUMBER('List 1'!A157),'List 1'!A157,TRIM('List 1'!A157)))</f>
        <v/>
      </c>
      <c r="M157">
        <f>IF(K157="","",IF(ISNUMBER('List 1'!C157),'List 1'!C157,TRIM('List 1'!C157)))</f>
        <v/>
      </c>
      <c r="N157">
        <f>IF(K157="","",IF(ISNUMBER('List 1'!D157),'List 1'!D157,TRIM('List 1'!D157)))</f>
        <v/>
      </c>
      <c r="O157">
        <f>IF(K157="","",D157)</f>
        <v/>
      </c>
      <c r="P157">
        <f>IF(K157="","",IF(R157,SUMPRODUCT(--($H$2:$H$501=K157),$I$2:$I$501),0))</f>
        <v/>
      </c>
      <c r="Q157">
        <f>IF(K157="","",TRUE)</f>
        <v/>
      </c>
      <c r="R157">
        <f>IF(K157="","",SUMPRODUCT(--($H$2:$H$501=K157))&gt;0)</f>
        <v/>
      </c>
      <c r="S157">
        <f>IF(K157="","",IF(AND(Q157,R157),IF(O157=P157,"Match","Qty Different"),IF(Q157,"Only in List 1","Only in List 2")))</f>
        <v/>
      </c>
      <c r="T157">
        <f>IF(K157="","",IF(ISNUMBER(--L157),TEXT(--L157,"000000000000.000"),LOWER(L157)))</f>
        <v/>
      </c>
      <c r="U157">
        <f>IF(K157="","",IF(ISNUMBER(--M157),TEXT(--M157,"000000000000.000"),LOWER(M157)))</f>
        <v/>
      </c>
      <c r="V157">
        <f>IF(K157="","",LOWER(N157))</f>
        <v/>
      </c>
      <c r="W157">
        <f>IF(K157="","",B157)</f>
        <v/>
      </c>
      <c r="X157">
        <f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>
      <c r="A158">
        <f>IF(TRIM('List 1'!A158&amp;'List 1'!C158&amp;'List 1'!D158)="","",LOWER(TRIM('List 1'!A158)&amp;"|"&amp;TRIM('List 1'!C158)&amp;"|"&amp;TRIM('List 1'!D158)))</f>
        <v/>
      </c>
      <c r="B158">
        <f>IF(A158="","",SUMPRODUCT(--($A$2:A158=A158)))</f>
        <v/>
      </c>
      <c r="C158">
        <f>IF(A158="","",A158&amp;"#"&amp;B158)</f>
        <v/>
      </c>
      <c r="D158">
        <f>IF(A158="","",IFERROR(--'List 1'!B158,0))</f>
        <v/>
      </c>
      <c r="F158">
        <f>IF(TRIM('List 2'!A158&amp;'List 2'!C158&amp;'List 2'!D158)="","",LOWER(TRIM('List 2'!A158)&amp;"|"&amp;TRIM('List 2'!C158)&amp;"|"&amp;TRIM('List 2'!D158)))</f>
        <v/>
      </c>
      <c r="G158">
        <f>IF(F158="","",SUMPRODUCT(--($F$2:F158=F158)))</f>
        <v/>
      </c>
      <c r="H158">
        <f>IF(F158="","",F158&amp;"#"&amp;G158)</f>
        <v/>
      </c>
      <c r="I158">
        <f>IF(F158="","",IFERROR(--'List 2'!B158,0))</f>
        <v/>
      </c>
      <c r="K158">
        <f>C158</f>
        <v/>
      </c>
      <c r="L158">
        <f>IF(K158="","",IF(ISNUMBER('List 1'!A158),'List 1'!A158,TRIM('List 1'!A158)))</f>
        <v/>
      </c>
      <c r="M158">
        <f>IF(K158="","",IF(ISNUMBER('List 1'!C158),'List 1'!C158,TRIM('List 1'!C158)))</f>
        <v/>
      </c>
      <c r="N158">
        <f>IF(K158="","",IF(ISNUMBER('List 1'!D158),'List 1'!D158,TRIM('List 1'!D158)))</f>
        <v/>
      </c>
      <c r="O158">
        <f>IF(K158="","",D158)</f>
        <v/>
      </c>
      <c r="P158">
        <f>IF(K158="","",IF(R158,SUMPRODUCT(--($H$2:$H$501=K158),$I$2:$I$501),0))</f>
        <v/>
      </c>
      <c r="Q158">
        <f>IF(K158="","",TRUE)</f>
        <v/>
      </c>
      <c r="R158">
        <f>IF(K158="","",SUMPRODUCT(--($H$2:$H$501=K158))&gt;0)</f>
        <v/>
      </c>
      <c r="S158">
        <f>IF(K158="","",IF(AND(Q158,R158),IF(O158=P158,"Match","Qty Different"),IF(Q158,"Only in List 1","Only in List 2")))</f>
        <v/>
      </c>
      <c r="T158">
        <f>IF(K158="","",IF(ISNUMBER(--L158),TEXT(--L158,"000000000000.000"),LOWER(L158)))</f>
        <v/>
      </c>
      <c r="U158">
        <f>IF(K158="","",IF(ISNUMBER(--M158),TEXT(--M158,"000000000000.000"),LOWER(M158)))</f>
        <v/>
      </c>
      <c r="V158">
        <f>IF(K158="","",LOWER(N158))</f>
        <v/>
      </c>
      <c r="W158">
        <f>IF(K158="","",B158)</f>
        <v/>
      </c>
      <c r="X158">
        <f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>
      <c r="A159">
        <f>IF(TRIM('List 1'!A159&amp;'List 1'!C159&amp;'List 1'!D159)="","",LOWER(TRIM('List 1'!A159)&amp;"|"&amp;TRIM('List 1'!C159)&amp;"|"&amp;TRIM('List 1'!D159)))</f>
        <v/>
      </c>
      <c r="B159">
        <f>IF(A159="","",SUMPRODUCT(--($A$2:A159=A159)))</f>
        <v/>
      </c>
      <c r="C159">
        <f>IF(A159="","",A159&amp;"#"&amp;B159)</f>
        <v/>
      </c>
      <c r="D159">
        <f>IF(A159="","",IFERROR(--'List 1'!B159,0))</f>
        <v/>
      </c>
      <c r="F159">
        <f>IF(TRIM('List 2'!A159&amp;'List 2'!C159&amp;'List 2'!D159)="","",LOWER(TRIM('List 2'!A159)&amp;"|"&amp;TRIM('List 2'!C159)&amp;"|"&amp;TRIM('List 2'!D159)))</f>
        <v/>
      </c>
      <c r="G159">
        <f>IF(F159="","",SUMPRODUCT(--($F$2:F159=F159)))</f>
        <v/>
      </c>
      <c r="H159">
        <f>IF(F159="","",F159&amp;"#"&amp;G159)</f>
        <v/>
      </c>
      <c r="I159">
        <f>IF(F159="","",IFERROR(--'List 2'!B159,0))</f>
        <v/>
      </c>
      <c r="K159">
        <f>C159</f>
        <v/>
      </c>
      <c r="L159">
        <f>IF(K159="","",IF(ISNUMBER('List 1'!A159),'List 1'!A159,TRIM('List 1'!A159)))</f>
        <v/>
      </c>
      <c r="M159">
        <f>IF(K159="","",IF(ISNUMBER('List 1'!C159),'List 1'!C159,TRIM('List 1'!C159)))</f>
        <v/>
      </c>
      <c r="N159">
        <f>IF(K159="","",IF(ISNUMBER('List 1'!D159),'List 1'!D159,TRIM('List 1'!D159)))</f>
        <v/>
      </c>
      <c r="O159">
        <f>IF(K159="","",D159)</f>
        <v/>
      </c>
      <c r="P159">
        <f>IF(K159="","",IF(R159,SUMPRODUCT(--($H$2:$H$501=K159),$I$2:$I$501),0))</f>
        <v/>
      </c>
      <c r="Q159">
        <f>IF(K159="","",TRUE)</f>
        <v/>
      </c>
      <c r="R159">
        <f>IF(K159="","",SUMPRODUCT(--($H$2:$H$501=K159))&gt;0)</f>
        <v/>
      </c>
      <c r="S159">
        <f>IF(K159="","",IF(AND(Q159,R159),IF(O159=P159,"Match","Qty Different"),IF(Q159,"Only in List 1","Only in List 2")))</f>
        <v/>
      </c>
      <c r="T159">
        <f>IF(K159="","",IF(ISNUMBER(--L159),TEXT(--L159,"000000000000.000"),LOWER(L159)))</f>
        <v/>
      </c>
      <c r="U159">
        <f>IF(K159="","",IF(ISNUMBER(--M159),TEXT(--M159,"000000000000.000"),LOWER(M159)))</f>
        <v/>
      </c>
      <c r="V159">
        <f>IF(K159="","",LOWER(N159))</f>
        <v/>
      </c>
      <c r="W159">
        <f>IF(K159="","",B159)</f>
        <v/>
      </c>
      <c r="X159">
        <f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>
      <c r="A160">
        <f>IF(TRIM('List 1'!A160&amp;'List 1'!C160&amp;'List 1'!D160)="","",LOWER(TRIM('List 1'!A160)&amp;"|"&amp;TRIM('List 1'!C160)&amp;"|"&amp;TRIM('List 1'!D160)))</f>
        <v/>
      </c>
      <c r="B160">
        <f>IF(A160="","",SUMPRODUCT(--($A$2:A160=A160)))</f>
        <v/>
      </c>
      <c r="C160">
        <f>IF(A160="","",A160&amp;"#"&amp;B160)</f>
        <v/>
      </c>
      <c r="D160">
        <f>IF(A160="","",IFERROR(--'List 1'!B160,0))</f>
        <v/>
      </c>
      <c r="F160">
        <f>IF(TRIM('List 2'!A160&amp;'List 2'!C160&amp;'List 2'!D160)="","",LOWER(TRIM('List 2'!A160)&amp;"|"&amp;TRIM('List 2'!C160)&amp;"|"&amp;TRIM('List 2'!D160)))</f>
        <v/>
      </c>
      <c r="G160">
        <f>IF(F160="","",SUMPRODUCT(--($F$2:F160=F160)))</f>
        <v/>
      </c>
      <c r="H160">
        <f>IF(F160="","",F160&amp;"#"&amp;G160)</f>
        <v/>
      </c>
      <c r="I160">
        <f>IF(F160="","",IFERROR(--'List 2'!B160,0))</f>
        <v/>
      </c>
      <c r="K160">
        <f>C160</f>
        <v/>
      </c>
      <c r="L160">
        <f>IF(K160="","",IF(ISNUMBER('List 1'!A160),'List 1'!A160,TRIM('List 1'!A160)))</f>
        <v/>
      </c>
      <c r="M160">
        <f>IF(K160="","",IF(ISNUMBER('List 1'!C160),'List 1'!C160,TRIM('List 1'!C160)))</f>
        <v/>
      </c>
      <c r="N160">
        <f>IF(K160="","",IF(ISNUMBER('List 1'!D160),'List 1'!D160,TRIM('List 1'!D160)))</f>
        <v/>
      </c>
      <c r="O160">
        <f>IF(K160="","",D160)</f>
        <v/>
      </c>
      <c r="P160">
        <f>IF(K160="","",IF(R160,SUMPRODUCT(--($H$2:$H$501=K160),$I$2:$I$501),0))</f>
        <v/>
      </c>
      <c r="Q160">
        <f>IF(K160="","",TRUE)</f>
        <v/>
      </c>
      <c r="R160">
        <f>IF(K160="","",SUMPRODUCT(--($H$2:$H$501=K160))&gt;0)</f>
        <v/>
      </c>
      <c r="S160">
        <f>IF(K160="","",IF(AND(Q160,R160),IF(O160=P160,"Match","Qty Different"),IF(Q160,"Only in List 1","Only in List 2")))</f>
        <v/>
      </c>
      <c r="T160">
        <f>IF(K160="","",IF(ISNUMBER(--L160),TEXT(--L160,"000000000000.000"),LOWER(L160)))</f>
        <v/>
      </c>
      <c r="U160">
        <f>IF(K160="","",IF(ISNUMBER(--M160),TEXT(--M160,"000000000000.000"),LOWER(M160)))</f>
        <v/>
      </c>
      <c r="V160">
        <f>IF(K160="","",LOWER(N160))</f>
        <v/>
      </c>
      <c r="W160">
        <f>IF(K160="","",B160)</f>
        <v/>
      </c>
      <c r="X160">
        <f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>
      <c r="A161">
        <f>IF(TRIM('List 1'!A161&amp;'List 1'!C161&amp;'List 1'!D161)="","",LOWER(TRIM('List 1'!A161)&amp;"|"&amp;TRIM('List 1'!C161)&amp;"|"&amp;TRIM('List 1'!D161)))</f>
        <v/>
      </c>
      <c r="B161">
        <f>IF(A161="","",SUMPRODUCT(--($A$2:A161=A161)))</f>
        <v/>
      </c>
      <c r="C161">
        <f>IF(A161="","",A161&amp;"#"&amp;B161)</f>
        <v/>
      </c>
      <c r="D161">
        <f>IF(A161="","",IFERROR(--'List 1'!B161,0))</f>
        <v/>
      </c>
      <c r="F161">
        <f>IF(TRIM('List 2'!A161&amp;'List 2'!C161&amp;'List 2'!D161)="","",LOWER(TRIM('List 2'!A161)&amp;"|"&amp;TRIM('List 2'!C161)&amp;"|"&amp;TRIM('List 2'!D161)))</f>
        <v/>
      </c>
      <c r="G161">
        <f>IF(F161="","",SUMPRODUCT(--($F$2:F161=F161)))</f>
        <v/>
      </c>
      <c r="H161">
        <f>IF(F161="","",F161&amp;"#"&amp;G161)</f>
        <v/>
      </c>
      <c r="I161">
        <f>IF(F161="","",IFERROR(--'List 2'!B161,0))</f>
        <v/>
      </c>
      <c r="K161">
        <f>C161</f>
        <v/>
      </c>
      <c r="L161">
        <f>IF(K161="","",IF(ISNUMBER('List 1'!A161),'List 1'!A161,TRIM('List 1'!A161)))</f>
        <v/>
      </c>
      <c r="M161">
        <f>IF(K161="","",IF(ISNUMBER('List 1'!C161),'List 1'!C161,TRIM('List 1'!C161)))</f>
        <v/>
      </c>
      <c r="N161">
        <f>IF(K161="","",IF(ISNUMBER('List 1'!D161),'List 1'!D161,TRIM('List 1'!D161)))</f>
        <v/>
      </c>
      <c r="O161">
        <f>IF(K161="","",D161)</f>
        <v/>
      </c>
      <c r="P161">
        <f>IF(K161="","",IF(R161,SUMPRODUCT(--($H$2:$H$501=K161),$I$2:$I$501),0))</f>
        <v/>
      </c>
      <c r="Q161">
        <f>IF(K161="","",TRUE)</f>
        <v/>
      </c>
      <c r="R161">
        <f>IF(K161="","",SUMPRODUCT(--($H$2:$H$501=K161))&gt;0)</f>
        <v/>
      </c>
      <c r="S161">
        <f>IF(K161="","",IF(AND(Q161,R161),IF(O161=P161,"Match","Qty Different"),IF(Q161,"Only in List 1","Only in List 2")))</f>
        <v/>
      </c>
      <c r="T161">
        <f>IF(K161="","",IF(ISNUMBER(--L161),TEXT(--L161,"000000000000.000"),LOWER(L161)))</f>
        <v/>
      </c>
      <c r="U161">
        <f>IF(K161="","",IF(ISNUMBER(--M161),TEXT(--M161,"000000000000.000"),LOWER(M161)))</f>
        <v/>
      </c>
      <c r="V161">
        <f>IF(K161="","",LOWER(N161))</f>
        <v/>
      </c>
      <c r="W161">
        <f>IF(K161="","",B161)</f>
        <v/>
      </c>
      <c r="X161">
        <f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>
      <c r="A162">
        <f>IF(TRIM('List 1'!A162&amp;'List 1'!C162&amp;'List 1'!D162)="","",LOWER(TRIM('List 1'!A162)&amp;"|"&amp;TRIM('List 1'!C162)&amp;"|"&amp;TRIM('List 1'!D162)))</f>
        <v/>
      </c>
      <c r="B162">
        <f>IF(A162="","",SUMPRODUCT(--($A$2:A162=A162)))</f>
        <v/>
      </c>
      <c r="C162">
        <f>IF(A162="","",A162&amp;"#"&amp;B162)</f>
        <v/>
      </c>
      <c r="D162">
        <f>IF(A162="","",IFERROR(--'List 1'!B162,0))</f>
        <v/>
      </c>
      <c r="F162">
        <f>IF(TRIM('List 2'!A162&amp;'List 2'!C162&amp;'List 2'!D162)="","",LOWER(TRIM('List 2'!A162)&amp;"|"&amp;TRIM('List 2'!C162)&amp;"|"&amp;TRIM('List 2'!D162)))</f>
        <v/>
      </c>
      <c r="G162">
        <f>IF(F162="","",SUMPRODUCT(--($F$2:F162=F162)))</f>
        <v/>
      </c>
      <c r="H162">
        <f>IF(F162="","",F162&amp;"#"&amp;G162)</f>
        <v/>
      </c>
      <c r="I162">
        <f>IF(F162="","",IFERROR(--'List 2'!B162,0))</f>
        <v/>
      </c>
      <c r="K162">
        <f>C162</f>
        <v/>
      </c>
      <c r="L162">
        <f>IF(K162="","",IF(ISNUMBER('List 1'!A162),'List 1'!A162,TRIM('List 1'!A162)))</f>
        <v/>
      </c>
      <c r="M162">
        <f>IF(K162="","",IF(ISNUMBER('List 1'!C162),'List 1'!C162,TRIM('List 1'!C162)))</f>
        <v/>
      </c>
      <c r="N162">
        <f>IF(K162="","",IF(ISNUMBER('List 1'!D162),'List 1'!D162,TRIM('List 1'!D162)))</f>
        <v/>
      </c>
      <c r="O162">
        <f>IF(K162="","",D162)</f>
        <v/>
      </c>
      <c r="P162">
        <f>IF(K162="","",IF(R162,SUMPRODUCT(--($H$2:$H$501=K162),$I$2:$I$501),0))</f>
        <v/>
      </c>
      <c r="Q162">
        <f>IF(K162="","",TRUE)</f>
        <v/>
      </c>
      <c r="R162">
        <f>IF(K162="","",SUMPRODUCT(--($H$2:$H$501=K162))&gt;0)</f>
        <v/>
      </c>
      <c r="S162">
        <f>IF(K162="","",IF(AND(Q162,R162),IF(O162=P162,"Match","Qty Different"),IF(Q162,"Only in List 1","Only in List 2")))</f>
        <v/>
      </c>
      <c r="T162">
        <f>IF(K162="","",IF(ISNUMBER(--L162),TEXT(--L162,"000000000000.000"),LOWER(L162)))</f>
        <v/>
      </c>
      <c r="U162">
        <f>IF(K162="","",IF(ISNUMBER(--M162),TEXT(--M162,"000000000000.000"),LOWER(M162)))</f>
        <v/>
      </c>
      <c r="V162">
        <f>IF(K162="","",LOWER(N162))</f>
        <v/>
      </c>
      <c r="W162">
        <f>IF(K162="","",B162)</f>
        <v/>
      </c>
      <c r="X162">
        <f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>
      <c r="A163">
        <f>IF(TRIM('List 1'!A163&amp;'List 1'!C163&amp;'List 1'!D163)="","",LOWER(TRIM('List 1'!A163)&amp;"|"&amp;TRIM('List 1'!C163)&amp;"|"&amp;TRIM('List 1'!D163)))</f>
        <v/>
      </c>
      <c r="B163">
        <f>IF(A163="","",SUMPRODUCT(--($A$2:A163=A163)))</f>
        <v/>
      </c>
      <c r="C163">
        <f>IF(A163="","",A163&amp;"#"&amp;B163)</f>
        <v/>
      </c>
      <c r="D163">
        <f>IF(A163="","",IFERROR(--'List 1'!B163,0))</f>
        <v/>
      </c>
      <c r="F163">
        <f>IF(TRIM('List 2'!A163&amp;'List 2'!C163&amp;'List 2'!D163)="","",LOWER(TRIM('List 2'!A163)&amp;"|"&amp;TRIM('List 2'!C163)&amp;"|"&amp;TRIM('List 2'!D163)))</f>
        <v/>
      </c>
      <c r="G163">
        <f>IF(F163="","",SUMPRODUCT(--($F$2:F163=F163)))</f>
        <v/>
      </c>
      <c r="H163">
        <f>IF(F163="","",F163&amp;"#"&amp;G163)</f>
        <v/>
      </c>
      <c r="I163">
        <f>IF(F163="","",IFERROR(--'List 2'!B163,0))</f>
        <v/>
      </c>
      <c r="K163">
        <f>C163</f>
        <v/>
      </c>
      <c r="L163">
        <f>IF(K163="","",IF(ISNUMBER('List 1'!A163),'List 1'!A163,TRIM('List 1'!A163)))</f>
        <v/>
      </c>
      <c r="M163">
        <f>IF(K163="","",IF(ISNUMBER('List 1'!C163),'List 1'!C163,TRIM('List 1'!C163)))</f>
        <v/>
      </c>
      <c r="N163">
        <f>IF(K163="","",IF(ISNUMBER('List 1'!D163),'List 1'!D163,TRIM('List 1'!D163)))</f>
        <v/>
      </c>
      <c r="O163">
        <f>IF(K163="","",D163)</f>
        <v/>
      </c>
      <c r="P163">
        <f>IF(K163="","",IF(R163,SUMPRODUCT(--($H$2:$H$501=K163),$I$2:$I$501),0))</f>
        <v/>
      </c>
      <c r="Q163">
        <f>IF(K163="","",TRUE)</f>
        <v/>
      </c>
      <c r="R163">
        <f>IF(K163="","",SUMPRODUCT(--($H$2:$H$501=K163))&gt;0)</f>
        <v/>
      </c>
      <c r="S163">
        <f>IF(K163="","",IF(AND(Q163,R163),IF(O163=P163,"Match","Qty Different"),IF(Q163,"Only in List 1","Only in List 2")))</f>
        <v/>
      </c>
      <c r="T163">
        <f>IF(K163="","",IF(ISNUMBER(--L163),TEXT(--L163,"000000000000.000"),LOWER(L163)))</f>
        <v/>
      </c>
      <c r="U163">
        <f>IF(K163="","",IF(ISNUMBER(--M163),TEXT(--M163,"000000000000.000"),LOWER(M163)))</f>
        <v/>
      </c>
      <c r="V163">
        <f>IF(K163="","",LOWER(N163))</f>
        <v/>
      </c>
      <c r="W163">
        <f>IF(K163="","",B163)</f>
        <v/>
      </c>
      <c r="X163">
        <f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>
      <c r="A164">
        <f>IF(TRIM('List 1'!A164&amp;'List 1'!C164&amp;'List 1'!D164)="","",LOWER(TRIM('List 1'!A164)&amp;"|"&amp;TRIM('List 1'!C164)&amp;"|"&amp;TRIM('List 1'!D164)))</f>
        <v/>
      </c>
      <c r="B164">
        <f>IF(A164="","",SUMPRODUCT(--($A$2:A164=A164)))</f>
        <v/>
      </c>
      <c r="C164">
        <f>IF(A164="","",A164&amp;"#"&amp;B164)</f>
        <v/>
      </c>
      <c r="D164">
        <f>IF(A164="","",IFERROR(--'List 1'!B164,0))</f>
        <v/>
      </c>
      <c r="F164">
        <f>IF(TRIM('List 2'!A164&amp;'List 2'!C164&amp;'List 2'!D164)="","",LOWER(TRIM('List 2'!A164)&amp;"|"&amp;TRIM('List 2'!C164)&amp;"|"&amp;TRIM('List 2'!D164)))</f>
        <v/>
      </c>
      <c r="G164">
        <f>IF(F164="","",SUMPRODUCT(--($F$2:F164=F164)))</f>
        <v/>
      </c>
      <c r="H164">
        <f>IF(F164="","",F164&amp;"#"&amp;G164)</f>
        <v/>
      </c>
      <c r="I164">
        <f>IF(F164="","",IFERROR(--'List 2'!B164,0))</f>
        <v/>
      </c>
      <c r="K164">
        <f>C164</f>
        <v/>
      </c>
      <c r="L164">
        <f>IF(K164="","",IF(ISNUMBER('List 1'!A164),'List 1'!A164,TRIM('List 1'!A164)))</f>
        <v/>
      </c>
      <c r="M164">
        <f>IF(K164="","",IF(ISNUMBER('List 1'!C164),'List 1'!C164,TRIM('List 1'!C164)))</f>
        <v/>
      </c>
      <c r="N164">
        <f>IF(K164="","",IF(ISNUMBER('List 1'!D164),'List 1'!D164,TRIM('List 1'!D164)))</f>
        <v/>
      </c>
      <c r="O164">
        <f>IF(K164="","",D164)</f>
        <v/>
      </c>
      <c r="P164">
        <f>IF(K164="","",IF(R164,SUMPRODUCT(--($H$2:$H$501=K164),$I$2:$I$501),0))</f>
        <v/>
      </c>
      <c r="Q164">
        <f>IF(K164="","",TRUE)</f>
        <v/>
      </c>
      <c r="R164">
        <f>IF(K164="","",SUMPRODUCT(--($H$2:$H$501=K164))&gt;0)</f>
        <v/>
      </c>
      <c r="S164">
        <f>IF(K164="","",IF(AND(Q164,R164),IF(O164=P164,"Match","Qty Different"),IF(Q164,"Only in List 1","Only in List 2")))</f>
        <v/>
      </c>
      <c r="T164">
        <f>IF(K164="","",IF(ISNUMBER(--L164),TEXT(--L164,"000000000000.000"),LOWER(L164)))</f>
        <v/>
      </c>
      <c r="U164">
        <f>IF(K164="","",IF(ISNUMBER(--M164),TEXT(--M164,"000000000000.000"),LOWER(M164)))</f>
        <v/>
      </c>
      <c r="V164">
        <f>IF(K164="","",LOWER(N164))</f>
        <v/>
      </c>
      <c r="W164">
        <f>IF(K164="","",B164)</f>
        <v/>
      </c>
      <c r="X164">
        <f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>
      <c r="A165">
        <f>IF(TRIM('List 1'!A165&amp;'List 1'!C165&amp;'List 1'!D165)="","",LOWER(TRIM('List 1'!A165)&amp;"|"&amp;TRIM('List 1'!C165)&amp;"|"&amp;TRIM('List 1'!D165)))</f>
        <v/>
      </c>
      <c r="B165">
        <f>IF(A165="","",SUMPRODUCT(--($A$2:A165=A165)))</f>
        <v/>
      </c>
      <c r="C165">
        <f>IF(A165="","",A165&amp;"#"&amp;B165)</f>
        <v/>
      </c>
      <c r="D165">
        <f>IF(A165="","",IFERROR(--'List 1'!B165,0))</f>
        <v/>
      </c>
      <c r="F165">
        <f>IF(TRIM('List 2'!A165&amp;'List 2'!C165&amp;'List 2'!D165)="","",LOWER(TRIM('List 2'!A165)&amp;"|"&amp;TRIM('List 2'!C165)&amp;"|"&amp;TRIM('List 2'!D165)))</f>
        <v/>
      </c>
      <c r="G165">
        <f>IF(F165="","",SUMPRODUCT(--($F$2:F165=F165)))</f>
        <v/>
      </c>
      <c r="H165">
        <f>IF(F165="","",F165&amp;"#"&amp;G165)</f>
        <v/>
      </c>
      <c r="I165">
        <f>IF(F165="","",IFERROR(--'List 2'!B165,0))</f>
        <v/>
      </c>
      <c r="K165">
        <f>C165</f>
        <v/>
      </c>
      <c r="L165">
        <f>IF(K165="","",IF(ISNUMBER('List 1'!A165),'List 1'!A165,TRIM('List 1'!A165)))</f>
        <v/>
      </c>
      <c r="M165">
        <f>IF(K165="","",IF(ISNUMBER('List 1'!C165),'List 1'!C165,TRIM('List 1'!C165)))</f>
        <v/>
      </c>
      <c r="N165">
        <f>IF(K165="","",IF(ISNUMBER('List 1'!D165),'List 1'!D165,TRIM('List 1'!D165)))</f>
        <v/>
      </c>
      <c r="O165">
        <f>IF(K165="","",D165)</f>
        <v/>
      </c>
      <c r="P165">
        <f>IF(K165="","",IF(R165,SUMPRODUCT(--($H$2:$H$501=K165),$I$2:$I$501),0))</f>
        <v/>
      </c>
      <c r="Q165">
        <f>IF(K165="","",TRUE)</f>
        <v/>
      </c>
      <c r="R165">
        <f>IF(K165="","",SUMPRODUCT(--($H$2:$H$501=K165))&gt;0)</f>
        <v/>
      </c>
      <c r="S165">
        <f>IF(K165="","",IF(AND(Q165,R165),IF(O165=P165,"Match","Qty Different"),IF(Q165,"Only in List 1","Only in List 2")))</f>
        <v/>
      </c>
      <c r="T165">
        <f>IF(K165="","",IF(ISNUMBER(--L165),TEXT(--L165,"000000000000.000"),LOWER(L165)))</f>
        <v/>
      </c>
      <c r="U165">
        <f>IF(K165="","",IF(ISNUMBER(--M165),TEXT(--M165,"000000000000.000"),LOWER(M165)))</f>
        <v/>
      </c>
      <c r="V165">
        <f>IF(K165="","",LOWER(N165))</f>
        <v/>
      </c>
      <c r="W165">
        <f>IF(K165="","",B165)</f>
        <v/>
      </c>
      <c r="X165">
        <f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>
      <c r="A166">
        <f>IF(TRIM('List 1'!A166&amp;'List 1'!C166&amp;'List 1'!D166)="","",LOWER(TRIM('List 1'!A166)&amp;"|"&amp;TRIM('List 1'!C166)&amp;"|"&amp;TRIM('List 1'!D166)))</f>
        <v/>
      </c>
      <c r="B166">
        <f>IF(A166="","",SUMPRODUCT(--($A$2:A166=A166)))</f>
        <v/>
      </c>
      <c r="C166">
        <f>IF(A166="","",A166&amp;"#"&amp;B166)</f>
        <v/>
      </c>
      <c r="D166">
        <f>IF(A166="","",IFERROR(--'List 1'!B166,0))</f>
        <v/>
      </c>
      <c r="F166">
        <f>IF(TRIM('List 2'!A166&amp;'List 2'!C166&amp;'List 2'!D166)="","",LOWER(TRIM('List 2'!A166)&amp;"|"&amp;TRIM('List 2'!C166)&amp;"|"&amp;TRIM('List 2'!D166)))</f>
        <v/>
      </c>
      <c r="G166">
        <f>IF(F166="","",SUMPRODUCT(--($F$2:F166=F166)))</f>
        <v/>
      </c>
      <c r="H166">
        <f>IF(F166="","",F166&amp;"#"&amp;G166)</f>
        <v/>
      </c>
      <c r="I166">
        <f>IF(F166="","",IFERROR(--'List 2'!B166,0))</f>
        <v/>
      </c>
      <c r="K166">
        <f>C166</f>
        <v/>
      </c>
      <c r="L166">
        <f>IF(K166="","",IF(ISNUMBER('List 1'!A166),'List 1'!A166,TRIM('List 1'!A166)))</f>
        <v/>
      </c>
      <c r="M166">
        <f>IF(K166="","",IF(ISNUMBER('List 1'!C166),'List 1'!C166,TRIM('List 1'!C166)))</f>
        <v/>
      </c>
      <c r="N166">
        <f>IF(K166="","",IF(ISNUMBER('List 1'!D166),'List 1'!D166,TRIM('List 1'!D166)))</f>
        <v/>
      </c>
      <c r="O166">
        <f>IF(K166="","",D166)</f>
        <v/>
      </c>
      <c r="P166">
        <f>IF(K166="","",IF(R166,SUMPRODUCT(--($H$2:$H$501=K166),$I$2:$I$501),0))</f>
        <v/>
      </c>
      <c r="Q166">
        <f>IF(K166="","",TRUE)</f>
        <v/>
      </c>
      <c r="R166">
        <f>IF(K166="","",SUMPRODUCT(--($H$2:$H$501=K166))&gt;0)</f>
        <v/>
      </c>
      <c r="S166">
        <f>IF(K166="","",IF(AND(Q166,R166),IF(O166=P166,"Match","Qty Different"),IF(Q166,"Only in List 1","Only in List 2")))</f>
        <v/>
      </c>
      <c r="T166">
        <f>IF(K166="","",IF(ISNUMBER(--L166),TEXT(--L166,"000000000000.000"),LOWER(L166)))</f>
        <v/>
      </c>
      <c r="U166">
        <f>IF(K166="","",IF(ISNUMBER(--M166),TEXT(--M166,"000000000000.000"),LOWER(M166)))</f>
        <v/>
      </c>
      <c r="V166">
        <f>IF(K166="","",LOWER(N166))</f>
        <v/>
      </c>
      <c r="W166">
        <f>IF(K166="","",B166)</f>
        <v/>
      </c>
      <c r="X166">
        <f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>
      <c r="A167">
        <f>IF(TRIM('List 1'!A167&amp;'List 1'!C167&amp;'List 1'!D167)="","",LOWER(TRIM('List 1'!A167)&amp;"|"&amp;TRIM('List 1'!C167)&amp;"|"&amp;TRIM('List 1'!D167)))</f>
        <v/>
      </c>
      <c r="B167">
        <f>IF(A167="","",SUMPRODUCT(--($A$2:A167=A167)))</f>
        <v/>
      </c>
      <c r="C167">
        <f>IF(A167="","",A167&amp;"#"&amp;B167)</f>
        <v/>
      </c>
      <c r="D167">
        <f>IF(A167="","",IFERROR(--'List 1'!B167,0))</f>
        <v/>
      </c>
      <c r="F167">
        <f>IF(TRIM('List 2'!A167&amp;'List 2'!C167&amp;'List 2'!D167)="","",LOWER(TRIM('List 2'!A167)&amp;"|"&amp;TRIM('List 2'!C167)&amp;"|"&amp;TRIM('List 2'!D167)))</f>
        <v/>
      </c>
      <c r="G167">
        <f>IF(F167="","",SUMPRODUCT(--($F$2:F167=F167)))</f>
        <v/>
      </c>
      <c r="H167">
        <f>IF(F167="","",F167&amp;"#"&amp;G167)</f>
        <v/>
      </c>
      <c r="I167">
        <f>IF(F167="","",IFERROR(--'List 2'!B167,0))</f>
        <v/>
      </c>
      <c r="K167">
        <f>C167</f>
        <v/>
      </c>
      <c r="L167">
        <f>IF(K167="","",IF(ISNUMBER('List 1'!A167),'List 1'!A167,TRIM('List 1'!A167)))</f>
        <v/>
      </c>
      <c r="M167">
        <f>IF(K167="","",IF(ISNUMBER('List 1'!C167),'List 1'!C167,TRIM('List 1'!C167)))</f>
        <v/>
      </c>
      <c r="N167">
        <f>IF(K167="","",IF(ISNUMBER('List 1'!D167),'List 1'!D167,TRIM('List 1'!D167)))</f>
        <v/>
      </c>
      <c r="O167">
        <f>IF(K167="","",D167)</f>
        <v/>
      </c>
      <c r="P167">
        <f>IF(K167="","",IF(R167,SUMPRODUCT(--($H$2:$H$501=K167),$I$2:$I$501),0))</f>
        <v/>
      </c>
      <c r="Q167">
        <f>IF(K167="","",TRUE)</f>
        <v/>
      </c>
      <c r="R167">
        <f>IF(K167="","",SUMPRODUCT(--($H$2:$H$501=K167))&gt;0)</f>
        <v/>
      </c>
      <c r="S167">
        <f>IF(K167="","",IF(AND(Q167,R167),IF(O167=P167,"Match","Qty Different"),IF(Q167,"Only in List 1","Only in List 2")))</f>
        <v/>
      </c>
      <c r="T167">
        <f>IF(K167="","",IF(ISNUMBER(--L167),TEXT(--L167,"000000000000.000"),LOWER(L167)))</f>
        <v/>
      </c>
      <c r="U167">
        <f>IF(K167="","",IF(ISNUMBER(--M167),TEXT(--M167,"000000000000.000"),LOWER(M167)))</f>
        <v/>
      </c>
      <c r="V167">
        <f>IF(K167="","",LOWER(N167))</f>
        <v/>
      </c>
      <c r="W167">
        <f>IF(K167="","",B167)</f>
        <v/>
      </c>
      <c r="X167">
        <f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>
      <c r="A168">
        <f>IF(TRIM('List 1'!A168&amp;'List 1'!C168&amp;'List 1'!D168)="","",LOWER(TRIM('List 1'!A168)&amp;"|"&amp;TRIM('List 1'!C168)&amp;"|"&amp;TRIM('List 1'!D168)))</f>
        <v/>
      </c>
      <c r="B168">
        <f>IF(A168="","",SUMPRODUCT(--($A$2:A168=A168)))</f>
        <v/>
      </c>
      <c r="C168">
        <f>IF(A168="","",A168&amp;"#"&amp;B168)</f>
        <v/>
      </c>
      <c r="D168">
        <f>IF(A168="","",IFERROR(--'List 1'!B168,0))</f>
        <v/>
      </c>
      <c r="F168">
        <f>IF(TRIM('List 2'!A168&amp;'List 2'!C168&amp;'List 2'!D168)="","",LOWER(TRIM('List 2'!A168)&amp;"|"&amp;TRIM('List 2'!C168)&amp;"|"&amp;TRIM('List 2'!D168)))</f>
        <v/>
      </c>
      <c r="G168">
        <f>IF(F168="","",SUMPRODUCT(--($F$2:F168=F168)))</f>
        <v/>
      </c>
      <c r="H168">
        <f>IF(F168="","",F168&amp;"#"&amp;G168)</f>
        <v/>
      </c>
      <c r="I168">
        <f>IF(F168="","",IFERROR(--'List 2'!B168,0))</f>
        <v/>
      </c>
      <c r="K168">
        <f>C168</f>
        <v/>
      </c>
      <c r="L168">
        <f>IF(K168="","",IF(ISNUMBER('List 1'!A168),'List 1'!A168,TRIM('List 1'!A168)))</f>
        <v/>
      </c>
      <c r="M168">
        <f>IF(K168="","",IF(ISNUMBER('List 1'!C168),'List 1'!C168,TRIM('List 1'!C168)))</f>
        <v/>
      </c>
      <c r="N168">
        <f>IF(K168="","",IF(ISNUMBER('List 1'!D168),'List 1'!D168,TRIM('List 1'!D168)))</f>
        <v/>
      </c>
      <c r="O168">
        <f>IF(K168="","",D168)</f>
        <v/>
      </c>
      <c r="P168">
        <f>IF(K168="","",IF(R168,SUMPRODUCT(--($H$2:$H$501=K168),$I$2:$I$501),0))</f>
        <v/>
      </c>
      <c r="Q168">
        <f>IF(K168="","",TRUE)</f>
        <v/>
      </c>
      <c r="R168">
        <f>IF(K168="","",SUMPRODUCT(--($H$2:$H$501=K168))&gt;0)</f>
        <v/>
      </c>
      <c r="S168">
        <f>IF(K168="","",IF(AND(Q168,R168),IF(O168=P168,"Match","Qty Different"),IF(Q168,"Only in List 1","Only in List 2")))</f>
        <v/>
      </c>
      <c r="T168">
        <f>IF(K168="","",IF(ISNUMBER(--L168),TEXT(--L168,"000000000000.000"),LOWER(L168)))</f>
        <v/>
      </c>
      <c r="U168">
        <f>IF(K168="","",IF(ISNUMBER(--M168),TEXT(--M168,"000000000000.000"),LOWER(M168)))</f>
        <v/>
      </c>
      <c r="V168">
        <f>IF(K168="","",LOWER(N168))</f>
        <v/>
      </c>
      <c r="W168">
        <f>IF(K168="","",B168)</f>
        <v/>
      </c>
      <c r="X168">
        <f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>
      <c r="A169">
        <f>IF(TRIM('List 1'!A169&amp;'List 1'!C169&amp;'List 1'!D169)="","",LOWER(TRIM('List 1'!A169)&amp;"|"&amp;TRIM('List 1'!C169)&amp;"|"&amp;TRIM('List 1'!D169)))</f>
        <v/>
      </c>
      <c r="B169">
        <f>IF(A169="","",SUMPRODUCT(--($A$2:A169=A169)))</f>
        <v/>
      </c>
      <c r="C169">
        <f>IF(A169="","",A169&amp;"#"&amp;B169)</f>
        <v/>
      </c>
      <c r="D169">
        <f>IF(A169="","",IFERROR(--'List 1'!B169,0))</f>
        <v/>
      </c>
      <c r="F169">
        <f>IF(TRIM('List 2'!A169&amp;'List 2'!C169&amp;'List 2'!D169)="","",LOWER(TRIM('List 2'!A169)&amp;"|"&amp;TRIM('List 2'!C169)&amp;"|"&amp;TRIM('List 2'!D169)))</f>
        <v/>
      </c>
      <c r="G169">
        <f>IF(F169="","",SUMPRODUCT(--($F$2:F169=F169)))</f>
        <v/>
      </c>
      <c r="H169">
        <f>IF(F169="","",F169&amp;"#"&amp;G169)</f>
        <v/>
      </c>
      <c r="I169">
        <f>IF(F169="","",IFERROR(--'List 2'!B169,0))</f>
        <v/>
      </c>
      <c r="K169">
        <f>C169</f>
        <v/>
      </c>
      <c r="L169">
        <f>IF(K169="","",IF(ISNUMBER('List 1'!A169),'List 1'!A169,TRIM('List 1'!A169)))</f>
        <v/>
      </c>
      <c r="M169">
        <f>IF(K169="","",IF(ISNUMBER('List 1'!C169),'List 1'!C169,TRIM('List 1'!C169)))</f>
        <v/>
      </c>
      <c r="N169">
        <f>IF(K169="","",IF(ISNUMBER('List 1'!D169),'List 1'!D169,TRIM('List 1'!D169)))</f>
        <v/>
      </c>
      <c r="O169">
        <f>IF(K169="","",D169)</f>
        <v/>
      </c>
      <c r="P169">
        <f>IF(K169="","",IF(R169,SUMPRODUCT(--($H$2:$H$501=K169),$I$2:$I$501),0))</f>
        <v/>
      </c>
      <c r="Q169">
        <f>IF(K169="","",TRUE)</f>
        <v/>
      </c>
      <c r="R169">
        <f>IF(K169="","",SUMPRODUCT(--($H$2:$H$501=K169))&gt;0)</f>
        <v/>
      </c>
      <c r="S169">
        <f>IF(K169="","",IF(AND(Q169,R169),IF(O169=P169,"Match","Qty Different"),IF(Q169,"Only in List 1","Only in List 2")))</f>
        <v/>
      </c>
      <c r="T169">
        <f>IF(K169="","",IF(ISNUMBER(--L169),TEXT(--L169,"000000000000.000"),LOWER(L169)))</f>
        <v/>
      </c>
      <c r="U169">
        <f>IF(K169="","",IF(ISNUMBER(--M169),TEXT(--M169,"000000000000.000"),LOWER(M169)))</f>
        <v/>
      </c>
      <c r="V169">
        <f>IF(K169="","",LOWER(N169))</f>
        <v/>
      </c>
      <c r="W169">
        <f>IF(K169="","",B169)</f>
        <v/>
      </c>
      <c r="X169">
        <f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>
      <c r="A170">
        <f>IF(TRIM('List 1'!A170&amp;'List 1'!C170&amp;'List 1'!D170)="","",LOWER(TRIM('List 1'!A170)&amp;"|"&amp;TRIM('List 1'!C170)&amp;"|"&amp;TRIM('List 1'!D170)))</f>
        <v/>
      </c>
      <c r="B170">
        <f>IF(A170="","",SUMPRODUCT(--($A$2:A170=A170)))</f>
        <v/>
      </c>
      <c r="C170">
        <f>IF(A170="","",A170&amp;"#"&amp;B170)</f>
        <v/>
      </c>
      <c r="D170">
        <f>IF(A170="","",IFERROR(--'List 1'!B170,0))</f>
        <v/>
      </c>
      <c r="F170">
        <f>IF(TRIM('List 2'!A170&amp;'List 2'!C170&amp;'List 2'!D170)="","",LOWER(TRIM('List 2'!A170)&amp;"|"&amp;TRIM('List 2'!C170)&amp;"|"&amp;TRIM('List 2'!D170)))</f>
        <v/>
      </c>
      <c r="G170">
        <f>IF(F170="","",SUMPRODUCT(--($F$2:F170=F170)))</f>
        <v/>
      </c>
      <c r="H170">
        <f>IF(F170="","",F170&amp;"#"&amp;G170)</f>
        <v/>
      </c>
      <c r="I170">
        <f>IF(F170="","",IFERROR(--'List 2'!B170,0))</f>
        <v/>
      </c>
      <c r="K170">
        <f>C170</f>
        <v/>
      </c>
      <c r="L170">
        <f>IF(K170="","",IF(ISNUMBER('List 1'!A170),'List 1'!A170,TRIM('List 1'!A170)))</f>
        <v/>
      </c>
      <c r="M170">
        <f>IF(K170="","",IF(ISNUMBER('List 1'!C170),'List 1'!C170,TRIM('List 1'!C170)))</f>
        <v/>
      </c>
      <c r="N170">
        <f>IF(K170="","",IF(ISNUMBER('List 1'!D170),'List 1'!D170,TRIM('List 1'!D170)))</f>
        <v/>
      </c>
      <c r="O170">
        <f>IF(K170="","",D170)</f>
        <v/>
      </c>
      <c r="P170">
        <f>IF(K170="","",IF(R170,SUMPRODUCT(--($H$2:$H$501=K170),$I$2:$I$501),0))</f>
        <v/>
      </c>
      <c r="Q170">
        <f>IF(K170="","",TRUE)</f>
        <v/>
      </c>
      <c r="R170">
        <f>IF(K170="","",SUMPRODUCT(--($H$2:$H$501=K170))&gt;0)</f>
        <v/>
      </c>
      <c r="S170">
        <f>IF(K170="","",IF(AND(Q170,R170),IF(O170=P170,"Match","Qty Different"),IF(Q170,"Only in List 1","Only in List 2")))</f>
        <v/>
      </c>
      <c r="T170">
        <f>IF(K170="","",IF(ISNUMBER(--L170),TEXT(--L170,"000000000000.000"),LOWER(L170)))</f>
        <v/>
      </c>
      <c r="U170">
        <f>IF(K170="","",IF(ISNUMBER(--M170),TEXT(--M170,"000000000000.000"),LOWER(M170)))</f>
        <v/>
      </c>
      <c r="V170">
        <f>IF(K170="","",LOWER(N170))</f>
        <v/>
      </c>
      <c r="W170">
        <f>IF(K170="","",B170)</f>
        <v/>
      </c>
      <c r="X170">
        <f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>
      <c r="A171">
        <f>IF(TRIM('List 1'!A171&amp;'List 1'!C171&amp;'List 1'!D171)="","",LOWER(TRIM('List 1'!A171)&amp;"|"&amp;TRIM('List 1'!C171)&amp;"|"&amp;TRIM('List 1'!D171)))</f>
        <v/>
      </c>
      <c r="B171">
        <f>IF(A171="","",SUMPRODUCT(--($A$2:A171=A171)))</f>
        <v/>
      </c>
      <c r="C171">
        <f>IF(A171="","",A171&amp;"#"&amp;B171)</f>
        <v/>
      </c>
      <c r="D171">
        <f>IF(A171="","",IFERROR(--'List 1'!B171,0))</f>
        <v/>
      </c>
      <c r="F171">
        <f>IF(TRIM('List 2'!A171&amp;'List 2'!C171&amp;'List 2'!D171)="","",LOWER(TRIM('List 2'!A171)&amp;"|"&amp;TRIM('List 2'!C171)&amp;"|"&amp;TRIM('List 2'!D171)))</f>
        <v/>
      </c>
      <c r="G171">
        <f>IF(F171="","",SUMPRODUCT(--($F$2:F171=F171)))</f>
        <v/>
      </c>
      <c r="H171">
        <f>IF(F171="","",F171&amp;"#"&amp;G171)</f>
        <v/>
      </c>
      <c r="I171">
        <f>IF(F171="","",IFERROR(--'List 2'!B171,0))</f>
        <v/>
      </c>
      <c r="K171">
        <f>C171</f>
        <v/>
      </c>
      <c r="L171">
        <f>IF(K171="","",IF(ISNUMBER('List 1'!A171),'List 1'!A171,TRIM('List 1'!A171)))</f>
        <v/>
      </c>
      <c r="M171">
        <f>IF(K171="","",IF(ISNUMBER('List 1'!C171),'List 1'!C171,TRIM('List 1'!C171)))</f>
        <v/>
      </c>
      <c r="N171">
        <f>IF(K171="","",IF(ISNUMBER('List 1'!D171),'List 1'!D171,TRIM('List 1'!D171)))</f>
        <v/>
      </c>
      <c r="O171">
        <f>IF(K171="","",D171)</f>
        <v/>
      </c>
      <c r="P171">
        <f>IF(K171="","",IF(R171,SUMPRODUCT(--($H$2:$H$501=K171),$I$2:$I$501),0))</f>
        <v/>
      </c>
      <c r="Q171">
        <f>IF(K171="","",TRUE)</f>
        <v/>
      </c>
      <c r="R171">
        <f>IF(K171="","",SUMPRODUCT(--($H$2:$H$501=K171))&gt;0)</f>
        <v/>
      </c>
      <c r="S171">
        <f>IF(K171="","",IF(AND(Q171,R171),IF(O171=P171,"Match","Qty Different"),IF(Q171,"Only in List 1","Only in List 2")))</f>
        <v/>
      </c>
      <c r="T171">
        <f>IF(K171="","",IF(ISNUMBER(--L171),TEXT(--L171,"000000000000.000"),LOWER(L171)))</f>
        <v/>
      </c>
      <c r="U171">
        <f>IF(K171="","",IF(ISNUMBER(--M171),TEXT(--M171,"000000000000.000"),LOWER(M171)))</f>
        <v/>
      </c>
      <c r="V171">
        <f>IF(K171="","",LOWER(N171))</f>
        <v/>
      </c>
      <c r="W171">
        <f>IF(K171="","",B171)</f>
        <v/>
      </c>
      <c r="X171">
        <f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>
      <c r="A172">
        <f>IF(TRIM('List 1'!A172&amp;'List 1'!C172&amp;'List 1'!D172)="","",LOWER(TRIM('List 1'!A172)&amp;"|"&amp;TRIM('List 1'!C172)&amp;"|"&amp;TRIM('List 1'!D172)))</f>
        <v/>
      </c>
      <c r="B172">
        <f>IF(A172="","",SUMPRODUCT(--($A$2:A172=A172)))</f>
        <v/>
      </c>
      <c r="C172">
        <f>IF(A172="","",A172&amp;"#"&amp;B172)</f>
        <v/>
      </c>
      <c r="D172">
        <f>IF(A172="","",IFERROR(--'List 1'!B172,0))</f>
        <v/>
      </c>
      <c r="F172">
        <f>IF(TRIM('List 2'!A172&amp;'List 2'!C172&amp;'List 2'!D172)="","",LOWER(TRIM('List 2'!A172)&amp;"|"&amp;TRIM('List 2'!C172)&amp;"|"&amp;TRIM('List 2'!D172)))</f>
        <v/>
      </c>
      <c r="G172">
        <f>IF(F172="","",SUMPRODUCT(--($F$2:F172=F172)))</f>
        <v/>
      </c>
      <c r="H172">
        <f>IF(F172="","",F172&amp;"#"&amp;G172)</f>
        <v/>
      </c>
      <c r="I172">
        <f>IF(F172="","",IFERROR(--'List 2'!B172,0))</f>
        <v/>
      </c>
      <c r="K172">
        <f>C172</f>
        <v/>
      </c>
      <c r="L172">
        <f>IF(K172="","",IF(ISNUMBER('List 1'!A172),'List 1'!A172,TRIM('List 1'!A172)))</f>
        <v/>
      </c>
      <c r="M172">
        <f>IF(K172="","",IF(ISNUMBER('List 1'!C172),'List 1'!C172,TRIM('List 1'!C172)))</f>
        <v/>
      </c>
      <c r="N172">
        <f>IF(K172="","",IF(ISNUMBER('List 1'!D172),'List 1'!D172,TRIM('List 1'!D172)))</f>
        <v/>
      </c>
      <c r="O172">
        <f>IF(K172="","",D172)</f>
        <v/>
      </c>
      <c r="P172">
        <f>IF(K172="","",IF(R172,SUMPRODUCT(--($H$2:$H$501=K172),$I$2:$I$501),0))</f>
        <v/>
      </c>
      <c r="Q172">
        <f>IF(K172="","",TRUE)</f>
        <v/>
      </c>
      <c r="R172">
        <f>IF(K172="","",SUMPRODUCT(--($H$2:$H$501=K172))&gt;0)</f>
        <v/>
      </c>
      <c r="S172">
        <f>IF(K172="","",IF(AND(Q172,R172),IF(O172=P172,"Match","Qty Different"),IF(Q172,"Only in List 1","Only in List 2")))</f>
        <v/>
      </c>
      <c r="T172">
        <f>IF(K172="","",IF(ISNUMBER(--L172),TEXT(--L172,"000000000000.000"),LOWER(L172)))</f>
        <v/>
      </c>
      <c r="U172">
        <f>IF(K172="","",IF(ISNUMBER(--M172),TEXT(--M172,"000000000000.000"),LOWER(M172)))</f>
        <v/>
      </c>
      <c r="V172">
        <f>IF(K172="","",LOWER(N172))</f>
        <v/>
      </c>
      <c r="W172">
        <f>IF(K172="","",B172)</f>
        <v/>
      </c>
      <c r="X172">
        <f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>
      <c r="A173">
        <f>IF(TRIM('List 1'!A173&amp;'List 1'!C173&amp;'List 1'!D173)="","",LOWER(TRIM('List 1'!A173)&amp;"|"&amp;TRIM('List 1'!C173)&amp;"|"&amp;TRIM('List 1'!D173)))</f>
        <v/>
      </c>
      <c r="B173">
        <f>IF(A173="","",SUMPRODUCT(--($A$2:A173=A173)))</f>
        <v/>
      </c>
      <c r="C173">
        <f>IF(A173="","",A173&amp;"#"&amp;B173)</f>
        <v/>
      </c>
      <c r="D173">
        <f>IF(A173="","",IFERROR(--'List 1'!B173,0))</f>
        <v/>
      </c>
      <c r="F173">
        <f>IF(TRIM('List 2'!A173&amp;'List 2'!C173&amp;'List 2'!D173)="","",LOWER(TRIM('List 2'!A173)&amp;"|"&amp;TRIM('List 2'!C173)&amp;"|"&amp;TRIM('List 2'!D173)))</f>
        <v/>
      </c>
      <c r="G173">
        <f>IF(F173="","",SUMPRODUCT(--($F$2:F173=F173)))</f>
        <v/>
      </c>
      <c r="H173">
        <f>IF(F173="","",F173&amp;"#"&amp;G173)</f>
        <v/>
      </c>
      <c r="I173">
        <f>IF(F173="","",IFERROR(--'List 2'!B173,0))</f>
        <v/>
      </c>
      <c r="K173">
        <f>C173</f>
        <v/>
      </c>
      <c r="L173">
        <f>IF(K173="","",IF(ISNUMBER('List 1'!A173),'List 1'!A173,TRIM('List 1'!A173)))</f>
        <v/>
      </c>
      <c r="M173">
        <f>IF(K173="","",IF(ISNUMBER('List 1'!C173),'List 1'!C173,TRIM('List 1'!C173)))</f>
        <v/>
      </c>
      <c r="N173">
        <f>IF(K173="","",IF(ISNUMBER('List 1'!D173),'List 1'!D173,TRIM('List 1'!D173)))</f>
        <v/>
      </c>
      <c r="O173">
        <f>IF(K173="","",D173)</f>
        <v/>
      </c>
      <c r="P173">
        <f>IF(K173="","",IF(R173,SUMPRODUCT(--($H$2:$H$501=K173),$I$2:$I$501),0))</f>
        <v/>
      </c>
      <c r="Q173">
        <f>IF(K173="","",TRUE)</f>
        <v/>
      </c>
      <c r="R173">
        <f>IF(K173="","",SUMPRODUCT(--($H$2:$H$501=K173))&gt;0)</f>
        <v/>
      </c>
      <c r="S173">
        <f>IF(K173="","",IF(AND(Q173,R173),IF(O173=P173,"Match","Qty Different"),IF(Q173,"Only in List 1","Only in List 2")))</f>
        <v/>
      </c>
      <c r="T173">
        <f>IF(K173="","",IF(ISNUMBER(--L173),TEXT(--L173,"000000000000.000"),LOWER(L173)))</f>
        <v/>
      </c>
      <c r="U173">
        <f>IF(K173="","",IF(ISNUMBER(--M173),TEXT(--M173,"000000000000.000"),LOWER(M173)))</f>
        <v/>
      </c>
      <c r="V173">
        <f>IF(K173="","",LOWER(N173))</f>
        <v/>
      </c>
      <c r="W173">
        <f>IF(K173="","",B173)</f>
        <v/>
      </c>
      <c r="X173">
        <f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>
      <c r="A174">
        <f>IF(TRIM('List 1'!A174&amp;'List 1'!C174&amp;'List 1'!D174)="","",LOWER(TRIM('List 1'!A174)&amp;"|"&amp;TRIM('List 1'!C174)&amp;"|"&amp;TRIM('List 1'!D174)))</f>
        <v/>
      </c>
      <c r="B174">
        <f>IF(A174="","",SUMPRODUCT(--($A$2:A174=A174)))</f>
        <v/>
      </c>
      <c r="C174">
        <f>IF(A174="","",A174&amp;"#"&amp;B174)</f>
        <v/>
      </c>
      <c r="D174">
        <f>IF(A174="","",IFERROR(--'List 1'!B174,0))</f>
        <v/>
      </c>
      <c r="F174">
        <f>IF(TRIM('List 2'!A174&amp;'List 2'!C174&amp;'List 2'!D174)="","",LOWER(TRIM('List 2'!A174)&amp;"|"&amp;TRIM('List 2'!C174)&amp;"|"&amp;TRIM('List 2'!D174)))</f>
        <v/>
      </c>
      <c r="G174">
        <f>IF(F174="","",SUMPRODUCT(--($F$2:F174=F174)))</f>
        <v/>
      </c>
      <c r="H174">
        <f>IF(F174="","",F174&amp;"#"&amp;G174)</f>
        <v/>
      </c>
      <c r="I174">
        <f>IF(F174="","",IFERROR(--'List 2'!B174,0))</f>
        <v/>
      </c>
      <c r="K174">
        <f>C174</f>
        <v/>
      </c>
      <c r="L174">
        <f>IF(K174="","",IF(ISNUMBER('List 1'!A174),'List 1'!A174,TRIM('List 1'!A174)))</f>
        <v/>
      </c>
      <c r="M174">
        <f>IF(K174="","",IF(ISNUMBER('List 1'!C174),'List 1'!C174,TRIM('List 1'!C174)))</f>
        <v/>
      </c>
      <c r="N174">
        <f>IF(K174="","",IF(ISNUMBER('List 1'!D174),'List 1'!D174,TRIM('List 1'!D174)))</f>
        <v/>
      </c>
      <c r="O174">
        <f>IF(K174="","",D174)</f>
        <v/>
      </c>
      <c r="P174">
        <f>IF(K174="","",IF(R174,SUMPRODUCT(--($H$2:$H$501=K174),$I$2:$I$501),0))</f>
        <v/>
      </c>
      <c r="Q174">
        <f>IF(K174="","",TRUE)</f>
        <v/>
      </c>
      <c r="R174">
        <f>IF(K174="","",SUMPRODUCT(--($H$2:$H$501=K174))&gt;0)</f>
        <v/>
      </c>
      <c r="S174">
        <f>IF(K174="","",IF(AND(Q174,R174),IF(O174=P174,"Match","Qty Different"),IF(Q174,"Only in List 1","Only in List 2")))</f>
        <v/>
      </c>
      <c r="T174">
        <f>IF(K174="","",IF(ISNUMBER(--L174),TEXT(--L174,"000000000000.000"),LOWER(L174)))</f>
        <v/>
      </c>
      <c r="U174">
        <f>IF(K174="","",IF(ISNUMBER(--M174),TEXT(--M174,"000000000000.000"),LOWER(M174)))</f>
        <v/>
      </c>
      <c r="V174">
        <f>IF(K174="","",LOWER(N174))</f>
        <v/>
      </c>
      <c r="W174">
        <f>IF(K174="","",B174)</f>
        <v/>
      </c>
      <c r="X174">
        <f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>
      <c r="A175">
        <f>IF(TRIM('List 1'!A175&amp;'List 1'!C175&amp;'List 1'!D175)="","",LOWER(TRIM('List 1'!A175)&amp;"|"&amp;TRIM('List 1'!C175)&amp;"|"&amp;TRIM('List 1'!D175)))</f>
        <v/>
      </c>
      <c r="B175">
        <f>IF(A175="","",SUMPRODUCT(--($A$2:A175=A175)))</f>
        <v/>
      </c>
      <c r="C175">
        <f>IF(A175="","",A175&amp;"#"&amp;B175)</f>
        <v/>
      </c>
      <c r="D175">
        <f>IF(A175="","",IFERROR(--'List 1'!B175,0))</f>
        <v/>
      </c>
      <c r="F175">
        <f>IF(TRIM('List 2'!A175&amp;'List 2'!C175&amp;'List 2'!D175)="","",LOWER(TRIM('List 2'!A175)&amp;"|"&amp;TRIM('List 2'!C175)&amp;"|"&amp;TRIM('List 2'!D175)))</f>
        <v/>
      </c>
      <c r="G175">
        <f>IF(F175="","",SUMPRODUCT(--($F$2:F175=F175)))</f>
        <v/>
      </c>
      <c r="H175">
        <f>IF(F175="","",F175&amp;"#"&amp;G175)</f>
        <v/>
      </c>
      <c r="I175">
        <f>IF(F175="","",IFERROR(--'List 2'!B175,0))</f>
        <v/>
      </c>
      <c r="K175">
        <f>C175</f>
        <v/>
      </c>
      <c r="L175">
        <f>IF(K175="","",IF(ISNUMBER('List 1'!A175),'List 1'!A175,TRIM('List 1'!A175)))</f>
        <v/>
      </c>
      <c r="M175">
        <f>IF(K175="","",IF(ISNUMBER('List 1'!C175),'List 1'!C175,TRIM('List 1'!C175)))</f>
        <v/>
      </c>
      <c r="N175">
        <f>IF(K175="","",IF(ISNUMBER('List 1'!D175),'List 1'!D175,TRIM('List 1'!D175)))</f>
        <v/>
      </c>
      <c r="O175">
        <f>IF(K175="","",D175)</f>
        <v/>
      </c>
      <c r="P175">
        <f>IF(K175="","",IF(R175,SUMPRODUCT(--($H$2:$H$501=K175),$I$2:$I$501),0))</f>
        <v/>
      </c>
      <c r="Q175">
        <f>IF(K175="","",TRUE)</f>
        <v/>
      </c>
      <c r="R175">
        <f>IF(K175="","",SUMPRODUCT(--($H$2:$H$501=K175))&gt;0)</f>
        <v/>
      </c>
      <c r="S175">
        <f>IF(K175="","",IF(AND(Q175,R175),IF(O175=P175,"Match","Qty Different"),IF(Q175,"Only in List 1","Only in List 2")))</f>
        <v/>
      </c>
      <c r="T175">
        <f>IF(K175="","",IF(ISNUMBER(--L175),TEXT(--L175,"000000000000.000"),LOWER(L175)))</f>
        <v/>
      </c>
      <c r="U175">
        <f>IF(K175="","",IF(ISNUMBER(--M175),TEXT(--M175,"000000000000.000"),LOWER(M175)))</f>
        <v/>
      </c>
      <c r="V175">
        <f>IF(K175="","",LOWER(N175))</f>
        <v/>
      </c>
      <c r="W175">
        <f>IF(K175="","",B175)</f>
        <v/>
      </c>
      <c r="X175">
        <f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>
      <c r="A176">
        <f>IF(TRIM('List 1'!A176&amp;'List 1'!C176&amp;'List 1'!D176)="","",LOWER(TRIM('List 1'!A176)&amp;"|"&amp;TRIM('List 1'!C176)&amp;"|"&amp;TRIM('List 1'!D176)))</f>
        <v/>
      </c>
      <c r="B176">
        <f>IF(A176="","",SUMPRODUCT(--($A$2:A176=A176)))</f>
        <v/>
      </c>
      <c r="C176">
        <f>IF(A176="","",A176&amp;"#"&amp;B176)</f>
        <v/>
      </c>
      <c r="D176">
        <f>IF(A176="","",IFERROR(--'List 1'!B176,0))</f>
        <v/>
      </c>
      <c r="F176">
        <f>IF(TRIM('List 2'!A176&amp;'List 2'!C176&amp;'List 2'!D176)="","",LOWER(TRIM('List 2'!A176)&amp;"|"&amp;TRIM('List 2'!C176)&amp;"|"&amp;TRIM('List 2'!D176)))</f>
        <v/>
      </c>
      <c r="G176">
        <f>IF(F176="","",SUMPRODUCT(--($F$2:F176=F176)))</f>
        <v/>
      </c>
      <c r="H176">
        <f>IF(F176="","",F176&amp;"#"&amp;G176)</f>
        <v/>
      </c>
      <c r="I176">
        <f>IF(F176="","",IFERROR(--'List 2'!B176,0))</f>
        <v/>
      </c>
      <c r="K176">
        <f>C176</f>
        <v/>
      </c>
      <c r="L176">
        <f>IF(K176="","",IF(ISNUMBER('List 1'!A176),'List 1'!A176,TRIM('List 1'!A176)))</f>
        <v/>
      </c>
      <c r="M176">
        <f>IF(K176="","",IF(ISNUMBER('List 1'!C176),'List 1'!C176,TRIM('List 1'!C176)))</f>
        <v/>
      </c>
      <c r="N176">
        <f>IF(K176="","",IF(ISNUMBER('List 1'!D176),'List 1'!D176,TRIM('List 1'!D176)))</f>
        <v/>
      </c>
      <c r="O176">
        <f>IF(K176="","",D176)</f>
        <v/>
      </c>
      <c r="P176">
        <f>IF(K176="","",IF(R176,SUMPRODUCT(--($H$2:$H$501=K176),$I$2:$I$501),0))</f>
        <v/>
      </c>
      <c r="Q176">
        <f>IF(K176="","",TRUE)</f>
        <v/>
      </c>
      <c r="R176">
        <f>IF(K176="","",SUMPRODUCT(--($H$2:$H$501=K176))&gt;0)</f>
        <v/>
      </c>
      <c r="S176">
        <f>IF(K176="","",IF(AND(Q176,R176),IF(O176=P176,"Match","Qty Different"),IF(Q176,"Only in List 1","Only in List 2")))</f>
        <v/>
      </c>
      <c r="T176">
        <f>IF(K176="","",IF(ISNUMBER(--L176),TEXT(--L176,"000000000000.000"),LOWER(L176)))</f>
        <v/>
      </c>
      <c r="U176">
        <f>IF(K176="","",IF(ISNUMBER(--M176),TEXT(--M176,"000000000000.000"),LOWER(M176)))</f>
        <v/>
      </c>
      <c r="V176">
        <f>IF(K176="","",LOWER(N176))</f>
        <v/>
      </c>
      <c r="W176">
        <f>IF(K176="","",B176)</f>
        <v/>
      </c>
      <c r="X176">
        <f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>
      <c r="A177">
        <f>IF(TRIM('List 1'!A177&amp;'List 1'!C177&amp;'List 1'!D177)="","",LOWER(TRIM('List 1'!A177)&amp;"|"&amp;TRIM('List 1'!C177)&amp;"|"&amp;TRIM('List 1'!D177)))</f>
        <v/>
      </c>
      <c r="B177">
        <f>IF(A177="","",SUMPRODUCT(--($A$2:A177=A177)))</f>
        <v/>
      </c>
      <c r="C177">
        <f>IF(A177="","",A177&amp;"#"&amp;B177)</f>
        <v/>
      </c>
      <c r="D177">
        <f>IF(A177="","",IFERROR(--'List 1'!B177,0))</f>
        <v/>
      </c>
      <c r="F177">
        <f>IF(TRIM('List 2'!A177&amp;'List 2'!C177&amp;'List 2'!D177)="","",LOWER(TRIM('List 2'!A177)&amp;"|"&amp;TRIM('List 2'!C177)&amp;"|"&amp;TRIM('List 2'!D177)))</f>
        <v/>
      </c>
      <c r="G177">
        <f>IF(F177="","",SUMPRODUCT(--($F$2:F177=F177)))</f>
        <v/>
      </c>
      <c r="H177">
        <f>IF(F177="","",F177&amp;"#"&amp;G177)</f>
        <v/>
      </c>
      <c r="I177">
        <f>IF(F177="","",IFERROR(--'List 2'!B177,0))</f>
        <v/>
      </c>
      <c r="K177">
        <f>C177</f>
        <v/>
      </c>
      <c r="L177">
        <f>IF(K177="","",IF(ISNUMBER('List 1'!A177),'List 1'!A177,TRIM('List 1'!A177)))</f>
        <v/>
      </c>
      <c r="M177">
        <f>IF(K177="","",IF(ISNUMBER('List 1'!C177),'List 1'!C177,TRIM('List 1'!C177)))</f>
        <v/>
      </c>
      <c r="N177">
        <f>IF(K177="","",IF(ISNUMBER('List 1'!D177),'List 1'!D177,TRIM('List 1'!D177)))</f>
        <v/>
      </c>
      <c r="O177">
        <f>IF(K177="","",D177)</f>
        <v/>
      </c>
      <c r="P177">
        <f>IF(K177="","",IF(R177,SUMPRODUCT(--($H$2:$H$501=K177),$I$2:$I$501),0))</f>
        <v/>
      </c>
      <c r="Q177">
        <f>IF(K177="","",TRUE)</f>
        <v/>
      </c>
      <c r="R177">
        <f>IF(K177="","",SUMPRODUCT(--($H$2:$H$501=K177))&gt;0)</f>
        <v/>
      </c>
      <c r="S177">
        <f>IF(K177="","",IF(AND(Q177,R177),IF(O177=P177,"Match","Qty Different"),IF(Q177,"Only in List 1","Only in List 2")))</f>
        <v/>
      </c>
      <c r="T177">
        <f>IF(K177="","",IF(ISNUMBER(--L177),TEXT(--L177,"000000000000.000"),LOWER(L177)))</f>
        <v/>
      </c>
      <c r="U177">
        <f>IF(K177="","",IF(ISNUMBER(--M177),TEXT(--M177,"000000000000.000"),LOWER(M177)))</f>
        <v/>
      </c>
      <c r="V177">
        <f>IF(K177="","",LOWER(N177))</f>
        <v/>
      </c>
      <c r="W177">
        <f>IF(K177="","",B177)</f>
        <v/>
      </c>
      <c r="X177">
        <f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>
      <c r="A178">
        <f>IF(TRIM('List 1'!A178&amp;'List 1'!C178&amp;'List 1'!D178)="","",LOWER(TRIM('List 1'!A178)&amp;"|"&amp;TRIM('List 1'!C178)&amp;"|"&amp;TRIM('List 1'!D178)))</f>
        <v/>
      </c>
      <c r="B178">
        <f>IF(A178="","",SUMPRODUCT(--($A$2:A178=A178)))</f>
        <v/>
      </c>
      <c r="C178">
        <f>IF(A178="","",A178&amp;"#"&amp;B178)</f>
        <v/>
      </c>
      <c r="D178">
        <f>IF(A178="","",IFERROR(--'List 1'!B178,0))</f>
        <v/>
      </c>
      <c r="F178">
        <f>IF(TRIM('List 2'!A178&amp;'List 2'!C178&amp;'List 2'!D178)="","",LOWER(TRIM('List 2'!A178)&amp;"|"&amp;TRIM('List 2'!C178)&amp;"|"&amp;TRIM('List 2'!D178)))</f>
        <v/>
      </c>
      <c r="G178">
        <f>IF(F178="","",SUMPRODUCT(--($F$2:F178=F178)))</f>
        <v/>
      </c>
      <c r="H178">
        <f>IF(F178="","",F178&amp;"#"&amp;G178)</f>
        <v/>
      </c>
      <c r="I178">
        <f>IF(F178="","",IFERROR(--'List 2'!B178,0))</f>
        <v/>
      </c>
      <c r="K178">
        <f>C178</f>
        <v/>
      </c>
      <c r="L178">
        <f>IF(K178="","",IF(ISNUMBER('List 1'!A178),'List 1'!A178,TRIM('List 1'!A178)))</f>
        <v/>
      </c>
      <c r="M178">
        <f>IF(K178="","",IF(ISNUMBER('List 1'!C178),'List 1'!C178,TRIM('List 1'!C178)))</f>
        <v/>
      </c>
      <c r="N178">
        <f>IF(K178="","",IF(ISNUMBER('List 1'!D178),'List 1'!D178,TRIM('List 1'!D178)))</f>
        <v/>
      </c>
      <c r="O178">
        <f>IF(K178="","",D178)</f>
        <v/>
      </c>
      <c r="P178">
        <f>IF(K178="","",IF(R178,SUMPRODUCT(--($H$2:$H$501=K178),$I$2:$I$501),0))</f>
        <v/>
      </c>
      <c r="Q178">
        <f>IF(K178="","",TRUE)</f>
        <v/>
      </c>
      <c r="R178">
        <f>IF(K178="","",SUMPRODUCT(--($H$2:$H$501=K178))&gt;0)</f>
        <v/>
      </c>
      <c r="S178">
        <f>IF(K178="","",IF(AND(Q178,R178),IF(O178=P178,"Match","Qty Different"),IF(Q178,"Only in List 1","Only in List 2")))</f>
        <v/>
      </c>
      <c r="T178">
        <f>IF(K178="","",IF(ISNUMBER(--L178),TEXT(--L178,"000000000000.000"),LOWER(L178)))</f>
        <v/>
      </c>
      <c r="U178">
        <f>IF(K178="","",IF(ISNUMBER(--M178),TEXT(--M178,"000000000000.000"),LOWER(M178)))</f>
        <v/>
      </c>
      <c r="V178">
        <f>IF(K178="","",LOWER(N178))</f>
        <v/>
      </c>
      <c r="W178">
        <f>IF(K178="","",B178)</f>
        <v/>
      </c>
      <c r="X178">
        <f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>
      <c r="A179">
        <f>IF(TRIM('List 1'!A179&amp;'List 1'!C179&amp;'List 1'!D179)="","",LOWER(TRIM('List 1'!A179)&amp;"|"&amp;TRIM('List 1'!C179)&amp;"|"&amp;TRIM('List 1'!D179)))</f>
        <v/>
      </c>
      <c r="B179">
        <f>IF(A179="","",SUMPRODUCT(--($A$2:A179=A179)))</f>
        <v/>
      </c>
      <c r="C179">
        <f>IF(A179="","",A179&amp;"#"&amp;B179)</f>
        <v/>
      </c>
      <c r="D179">
        <f>IF(A179="","",IFERROR(--'List 1'!B179,0))</f>
        <v/>
      </c>
      <c r="F179">
        <f>IF(TRIM('List 2'!A179&amp;'List 2'!C179&amp;'List 2'!D179)="","",LOWER(TRIM('List 2'!A179)&amp;"|"&amp;TRIM('List 2'!C179)&amp;"|"&amp;TRIM('List 2'!D179)))</f>
        <v/>
      </c>
      <c r="G179">
        <f>IF(F179="","",SUMPRODUCT(--($F$2:F179=F179)))</f>
        <v/>
      </c>
      <c r="H179">
        <f>IF(F179="","",F179&amp;"#"&amp;G179)</f>
        <v/>
      </c>
      <c r="I179">
        <f>IF(F179="","",IFERROR(--'List 2'!B179,0))</f>
        <v/>
      </c>
      <c r="K179">
        <f>C179</f>
        <v/>
      </c>
      <c r="L179">
        <f>IF(K179="","",IF(ISNUMBER('List 1'!A179),'List 1'!A179,TRIM('List 1'!A179)))</f>
        <v/>
      </c>
      <c r="M179">
        <f>IF(K179="","",IF(ISNUMBER('List 1'!C179),'List 1'!C179,TRIM('List 1'!C179)))</f>
        <v/>
      </c>
      <c r="N179">
        <f>IF(K179="","",IF(ISNUMBER('List 1'!D179),'List 1'!D179,TRIM('List 1'!D179)))</f>
        <v/>
      </c>
      <c r="O179">
        <f>IF(K179="","",D179)</f>
        <v/>
      </c>
      <c r="P179">
        <f>IF(K179="","",IF(R179,SUMPRODUCT(--($H$2:$H$501=K179),$I$2:$I$501),0))</f>
        <v/>
      </c>
      <c r="Q179">
        <f>IF(K179="","",TRUE)</f>
        <v/>
      </c>
      <c r="R179">
        <f>IF(K179="","",SUMPRODUCT(--($H$2:$H$501=K179))&gt;0)</f>
        <v/>
      </c>
      <c r="S179">
        <f>IF(K179="","",IF(AND(Q179,R179),IF(O179=P179,"Match","Qty Different"),IF(Q179,"Only in List 1","Only in List 2")))</f>
        <v/>
      </c>
      <c r="T179">
        <f>IF(K179="","",IF(ISNUMBER(--L179),TEXT(--L179,"000000000000.000"),LOWER(L179)))</f>
        <v/>
      </c>
      <c r="U179">
        <f>IF(K179="","",IF(ISNUMBER(--M179),TEXT(--M179,"000000000000.000"),LOWER(M179)))</f>
        <v/>
      </c>
      <c r="V179">
        <f>IF(K179="","",LOWER(N179))</f>
        <v/>
      </c>
      <c r="W179">
        <f>IF(K179="","",B179)</f>
        <v/>
      </c>
      <c r="X179">
        <f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>
      <c r="A180">
        <f>IF(TRIM('List 1'!A180&amp;'List 1'!C180&amp;'List 1'!D180)="","",LOWER(TRIM('List 1'!A180)&amp;"|"&amp;TRIM('List 1'!C180)&amp;"|"&amp;TRIM('List 1'!D180)))</f>
        <v/>
      </c>
      <c r="B180">
        <f>IF(A180="","",SUMPRODUCT(--($A$2:A180=A180)))</f>
        <v/>
      </c>
      <c r="C180">
        <f>IF(A180="","",A180&amp;"#"&amp;B180)</f>
        <v/>
      </c>
      <c r="D180">
        <f>IF(A180="","",IFERROR(--'List 1'!B180,0))</f>
        <v/>
      </c>
      <c r="F180">
        <f>IF(TRIM('List 2'!A180&amp;'List 2'!C180&amp;'List 2'!D180)="","",LOWER(TRIM('List 2'!A180)&amp;"|"&amp;TRIM('List 2'!C180)&amp;"|"&amp;TRIM('List 2'!D180)))</f>
        <v/>
      </c>
      <c r="G180">
        <f>IF(F180="","",SUMPRODUCT(--($F$2:F180=F180)))</f>
        <v/>
      </c>
      <c r="H180">
        <f>IF(F180="","",F180&amp;"#"&amp;G180)</f>
        <v/>
      </c>
      <c r="I180">
        <f>IF(F180="","",IFERROR(--'List 2'!B180,0))</f>
        <v/>
      </c>
      <c r="K180">
        <f>C180</f>
        <v/>
      </c>
      <c r="L180">
        <f>IF(K180="","",IF(ISNUMBER('List 1'!A180),'List 1'!A180,TRIM('List 1'!A180)))</f>
        <v/>
      </c>
      <c r="M180">
        <f>IF(K180="","",IF(ISNUMBER('List 1'!C180),'List 1'!C180,TRIM('List 1'!C180)))</f>
        <v/>
      </c>
      <c r="N180">
        <f>IF(K180="","",IF(ISNUMBER('List 1'!D180),'List 1'!D180,TRIM('List 1'!D180)))</f>
        <v/>
      </c>
      <c r="O180">
        <f>IF(K180="","",D180)</f>
        <v/>
      </c>
      <c r="P180">
        <f>IF(K180="","",IF(R180,SUMPRODUCT(--($H$2:$H$501=K180),$I$2:$I$501),0))</f>
        <v/>
      </c>
      <c r="Q180">
        <f>IF(K180="","",TRUE)</f>
        <v/>
      </c>
      <c r="R180">
        <f>IF(K180="","",SUMPRODUCT(--($H$2:$H$501=K180))&gt;0)</f>
        <v/>
      </c>
      <c r="S180">
        <f>IF(K180="","",IF(AND(Q180,R180),IF(O180=P180,"Match","Qty Different"),IF(Q180,"Only in List 1","Only in List 2")))</f>
        <v/>
      </c>
      <c r="T180">
        <f>IF(K180="","",IF(ISNUMBER(--L180),TEXT(--L180,"000000000000.000"),LOWER(L180)))</f>
        <v/>
      </c>
      <c r="U180">
        <f>IF(K180="","",IF(ISNUMBER(--M180),TEXT(--M180,"000000000000.000"),LOWER(M180)))</f>
        <v/>
      </c>
      <c r="V180">
        <f>IF(K180="","",LOWER(N180))</f>
        <v/>
      </c>
      <c r="W180">
        <f>IF(K180="","",B180)</f>
        <v/>
      </c>
      <c r="X180">
        <f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>
      <c r="A181">
        <f>IF(TRIM('List 1'!A181&amp;'List 1'!C181&amp;'List 1'!D181)="","",LOWER(TRIM('List 1'!A181)&amp;"|"&amp;TRIM('List 1'!C181)&amp;"|"&amp;TRIM('List 1'!D181)))</f>
        <v/>
      </c>
      <c r="B181">
        <f>IF(A181="","",SUMPRODUCT(--($A$2:A181=A181)))</f>
        <v/>
      </c>
      <c r="C181">
        <f>IF(A181="","",A181&amp;"#"&amp;B181)</f>
        <v/>
      </c>
      <c r="D181">
        <f>IF(A181="","",IFERROR(--'List 1'!B181,0))</f>
        <v/>
      </c>
      <c r="F181">
        <f>IF(TRIM('List 2'!A181&amp;'List 2'!C181&amp;'List 2'!D181)="","",LOWER(TRIM('List 2'!A181)&amp;"|"&amp;TRIM('List 2'!C181)&amp;"|"&amp;TRIM('List 2'!D181)))</f>
        <v/>
      </c>
      <c r="G181">
        <f>IF(F181="","",SUMPRODUCT(--($F$2:F181=F181)))</f>
        <v/>
      </c>
      <c r="H181">
        <f>IF(F181="","",F181&amp;"#"&amp;G181)</f>
        <v/>
      </c>
      <c r="I181">
        <f>IF(F181="","",IFERROR(--'List 2'!B181,0))</f>
        <v/>
      </c>
      <c r="K181">
        <f>C181</f>
        <v/>
      </c>
      <c r="L181">
        <f>IF(K181="","",IF(ISNUMBER('List 1'!A181),'List 1'!A181,TRIM('List 1'!A181)))</f>
        <v/>
      </c>
      <c r="M181">
        <f>IF(K181="","",IF(ISNUMBER('List 1'!C181),'List 1'!C181,TRIM('List 1'!C181)))</f>
        <v/>
      </c>
      <c r="N181">
        <f>IF(K181="","",IF(ISNUMBER('List 1'!D181),'List 1'!D181,TRIM('List 1'!D181)))</f>
        <v/>
      </c>
      <c r="O181">
        <f>IF(K181="","",D181)</f>
        <v/>
      </c>
      <c r="P181">
        <f>IF(K181="","",IF(R181,SUMPRODUCT(--($H$2:$H$501=K181),$I$2:$I$501),0))</f>
        <v/>
      </c>
      <c r="Q181">
        <f>IF(K181="","",TRUE)</f>
        <v/>
      </c>
      <c r="R181">
        <f>IF(K181="","",SUMPRODUCT(--($H$2:$H$501=K181))&gt;0)</f>
        <v/>
      </c>
      <c r="S181">
        <f>IF(K181="","",IF(AND(Q181,R181),IF(O181=P181,"Match","Qty Different"),IF(Q181,"Only in List 1","Only in List 2")))</f>
        <v/>
      </c>
      <c r="T181">
        <f>IF(K181="","",IF(ISNUMBER(--L181),TEXT(--L181,"000000000000.000"),LOWER(L181)))</f>
        <v/>
      </c>
      <c r="U181">
        <f>IF(K181="","",IF(ISNUMBER(--M181),TEXT(--M181,"000000000000.000"),LOWER(M181)))</f>
        <v/>
      </c>
      <c r="V181">
        <f>IF(K181="","",LOWER(N181))</f>
        <v/>
      </c>
      <c r="W181">
        <f>IF(K181="","",B181)</f>
        <v/>
      </c>
      <c r="X181">
        <f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>
      <c r="A182">
        <f>IF(TRIM('List 1'!A182&amp;'List 1'!C182&amp;'List 1'!D182)="","",LOWER(TRIM('List 1'!A182)&amp;"|"&amp;TRIM('List 1'!C182)&amp;"|"&amp;TRIM('List 1'!D182)))</f>
        <v/>
      </c>
      <c r="B182">
        <f>IF(A182="","",SUMPRODUCT(--($A$2:A182=A182)))</f>
        <v/>
      </c>
      <c r="C182">
        <f>IF(A182="","",A182&amp;"#"&amp;B182)</f>
        <v/>
      </c>
      <c r="D182">
        <f>IF(A182="","",IFERROR(--'List 1'!B182,0))</f>
        <v/>
      </c>
      <c r="F182">
        <f>IF(TRIM('List 2'!A182&amp;'List 2'!C182&amp;'List 2'!D182)="","",LOWER(TRIM('List 2'!A182)&amp;"|"&amp;TRIM('List 2'!C182)&amp;"|"&amp;TRIM('List 2'!D182)))</f>
        <v/>
      </c>
      <c r="G182">
        <f>IF(F182="","",SUMPRODUCT(--($F$2:F182=F182)))</f>
        <v/>
      </c>
      <c r="H182">
        <f>IF(F182="","",F182&amp;"#"&amp;G182)</f>
        <v/>
      </c>
      <c r="I182">
        <f>IF(F182="","",IFERROR(--'List 2'!B182,0))</f>
        <v/>
      </c>
      <c r="K182">
        <f>C182</f>
        <v/>
      </c>
      <c r="L182">
        <f>IF(K182="","",IF(ISNUMBER('List 1'!A182),'List 1'!A182,TRIM('List 1'!A182)))</f>
        <v/>
      </c>
      <c r="M182">
        <f>IF(K182="","",IF(ISNUMBER('List 1'!C182),'List 1'!C182,TRIM('List 1'!C182)))</f>
        <v/>
      </c>
      <c r="N182">
        <f>IF(K182="","",IF(ISNUMBER('List 1'!D182),'List 1'!D182,TRIM('List 1'!D182)))</f>
        <v/>
      </c>
      <c r="O182">
        <f>IF(K182="","",D182)</f>
        <v/>
      </c>
      <c r="P182">
        <f>IF(K182="","",IF(R182,SUMPRODUCT(--($H$2:$H$501=K182),$I$2:$I$501),0))</f>
        <v/>
      </c>
      <c r="Q182">
        <f>IF(K182="","",TRUE)</f>
        <v/>
      </c>
      <c r="R182">
        <f>IF(K182="","",SUMPRODUCT(--($H$2:$H$501=K182))&gt;0)</f>
        <v/>
      </c>
      <c r="S182">
        <f>IF(K182="","",IF(AND(Q182,R182),IF(O182=P182,"Match","Qty Different"),IF(Q182,"Only in List 1","Only in List 2")))</f>
        <v/>
      </c>
      <c r="T182">
        <f>IF(K182="","",IF(ISNUMBER(--L182),TEXT(--L182,"000000000000.000"),LOWER(L182)))</f>
        <v/>
      </c>
      <c r="U182">
        <f>IF(K182="","",IF(ISNUMBER(--M182),TEXT(--M182,"000000000000.000"),LOWER(M182)))</f>
        <v/>
      </c>
      <c r="V182">
        <f>IF(K182="","",LOWER(N182))</f>
        <v/>
      </c>
      <c r="W182">
        <f>IF(K182="","",B182)</f>
        <v/>
      </c>
      <c r="X182">
        <f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>
      <c r="A183">
        <f>IF(TRIM('List 1'!A183&amp;'List 1'!C183&amp;'List 1'!D183)="","",LOWER(TRIM('List 1'!A183)&amp;"|"&amp;TRIM('List 1'!C183)&amp;"|"&amp;TRIM('List 1'!D183)))</f>
        <v/>
      </c>
      <c r="B183">
        <f>IF(A183="","",SUMPRODUCT(--($A$2:A183=A183)))</f>
        <v/>
      </c>
      <c r="C183">
        <f>IF(A183="","",A183&amp;"#"&amp;B183)</f>
        <v/>
      </c>
      <c r="D183">
        <f>IF(A183="","",IFERROR(--'List 1'!B183,0))</f>
        <v/>
      </c>
      <c r="F183">
        <f>IF(TRIM('List 2'!A183&amp;'List 2'!C183&amp;'List 2'!D183)="","",LOWER(TRIM('List 2'!A183)&amp;"|"&amp;TRIM('List 2'!C183)&amp;"|"&amp;TRIM('List 2'!D183)))</f>
        <v/>
      </c>
      <c r="G183">
        <f>IF(F183="","",SUMPRODUCT(--($F$2:F183=F183)))</f>
        <v/>
      </c>
      <c r="H183">
        <f>IF(F183="","",F183&amp;"#"&amp;G183)</f>
        <v/>
      </c>
      <c r="I183">
        <f>IF(F183="","",IFERROR(--'List 2'!B183,0))</f>
        <v/>
      </c>
      <c r="K183">
        <f>C183</f>
        <v/>
      </c>
      <c r="L183">
        <f>IF(K183="","",IF(ISNUMBER('List 1'!A183),'List 1'!A183,TRIM('List 1'!A183)))</f>
        <v/>
      </c>
      <c r="M183">
        <f>IF(K183="","",IF(ISNUMBER('List 1'!C183),'List 1'!C183,TRIM('List 1'!C183)))</f>
        <v/>
      </c>
      <c r="N183">
        <f>IF(K183="","",IF(ISNUMBER('List 1'!D183),'List 1'!D183,TRIM('List 1'!D183)))</f>
        <v/>
      </c>
      <c r="O183">
        <f>IF(K183="","",D183)</f>
        <v/>
      </c>
      <c r="P183">
        <f>IF(K183="","",IF(R183,SUMPRODUCT(--($H$2:$H$501=K183),$I$2:$I$501),0))</f>
        <v/>
      </c>
      <c r="Q183">
        <f>IF(K183="","",TRUE)</f>
        <v/>
      </c>
      <c r="R183">
        <f>IF(K183="","",SUMPRODUCT(--($H$2:$H$501=K183))&gt;0)</f>
        <v/>
      </c>
      <c r="S183">
        <f>IF(K183="","",IF(AND(Q183,R183),IF(O183=P183,"Match","Qty Different"),IF(Q183,"Only in List 1","Only in List 2")))</f>
        <v/>
      </c>
      <c r="T183">
        <f>IF(K183="","",IF(ISNUMBER(--L183),TEXT(--L183,"000000000000.000"),LOWER(L183)))</f>
        <v/>
      </c>
      <c r="U183">
        <f>IF(K183="","",IF(ISNUMBER(--M183),TEXT(--M183,"000000000000.000"),LOWER(M183)))</f>
        <v/>
      </c>
      <c r="V183">
        <f>IF(K183="","",LOWER(N183))</f>
        <v/>
      </c>
      <c r="W183">
        <f>IF(K183="","",B183)</f>
        <v/>
      </c>
      <c r="X183">
        <f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>
      <c r="A184">
        <f>IF(TRIM('List 1'!A184&amp;'List 1'!C184&amp;'List 1'!D184)="","",LOWER(TRIM('List 1'!A184)&amp;"|"&amp;TRIM('List 1'!C184)&amp;"|"&amp;TRIM('List 1'!D184)))</f>
        <v/>
      </c>
      <c r="B184">
        <f>IF(A184="","",SUMPRODUCT(--($A$2:A184=A184)))</f>
        <v/>
      </c>
      <c r="C184">
        <f>IF(A184="","",A184&amp;"#"&amp;B184)</f>
        <v/>
      </c>
      <c r="D184">
        <f>IF(A184="","",IFERROR(--'List 1'!B184,0))</f>
        <v/>
      </c>
      <c r="F184">
        <f>IF(TRIM('List 2'!A184&amp;'List 2'!C184&amp;'List 2'!D184)="","",LOWER(TRIM('List 2'!A184)&amp;"|"&amp;TRIM('List 2'!C184)&amp;"|"&amp;TRIM('List 2'!D184)))</f>
        <v/>
      </c>
      <c r="G184">
        <f>IF(F184="","",SUMPRODUCT(--($F$2:F184=F184)))</f>
        <v/>
      </c>
      <c r="H184">
        <f>IF(F184="","",F184&amp;"#"&amp;G184)</f>
        <v/>
      </c>
      <c r="I184">
        <f>IF(F184="","",IFERROR(--'List 2'!B184,0))</f>
        <v/>
      </c>
      <c r="K184">
        <f>C184</f>
        <v/>
      </c>
      <c r="L184">
        <f>IF(K184="","",IF(ISNUMBER('List 1'!A184),'List 1'!A184,TRIM('List 1'!A184)))</f>
        <v/>
      </c>
      <c r="M184">
        <f>IF(K184="","",IF(ISNUMBER('List 1'!C184),'List 1'!C184,TRIM('List 1'!C184)))</f>
        <v/>
      </c>
      <c r="N184">
        <f>IF(K184="","",IF(ISNUMBER('List 1'!D184),'List 1'!D184,TRIM('List 1'!D184)))</f>
        <v/>
      </c>
      <c r="O184">
        <f>IF(K184="","",D184)</f>
        <v/>
      </c>
      <c r="P184">
        <f>IF(K184="","",IF(R184,SUMPRODUCT(--($H$2:$H$501=K184),$I$2:$I$501),0))</f>
        <v/>
      </c>
      <c r="Q184">
        <f>IF(K184="","",TRUE)</f>
        <v/>
      </c>
      <c r="R184">
        <f>IF(K184="","",SUMPRODUCT(--($H$2:$H$501=K184))&gt;0)</f>
        <v/>
      </c>
      <c r="S184">
        <f>IF(K184="","",IF(AND(Q184,R184),IF(O184=P184,"Match","Qty Different"),IF(Q184,"Only in List 1","Only in List 2")))</f>
        <v/>
      </c>
      <c r="T184">
        <f>IF(K184="","",IF(ISNUMBER(--L184),TEXT(--L184,"000000000000.000"),LOWER(L184)))</f>
        <v/>
      </c>
      <c r="U184">
        <f>IF(K184="","",IF(ISNUMBER(--M184),TEXT(--M184,"000000000000.000"),LOWER(M184)))</f>
        <v/>
      </c>
      <c r="V184">
        <f>IF(K184="","",LOWER(N184))</f>
        <v/>
      </c>
      <c r="W184">
        <f>IF(K184="","",B184)</f>
        <v/>
      </c>
      <c r="X184">
        <f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>
      <c r="A185">
        <f>IF(TRIM('List 1'!A185&amp;'List 1'!C185&amp;'List 1'!D185)="","",LOWER(TRIM('List 1'!A185)&amp;"|"&amp;TRIM('List 1'!C185)&amp;"|"&amp;TRIM('List 1'!D185)))</f>
        <v/>
      </c>
      <c r="B185">
        <f>IF(A185="","",SUMPRODUCT(--($A$2:A185=A185)))</f>
        <v/>
      </c>
      <c r="C185">
        <f>IF(A185="","",A185&amp;"#"&amp;B185)</f>
        <v/>
      </c>
      <c r="D185">
        <f>IF(A185="","",IFERROR(--'List 1'!B185,0))</f>
        <v/>
      </c>
      <c r="F185">
        <f>IF(TRIM('List 2'!A185&amp;'List 2'!C185&amp;'List 2'!D185)="","",LOWER(TRIM('List 2'!A185)&amp;"|"&amp;TRIM('List 2'!C185)&amp;"|"&amp;TRIM('List 2'!D185)))</f>
        <v/>
      </c>
      <c r="G185">
        <f>IF(F185="","",SUMPRODUCT(--($F$2:F185=F185)))</f>
        <v/>
      </c>
      <c r="H185">
        <f>IF(F185="","",F185&amp;"#"&amp;G185)</f>
        <v/>
      </c>
      <c r="I185">
        <f>IF(F185="","",IFERROR(--'List 2'!B185,0))</f>
        <v/>
      </c>
      <c r="K185">
        <f>C185</f>
        <v/>
      </c>
      <c r="L185">
        <f>IF(K185="","",IF(ISNUMBER('List 1'!A185),'List 1'!A185,TRIM('List 1'!A185)))</f>
        <v/>
      </c>
      <c r="M185">
        <f>IF(K185="","",IF(ISNUMBER('List 1'!C185),'List 1'!C185,TRIM('List 1'!C185)))</f>
        <v/>
      </c>
      <c r="N185">
        <f>IF(K185="","",IF(ISNUMBER('List 1'!D185),'List 1'!D185,TRIM('List 1'!D185)))</f>
        <v/>
      </c>
      <c r="O185">
        <f>IF(K185="","",D185)</f>
        <v/>
      </c>
      <c r="P185">
        <f>IF(K185="","",IF(R185,SUMPRODUCT(--($H$2:$H$501=K185),$I$2:$I$501),0))</f>
        <v/>
      </c>
      <c r="Q185">
        <f>IF(K185="","",TRUE)</f>
        <v/>
      </c>
      <c r="R185">
        <f>IF(K185="","",SUMPRODUCT(--($H$2:$H$501=K185))&gt;0)</f>
        <v/>
      </c>
      <c r="S185">
        <f>IF(K185="","",IF(AND(Q185,R185),IF(O185=P185,"Match","Qty Different"),IF(Q185,"Only in List 1","Only in List 2")))</f>
        <v/>
      </c>
      <c r="T185">
        <f>IF(K185="","",IF(ISNUMBER(--L185),TEXT(--L185,"000000000000.000"),LOWER(L185)))</f>
        <v/>
      </c>
      <c r="U185">
        <f>IF(K185="","",IF(ISNUMBER(--M185),TEXT(--M185,"000000000000.000"),LOWER(M185)))</f>
        <v/>
      </c>
      <c r="V185">
        <f>IF(K185="","",LOWER(N185))</f>
        <v/>
      </c>
      <c r="W185">
        <f>IF(K185="","",B185)</f>
        <v/>
      </c>
      <c r="X185">
        <f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>
      <c r="A186">
        <f>IF(TRIM('List 1'!A186&amp;'List 1'!C186&amp;'List 1'!D186)="","",LOWER(TRIM('List 1'!A186)&amp;"|"&amp;TRIM('List 1'!C186)&amp;"|"&amp;TRIM('List 1'!D186)))</f>
        <v/>
      </c>
      <c r="B186">
        <f>IF(A186="","",SUMPRODUCT(--($A$2:A186=A186)))</f>
        <v/>
      </c>
      <c r="C186">
        <f>IF(A186="","",A186&amp;"#"&amp;B186)</f>
        <v/>
      </c>
      <c r="D186">
        <f>IF(A186="","",IFERROR(--'List 1'!B186,0))</f>
        <v/>
      </c>
      <c r="F186">
        <f>IF(TRIM('List 2'!A186&amp;'List 2'!C186&amp;'List 2'!D186)="","",LOWER(TRIM('List 2'!A186)&amp;"|"&amp;TRIM('List 2'!C186)&amp;"|"&amp;TRIM('List 2'!D186)))</f>
        <v/>
      </c>
      <c r="G186">
        <f>IF(F186="","",SUMPRODUCT(--($F$2:F186=F186)))</f>
        <v/>
      </c>
      <c r="H186">
        <f>IF(F186="","",F186&amp;"#"&amp;G186)</f>
        <v/>
      </c>
      <c r="I186">
        <f>IF(F186="","",IFERROR(--'List 2'!B186,0))</f>
        <v/>
      </c>
      <c r="K186">
        <f>C186</f>
        <v/>
      </c>
      <c r="L186">
        <f>IF(K186="","",IF(ISNUMBER('List 1'!A186),'List 1'!A186,TRIM('List 1'!A186)))</f>
        <v/>
      </c>
      <c r="M186">
        <f>IF(K186="","",IF(ISNUMBER('List 1'!C186),'List 1'!C186,TRIM('List 1'!C186)))</f>
        <v/>
      </c>
      <c r="N186">
        <f>IF(K186="","",IF(ISNUMBER('List 1'!D186),'List 1'!D186,TRIM('List 1'!D186)))</f>
        <v/>
      </c>
      <c r="O186">
        <f>IF(K186="","",D186)</f>
        <v/>
      </c>
      <c r="P186">
        <f>IF(K186="","",IF(R186,SUMPRODUCT(--($H$2:$H$501=K186),$I$2:$I$501),0))</f>
        <v/>
      </c>
      <c r="Q186">
        <f>IF(K186="","",TRUE)</f>
        <v/>
      </c>
      <c r="R186">
        <f>IF(K186="","",SUMPRODUCT(--($H$2:$H$501=K186))&gt;0)</f>
        <v/>
      </c>
      <c r="S186">
        <f>IF(K186="","",IF(AND(Q186,R186),IF(O186=P186,"Match","Qty Different"),IF(Q186,"Only in List 1","Only in List 2")))</f>
        <v/>
      </c>
      <c r="T186">
        <f>IF(K186="","",IF(ISNUMBER(--L186),TEXT(--L186,"000000000000.000"),LOWER(L186)))</f>
        <v/>
      </c>
      <c r="U186">
        <f>IF(K186="","",IF(ISNUMBER(--M186),TEXT(--M186,"000000000000.000"),LOWER(M186)))</f>
        <v/>
      </c>
      <c r="V186">
        <f>IF(K186="","",LOWER(N186))</f>
        <v/>
      </c>
      <c r="W186">
        <f>IF(K186="","",B186)</f>
        <v/>
      </c>
      <c r="X186">
        <f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>
      <c r="A187">
        <f>IF(TRIM('List 1'!A187&amp;'List 1'!C187&amp;'List 1'!D187)="","",LOWER(TRIM('List 1'!A187)&amp;"|"&amp;TRIM('List 1'!C187)&amp;"|"&amp;TRIM('List 1'!D187)))</f>
        <v/>
      </c>
      <c r="B187">
        <f>IF(A187="","",SUMPRODUCT(--($A$2:A187=A187)))</f>
        <v/>
      </c>
      <c r="C187">
        <f>IF(A187="","",A187&amp;"#"&amp;B187)</f>
        <v/>
      </c>
      <c r="D187">
        <f>IF(A187="","",IFERROR(--'List 1'!B187,0))</f>
        <v/>
      </c>
      <c r="F187">
        <f>IF(TRIM('List 2'!A187&amp;'List 2'!C187&amp;'List 2'!D187)="","",LOWER(TRIM('List 2'!A187)&amp;"|"&amp;TRIM('List 2'!C187)&amp;"|"&amp;TRIM('List 2'!D187)))</f>
        <v/>
      </c>
      <c r="G187">
        <f>IF(F187="","",SUMPRODUCT(--($F$2:F187=F187)))</f>
        <v/>
      </c>
      <c r="H187">
        <f>IF(F187="","",F187&amp;"#"&amp;G187)</f>
        <v/>
      </c>
      <c r="I187">
        <f>IF(F187="","",IFERROR(--'List 2'!B187,0))</f>
        <v/>
      </c>
      <c r="K187">
        <f>C187</f>
        <v/>
      </c>
      <c r="L187">
        <f>IF(K187="","",IF(ISNUMBER('List 1'!A187),'List 1'!A187,TRIM('List 1'!A187)))</f>
        <v/>
      </c>
      <c r="M187">
        <f>IF(K187="","",IF(ISNUMBER('List 1'!C187),'List 1'!C187,TRIM('List 1'!C187)))</f>
        <v/>
      </c>
      <c r="N187">
        <f>IF(K187="","",IF(ISNUMBER('List 1'!D187),'List 1'!D187,TRIM('List 1'!D187)))</f>
        <v/>
      </c>
      <c r="O187">
        <f>IF(K187="","",D187)</f>
        <v/>
      </c>
      <c r="P187">
        <f>IF(K187="","",IF(R187,SUMPRODUCT(--($H$2:$H$501=K187),$I$2:$I$501),0))</f>
        <v/>
      </c>
      <c r="Q187">
        <f>IF(K187="","",TRUE)</f>
        <v/>
      </c>
      <c r="R187">
        <f>IF(K187="","",SUMPRODUCT(--($H$2:$H$501=K187))&gt;0)</f>
        <v/>
      </c>
      <c r="S187">
        <f>IF(K187="","",IF(AND(Q187,R187),IF(O187=P187,"Match","Qty Different"),IF(Q187,"Only in List 1","Only in List 2")))</f>
        <v/>
      </c>
      <c r="T187">
        <f>IF(K187="","",IF(ISNUMBER(--L187),TEXT(--L187,"000000000000.000"),LOWER(L187)))</f>
        <v/>
      </c>
      <c r="U187">
        <f>IF(K187="","",IF(ISNUMBER(--M187),TEXT(--M187,"000000000000.000"),LOWER(M187)))</f>
        <v/>
      </c>
      <c r="V187">
        <f>IF(K187="","",LOWER(N187))</f>
        <v/>
      </c>
      <c r="W187">
        <f>IF(K187="","",B187)</f>
        <v/>
      </c>
      <c r="X187">
        <f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>
      <c r="A188">
        <f>IF(TRIM('List 1'!A188&amp;'List 1'!C188&amp;'List 1'!D188)="","",LOWER(TRIM('List 1'!A188)&amp;"|"&amp;TRIM('List 1'!C188)&amp;"|"&amp;TRIM('List 1'!D188)))</f>
        <v/>
      </c>
      <c r="B188">
        <f>IF(A188="","",SUMPRODUCT(--($A$2:A188=A188)))</f>
        <v/>
      </c>
      <c r="C188">
        <f>IF(A188="","",A188&amp;"#"&amp;B188)</f>
        <v/>
      </c>
      <c r="D188">
        <f>IF(A188="","",IFERROR(--'List 1'!B188,0))</f>
        <v/>
      </c>
      <c r="F188">
        <f>IF(TRIM('List 2'!A188&amp;'List 2'!C188&amp;'List 2'!D188)="","",LOWER(TRIM('List 2'!A188)&amp;"|"&amp;TRIM('List 2'!C188)&amp;"|"&amp;TRIM('List 2'!D188)))</f>
        <v/>
      </c>
      <c r="G188">
        <f>IF(F188="","",SUMPRODUCT(--($F$2:F188=F188)))</f>
        <v/>
      </c>
      <c r="H188">
        <f>IF(F188="","",F188&amp;"#"&amp;G188)</f>
        <v/>
      </c>
      <c r="I188">
        <f>IF(F188="","",IFERROR(--'List 2'!B188,0))</f>
        <v/>
      </c>
      <c r="K188">
        <f>C188</f>
        <v/>
      </c>
      <c r="L188">
        <f>IF(K188="","",IF(ISNUMBER('List 1'!A188),'List 1'!A188,TRIM('List 1'!A188)))</f>
        <v/>
      </c>
      <c r="M188">
        <f>IF(K188="","",IF(ISNUMBER('List 1'!C188),'List 1'!C188,TRIM('List 1'!C188)))</f>
        <v/>
      </c>
      <c r="N188">
        <f>IF(K188="","",IF(ISNUMBER('List 1'!D188),'List 1'!D188,TRIM('List 1'!D188)))</f>
        <v/>
      </c>
      <c r="O188">
        <f>IF(K188="","",D188)</f>
        <v/>
      </c>
      <c r="P188">
        <f>IF(K188="","",IF(R188,SUMPRODUCT(--($H$2:$H$501=K188),$I$2:$I$501),0))</f>
        <v/>
      </c>
      <c r="Q188">
        <f>IF(K188="","",TRUE)</f>
        <v/>
      </c>
      <c r="R188">
        <f>IF(K188="","",SUMPRODUCT(--($H$2:$H$501=K188))&gt;0)</f>
        <v/>
      </c>
      <c r="S188">
        <f>IF(K188="","",IF(AND(Q188,R188),IF(O188=P188,"Match","Qty Different"),IF(Q188,"Only in List 1","Only in List 2")))</f>
        <v/>
      </c>
      <c r="T188">
        <f>IF(K188="","",IF(ISNUMBER(--L188),TEXT(--L188,"000000000000.000"),LOWER(L188)))</f>
        <v/>
      </c>
      <c r="U188">
        <f>IF(K188="","",IF(ISNUMBER(--M188),TEXT(--M188,"000000000000.000"),LOWER(M188)))</f>
        <v/>
      </c>
      <c r="V188">
        <f>IF(K188="","",LOWER(N188))</f>
        <v/>
      </c>
      <c r="W188">
        <f>IF(K188="","",B188)</f>
        <v/>
      </c>
      <c r="X188">
        <f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>
      <c r="A189">
        <f>IF(TRIM('List 1'!A189&amp;'List 1'!C189&amp;'List 1'!D189)="","",LOWER(TRIM('List 1'!A189)&amp;"|"&amp;TRIM('List 1'!C189)&amp;"|"&amp;TRIM('List 1'!D189)))</f>
        <v/>
      </c>
      <c r="B189">
        <f>IF(A189="","",SUMPRODUCT(--($A$2:A189=A189)))</f>
        <v/>
      </c>
      <c r="C189">
        <f>IF(A189="","",A189&amp;"#"&amp;B189)</f>
        <v/>
      </c>
      <c r="D189">
        <f>IF(A189="","",IFERROR(--'List 1'!B189,0))</f>
        <v/>
      </c>
      <c r="F189">
        <f>IF(TRIM('List 2'!A189&amp;'List 2'!C189&amp;'List 2'!D189)="","",LOWER(TRIM('List 2'!A189)&amp;"|"&amp;TRIM('List 2'!C189)&amp;"|"&amp;TRIM('List 2'!D189)))</f>
        <v/>
      </c>
      <c r="G189">
        <f>IF(F189="","",SUMPRODUCT(--($F$2:F189=F189)))</f>
        <v/>
      </c>
      <c r="H189">
        <f>IF(F189="","",F189&amp;"#"&amp;G189)</f>
        <v/>
      </c>
      <c r="I189">
        <f>IF(F189="","",IFERROR(--'List 2'!B189,0))</f>
        <v/>
      </c>
      <c r="K189">
        <f>C189</f>
        <v/>
      </c>
      <c r="L189">
        <f>IF(K189="","",IF(ISNUMBER('List 1'!A189),'List 1'!A189,TRIM('List 1'!A189)))</f>
        <v/>
      </c>
      <c r="M189">
        <f>IF(K189="","",IF(ISNUMBER('List 1'!C189),'List 1'!C189,TRIM('List 1'!C189)))</f>
        <v/>
      </c>
      <c r="N189">
        <f>IF(K189="","",IF(ISNUMBER('List 1'!D189),'List 1'!D189,TRIM('List 1'!D189)))</f>
        <v/>
      </c>
      <c r="O189">
        <f>IF(K189="","",D189)</f>
        <v/>
      </c>
      <c r="P189">
        <f>IF(K189="","",IF(R189,SUMPRODUCT(--($H$2:$H$501=K189),$I$2:$I$501),0))</f>
        <v/>
      </c>
      <c r="Q189">
        <f>IF(K189="","",TRUE)</f>
        <v/>
      </c>
      <c r="R189">
        <f>IF(K189="","",SUMPRODUCT(--($H$2:$H$501=K189))&gt;0)</f>
        <v/>
      </c>
      <c r="S189">
        <f>IF(K189="","",IF(AND(Q189,R189),IF(O189=P189,"Match","Qty Different"),IF(Q189,"Only in List 1","Only in List 2")))</f>
        <v/>
      </c>
      <c r="T189">
        <f>IF(K189="","",IF(ISNUMBER(--L189),TEXT(--L189,"000000000000.000"),LOWER(L189)))</f>
        <v/>
      </c>
      <c r="U189">
        <f>IF(K189="","",IF(ISNUMBER(--M189),TEXT(--M189,"000000000000.000"),LOWER(M189)))</f>
        <v/>
      </c>
      <c r="V189">
        <f>IF(K189="","",LOWER(N189))</f>
        <v/>
      </c>
      <c r="W189">
        <f>IF(K189="","",B189)</f>
        <v/>
      </c>
      <c r="X189">
        <f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>
      <c r="A190">
        <f>IF(TRIM('List 1'!A190&amp;'List 1'!C190&amp;'List 1'!D190)="","",LOWER(TRIM('List 1'!A190)&amp;"|"&amp;TRIM('List 1'!C190)&amp;"|"&amp;TRIM('List 1'!D190)))</f>
        <v/>
      </c>
      <c r="B190">
        <f>IF(A190="","",SUMPRODUCT(--($A$2:A190=A190)))</f>
        <v/>
      </c>
      <c r="C190">
        <f>IF(A190="","",A190&amp;"#"&amp;B190)</f>
        <v/>
      </c>
      <c r="D190">
        <f>IF(A190="","",IFERROR(--'List 1'!B190,0))</f>
        <v/>
      </c>
      <c r="F190">
        <f>IF(TRIM('List 2'!A190&amp;'List 2'!C190&amp;'List 2'!D190)="","",LOWER(TRIM('List 2'!A190)&amp;"|"&amp;TRIM('List 2'!C190)&amp;"|"&amp;TRIM('List 2'!D190)))</f>
        <v/>
      </c>
      <c r="G190">
        <f>IF(F190="","",SUMPRODUCT(--($F$2:F190=F190)))</f>
        <v/>
      </c>
      <c r="H190">
        <f>IF(F190="","",F190&amp;"#"&amp;G190)</f>
        <v/>
      </c>
      <c r="I190">
        <f>IF(F190="","",IFERROR(--'List 2'!B190,0))</f>
        <v/>
      </c>
      <c r="K190">
        <f>C190</f>
        <v/>
      </c>
      <c r="L190">
        <f>IF(K190="","",IF(ISNUMBER('List 1'!A190),'List 1'!A190,TRIM('List 1'!A190)))</f>
        <v/>
      </c>
      <c r="M190">
        <f>IF(K190="","",IF(ISNUMBER('List 1'!C190),'List 1'!C190,TRIM('List 1'!C190)))</f>
        <v/>
      </c>
      <c r="N190">
        <f>IF(K190="","",IF(ISNUMBER('List 1'!D190),'List 1'!D190,TRIM('List 1'!D190)))</f>
        <v/>
      </c>
      <c r="O190">
        <f>IF(K190="","",D190)</f>
        <v/>
      </c>
      <c r="P190">
        <f>IF(K190="","",IF(R190,SUMPRODUCT(--($H$2:$H$501=K190),$I$2:$I$501),0))</f>
        <v/>
      </c>
      <c r="Q190">
        <f>IF(K190="","",TRUE)</f>
        <v/>
      </c>
      <c r="R190">
        <f>IF(K190="","",SUMPRODUCT(--($H$2:$H$501=K190))&gt;0)</f>
        <v/>
      </c>
      <c r="S190">
        <f>IF(K190="","",IF(AND(Q190,R190),IF(O190=P190,"Match","Qty Different"),IF(Q190,"Only in List 1","Only in List 2")))</f>
        <v/>
      </c>
      <c r="T190">
        <f>IF(K190="","",IF(ISNUMBER(--L190),TEXT(--L190,"000000000000.000"),LOWER(L190)))</f>
        <v/>
      </c>
      <c r="U190">
        <f>IF(K190="","",IF(ISNUMBER(--M190),TEXT(--M190,"000000000000.000"),LOWER(M190)))</f>
        <v/>
      </c>
      <c r="V190">
        <f>IF(K190="","",LOWER(N190))</f>
        <v/>
      </c>
      <c r="W190">
        <f>IF(K190="","",B190)</f>
        <v/>
      </c>
      <c r="X190">
        <f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>
      <c r="A191">
        <f>IF(TRIM('List 1'!A191&amp;'List 1'!C191&amp;'List 1'!D191)="","",LOWER(TRIM('List 1'!A191)&amp;"|"&amp;TRIM('List 1'!C191)&amp;"|"&amp;TRIM('List 1'!D191)))</f>
        <v/>
      </c>
      <c r="B191">
        <f>IF(A191="","",SUMPRODUCT(--($A$2:A191=A191)))</f>
        <v/>
      </c>
      <c r="C191">
        <f>IF(A191="","",A191&amp;"#"&amp;B191)</f>
        <v/>
      </c>
      <c r="D191">
        <f>IF(A191="","",IFERROR(--'List 1'!B191,0))</f>
        <v/>
      </c>
      <c r="F191">
        <f>IF(TRIM('List 2'!A191&amp;'List 2'!C191&amp;'List 2'!D191)="","",LOWER(TRIM('List 2'!A191)&amp;"|"&amp;TRIM('List 2'!C191)&amp;"|"&amp;TRIM('List 2'!D191)))</f>
        <v/>
      </c>
      <c r="G191">
        <f>IF(F191="","",SUMPRODUCT(--($F$2:F191=F191)))</f>
        <v/>
      </c>
      <c r="H191">
        <f>IF(F191="","",F191&amp;"#"&amp;G191)</f>
        <v/>
      </c>
      <c r="I191">
        <f>IF(F191="","",IFERROR(--'List 2'!B191,0))</f>
        <v/>
      </c>
      <c r="K191">
        <f>C191</f>
        <v/>
      </c>
      <c r="L191">
        <f>IF(K191="","",IF(ISNUMBER('List 1'!A191),'List 1'!A191,TRIM('List 1'!A191)))</f>
        <v/>
      </c>
      <c r="M191">
        <f>IF(K191="","",IF(ISNUMBER('List 1'!C191),'List 1'!C191,TRIM('List 1'!C191)))</f>
        <v/>
      </c>
      <c r="N191">
        <f>IF(K191="","",IF(ISNUMBER('List 1'!D191),'List 1'!D191,TRIM('List 1'!D191)))</f>
        <v/>
      </c>
      <c r="O191">
        <f>IF(K191="","",D191)</f>
        <v/>
      </c>
      <c r="P191">
        <f>IF(K191="","",IF(R191,SUMPRODUCT(--($H$2:$H$501=K191),$I$2:$I$501),0))</f>
        <v/>
      </c>
      <c r="Q191">
        <f>IF(K191="","",TRUE)</f>
        <v/>
      </c>
      <c r="R191">
        <f>IF(K191="","",SUMPRODUCT(--($H$2:$H$501=K191))&gt;0)</f>
        <v/>
      </c>
      <c r="S191">
        <f>IF(K191="","",IF(AND(Q191,R191),IF(O191=P191,"Match","Qty Different"),IF(Q191,"Only in List 1","Only in List 2")))</f>
        <v/>
      </c>
      <c r="T191">
        <f>IF(K191="","",IF(ISNUMBER(--L191),TEXT(--L191,"000000000000.000"),LOWER(L191)))</f>
        <v/>
      </c>
      <c r="U191">
        <f>IF(K191="","",IF(ISNUMBER(--M191),TEXT(--M191,"000000000000.000"),LOWER(M191)))</f>
        <v/>
      </c>
      <c r="V191">
        <f>IF(K191="","",LOWER(N191))</f>
        <v/>
      </c>
      <c r="W191">
        <f>IF(K191="","",B191)</f>
        <v/>
      </c>
      <c r="X191">
        <f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>
      <c r="A192">
        <f>IF(TRIM('List 1'!A192&amp;'List 1'!C192&amp;'List 1'!D192)="","",LOWER(TRIM('List 1'!A192)&amp;"|"&amp;TRIM('List 1'!C192)&amp;"|"&amp;TRIM('List 1'!D192)))</f>
        <v/>
      </c>
      <c r="B192">
        <f>IF(A192="","",SUMPRODUCT(--($A$2:A192=A192)))</f>
        <v/>
      </c>
      <c r="C192">
        <f>IF(A192="","",A192&amp;"#"&amp;B192)</f>
        <v/>
      </c>
      <c r="D192">
        <f>IF(A192="","",IFERROR(--'List 1'!B192,0))</f>
        <v/>
      </c>
      <c r="F192">
        <f>IF(TRIM('List 2'!A192&amp;'List 2'!C192&amp;'List 2'!D192)="","",LOWER(TRIM('List 2'!A192)&amp;"|"&amp;TRIM('List 2'!C192)&amp;"|"&amp;TRIM('List 2'!D192)))</f>
        <v/>
      </c>
      <c r="G192">
        <f>IF(F192="","",SUMPRODUCT(--($F$2:F192=F192)))</f>
        <v/>
      </c>
      <c r="H192">
        <f>IF(F192="","",F192&amp;"#"&amp;G192)</f>
        <v/>
      </c>
      <c r="I192">
        <f>IF(F192="","",IFERROR(--'List 2'!B192,0))</f>
        <v/>
      </c>
      <c r="K192">
        <f>C192</f>
        <v/>
      </c>
      <c r="L192">
        <f>IF(K192="","",IF(ISNUMBER('List 1'!A192),'List 1'!A192,TRIM('List 1'!A192)))</f>
        <v/>
      </c>
      <c r="M192">
        <f>IF(K192="","",IF(ISNUMBER('List 1'!C192),'List 1'!C192,TRIM('List 1'!C192)))</f>
        <v/>
      </c>
      <c r="N192">
        <f>IF(K192="","",IF(ISNUMBER('List 1'!D192),'List 1'!D192,TRIM('List 1'!D192)))</f>
        <v/>
      </c>
      <c r="O192">
        <f>IF(K192="","",D192)</f>
        <v/>
      </c>
      <c r="P192">
        <f>IF(K192="","",IF(R192,SUMPRODUCT(--($H$2:$H$501=K192),$I$2:$I$501),0))</f>
        <v/>
      </c>
      <c r="Q192">
        <f>IF(K192="","",TRUE)</f>
        <v/>
      </c>
      <c r="R192">
        <f>IF(K192="","",SUMPRODUCT(--($H$2:$H$501=K192))&gt;0)</f>
        <v/>
      </c>
      <c r="S192">
        <f>IF(K192="","",IF(AND(Q192,R192),IF(O192=P192,"Match","Qty Different"),IF(Q192,"Only in List 1","Only in List 2")))</f>
        <v/>
      </c>
      <c r="T192">
        <f>IF(K192="","",IF(ISNUMBER(--L192),TEXT(--L192,"000000000000.000"),LOWER(L192)))</f>
        <v/>
      </c>
      <c r="U192">
        <f>IF(K192="","",IF(ISNUMBER(--M192),TEXT(--M192,"000000000000.000"),LOWER(M192)))</f>
        <v/>
      </c>
      <c r="V192">
        <f>IF(K192="","",LOWER(N192))</f>
        <v/>
      </c>
      <c r="W192">
        <f>IF(K192="","",B192)</f>
        <v/>
      </c>
      <c r="X192">
        <f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>
      <c r="A193">
        <f>IF(TRIM('List 1'!A193&amp;'List 1'!C193&amp;'List 1'!D193)="","",LOWER(TRIM('List 1'!A193)&amp;"|"&amp;TRIM('List 1'!C193)&amp;"|"&amp;TRIM('List 1'!D193)))</f>
        <v/>
      </c>
      <c r="B193">
        <f>IF(A193="","",SUMPRODUCT(--($A$2:A193=A193)))</f>
        <v/>
      </c>
      <c r="C193">
        <f>IF(A193="","",A193&amp;"#"&amp;B193)</f>
        <v/>
      </c>
      <c r="D193">
        <f>IF(A193="","",IFERROR(--'List 1'!B193,0))</f>
        <v/>
      </c>
      <c r="F193">
        <f>IF(TRIM('List 2'!A193&amp;'List 2'!C193&amp;'List 2'!D193)="","",LOWER(TRIM('List 2'!A193)&amp;"|"&amp;TRIM('List 2'!C193)&amp;"|"&amp;TRIM('List 2'!D193)))</f>
        <v/>
      </c>
      <c r="G193">
        <f>IF(F193="","",SUMPRODUCT(--($F$2:F193=F193)))</f>
        <v/>
      </c>
      <c r="H193">
        <f>IF(F193="","",F193&amp;"#"&amp;G193)</f>
        <v/>
      </c>
      <c r="I193">
        <f>IF(F193="","",IFERROR(--'List 2'!B193,0))</f>
        <v/>
      </c>
      <c r="K193">
        <f>C193</f>
        <v/>
      </c>
      <c r="L193">
        <f>IF(K193="","",IF(ISNUMBER('List 1'!A193),'List 1'!A193,TRIM('List 1'!A193)))</f>
        <v/>
      </c>
      <c r="M193">
        <f>IF(K193="","",IF(ISNUMBER('List 1'!C193),'List 1'!C193,TRIM('List 1'!C193)))</f>
        <v/>
      </c>
      <c r="N193">
        <f>IF(K193="","",IF(ISNUMBER('List 1'!D193),'List 1'!D193,TRIM('List 1'!D193)))</f>
        <v/>
      </c>
      <c r="O193">
        <f>IF(K193="","",D193)</f>
        <v/>
      </c>
      <c r="P193">
        <f>IF(K193="","",IF(R193,SUMPRODUCT(--($H$2:$H$501=K193),$I$2:$I$501),0))</f>
        <v/>
      </c>
      <c r="Q193">
        <f>IF(K193="","",TRUE)</f>
        <v/>
      </c>
      <c r="R193">
        <f>IF(K193="","",SUMPRODUCT(--($H$2:$H$501=K193))&gt;0)</f>
        <v/>
      </c>
      <c r="S193">
        <f>IF(K193="","",IF(AND(Q193,R193),IF(O193=P193,"Match","Qty Different"),IF(Q193,"Only in List 1","Only in List 2")))</f>
        <v/>
      </c>
      <c r="T193">
        <f>IF(K193="","",IF(ISNUMBER(--L193),TEXT(--L193,"000000000000.000"),LOWER(L193)))</f>
        <v/>
      </c>
      <c r="U193">
        <f>IF(K193="","",IF(ISNUMBER(--M193),TEXT(--M193,"000000000000.000"),LOWER(M193)))</f>
        <v/>
      </c>
      <c r="V193">
        <f>IF(K193="","",LOWER(N193))</f>
        <v/>
      </c>
      <c r="W193">
        <f>IF(K193="","",B193)</f>
        <v/>
      </c>
      <c r="X193">
        <f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>
      <c r="A194">
        <f>IF(TRIM('List 1'!A194&amp;'List 1'!C194&amp;'List 1'!D194)="","",LOWER(TRIM('List 1'!A194)&amp;"|"&amp;TRIM('List 1'!C194)&amp;"|"&amp;TRIM('List 1'!D194)))</f>
        <v/>
      </c>
      <c r="B194">
        <f>IF(A194="","",SUMPRODUCT(--($A$2:A194=A194)))</f>
        <v/>
      </c>
      <c r="C194">
        <f>IF(A194="","",A194&amp;"#"&amp;B194)</f>
        <v/>
      </c>
      <c r="D194">
        <f>IF(A194="","",IFERROR(--'List 1'!B194,0))</f>
        <v/>
      </c>
      <c r="F194">
        <f>IF(TRIM('List 2'!A194&amp;'List 2'!C194&amp;'List 2'!D194)="","",LOWER(TRIM('List 2'!A194)&amp;"|"&amp;TRIM('List 2'!C194)&amp;"|"&amp;TRIM('List 2'!D194)))</f>
        <v/>
      </c>
      <c r="G194">
        <f>IF(F194="","",SUMPRODUCT(--($F$2:F194=F194)))</f>
        <v/>
      </c>
      <c r="H194">
        <f>IF(F194="","",F194&amp;"#"&amp;G194)</f>
        <v/>
      </c>
      <c r="I194">
        <f>IF(F194="","",IFERROR(--'List 2'!B194,0))</f>
        <v/>
      </c>
      <c r="K194">
        <f>C194</f>
        <v/>
      </c>
      <c r="L194">
        <f>IF(K194="","",IF(ISNUMBER('List 1'!A194),'List 1'!A194,TRIM('List 1'!A194)))</f>
        <v/>
      </c>
      <c r="M194">
        <f>IF(K194="","",IF(ISNUMBER('List 1'!C194),'List 1'!C194,TRIM('List 1'!C194)))</f>
        <v/>
      </c>
      <c r="N194">
        <f>IF(K194="","",IF(ISNUMBER('List 1'!D194),'List 1'!D194,TRIM('List 1'!D194)))</f>
        <v/>
      </c>
      <c r="O194">
        <f>IF(K194="","",D194)</f>
        <v/>
      </c>
      <c r="P194">
        <f>IF(K194="","",IF(R194,SUMPRODUCT(--($H$2:$H$501=K194),$I$2:$I$501),0))</f>
        <v/>
      </c>
      <c r="Q194">
        <f>IF(K194="","",TRUE)</f>
        <v/>
      </c>
      <c r="R194">
        <f>IF(K194="","",SUMPRODUCT(--($H$2:$H$501=K194))&gt;0)</f>
        <v/>
      </c>
      <c r="S194">
        <f>IF(K194="","",IF(AND(Q194,R194),IF(O194=P194,"Match","Qty Different"),IF(Q194,"Only in List 1","Only in List 2")))</f>
        <v/>
      </c>
      <c r="T194">
        <f>IF(K194="","",IF(ISNUMBER(--L194),TEXT(--L194,"000000000000.000"),LOWER(L194)))</f>
        <v/>
      </c>
      <c r="U194">
        <f>IF(K194="","",IF(ISNUMBER(--M194),TEXT(--M194,"000000000000.000"),LOWER(M194)))</f>
        <v/>
      </c>
      <c r="V194">
        <f>IF(K194="","",LOWER(N194))</f>
        <v/>
      </c>
      <c r="W194">
        <f>IF(K194="","",B194)</f>
        <v/>
      </c>
      <c r="X194">
        <f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>
      <c r="A195">
        <f>IF(TRIM('List 1'!A195&amp;'List 1'!C195&amp;'List 1'!D195)="","",LOWER(TRIM('List 1'!A195)&amp;"|"&amp;TRIM('List 1'!C195)&amp;"|"&amp;TRIM('List 1'!D195)))</f>
        <v/>
      </c>
      <c r="B195">
        <f>IF(A195="","",SUMPRODUCT(--($A$2:A195=A195)))</f>
        <v/>
      </c>
      <c r="C195">
        <f>IF(A195="","",A195&amp;"#"&amp;B195)</f>
        <v/>
      </c>
      <c r="D195">
        <f>IF(A195="","",IFERROR(--'List 1'!B195,0))</f>
        <v/>
      </c>
      <c r="F195">
        <f>IF(TRIM('List 2'!A195&amp;'List 2'!C195&amp;'List 2'!D195)="","",LOWER(TRIM('List 2'!A195)&amp;"|"&amp;TRIM('List 2'!C195)&amp;"|"&amp;TRIM('List 2'!D195)))</f>
        <v/>
      </c>
      <c r="G195">
        <f>IF(F195="","",SUMPRODUCT(--($F$2:F195=F195)))</f>
        <v/>
      </c>
      <c r="H195">
        <f>IF(F195="","",F195&amp;"#"&amp;G195)</f>
        <v/>
      </c>
      <c r="I195">
        <f>IF(F195="","",IFERROR(--'List 2'!B195,0))</f>
        <v/>
      </c>
      <c r="K195">
        <f>C195</f>
        <v/>
      </c>
      <c r="L195">
        <f>IF(K195="","",IF(ISNUMBER('List 1'!A195),'List 1'!A195,TRIM('List 1'!A195)))</f>
        <v/>
      </c>
      <c r="M195">
        <f>IF(K195="","",IF(ISNUMBER('List 1'!C195),'List 1'!C195,TRIM('List 1'!C195)))</f>
        <v/>
      </c>
      <c r="N195">
        <f>IF(K195="","",IF(ISNUMBER('List 1'!D195),'List 1'!D195,TRIM('List 1'!D195)))</f>
        <v/>
      </c>
      <c r="O195">
        <f>IF(K195="","",D195)</f>
        <v/>
      </c>
      <c r="P195">
        <f>IF(K195="","",IF(R195,SUMPRODUCT(--($H$2:$H$501=K195),$I$2:$I$501),0))</f>
        <v/>
      </c>
      <c r="Q195">
        <f>IF(K195="","",TRUE)</f>
        <v/>
      </c>
      <c r="R195">
        <f>IF(K195="","",SUMPRODUCT(--($H$2:$H$501=K195))&gt;0)</f>
        <v/>
      </c>
      <c r="S195">
        <f>IF(K195="","",IF(AND(Q195,R195),IF(O195=P195,"Match","Qty Different"),IF(Q195,"Only in List 1","Only in List 2")))</f>
        <v/>
      </c>
      <c r="T195">
        <f>IF(K195="","",IF(ISNUMBER(--L195),TEXT(--L195,"000000000000.000"),LOWER(L195)))</f>
        <v/>
      </c>
      <c r="U195">
        <f>IF(K195="","",IF(ISNUMBER(--M195),TEXT(--M195,"000000000000.000"),LOWER(M195)))</f>
        <v/>
      </c>
      <c r="V195">
        <f>IF(K195="","",LOWER(N195))</f>
        <v/>
      </c>
      <c r="W195">
        <f>IF(K195="","",B195)</f>
        <v/>
      </c>
      <c r="X195">
        <f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>
      <c r="A196">
        <f>IF(TRIM('List 1'!A196&amp;'List 1'!C196&amp;'List 1'!D196)="","",LOWER(TRIM('List 1'!A196)&amp;"|"&amp;TRIM('List 1'!C196)&amp;"|"&amp;TRIM('List 1'!D196)))</f>
        <v/>
      </c>
      <c r="B196">
        <f>IF(A196="","",SUMPRODUCT(--($A$2:A196=A196)))</f>
        <v/>
      </c>
      <c r="C196">
        <f>IF(A196="","",A196&amp;"#"&amp;B196)</f>
        <v/>
      </c>
      <c r="D196">
        <f>IF(A196="","",IFERROR(--'List 1'!B196,0))</f>
        <v/>
      </c>
      <c r="F196">
        <f>IF(TRIM('List 2'!A196&amp;'List 2'!C196&amp;'List 2'!D196)="","",LOWER(TRIM('List 2'!A196)&amp;"|"&amp;TRIM('List 2'!C196)&amp;"|"&amp;TRIM('List 2'!D196)))</f>
        <v/>
      </c>
      <c r="G196">
        <f>IF(F196="","",SUMPRODUCT(--($F$2:F196=F196)))</f>
        <v/>
      </c>
      <c r="H196">
        <f>IF(F196="","",F196&amp;"#"&amp;G196)</f>
        <v/>
      </c>
      <c r="I196">
        <f>IF(F196="","",IFERROR(--'List 2'!B196,0))</f>
        <v/>
      </c>
      <c r="K196">
        <f>C196</f>
        <v/>
      </c>
      <c r="L196">
        <f>IF(K196="","",IF(ISNUMBER('List 1'!A196),'List 1'!A196,TRIM('List 1'!A196)))</f>
        <v/>
      </c>
      <c r="M196">
        <f>IF(K196="","",IF(ISNUMBER('List 1'!C196),'List 1'!C196,TRIM('List 1'!C196)))</f>
        <v/>
      </c>
      <c r="N196">
        <f>IF(K196="","",IF(ISNUMBER('List 1'!D196),'List 1'!D196,TRIM('List 1'!D196)))</f>
        <v/>
      </c>
      <c r="O196">
        <f>IF(K196="","",D196)</f>
        <v/>
      </c>
      <c r="P196">
        <f>IF(K196="","",IF(R196,SUMPRODUCT(--($H$2:$H$501=K196),$I$2:$I$501),0))</f>
        <v/>
      </c>
      <c r="Q196">
        <f>IF(K196="","",TRUE)</f>
        <v/>
      </c>
      <c r="R196">
        <f>IF(K196="","",SUMPRODUCT(--($H$2:$H$501=K196))&gt;0)</f>
        <v/>
      </c>
      <c r="S196">
        <f>IF(K196="","",IF(AND(Q196,R196),IF(O196=P196,"Match","Qty Different"),IF(Q196,"Only in List 1","Only in List 2")))</f>
        <v/>
      </c>
      <c r="T196">
        <f>IF(K196="","",IF(ISNUMBER(--L196),TEXT(--L196,"000000000000.000"),LOWER(L196)))</f>
        <v/>
      </c>
      <c r="U196">
        <f>IF(K196="","",IF(ISNUMBER(--M196),TEXT(--M196,"000000000000.000"),LOWER(M196)))</f>
        <v/>
      </c>
      <c r="V196">
        <f>IF(K196="","",LOWER(N196))</f>
        <v/>
      </c>
      <c r="W196">
        <f>IF(K196="","",B196)</f>
        <v/>
      </c>
      <c r="X196">
        <f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>
      <c r="A197">
        <f>IF(TRIM('List 1'!A197&amp;'List 1'!C197&amp;'List 1'!D197)="","",LOWER(TRIM('List 1'!A197)&amp;"|"&amp;TRIM('List 1'!C197)&amp;"|"&amp;TRIM('List 1'!D197)))</f>
        <v/>
      </c>
      <c r="B197">
        <f>IF(A197="","",SUMPRODUCT(--($A$2:A197=A197)))</f>
        <v/>
      </c>
      <c r="C197">
        <f>IF(A197="","",A197&amp;"#"&amp;B197)</f>
        <v/>
      </c>
      <c r="D197">
        <f>IF(A197="","",IFERROR(--'List 1'!B197,0))</f>
        <v/>
      </c>
      <c r="F197">
        <f>IF(TRIM('List 2'!A197&amp;'List 2'!C197&amp;'List 2'!D197)="","",LOWER(TRIM('List 2'!A197)&amp;"|"&amp;TRIM('List 2'!C197)&amp;"|"&amp;TRIM('List 2'!D197)))</f>
        <v/>
      </c>
      <c r="G197">
        <f>IF(F197="","",SUMPRODUCT(--($F$2:F197=F197)))</f>
        <v/>
      </c>
      <c r="H197">
        <f>IF(F197="","",F197&amp;"#"&amp;G197)</f>
        <v/>
      </c>
      <c r="I197">
        <f>IF(F197="","",IFERROR(--'List 2'!B197,0))</f>
        <v/>
      </c>
      <c r="K197">
        <f>C197</f>
        <v/>
      </c>
      <c r="L197">
        <f>IF(K197="","",IF(ISNUMBER('List 1'!A197),'List 1'!A197,TRIM('List 1'!A197)))</f>
        <v/>
      </c>
      <c r="M197">
        <f>IF(K197="","",IF(ISNUMBER('List 1'!C197),'List 1'!C197,TRIM('List 1'!C197)))</f>
        <v/>
      </c>
      <c r="N197">
        <f>IF(K197="","",IF(ISNUMBER('List 1'!D197),'List 1'!D197,TRIM('List 1'!D197)))</f>
        <v/>
      </c>
      <c r="O197">
        <f>IF(K197="","",D197)</f>
        <v/>
      </c>
      <c r="P197">
        <f>IF(K197="","",IF(R197,SUMPRODUCT(--($H$2:$H$501=K197),$I$2:$I$501),0))</f>
        <v/>
      </c>
      <c r="Q197">
        <f>IF(K197="","",TRUE)</f>
        <v/>
      </c>
      <c r="R197">
        <f>IF(K197="","",SUMPRODUCT(--($H$2:$H$501=K197))&gt;0)</f>
        <v/>
      </c>
      <c r="S197">
        <f>IF(K197="","",IF(AND(Q197,R197),IF(O197=P197,"Match","Qty Different"),IF(Q197,"Only in List 1","Only in List 2")))</f>
        <v/>
      </c>
      <c r="T197">
        <f>IF(K197="","",IF(ISNUMBER(--L197),TEXT(--L197,"000000000000.000"),LOWER(L197)))</f>
        <v/>
      </c>
      <c r="U197">
        <f>IF(K197="","",IF(ISNUMBER(--M197),TEXT(--M197,"000000000000.000"),LOWER(M197)))</f>
        <v/>
      </c>
      <c r="V197">
        <f>IF(K197="","",LOWER(N197))</f>
        <v/>
      </c>
      <c r="W197">
        <f>IF(K197="","",B197)</f>
        <v/>
      </c>
      <c r="X197">
        <f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>
      <c r="A198">
        <f>IF(TRIM('List 1'!A198&amp;'List 1'!C198&amp;'List 1'!D198)="","",LOWER(TRIM('List 1'!A198)&amp;"|"&amp;TRIM('List 1'!C198)&amp;"|"&amp;TRIM('List 1'!D198)))</f>
        <v/>
      </c>
      <c r="B198">
        <f>IF(A198="","",SUMPRODUCT(--($A$2:A198=A198)))</f>
        <v/>
      </c>
      <c r="C198">
        <f>IF(A198="","",A198&amp;"#"&amp;B198)</f>
        <v/>
      </c>
      <c r="D198">
        <f>IF(A198="","",IFERROR(--'List 1'!B198,0))</f>
        <v/>
      </c>
      <c r="F198">
        <f>IF(TRIM('List 2'!A198&amp;'List 2'!C198&amp;'List 2'!D198)="","",LOWER(TRIM('List 2'!A198)&amp;"|"&amp;TRIM('List 2'!C198)&amp;"|"&amp;TRIM('List 2'!D198)))</f>
        <v/>
      </c>
      <c r="G198">
        <f>IF(F198="","",SUMPRODUCT(--($F$2:F198=F198)))</f>
        <v/>
      </c>
      <c r="H198">
        <f>IF(F198="","",F198&amp;"#"&amp;G198)</f>
        <v/>
      </c>
      <c r="I198">
        <f>IF(F198="","",IFERROR(--'List 2'!B198,0))</f>
        <v/>
      </c>
      <c r="K198">
        <f>C198</f>
        <v/>
      </c>
      <c r="L198">
        <f>IF(K198="","",IF(ISNUMBER('List 1'!A198),'List 1'!A198,TRIM('List 1'!A198)))</f>
        <v/>
      </c>
      <c r="M198">
        <f>IF(K198="","",IF(ISNUMBER('List 1'!C198),'List 1'!C198,TRIM('List 1'!C198)))</f>
        <v/>
      </c>
      <c r="N198">
        <f>IF(K198="","",IF(ISNUMBER('List 1'!D198),'List 1'!D198,TRIM('List 1'!D198)))</f>
        <v/>
      </c>
      <c r="O198">
        <f>IF(K198="","",D198)</f>
        <v/>
      </c>
      <c r="P198">
        <f>IF(K198="","",IF(R198,SUMPRODUCT(--($H$2:$H$501=K198),$I$2:$I$501),0))</f>
        <v/>
      </c>
      <c r="Q198">
        <f>IF(K198="","",TRUE)</f>
        <v/>
      </c>
      <c r="R198">
        <f>IF(K198="","",SUMPRODUCT(--($H$2:$H$501=K198))&gt;0)</f>
        <v/>
      </c>
      <c r="S198">
        <f>IF(K198="","",IF(AND(Q198,R198),IF(O198=P198,"Match","Qty Different"),IF(Q198,"Only in List 1","Only in List 2")))</f>
        <v/>
      </c>
      <c r="T198">
        <f>IF(K198="","",IF(ISNUMBER(--L198),TEXT(--L198,"000000000000.000"),LOWER(L198)))</f>
        <v/>
      </c>
      <c r="U198">
        <f>IF(K198="","",IF(ISNUMBER(--M198),TEXT(--M198,"000000000000.000"),LOWER(M198)))</f>
        <v/>
      </c>
      <c r="V198">
        <f>IF(K198="","",LOWER(N198))</f>
        <v/>
      </c>
      <c r="W198">
        <f>IF(K198="","",B198)</f>
        <v/>
      </c>
      <c r="X198">
        <f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>
      <c r="A199">
        <f>IF(TRIM('List 1'!A199&amp;'List 1'!C199&amp;'List 1'!D199)="","",LOWER(TRIM('List 1'!A199)&amp;"|"&amp;TRIM('List 1'!C199)&amp;"|"&amp;TRIM('List 1'!D199)))</f>
        <v/>
      </c>
      <c r="B199">
        <f>IF(A199="","",SUMPRODUCT(--($A$2:A199=A199)))</f>
        <v/>
      </c>
      <c r="C199">
        <f>IF(A199="","",A199&amp;"#"&amp;B199)</f>
        <v/>
      </c>
      <c r="D199">
        <f>IF(A199="","",IFERROR(--'List 1'!B199,0))</f>
        <v/>
      </c>
      <c r="F199">
        <f>IF(TRIM('List 2'!A199&amp;'List 2'!C199&amp;'List 2'!D199)="","",LOWER(TRIM('List 2'!A199)&amp;"|"&amp;TRIM('List 2'!C199)&amp;"|"&amp;TRIM('List 2'!D199)))</f>
        <v/>
      </c>
      <c r="G199">
        <f>IF(F199="","",SUMPRODUCT(--($F$2:F199=F199)))</f>
        <v/>
      </c>
      <c r="H199">
        <f>IF(F199="","",F199&amp;"#"&amp;G199)</f>
        <v/>
      </c>
      <c r="I199">
        <f>IF(F199="","",IFERROR(--'List 2'!B199,0))</f>
        <v/>
      </c>
      <c r="K199">
        <f>C199</f>
        <v/>
      </c>
      <c r="L199">
        <f>IF(K199="","",IF(ISNUMBER('List 1'!A199),'List 1'!A199,TRIM('List 1'!A199)))</f>
        <v/>
      </c>
      <c r="M199">
        <f>IF(K199="","",IF(ISNUMBER('List 1'!C199),'List 1'!C199,TRIM('List 1'!C199)))</f>
        <v/>
      </c>
      <c r="N199">
        <f>IF(K199="","",IF(ISNUMBER('List 1'!D199),'List 1'!D199,TRIM('List 1'!D199)))</f>
        <v/>
      </c>
      <c r="O199">
        <f>IF(K199="","",D199)</f>
        <v/>
      </c>
      <c r="P199">
        <f>IF(K199="","",IF(R199,SUMPRODUCT(--($H$2:$H$501=K199),$I$2:$I$501),0))</f>
        <v/>
      </c>
      <c r="Q199">
        <f>IF(K199="","",TRUE)</f>
        <v/>
      </c>
      <c r="R199">
        <f>IF(K199="","",SUMPRODUCT(--($H$2:$H$501=K199))&gt;0)</f>
        <v/>
      </c>
      <c r="S199">
        <f>IF(K199="","",IF(AND(Q199,R199),IF(O199=P199,"Match","Qty Different"),IF(Q199,"Only in List 1","Only in List 2")))</f>
        <v/>
      </c>
      <c r="T199">
        <f>IF(K199="","",IF(ISNUMBER(--L199),TEXT(--L199,"000000000000.000"),LOWER(L199)))</f>
        <v/>
      </c>
      <c r="U199">
        <f>IF(K199="","",IF(ISNUMBER(--M199),TEXT(--M199,"000000000000.000"),LOWER(M199)))</f>
        <v/>
      </c>
      <c r="V199">
        <f>IF(K199="","",LOWER(N199))</f>
        <v/>
      </c>
      <c r="W199">
        <f>IF(K199="","",B199)</f>
        <v/>
      </c>
      <c r="X199">
        <f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>
      <c r="A200">
        <f>IF(TRIM('List 1'!A200&amp;'List 1'!C200&amp;'List 1'!D200)="","",LOWER(TRIM('List 1'!A200)&amp;"|"&amp;TRIM('List 1'!C200)&amp;"|"&amp;TRIM('List 1'!D200)))</f>
        <v/>
      </c>
      <c r="B200">
        <f>IF(A200="","",SUMPRODUCT(--($A$2:A200=A200)))</f>
        <v/>
      </c>
      <c r="C200">
        <f>IF(A200="","",A200&amp;"#"&amp;B200)</f>
        <v/>
      </c>
      <c r="D200">
        <f>IF(A200="","",IFERROR(--'List 1'!B200,0))</f>
        <v/>
      </c>
      <c r="F200">
        <f>IF(TRIM('List 2'!A200&amp;'List 2'!C200&amp;'List 2'!D200)="","",LOWER(TRIM('List 2'!A200)&amp;"|"&amp;TRIM('List 2'!C200)&amp;"|"&amp;TRIM('List 2'!D200)))</f>
        <v/>
      </c>
      <c r="G200">
        <f>IF(F200="","",SUMPRODUCT(--($F$2:F200=F200)))</f>
        <v/>
      </c>
      <c r="H200">
        <f>IF(F200="","",F200&amp;"#"&amp;G200)</f>
        <v/>
      </c>
      <c r="I200">
        <f>IF(F200="","",IFERROR(--'List 2'!B200,0))</f>
        <v/>
      </c>
      <c r="K200">
        <f>C200</f>
        <v/>
      </c>
      <c r="L200">
        <f>IF(K200="","",IF(ISNUMBER('List 1'!A200),'List 1'!A200,TRIM('List 1'!A200)))</f>
        <v/>
      </c>
      <c r="M200">
        <f>IF(K200="","",IF(ISNUMBER('List 1'!C200),'List 1'!C200,TRIM('List 1'!C200)))</f>
        <v/>
      </c>
      <c r="N200">
        <f>IF(K200="","",IF(ISNUMBER('List 1'!D200),'List 1'!D200,TRIM('List 1'!D200)))</f>
        <v/>
      </c>
      <c r="O200">
        <f>IF(K200="","",D200)</f>
        <v/>
      </c>
      <c r="P200">
        <f>IF(K200="","",IF(R200,SUMPRODUCT(--($H$2:$H$501=K200),$I$2:$I$501),0))</f>
        <v/>
      </c>
      <c r="Q200">
        <f>IF(K200="","",TRUE)</f>
        <v/>
      </c>
      <c r="R200">
        <f>IF(K200="","",SUMPRODUCT(--($H$2:$H$501=K200))&gt;0)</f>
        <v/>
      </c>
      <c r="S200">
        <f>IF(K200="","",IF(AND(Q200,R200),IF(O200=P200,"Match","Qty Different"),IF(Q200,"Only in List 1","Only in List 2")))</f>
        <v/>
      </c>
      <c r="T200">
        <f>IF(K200="","",IF(ISNUMBER(--L200),TEXT(--L200,"000000000000.000"),LOWER(L200)))</f>
        <v/>
      </c>
      <c r="U200">
        <f>IF(K200="","",IF(ISNUMBER(--M200),TEXT(--M200,"000000000000.000"),LOWER(M200)))</f>
        <v/>
      </c>
      <c r="V200">
        <f>IF(K200="","",LOWER(N200))</f>
        <v/>
      </c>
      <c r="W200">
        <f>IF(K200="","",B200)</f>
        <v/>
      </c>
      <c r="X200">
        <f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>
      <c r="A201">
        <f>IF(TRIM('List 1'!A201&amp;'List 1'!C201&amp;'List 1'!D201)="","",LOWER(TRIM('List 1'!A201)&amp;"|"&amp;TRIM('List 1'!C201)&amp;"|"&amp;TRIM('List 1'!D201)))</f>
        <v/>
      </c>
      <c r="B201">
        <f>IF(A201="","",SUMPRODUCT(--($A$2:A201=A201)))</f>
        <v/>
      </c>
      <c r="C201">
        <f>IF(A201="","",A201&amp;"#"&amp;B201)</f>
        <v/>
      </c>
      <c r="D201">
        <f>IF(A201="","",IFERROR(--'List 1'!B201,0))</f>
        <v/>
      </c>
      <c r="F201">
        <f>IF(TRIM('List 2'!A201&amp;'List 2'!C201&amp;'List 2'!D201)="","",LOWER(TRIM('List 2'!A201)&amp;"|"&amp;TRIM('List 2'!C201)&amp;"|"&amp;TRIM('List 2'!D201)))</f>
        <v/>
      </c>
      <c r="G201">
        <f>IF(F201="","",SUMPRODUCT(--($F$2:F201=F201)))</f>
        <v/>
      </c>
      <c r="H201">
        <f>IF(F201="","",F201&amp;"#"&amp;G201)</f>
        <v/>
      </c>
      <c r="I201">
        <f>IF(F201="","",IFERROR(--'List 2'!B201,0))</f>
        <v/>
      </c>
      <c r="K201">
        <f>C201</f>
        <v/>
      </c>
      <c r="L201">
        <f>IF(K201="","",IF(ISNUMBER('List 1'!A201),'List 1'!A201,TRIM('List 1'!A201)))</f>
        <v/>
      </c>
      <c r="M201">
        <f>IF(K201="","",IF(ISNUMBER('List 1'!C201),'List 1'!C201,TRIM('List 1'!C201)))</f>
        <v/>
      </c>
      <c r="N201">
        <f>IF(K201="","",IF(ISNUMBER('List 1'!D201),'List 1'!D201,TRIM('List 1'!D201)))</f>
        <v/>
      </c>
      <c r="O201">
        <f>IF(K201="","",D201)</f>
        <v/>
      </c>
      <c r="P201">
        <f>IF(K201="","",IF(R201,SUMPRODUCT(--($H$2:$H$501=K201),$I$2:$I$501),0))</f>
        <v/>
      </c>
      <c r="Q201">
        <f>IF(K201="","",TRUE)</f>
        <v/>
      </c>
      <c r="R201">
        <f>IF(K201="","",SUMPRODUCT(--($H$2:$H$501=K201))&gt;0)</f>
        <v/>
      </c>
      <c r="S201">
        <f>IF(K201="","",IF(AND(Q201,R201),IF(O201=P201,"Match","Qty Different"),IF(Q201,"Only in List 1","Only in List 2")))</f>
        <v/>
      </c>
      <c r="T201">
        <f>IF(K201="","",IF(ISNUMBER(--L201),TEXT(--L201,"000000000000.000"),LOWER(L201)))</f>
        <v/>
      </c>
      <c r="U201">
        <f>IF(K201="","",IF(ISNUMBER(--M201),TEXT(--M201,"000000000000.000"),LOWER(M201)))</f>
        <v/>
      </c>
      <c r="V201">
        <f>IF(K201="","",LOWER(N201))</f>
        <v/>
      </c>
      <c r="W201">
        <f>IF(K201="","",B201)</f>
        <v/>
      </c>
      <c r="X201">
        <f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>
      <c r="A202">
        <f>IF(TRIM('List 1'!A202&amp;'List 1'!C202&amp;'List 1'!D202)="","",LOWER(TRIM('List 1'!A202)&amp;"|"&amp;TRIM('List 1'!C202)&amp;"|"&amp;TRIM('List 1'!D202)))</f>
        <v/>
      </c>
      <c r="B202">
        <f>IF(A202="","",SUMPRODUCT(--($A$2:A202=A202)))</f>
        <v/>
      </c>
      <c r="C202">
        <f>IF(A202="","",A202&amp;"#"&amp;B202)</f>
        <v/>
      </c>
      <c r="D202">
        <f>IF(A202="","",IFERROR(--'List 1'!B202,0))</f>
        <v/>
      </c>
      <c r="F202">
        <f>IF(TRIM('List 2'!A202&amp;'List 2'!C202&amp;'List 2'!D202)="","",LOWER(TRIM('List 2'!A202)&amp;"|"&amp;TRIM('List 2'!C202)&amp;"|"&amp;TRIM('List 2'!D202)))</f>
        <v/>
      </c>
      <c r="G202">
        <f>IF(F202="","",SUMPRODUCT(--($F$2:F202=F202)))</f>
        <v/>
      </c>
      <c r="H202">
        <f>IF(F202="","",F202&amp;"#"&amp;G202)</f>
        <v/>
      </c>
      <c r="I202">
        <f>IF(F202="","",IFERROR(--'List 2'!B202,0))</f>
        <v/>
      </c>
      <c r="K202">
        <f>C202</f>
        <v/>
      </c>
      <c r="L202">
        <f>IF(K202="","",IF(ISNUMBER('List 1'!A202),'List 1'!A202,TRIM('List 1'!A202)))</f>
        <v/>
      </c>
      <c r="M202">
        <f>IF(K202="","",IF(ISNUMBER('List 1'!C202),'List 1'!C202,TRIM('List 1'!C202)))</f>
        <v/>
      </c>
      <c r="N202">
        <f>IF(K202="","",IF(ISNUMBER('List 1'!D202),'List 1'!D202,TRIM('List 1'!D202)))</f>
        <v/>
      </c>
      <c r="O202">
        <f>IF(K202="","",D202)</f>
        <v/>
      </c>
      <c r="P202">
        <f>IF(K202="","",IF(R202,SUMPRODUCT(--($H$2:$H$501=K202),$I$2:$I$501),0))</f>
        <v/>
      </c>
      <c r="Q202">
        <f>IF(K202="","",TRUE)</f>
        <v/>
      </c>
      <c r="R202">
        <f>IF(K202="","",SUMPRODUCT(--($H$2:$H$501=K202))&gt;0)</f>
        <v/>
      </c>
      <c r="S202">
        <f>IF(K202="","",IF(AND(Q202,R202),IF(O202=P202,"Match","Qty Different"),IF(Q202,"Only in List 1","Only in List 2")))</f>
        <v/>
      </c>
      <c r="T202">
        <f>IF(K202="","",IF(ISNUMBER(--L202),TEXT(--L202,"000000000000.000"),LOWER(L202)))</f>
        <v/>
      </c>
      <c r="U202">
        <f>IF(K202="","",IF(ISNUMBER(--M202),TEXT(--M202,"000000000000.000"),LOWER(M202)))</f>
        <v/>
      </c>
      <c r="V202">
        <f>IF(K202="","",LOWER(N202))</f>
        <v/>
      </c>
      <c r="W202">
        <f>IF(K202="","",B202)</f>
        <v/>
      </c>
      <c r="X202">
        <f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>
      <c r="A203">
        <f>IF(TRIM('List 1'!A203&amp;'List 1'!C203&amp;'List 1'!D203)="","",LOWER(TRIM('List 1'!A203)&amp;"|"&amp;TRIM('List 1'!C203)&amp;"|"&amp;TRIM('List 1'!D203)))</f>
        <v/>
      </c>
      <c r="B203">
        <f>IF(A203="","",SUMPRODUCT(--($A$2:A203=A203)))</f>
        <v/>
      </c>
      <c r="C203">
        <f>IF(A203="","",A203&amp;"#"&amp;B203)</f>
        <v/>
      </c>
      <c r="D203">
        <f>IF(A203="","",IFERROR(--'List 1'!B203,0))</f>
        <v/>
      </c>
      <c r="F203">
        <f>IF(TRIM('List 2'!A203&amp;'List 2'!C203&amp;'List 2'!D203)="","",LOWER(TRIM('List 2'!A203)&amp;"|"&amp;TRIM('List 2'!C203)&amp;"|"&amp;TRIM('List 2'!D203)))</f>
        <v/>
      </c>
      <c r="G203">
        <f>IF(F203="","",SUMPRODUCT(--($F$2:F203=F203)))</f>
        <v/>
      </c>
      <c r="H203">
        <f>IF(F203="","",F203&amp;"#"&amp;G203)</f>
        <v/>
      </c>
      <c r="I203">
        <f>IF(F203="","",IFERROR(--'List 2'!B203,0))</f>
        <v/>
      </c>
      <c r="K203">
        <f>C203</f>
        <v/>
      </c>
      <c r="L203">
        <f>IF(K203="","",IF(ISNUMBER('List 1'!A203),'List 1'!A203,TRIM('List 1'!A203)))</f>
        <v/>
      </c>
      <c r="M203">
        <f>IF(K203="","",IF(ISNUMBER('List 1'!C203),'List 1'!C203,TRIM('List 1'!C203)))</f>
        <v/>
      </c>
      <c r="N203">
        <f>IF(K203="","",IF(ISNUMBER('List 1'!D203),'List 1'!D203,TRIM('List 1'!D203)))</f>
        <v/>
      </c>
      <c r="O203">
        <f>IF(K203="","",D203)</f>
        <v/>
      </c>
      <c r="P203">
        <f>IF(K203="","",IF(R203,SUMPRODUCT(--($H$2:$H$501=K203),$I$2:$I$501),0))</f>
        <v/>
      </c>
      <c r="Q203">
        <f>IF(K203="","",TRUE)</f>
        <v/>
      </c>
      <c r="R203">
        <f>IF(K203="","",SUMPRODUCT(--($H$2:$H$501=K203))&gt;0)</f>
        <v/>
      </c>
      <c r="S203">
        <f>IF(K203="","",IF(AND(Q203,R203),IF(O203=P203,"Match","Qty Different"),IF(Q203,"Only in List 1","Only in List 2")))</f>
        <v/>
      </c>
      <c r="T203">
        <f>IF(K203="","",IF(ISNUMBER(--L203),TEXT(--L203,"000000000000.000"),LOWER(L203)))</f>
        <v/>
      </c>
      <c r="U203">
        <f>IF(K203="","",IF(ISNUMBER(--M203),TEXT(--M203,"000000000000.000"),LOWER(M203)))</f>
        <v/>
      </c>
      <c r="V203">
        <f>IF(K203="","",LOWER(N203))</f>
        <v/>
      </c>
      <c r="W203">
        <f>IF(K203="","",B203)</f>
        <v/>
      </c>
      <c r="X203">
        <f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>
      <c r="A204">
        <f>IF(TRIM('List 1'!A204&amp;'List 1'!C204&amp;'List 1'!D204)="","",LOWER(TRIM('List 1'!A204)&amp;"|"&amp;TRIM('List 1'!C204)&amp;"|"&amp;TRIM('List 1'!D204)))</f>
        <v/>
      </c>
      <c r="B204">
        <f>IF(A204="","",SUMPRODUCT(--($A$2:A204=A204)))</f>
        <v/>
      </c>
      <c r="C204">
        <f>IF(A204="","",A204&amp;"#"&amp;B204)</f>
        <v/>
      </c>
      <c r="D204">
        <f>IF(A204="","",IFERROR(--'List 1'!B204,0))</f>
        <v/>
      </c>
      <c r="F204">
        <f>IF(TRIM('List 2'!A204&amp;'List 2'!C204&amp;'List 2'!D204)="","",LOWER(TRIM('List 2'!A204)&amp;"|"&amp;TRIM('List 2'!C204)&amp;"|"&amp;TRIM('List 2'!D204)))</f>
        <v/>
      </c>
      <c r="G204">
        <f>IF(F204="","",SUMPRODUCT(--($F$2:F204=F204)))</f>
        <v/>
      </c>
      <c r="H204">
        <f>IF(F204="","",F204&amp;"#"&amp;G204)</f>
        <v/>
      </c>
      <c r="I204">
        <f>IF(F204="","",IFERROR(--'List 2'!B204,0))</f>
        <v/>
      </c>
      <c r="K204">
        <f>C204</f>
        <v/>
      </c>
      <c r="L204">
        <f>IF(K204="","",IF(ISNUMBER('List 1'!A204),'List 1'!A204,TRIM('List 1'!A204)))</f>
        <v/>
      </c>
      <c r="M204">
        <f>IF(K204="","",IF(ISNUMBER('List 1'!C204),'List 1'!C204,TRIM('List 1'!C204)))</f>
        <v/>
      </c>
      <c r="N204">
        <f>IF(K204="","",IF(ISNUMBER('List 1'!D204),'List 1'!D204,TRIM('List 1'!D204)))</f>
        <v/>
      </c>
      <c r="O204">
        <f>IF(K204="","",D204)</f>
        <v/>
      </c>
      <c r="P204">
        <f>IF(K204="","",IF(R204,SUMPRODUCT(--($H$2:$H$501=K204),$I$2:$I$501),0))</f>
        <v/>
      </c>
      <c r="Q204">
        <f>IF(K204="","",TRUE)</f>
        <v/>
      </c>
      <c r="R204">
        <f>IF(K204="","",SUMPRODUCT(--($H$2:$H$501=K204))&gt;0)</f>
        <v/>
      </c>
      <c r="S204">
        <f>IF(K204="","",IF(AND(Q204,R204),IF(O204=P204,"Match","Qty Different"),IF(Q204,"Only in List 1","Only in List 2")))</f>
        <v/>
      </c>
      <c r="T204">
        <f>IF(K204="","",IF(ISNUMBER(--L204),TEXT(--L204,"000000000000.000"),LOWER(L204)))</f>
        <v/>
      </c>
      <c r="U204">
        <f>IF(K204="","",IF(ISNUMBER(--M204),TEXT(--M204,"000000000000.000"),LOWER(M204)))</f>
        <v/>
      </c>
      <c r="V204">
        <f>IF(K204="","",LOWER(N204))</f>
        <v/>
      </c>
      <c r="W204">
        <f>IF(K204="","",B204)</f>
        <v/>
      </c>
      <c r="X204">
        <f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>
      <c r="A205">
        <f>IF(TRIM('List 1'!A205&amp;'List 1'!C205&amp;'List 1'!D205)="","",LOWER(TRIM('List 1'!A205)&amp;"|"&amp;TRIM('List 1'!C205)&amp;"|"&amp;TRIM('List 1'!D205)))</f>
        <v/>
      </c>
      <c r="B205">
        <f>IF(A205="","",SUMPRODUCT(--($A$2:A205=A205)))</f>
        <v/>
      </c>
      <c r="C205">
        <f>IF(A205="","",A205&amp;"#"&amp;B205)</f>
        <v/>
      </c>
      <c r="D205">
        <f>IF(A205="","",IFERROR(--'List 1'!B205,0))</f>
        <v/>
      </c>
      <c r="F205">
        <f>IF(TRIM('List 2'!A205&amp;'List 2'!C205&amp;'List 2'!D205)="","",LOWER(TRIM('List 2'!A205)&amp;"|"&amp;TRIM('List 2'!C205)&amp;"|"&amp;TRIM('List 2'!D205)))</f>
        <v/>
      </c>
      <c r="G205">
        <f>IF(F205="","",SUMPRODUCT(--($F$2:F205=F205)))</f>
        <v/>
      </c>
      <c r="H205">
        <f>IF(F205="","",F205&amp;"#"&amp;G205)</f>
        <v/>
      </c>
      <c r="I205">
        <f>IF(F205="","",IFERROR(--'List 2'!B205,0))</f>
        <v/>
      </c>
      <c r="K205">
        <f>C205</f>
        <v/>
      </c>
      <c r="L205">
        <f>IF(K205="","",IF(ISNUMBER('List 1'!A205),'List 1'!A205,TRIM('List 1'!A205)))</f>
        <v/>
      </c>
      <c r="M205">
        <f>IF(K205="","",IF(ISNUMBER('List 1'!C205),'List 1'!C205,TRIM('List 1'!C205)))</f>
        <v/>
      </c>
      <c r="N205">
        <f>IF(K205="","",IF(ISNUMBER('List 1'!D205),'List 1'!D205,TRIM('List 1'!D205)))</f>
        <v/>
      </c>
      <c r="O205">
        <f>IF(K205="","",D205)</f>
        <v/>
      </c>
      <c r="P205">
        <f>IF(K205="","",IF(R205,SUMPRODUCT(--($H$2:$H$501=K205),$I$2:$I$501),0))</f>
        <v/>
      </c>
      <c r="Q205">
        <f>IF(K205="","",TRUE)</f>
        <v/>
      </c>
      <c r="R205">
        <f>IF(K205="","",SUMPRODUCT(--($H$2:$H$501=K205))&gt;0)</f>
        <v/>
      </c>
      <c r="S205">
        <f>IF(K205="","",IF(AND(Q205,R205),IF(O205=P205,"Match","Qty Different"),IF(Q205,"Only in List 1","Only in List 2")))</f>
        <v/>
      </c>
      <c r="T205">
        <f>IF(K205="","",IF(ISNUMBER(--L205),TEXT(--L205,"000000000000.000"),LOWER(L205)))</f>
        <v/>
      </c>
      <c r="U205">
        <f>IF(K205="","",IF(ISNUMBER(--M205),TEXT(--M205,"000000000000.000"),LOWER(M205)))</f>
        <v/>
      </c>
      <c r="V205">
        <f>IF(K205="","",LOWER(N205))</f>
        <v/>
      </c>
      <c r="W205">
        <f>IF(K205="","",B205)</f>
        <v/>
      </c>
      <c r="X205">
        <f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>
      <c r="A206">
        <f>IF(TRIM('List 1'!A206&amp;'List 1'!C206&amp;'List 1'!D206)="","",LOWER(TRIM('List 1'!A206)&amp;"|"&amp;TRIM('List 1'!C206)&amp;"|"&amp;TRIM('List 1'!D206)))</f>
        <v/>
      </c>
      <c r="B206">
        <f>IF(A206="","",SUMPRODUCT(--($A$2:A206=A206)))</f>
        <v/>
      </c>
      <c r="C206">
        <f>IF(A206="","",A206&amp;"#"&amp;B206)</f>
        <v/>
      </c>
      <c r="D206">
        <f>IF(A206="","",IFERROR(--'List 1'!B206,0))</f>
        <v/>
      </c>
      <c r="F206">
        <f>IF(TRIM('List 2'!A206&amp;'List 2'!C206&amp;'List 2'!D206)="","",LOWER(TRIM('List 2'!A206)&amp;"|"&amp;TRIM('List 2'!C206)&amp;"|"&amp;TRIM('List 2'!D206)))</f>
        <v/>
      </c>
      <c r="G206">
        <f>IF(F206="","",SUMPRODUCT(--($F$2:F206=F206)))</f>
        <v/>
      </c>
      <c r="H206">
        <f>IF(F206="","",F206&amp;"#"&amp;G206)</f>
        <v/>
      </c>
      <c r="I206">
        <f>IF(F206="","",IFERROR(--'List 2'!B206,0))</f>
        <v/>
      </c>
      <c r="K206">
        <f>C206</f>
        <v/>
      </c>
      <c r="L206">
        <f>IF(K206="","",IF(ISNUMBER('List 1'!A206),'List 1'!A206,TRIM('List 1'!A206)))</f>
        <v/>
      </c>
      <c r="M206">
        <f>IF(K206="","",IF(ISNUMBER('List 1'!C206),'List 1'!C206,TRIM('List 1'!C206)))</f>
        <v/>
      </c>
      <c r="N206">
        <f>IF(K206="","",IF(ISNUMBER('List 1'!D206),'List 1'!D206,TRIM('List 1'!D206)))</f>
        <v/>
      </c>
      <c r="O206">
        <f>IF(K206="","",D206)</f>
        <v/>
      </c>
      <c r="P206">
        <f>IF(K206="","",IF(R206,SUMPRODUCT(--($H$2:$H$501=K206),$I$2:$I$501),0))</f>
        <v/>
      </c>
      <c r="Q206">
        <f>IF(K206="","",TRUE)</f>
        <v/>
      </c>
      <c r="R206">
        <f>IF(K206="","",SUMPRODUCT(--($H$2:$H$501=K206))&gt;0)</f>
        <v/>
      </c>
      <c r="S206">
        <f>IF(K206="","",IF(AND(Q206,R206),IF(O206=P206,"Match","Qty Different"),IF(Q206,"Only in List 1","Only in List 2")))</f>
        <v/>
      </c>
      <c r="T206">
        <f>IF(K206="","",IF(ISNUMBER(--L206),TEXT(--L206,"000000000000.000"),LOWER(L206)))</f>
        <v/>
      </c>
      <c r="U206">
        <f>IF(K206="","",IF(ISNUMBER(--M206),TEXT(--M206,"000000000000.000"),LOWER(M206)))</f>
        <v/>
      </c>
      <c r="V206">
        <f>IF(K206="","",LOWER(N206))</f>
        <v/>
      </c>
      <c r="W206">
        <f>IF(K206="","",B206)</f>
        <v/>
      </c>
      <c r="X206">
        <f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>
      <c r="A207">
        <f>IF(TRIM('List 1'!A207&amp;'List 1'!C207&amp;'List 1'!D207)="","",LOWER(TRIM('List 1'!A207)&amp;"|"&amp;TRIM('List 1'!C207)&amp;"|"&amp;TRIM('List 1'!D207)))</f>
        <v/>
      </c>
      <c r="B207">
        <f>IF(A207="","",SUMPRODUCT(--($A$2:A207=A207)))</f>
        <v/>
      </c>
      <c r="C207">
        <f>IF(A207="","",A207&amp;"#"&amp;B207)</f>
        <v/>
      </c>
      <c r="D207">
        <f>IF(A207="","",IFERROR(--'List 1'!B207,0))</f>
        <v/>
      </c>
      <c r="F207">
        <f>IF(TRIM('List 2'!A207&amp;'List 2'!C207&amp;'List 2'!D207)="","",LOWER(TRIM('List 2'!A207)&amp;"|"&amp;TRIM('List 2'!C207)&amp;"|"&amp;TRIM('List 2'!D207)))</f>
        <v/>
      </c>
      <c r="G207">
        <f>IF(F207="","",SUMPRODUCT(--($F$2:F207=F207)))</f>
        <v/>
      </c>
      <c r="H207">
        <f>IF(F207="","",F207&amp;"#"&amp;G207)</f>
        <v/>
      </c>
      <c r="I207">
        <f>IF(F207="","",IFERROR(--'List 2'!B207,0))</f>
        <v/>
      </c>
      <c r="K207">
        <f>C207</f>
        <v/>
      </c>
      <c r="L207">
        <f>IF(K207="","",IF(ISNUMBER('List 1'!A207),'List 1'!A207,TRIM('List 1'!A207)))</f>
        <v/>
      </c>
      <c r="M207">
        <f>IF(K207="","",IF(ISNUMBER('List 1'!C207),'List 1'!C207,TRIM('List 1'!C207)))</f>
        <v/>
      </c>
      <c r="N207">
        <f>IF(K207="","",IF(ISNUMBER('List 1'!D207),'List 1'!D207,TRIM('List 1'!D207)))</f>
        <v/>
      </c>
      <c r="O207">
        <f>IF(K207="","",D207)</f>
        <v/>
      </c>
      <c r="P207">
        <f>IF(K207="","",IF(R207,SUMPRODUCT(--($H$2:$H$501=K207),$I$2:$I$501),0))</f>
        <v/>
      </c>
      <c r="Q207">
        <f>IF(K207="","",TRUE)</f>
        <v/>
      </c>
      <c r="R207">
        <f>IF(K207="","",SUMPRODUCT(--($H$2:$H$501=K207))&gt;0)</f>
        <v/>
      </c>
      <c r="S207">
        <f>IF(K207="","",IF(AND(Q207,R207),IF(O207=P207,"Match","Qty Different"),IF(Q207,"Only in List 1","Only in List 2")))</f>
        <v/>
      </c>
      <c r="T207">
        <f>IF(K207="","",IF(ISNUMBER(--L207),TEXT(--L207,"000000000000.000"),LOWER(L207)))</f>
        <v/>
      </c>
      <c r="U207">
        <f>IF(K207="","",IF(ISNUMBER(--M207),TEXT(--M207,"000000000000.000"),LOWER(M207)))</f>
        <v/>
      </c>
      <c r="V207">
        <f>IF(K207="","",LOWER(N207))</f>
        <v/>
      </c>
      <c r="W207">
        <f>IF(K207="","",B207)</f>
        <v/>
      </c>
      <c r="X207">
        <f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>
      <c r="A208">
        <f>IF(TRIM('List 1'!A208&amp;'List 1'!C208&amp;'List 1'!D208)="","",LOWER(TRIM('List 1'!A208)&amp;"|"&amp;TRIM('List 1'!C208)&amp;"|"&amp;TRIM('List 1'!D208)))</f>
        <v/>
      </c>
      <c r="B208">
        <f>IF(A208="","",SUMPRODUCT(--($A$2:A208=A208)))</f>
        <v/>
      </c>
      <c r="C208">
        <f>IF(A208="","",A208&amp;"#"&amp;B208)</f>
        <v/>
      </c>
      <c r="D208">
        <f>IF(A208="","",IFERROR(--'List 1'!B208,0))</f>
        <v/>
      </c>
      <c r="F208">
        <f>IF(TRIM('List 2'!A208&amp;'List 2'!C208&amp;'List 2'!D208)="","",LOWER(TRIM('List 2'!A208)&amp;"|"&amp;TRIM('List 2'!C208)&amp;"|"&amp;TRIM('List 2'!D208)))</f>
        <v/>
      </c>
      <c r="G208">
        <f>IF(F208="","",SUMPRODUCT(--($F$2:F208=F208)))</f>
        <v/>
      </c>
      <c r="H208">
        <f>IF(F208="","",F208&amp;"#"&amp;G208)</f>
        <v/>
      </c>
      <c r="I208">
        <f>IF(F208="","",IFERROR(--'List 2'!B208,0))</f>
        <v/>
      </c>
      <c r="K208">
        <f>C208</f>
        <v/>
      </c>
      <c r="L208">
        <f>IF(K208="","",IF(ISNUMBER('List 1'!A208),'List 1'!A208,TRIM('List 1'!A208)))</f>
        <v/>
      </c>
      <c r="M208">
        <f>IF(K208="","",IF(ISNUMBER('List 1'!C208),'List 1'!C208,TRIM('List 1'!C208)))</f>
        <v/>
      </c>
      <c r="N208">
        <f>IF(K208="","",IF(ISNUMBER('List 1'!D208),'List 1'!D208,TRIM('List 1'!D208)))</f>
        <v/>
      </c>
      <c r="O208">
        <f>IF(K208="","",D208)</f>
        <v/>
      </c>
      <c r="P208">
        <f>IF(K208="","",IF(R208,SUMPRODUCT(--($H$2:$H$501=K208),$I$2:$I$501),0))</f>
        <v/>
      </c>
      <c r="Q208">
        <f>IF(K208="","",TRUE)</f>
        <v/>
      </c>
      <c r="R208">
        <f>IF(K208="","",SUMPRODUCT(--($H$2:$H$501=K208))&gt;0)</f>
        <v/>
      </c>
      <c r="S208">
        <f>IF(K208="","",IF(AND(Q208,R208),IF(O208=P208,"Match","Qty Different"),IF(Q208,"Only in List 1","Only in List 2")))</f>
        <v/>
      </c>
      <c r="T208">
        <f>IF(K208="","",IF(ISNUMBER(--L208),TEXT(--L208,"000000000000.000"),LOWER(L208)))</f>
        <v/>
      </c>
      <c r="U208">
        <f>IF(K208="","",IF(ISNUMBER(--M208),TEXT(--M208,"000000000000.000"),LOWER(M208)))</f>
        <v/>
      </c>
      <c r="V208">
        <f>IF(K208="","",LOWER(N208))</f>
        <v/>
      </c>
      <c r="W208">
        <f>IF(K208="","",B208)</f>
        <v/>
      </c>
      <c r="X208">
        <f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>
      <c r="A209">
        <f>IF(TRIM('List 1'!A209&amp;'List 1'!C209&amp;'List 1'!D209)="","",LOWER(TRIM('List 1'!A209)&amp;"|"&amp;TRIM('List 1'!C209)&amp;"|"&amp;TRIM('List 1'!D209)))</f>
        <v/>
      </c>
      <c r="B209">
        <f>IF(A209="","",SUMPRODUCT(--($A$2:A209=A209)))</f>
        <v/>
      </c>
      <c r="C209">
        <f>IF(A209="","",A209&amp;"#"&amp;B209)</f>
        <v/>
      </c>
      <c r="D209">
        <f>IF(A209="","",IFERROR(--'List 1'!B209,0))</f>
        <v/>
      </c>
      <c r="F209">
        <f>IF(TRIM('List 2'!A209&amp;'List 2'!C209&amp;'List 2'!D209)="","",LOWER(TRIM('List 2'!A209)&amp;"|"&amp;TRIM('List 2'!C209)&amp;"|"&amp;TRIM('List 2'!D209)))</f>
        <v/>
      </c>
      <c r="G209">
        <f>IF(F209="","",SUMPRODUCT(--($F$2:F209=F209)))</f>
        <v/>
      </c>
      <c r="H209">
        <f>IF(F209="","",F209&amp;"#"&amp;G209)</f>
        <v/>
      </c>
      <c r="I209">
        <f>IF(F209="","",IFERROR(--'List 2'!B209,0))</f>
        <v/>
      </c>
      <c r="K209">
        <f>C209</f>
        <v/>
      </c>
      <c r="L209">
        <f>IF(K209="","",IF(ISNUMBER('List 1'!A209),'List 1'!A209,TRIM('List 1'!A209)))</f>
        <v/>
      </c>
      <c r="M209">
        <f>IF(K209="","",IF(ISNUMBER('List 1'!C209),'List 1'!C209,TRIM('List 1'!C209)))</f>
        <v/>
      </c>
      <c r="N209">
        <f>IF(K209="","",IF(ISNUMBER('List 1'!D209),'List 1'!D209,TRIM('List 1'!D209)))</f>
        <v/>
      </c>
      <c r="O209">
        <f>IF(K209="","",D209)</f>
        <v/>
      </c>
      <c r="P209">
        <f>IF(K209="","",IF(R209,SUMPRODUCT(--($H$2:$H$501=K209),$I$2:$I$501),0))</f>
        <v/>
      </c>
      <c r="Q209">
        <f>IF(K209="","",TRUE)</f>
        <v/>
      </c>
      <c r="R209">
        <f>IF(K209="","",SUMPRODUCT(--($H$2:$H$501=K209))&gt;0)</f>
        <v/>
      </c>
      <c r="S209">
        <f>IF(K209="","",IF(AND(Q209,R209),IF(O209=P209,"Match","Qty Different"),IF(Q209,"Only in List 1","Only in List 2")))</f>
        <v/>
      </c>
      <c r="T209">
        <f>IF(K209="","",IF(ISNUMBER(--L209),TEXT(--L209,"000000000000.000"),LOWER(L209)))</f>
        <v/>
      </c>
      <c r="U209">
        <f>IF(K209="","",IF(ISNUMBER(--M209),TEXT(--M209,"000000000000.000"),LOWER(M209)))</f>
        <v/>
      </c>
      <c r="V209">
        <f>IF(K209="","",LOWER(N209))</f>
        <v/>
      </c>
      <c r="W209">
        <f>IF(K209="","",B209)</f>
        <v/>
      </c>
      <c r="X209">
        <f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>
      <c r="A210">
        <f>IF(TRIM('List 1'!A210&amp;'List 1'!C210&amp;'List 1'!D210)="","",LOWER(TRIM('List 1'!A210)&amp;"|"&amp;TRIM('List 1'!C210)&amp;"|"&amp;TRIM('List 1'!D210)))</f>
        <v/>
      </c>
      <c r="B210">
        <f>IF(A210="","",SUMPRODUCT(--($A$2:A210=A210)))</f>
        <v/>
      </c>
      <c r="C210">
        <f>IF(A210="","",A210&amp;"#"&amp;B210)</f>
        <v/>
      </c>
      <c r="D210">
        <f>IF(A210="","",IFERROR(--'List 1'!B210,0))</f>
        <v/>
      </c>
      <c r="F210">
        <f>IF(TRIM('List 2'!A210&amp;'List 2'!C210&amp;'List 2'!D210)="","",LOWER(TRIM('List 2'!A210)&amp;"|"&amp;TRIM('List 2'!C210)&amp;"|"&amp;TRIM('List 2'!D210)))</f>
        <v/>
      </c>
      <c r="G210">
        <f>IF(F210="","",SUMPRODUCT(--($F$2:F210=F210)))</f>
        <v/>
      </c>
      <c r="H210">
        <f>IF(F210="","",F210&amp;"#"&amp;G210)</f>
        <v/>
      </c>
      <c r="I210">
        <f>IF(F210="","",IFERROR(--'List 2'!B210,0))</f>
        <v/>
      </c>
      <c r="K210">
        <f>C210</f>
        <v/>
      </c>
      <c r="L210">
        <f>IF(K210="","",IF(ISNUMBER('List 1'!A210),'List 1'!A210,TRIM('List 1'!A210)))</f>
        <v/>
      </c>
      <c r="M210">
        <f>IF(K210="","",IF(ISNUMBER('List 1'!C210),'List 1'!C210,TRIM('List 1'!C210)))</f>
        <v/>
      </c>
      <c r="N210">
        <f>IF(K210="","",IF(ISNUMBER('List 1'!D210),'List 1'!D210,TRIM('List 1'!D210)))</f>
        <v/>
      </c>
      <c r="O210">
        <f>IF(K210="","",D210)</f>
        <v/>
      </c>
      <c r="P210">
        <f>IF(K210="","",IF(R210,SUMPRODUCT(--($H$2:$H$501=K210),$I$2:$I$501),0))</f>
        <v/>
      </c>
      <c r="Q210">
        <f>IF(K210="","",TRUE)</f>
        <v/>
      </c>
      <c r="R210">
        <f>IF(K210="","",SUMPRODUCT(--($H$2:$H$501=K210))&gt;0)</f>
        <v/>
      </c>
      <c r="S210">
        <f>IF(K210="","",IF(AND(Q210,R210),IF(O210=P210,"Match","Qty Different"),IF(Q210,"Only in List 1","Only in List 2")))</f>
        <v/>
      </c>
      <c r="T210">
        <f>IF(K210="","",IF(ISNUMBER(--L210),TEXT(--L210,"000000000000.000"),LOWER(L210)))</f>
        <v/>
      </c>
      <c r="U210">
        <f>IF(K210="","",IF(ISNUMBER(--M210),TEXT(--M210,"000000000000.000"),LOWER(M210)))</f>
        <v/>
      </c>
      <c r="V210">
        <f>IF(K210="","",LOWER(N210))</f>
        <v/>
      </c>
      <c r="W210">
        <f>IF(K210="","",B210)</f>
        <v/>
      </c>
      <c r="X210">
        <f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>
      <c r="A211">
        <f>IF(TRIM('List 1'!A211&amp;'List 1'!C211&amp;'List 1'!D211)="","",LOWER(TRIM('List 1'!A211)&amp;"|"&amp;TRIM('List 1'!C211)&amp;"|"&amp;TRIM('List 1'!D211)))</f>
        <v/>
      </c>
      <c r="B211">
        <f>IF(A211="","",SUMPRODUCT(--($A$2:A211=A211)))</f>
        <v/>
      </c>
      <c r="C211">
        <f>IF(A211="","",A211&amp;"#"&amp;B211)</f>
        <v/>
      </c>
      <c r="D211">
        <f>IF(A211="","",IFERROR(--'List 1'!B211,0))</f>
        <v/>
      </c>
      <c r="F211">
        <f>IF(TRIM('List 2'!A211&amp;'List 2'!C211&amp;'List 2'!D211)="","",LOWER(TRIM('List 2'!A211)&amp;"|"&amp;TRIM('List 2'!C211)&amp;"|"&amp;TRIM('List 2'!D211)))</f>
        <v/>
      </c>
      <c r="G211">
        <f>IF(F211="","",SUMPRODUCT(--($F$2:F211=F211)))</f>
        <v/>
      </c>
      <c r="H211">
        <f>IF(F211="","",F211&amp;"#"&amp;G211)</f>
        <v/>
      </c>
      <c r="I211">
        <f>IF(F211="","",IFERROR(--'List 2'!B211,0))</f>
        <v/>
      </c>
      <c r="K211">
        <f>C211</f>
        <v/>
      </c>
      <c r="L211">
        <f>IF(K211="","",IF(ISNUMBER('List 1'!A211),'List 1'!A211,TRIM('List 1'!A211)))</f>
        <v/>
      </c>
      <c r="M211">
        <f>IF(K211="","",IF(ISNUMBER('List 1'!C211),'List 1'!C211,TRIM('List 1'!C211)))</f>
        <v/>
      </c>
      <c r="N211">
        <f>IF(K211="","",IF(ISNUMBER('List 1'!D211),'List 1'!D211,TRIM('List 1'!D211)))</f>
        <v/>
      </c>
      <c r="O211">
        <f>IF(K211="","",D211)</f>
        <v/>
      </c>
      <c r="P211">
        <f>IF(K211="","",IF(R211,SUMPRODUCT(--($H$2:$H$501=K211),$I$2:$I$501),0))</f>
        <v/>
      </c>
      <c r="Q211">
        <f>IF(K211="","",TRUE)</f>
        <v/>
      </c>
      <c r="R211">
        <f>IF(K211="","",SUMPRODUCT(--($H$2:$H$501=K211))&gt;0)</f>
        <v/>
      </c>
      <c r="S211">
        <f>IF(K211="","",IF(AND(Q211,R211),IF(O211=P211,"Match","Qty Different"),IF(Q211,"Only in List 1","Only in List 2")))</f>
        <v/>
      </c>
      <c r="T211">
        <f>IF(K211="","",IF(ISNUMBER(--L211),TEXT(--L211,"000000000000.000"),LOWER(L211)))</f>
        <v/>
      </c>
      <c r="U211">
        <f>IF(K211="","",IF(ISNUMBER(--M211),TEXT(--M211,"000000000000.000"),LOWER(M211)))</f>
        <v/>
      </c>
      <c r="V211">
        <f>IF(K211="","",LOWER(N211))</f>
        <v/>
      </c>
      <c r="W211">
        <f>IF(K211="","",B211)</f>
        <v/>
      </c>
      <c r="X211">
        <f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>
      <c r="A212">
        <f>IF(TRIM('List 1'!A212&amp;'List 1'!C212&amp;'List 1'!D212)="","",LOWER(TRIM('List 1'!A212)&amp;"|"&amp;TRIM('List 1'!C212)&amp;"|"&amp;TRIM('List 1'!D212)))</f>
        <v/>
      </c>
      <c r="B212">
        <f>IF(A212="","",SUMPRODUCT(--($A$2:A212=A212)))</f>
        <v/>
      </c>
      <c r="C212">
        <f>IF(A212="","",A212&amp;"#"&amp;B212)</f>
        <v/>
      </c>
      <c r="D212">
        <f>IF(A212="","",IFERROR(--'List 1'!B212,0))</f>
        <v/>
      </c>
      <c r="F212">
        <f>IF(TRIM('List 2'!A212&amp;'List 2'!C212&amp;'List 2'!D212)="","",LOWER(TRIM('List 2'!A212)&amp;"|"&amp;TRIM('List 2'!C212)&amp;"|"&amp;TRIM('List 2'!D212)))</f>
        <v/>
      </c>
      <c r="G212">
        <f>IF(F212="","",SUMPRODUCT(--($F$2:F212=F212)))</f>
        <v/>
      </c>
      <c r="H212">
        <f>IF(F212="","",F212&amp;"#"&amp;G212)</f>
        <v/>
      </c>
      <c r="I212">
        <f>IF(F212="","",IFERROR(--'List 2'!B212,0))</f>
        <v/>
      </c>
      <c r="K212">
        <f>C212</f>
        <v/>
      </c>
      <c r="L212">
        <f>IF(K212="","",IF(ISNUMBER('List 1'!A212),'List 1'!A212,TRIM('List 1'!A212)))</f>
        <v/>
      </c>
      <c r="M212">
        <f>IF(K212="","",IF(ISNUMBER('List 1'!C212),'List 1'!C212,TRIM('List 1'!C212)))</f>
        <v/>
      </c>
      <c r="N212">
        <f>IF(K212="","",IF(ISNUMBER('List 1'!D212),'List 1'!D212,TRIM('List 1'!D212)))</f>
        <v/>
      </c>
      <c r="O212">
        <f>IF(K212="","",D212)</f>
        <v/>
      </c>
      <c r="P212">
        <f>IF(K212="","",IF(R212,SUMPRODUCT(--($H$2:$H$501=K212),$I$2:$I$501),0))</f>
        <v/>
      </c>
      <c r="Q212">
        <f>IF(K212="","",TRUE)</f>
        <v/>
      </c>
      <c r="R212">
        <f>IF(K212="","",SUMPRODUCT(--($H$2:$H$501=K212))&gt;0)</f>
        <v/>
      </c>
      <c r="S212">
        <f>IF(K212="","",IF(AND(Q212,R212),IF(O212=P212,"Match","Qty Different"),IF(Q212,"Only in List 1","Only in List 2")))</f>
        <v/>
      </c>
      <c r="T212">
        <f>IF(K212="","",IF(ISNUMBER(--L212),TEXT(--L212,"000000000000.000"),LOWER(L212)))</f>
        <v/>
      </c>
      <c r="U212">
        <f>IF(K212="","",IF(ISNUMBER(--M212),TEXT(--M212,"000000000000.000"),LOWER(M212)))</f>
        <v/>
      </c>
      <c r="V212">
        <f>IF(K212="","",LOWER(N212))</f>
        <v/>
      </c>
      <c r="W212">
        <f>IF(K212="","",B212)</f>
        <v/>
      </c>
      <c r="X212">
        <f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>
      <c r="A213">
        <f>IF(TRIM('List 1'!A213&amp;'List 1'!C213&amp;'List 1'!D213)="","",LOWER(TRIM('List 1'!A213)&amp;"|"&amp;TRIM('List 1'!C213)&amp;"|"&amp;TRIM('List 1'!D213)))</f>
        <v/>
      </c>
      <c r="B213">
        <f>IF(A213="","",SUMPRODUCT(--($A$2:A213=A213)))</f>
        <v/>
      </c>
      <c r="C213">
        <f>IF(A213="","",A213&amp;"#"&amp;B213)</f>
        <v/>
      </c>
      <c r="D213">
        <f>IF(A213="","",IFERROR(--'List 1'!B213,0))</f>
        <v/>
      </c>
      <c r="F213">
        <f>IF(TRIM('List 2'!A213&amp;'List 2'!C213&amp;'List 2'!D213)="","",LOWER(TRIM('List 2'!A213)&amp;"|"&amp;TRIM('List 2'!C213)&amp;"|"&amp;TRIM('List 2'!D213)))</f>
        <v/>
      </c>
      <c r="G213">
        <f>IF(F213="","",SUMPRODUCT(--($F$2:F213=F213)))</f>
        <v/>
      </c>
      <c r="H213">
        <f>IF(F213="","",F213&amp;"#"&amp;G213)</f>
        <v/>
      </c>
      <c r="I213">
        <f>IF(F213="","",IFERROR(--'List 2'!B213,0))</f>
        <v/>
      </c>
      <c r="K213">
        <f>C213</f>
        <v/>
      </c>
      <c r="L213">
        <f>IF(K213="","",IF(ISNUMBER('List 1'!A213),'List 1'!A213,TRIM('List 1'!A213)))</f>
        <v/>
      </c>
      <c r="M213">
        <f>IF(K213="","",IF(ISNUMBER('List 1'!C213),'List 1'!C213,TRIM('List 1'!C213)))</f>
        <v/>
      </c>
      <c r="N213">
        <f>IF(K213="","",IF(ISNUMBER('List 1'!D213),'List 1'!D213,TRIM('List 1'!D213)))</f>
        <v/>
      </c>
      <c r="O213">
        <f>IF(K213="","",D213)</f>
        <v/>
      </c>
      <c r="P213">
        <f>IF(K213="","",IF(R213,SUMPRODUCT(--($H$2:$H$501=K213),$I$2:$I$501),0))</f>
        <v/>
      </c>
      <c r="Q213">
        <f>IF(K213="","",TRUE)</f>
        <v/>
      </c>
      <c r="R213">
        <f>IF(K213="","",SUMPRODUCT(--($H$2:$H$501=K213))&gt;0)</f>
        <v/>
      </c>
      <c r="S213">
        <f>IF(K213="","",IF(AND(Q213,R213),IF(O213=P213,"Match","Qty Different"),IF(Q213,"Only in List 1","Only in List 2")))</f>
        <v/>
      </c>
      <c r="T213">
        <f>IF(K213="","",IF(ISNUMBER(--L213),TEXT(--L213,"000000000000.000"),LOWER(L213)))</f>
        <v/>
      </c>
      <c r="U213">
        <f>IF(K213="","",IF(ISNUMBER(--M213),TEXT(--M213,"000000000000.000"),LOWER(M213)))</f>
        <v/>
      </c>
      <c r="V213">
        <f>IF(K213="","",LOWER(N213))</f>
        <v/>
      </c>
      <c r="W213">
        <f>IF(K213="","",B213)</f>
        <v/>
      </c>
      <c r="X213">
        <f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>
      <c r="A214">
        <f>IF(TRIM('List 1'!A214&amp;'List 1'!C214&amp;'List 1'!D214)="","",LOWER(TRIM('List 1'!A214)&amp;"|"&amp;TRIM('List 1'!C214)&amp;"|"&amp;TRIM('List 1'!D214)))</f>
        <v/>
      </c>
      <c r="B214">
        <f>IF(A214="","",SUMPRODUCT(--($A$2:A214=A214)))</f>
        <v/>
      </c>
      <c r="C214">
        <f>IF(A214="","",A214&amp;"#"&amp;B214)</f>
        <v/>
      </c>
      <c r="D214">
        <f>IF(A214="","",IFERROR(--'List 1'!B214,0))</f>
        <v/>
      </c>
      <c r="F214">
        <f>IF(TRIM('List 2'!A214&amp;'List 2'!C214&amp;'List 2'!D214)="","",LOWER(TRIM('List 2'!A214)&amp;"|"&amp;TRIM('List 2'!C214)&amp;"|"&amp;TRIM('List 2'!D214)))</f>
        <v/>
      </c>
      <c r="G214">
        <f>IF(F214="","",SUMPRODUCT(--($F$2:F214=F214)))</f>
        <v/>
      </c>
      <c r="H214">
        <f>IF(F214="","",F214&amp;"#"&amp;G214)</f>
        <v/>
      </c>
      <c r="I214">
        <f>IF(F214="","",IFERROR(--'List 2'!B214,0))</f>
        <v/>
      </c>
      <c r="K214">
        <f>C214</f>
        <v/>
      </c>
      <c r="L214">
        <f>IF(K214="","",IF(ISNUMBER('List 1'!A214),'List 1'!A214,TRIM('List 1'!A214)))</f>
        <v/>
      </c>
      <c r="M214">
        <f>IF(K214="","",IF(ISNUMBER('List 1'!C214),'List 1'!C214,TRIM('List 1'!C214)))</f>
        <v/>
      </c>
      <c r="N214">
        <f>IF(K214="","",IF(ISNUMBER('List 1'!D214),'List 1'!D214,TRIM('List 1'!D214)))</f>
        <v/>
      </c>
      <c r="O214">
        <f>IF(K214="","",D214)</f>
        <v/>
      </c>
      <c r="P214">
        <f>IF(K214="","",IF(R214,SUMPRODUCT(--($H$2:$H$501=K214),$I$2:$I$501),0))</f>
        <v/>
      </c>
      <c r="Q214">
        <f>IF(K214="","",TRUE)</f>
        <v/>
      </c>
      <c r="R214">
        <f>IF(K214="","",SUMPRODUCT(--($H$2:$H$501=K214))&gt;0)</f>
        <v/>
      </c>
      <c r="S214">
        <f>IF(K214="","",IF(AND(Q214,R214),IF(O214=P214,"Match","Qty Different"),IF(Q214,"Only in List 1","Only in List 2")))</f>
        <v/>
      </c>
      <c r="T214">
        <f>IF(K214="","",IF(ISNUMBER(--L214),TEXT(--L214,"000000000000.000"),LOWER(L214)))</f>
        <v/>
      </c>
      <c r="U214">
        <f>IF(K214="","",IF(ISNUMBER(--M214),TEXT(--M214,"000000000000.000"),LOWER(M214)))</f>
        <v/>
      </c>
      <c r="V214">
        <f>IF(K214="","",LOWER(N214))</f>
        <v/>
      </c>
      <c r="W214">
        <f>IF(K214="","",B214)</f>
        <v/>
      </c>
      <c r="X214">
        <f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>
      <c r="A215">
        <f>IF(TRIM('List 1'!A215&amp;'List 1'!C215&amp;'List 1'!D215)="","",LOWER(TRIM('List 1'!A215)&amp;"|"&amp;TRIM('List 1'!C215)&amp;"|"&amp;TRIM('List 1'!D215)))</f>
        <v/>
      </c>
      <c r="B215">
        <f>IF(A215="","",SUMPRODUCT(--($A$2:A215=A215)))</f>
        <v/>
      </c>
      <c r="C215">
        <f>IF(A215="","",A215&amp;"#"&amp;B215)</f>
        <v/>
      </c>
      <c r="D215">
        <f>IF(A215="","",IFERROR(--'List 1'!B215,0))</f>
        <v/>
      </c>
      <c r="F215">
        <f>IF(TRIM('List 2'!A215&amp;'List 2'!C215&amp;'List 2'!D215)="","",LOWER(TRIM('List 2'!A215)&amp;"|"&amp;TRIM('List 2'!C215)&amp;"|"&amp;TRIM('List 2'!D215)))</f>
        <v/>
      </c>
      <c r="G215">
        <f>IF(F215="","",SUMPRODUCT(--($F$2:F215=F215)))</f>
        <v/>
      </c>
      <c r="H215">
        <f>IF(F215="","",F215&amp;"#"&amp;G215)</f>
        <v/>
      </c>
      <c r="I215">
        <f>IF(F215="","",IFERROR(--'List 2'!B215,0))</f>
        <v/>
      </c>
      <c r="K215">
        <f>C215</f>
        <v/>
      </c>
      <c r="L215">
        <f>IF(K215="","",IF(ISNUMBER('List 1'!A215),'List 1'!A215,TRIM('List 1'!A215)))</f>
        <v/>
      </c>
      <c r="M215">
        <f>IF(K215="","",IF(ISNUMBER('List 1'!C215),'List 1'!C215,TRIM('List 1'!C215)))</f>
        <v/>
      </c>
      <c r="N215">
        <f>IF(K215="","",IF(ISNUMBER('List 1'!D215),'List 1'!D215,TRIM('List 1'!D215)))</f>
        <v/>
      </c>
      <c r="O215">
        <f>IF(K215="","",D215)</f>
        <v/>
      </c>
      <c r="P215">
        <f>IF(K215="","",IF(R215,SUMPRODUCT(--($H$2:$H$501=K215),$I$2:$I$501),0))</f>
        <v/>
      </c>
      <c r="Q215">
        <f>IF(K215="","",TRUE)</f>
        <v/>
      </c>
      <c r="R215">
        <f>IF(K215="","",SUMPRODUCT(--($H$2:$H$501=K215))&gt;0)</f>
        <v/>
      </c>
      <c r="S215">
        <f>IF(K215="","",IF(AND(Q215,R215),IF(O215=P215,"Match","Qty Different"),IF(Q215,"Only in List 1","Only in List 2")))</f>
        <v/>
      </c>
      <c r="T215">
        <f>IF(K215="","",IF(ISNUMBER(--L215),TEXT(--L215,"000000000000.000"),LOWER(L215)))</f>
        <v/>
      </c>
      <c r="U215">
        <f>IF(K215="","",IF(ISNUMBER(--M215),TEXT(--M215,"000000000000.000"),LOWER(M215)))</f>
        <v/>
      </c>
      <c r="V215">
        <f>IF(K215="","",LOWER(N215))</f>
        <v/>
      </c>
      <c r="W215">
        <f>IF(K215="","",B215)</f>
        <v/>
      </c>
      <c r="X215">
        <f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>
      <c r="A216">
        <f>IF(TRIM('List 1'!A216&amp;'List 1'!C216&amp;'List 1'!D216)="","",LOWER(TRIM('List 1'!A216)&amp;"|"&amp;TRIM('List 1'!C216)&amp;"|"&amp;TRIM('List 1'!D216)))</f>
        <v/>
      </c>
      <c r="B216">
        <f>IF(A216="","",SUMPRODUCT(--($A$2:A216=A216)))</f>
        <v/>
      </c>
      <c r="C216">
        <f>IF(A216="","",A216&amp;"#"&amp;B216)</f>
        <v/>
      </c>
      <c r="D216">
        <f>IF(A216="","",IFERROR(--'List 1'!B216,0))</f>
        <v/>
      </c>
      <c r="F216">
        <f>IF(TRIM('List 2'!A216&amp;'List 2'!C216&amp;'List 2'!D216)="","",LOWER(TRIM('List 2'!A216)&amp;"|"&amp;TRIM('List 2'!C216)&amp;"|"&amp;TRIM('List 2'!D216)))</f>
        <v/>
      </c>
      <c r="G216">
        <f>IF(F216="","",SUMPRODUCT(--($F$2:F216=F216)))</f>
        <v/>
      </c>
      <c r="H216">
        <f>IF(F216="","",F216&amp;"#"&amp;G216)</f>
        <v/>
      </c>
      <c r="I216">
        <f>IF(F216="","",IFERROR(--'List 2'!B216,0))</f>
        <v/>
      </c>
      <c r="K216">
        <f>C216</f>
        <v/>
      </c>
      <c r="L216">
        <f>IF(K216="","",IF(ISNUMBER('List 1'!A216),'List 1'!A216,TRIM('List 1'!A216)))</f>
        <v/>
      </c>
      <c r="M216">
        <f>IF(K216="","",IF(ISNUMBER('List 1'!C216),'List 1'!C216,TRIM('List 1'!C216)))</f>
        <v/>
      </c>
      <c r="N216">
        <f>IF(K216="","",IF(ISNUMBER('List 1'!D216),'List 1'!D216,TRIM('List 1'!D216)))</f>
        <v/>
      </c>
      <c r="O216">
        <f>IF(K216="","",D216)</f>
        <v/>
      </c>
      <c r="P216">
        <f>IF(K216="","",IF(R216,SUMPRODUCT(--($H$2:$H$501=K216),$I$2:$I$501),0))</f>
        <v/>
      </c>
      <c r="Q216">
        <f>IF(K216="","",TRUE)</f>
        <v/>
      </c>
      <c r="R216">
        <f>IF(K216="","",SUMPRODUCT(--($H$2:$H$501=K216))&gt;0)</f>
        <v/>
      </c>
      <c r="S216">
        <f>IF(K216="","",IF(AND(Q216,R216),IF(O216=P216,"Match","Qty Different"),IF(Q216,"Only in List 1","Only in List 2")))</f>
        <v/>
      </c>
      <c r="T216">
        <f>IF(K216="","",IF(ISNUMBER(--L216),TEXT(--L216,"000000000000.000"),LOWER(L216)))</f>
        <v/>
      </c>
      <c r="U216">
        <f>IF(K216="","",IF(ISNUMBER(--M216),TEXT(--M216,"000000000000.000"),LOWER(M216)))</f>
        <v/>
      </c>
      <c r="V216">
        <f>IF(K216="","",LOWER(N216))</f>
        <v/>
      </c>
      <c r="W216">
        <f>IF(K216="","",B216)</f>
        <v/>
      </c>
      <c r="X216">
        <f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>
      <c r="A217">
        <f>IF(TRIM('List 1'!A217&amp;'List 1'!C217&amp;'List 1'!D217)="","",LOWER(TRIM('List 1'!A217)&amp;"|"&amp;TRIM('List 1'!C217)&amp;"|"&amp;TRIM('List 1'!D217)))</f>
        <v/>
      </c>
      <c r="B217">
        <f>IF(A217="","",SUMPRODUCT(--($A$2:A217=A217)))</f>
        <v/>
      </c>
      <c r="C217">
        <f>IF(A217="","",A217&amp;"#"&amp;B217)</f>
        <v/>
      </c>
      <c r="D217">
        <f>IF(A217="","",IFERROR(--'List 1'!B217,0))</f>
        <v/>
      </c>
      <c r="F217">
        <f>IF(TRIM('List 2'!A217&amp;'List 2'!C217&amp;'List 2'!D217)="","",LOWER(TRIM('List 2'!A217)&amp;"|"&amp;TRIM('List 2'!C217)&amp;"|"&amp;TRIM('List 2'!D217)))</f>
        <v/>
      </c>
      <c r="G217">
        <f>IF(F217="","",SUMPRODUCT(--($F$2:F217=F217)))</f>
        <v/>
      </c>
      <c r="H217">
        <f>IF(F217="","",F217&amp;"#"&amp;G217)</f>
        <v/>
      </c>
      <c r="I217">
        <f>IF(F217="","",IFERROR(--'List 2'!B217,0))</f>
        <v/>
      </c>
      <c r="K217">
        <f>C217</f>
        <v/>
      </c>
      <c r="L217">
        <f>IF(K217="","",IF(ISNUMBER('List 1'!A217),'List 1'!A217,TRIM('List 1'!A217)))</f>
        <v/>
      </c>
      <c r="M217">
        <f>IF(K217="","",IF(ISNUMBER('List 1'!C217),'List 1'!C217,TRIM('List 1'!C217)))</f>
        <v/>
      </c>
      <c r="N217">
        <f>IF(K217="","",IF(ISNUMBER('List 1'!D217),'List 1'!D217,TRIM('List 1'!D217)))</f>
        <v/>
      </c>
      <c r="O217">
        <f>IF(K217="","",D217)</f>
        <v/>
      </c>
      <c r="P217">
        <f>IF(K217="","",IF(R217,SUMPRODUCT(--($H$2:$H$501=K217),$I$2:$I$501),0))</f>
        <v/>
      </c>
      <c r="Q217">
        <f>IF(K217="","",TRUE)</f>
        <v/>
      </c>
      <c r="R217">
        <f>IF(K217="","",SUMPRODUCT(--($H$2:$H$501=K217))&gt;0)</f>
        <v/>
      </c>
      <c r="S217">
        <f>IF(K217="","",IF(AND(Q217,R217),IF(O217=P217,"Match","Qty Different"),IF(Q217,"Only in List 1","Only in List 2")))</f>
        <v/>
      </c>
      <c r="T217">
        <f>IF(K217="","",IF(ISNUMBER(--L217),TEXT(--L217,"000000000000.000"),LOWER(L217)))</f>
        <v/>
      </c>
      <c r="U217">
        <f>IF(K217="","",IF(ISNUMBER(--M217),TEXT(--M217,"000000000000.000"),LOWER(M217)))</f>
        <v/>
      </c>
      <c r="V217">
        <f>IF(K217="","",LOWER(N217))</f>
        <v/>
      </c>
      <c r="W217">
        <f>IF(K217="","",B217)</f>
        <v/>
      </c>
      <c r="X217">
        <f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>
      <c r="A218">
        <f>IF(TRIM('List 1'!A218&amp;'List 1'!C218&amp;'List 1'!D218)="","",LOWER(TRIM('List 1'!A218)&amp;"|"&amp;TRIM('List 1'!C218)&amp;"|"&amp;TRIM('List 1'!D218)))</f>
        <v/>
      </c>
      <c r="B218">
        <f>IF(A218="","",SUMPRODUCT(--($A$2:A218=A218)))</f>
        <v/>
      </c>
      <c r="C218">
        <f>IF(A218="","",A218&amp;"#"&amp;B218)</f>
        <v/>
      </c>
      <c r="D218">
        <f>IF(A218="","",IFERROR(--'List 1'!B218,0))</f>
        <v/>
      </c>
      <c r="F218">
        <f>IF(TRIM('List 2'!A218&amp;'List 2'!C218&amp;'List 2'!D218)="","",LOWER(TRIM('List 2'!A218)&amp;"|"&amp;TRIM('List 2'!C218)&amp;"|"&amp;TRIM('List 2'!D218)))</f>
        <v/>
      </c>
      <c r="G218">
        <f>IF(F218="","",SUMPRODUCT(--($F$2:F218=F218)))</f>
        <v/>
      </c>
      <c r="H218">
        <f>IF(F218="","",F218&amp;"#"&amp;G218)</f>
        <v/>
      </c>
      <c r="I218">
        <f>IF(F218="","",IFERROR(--'List 2'!B218,0))</f>
        <v/>
      </c>
      <c r="K218">
        <f>C218</f>
        <v/>
      </c>
      <c r="L218">
        <f>IF(K218="","",IF(ISNUMBER('List 1'!A218),'List 1'!A218,TRIM('List 1'!A218)))</f>
        <v/>
      </c>
      <c r="M218">
        <f>IF(K218="","",IF(ISNUMBER('List 1'!C218),'List 1'!C218,TRIM('List 1'!C218)))</f>
        <v/>
      </c>
      <c r="N218">
        <f>IF(K218="","",IF(ISNUMBER('List 1'!D218),'List 1'!D218,TRIM('List 1'!D218)))</f>
        <v/>
      </c>
      <c r="O218">
        <f>IF(K218="","",D218)</f>
        <v/>
      </c>
      <c r="P218">
        <f>IF(K218="","",IF(R218,SUMPRODUCT(--($H$2:$H$501=K218),$I$2:$I$501),0))</f>
        <v/>
      </c>
      <c r="Q218">
        <f>IF(K218="","",TRUE)</f>
        <v/>
      </c>
      <c r="R218">
        <f>IF(K218="","",SUMPRODUCT(--($H$2:$H$501=K218))&gt;0)</f>
        <v/>
      </c>
      <c r="S218">
        <f>IF(K218="","",IF(AND(Q218,R218),IF(O218=P218,"Match","Qty Different"),IF(Q218,"Only in List 1","Only in List 2")))</f>
        <v/>
      </c>
      <c r="T218">
        <f>IF(K218="","",IF(ISNUMBER(--L218),TEXT(--L218,"000000000000.000"),LOWER(L218)))</f>
        <v/>
      </c>
      <c r="U218">
        <f>IF(K218="","",IF(ISNUMBER(--M218),TEXT(--M218,"000000000000.000"),LOWER(M218)))</f>
        <v/>
      </c>
      <c r="V218">
        <f>IF(K218="","",LOWER(N218))</f>
        <v/>
      </c>
      <c r="W218">
        <f>IF(K218="","",B218)</f>
        <v/>
      </c>
      <c r="X218">
        <f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>
      <c r="A219">
        <f>IF(TRIM('List 1'!A219&amp;'List 1'!C219&amp;'List 1'!D219)="","",LOWER(TRIM('List 1'!A219)&amp;"|"&amp;TRIM('List 1'!C219)&amp;"|"&amp;TRIM('List 1'!D219)))</f>
        <v/>
      </c>
      <c r="B219">
        <f>IF(A219="","",SUMPRODUCT(--($A$2:A219=A219)))</f>
        <v/>
      </c>
      <c r="C219">
        <f>IF(A219="","",A219&amp;"#"&amp;B219)</f>
        <v/>
      </c>
      <c r="D219">
        <f>IF(A219="","",IFERROR(--'List 1'!B219,0))</f>
        <v/>
      </c>
      <c r="F219">
        <f>IF(TRIM('List 2'!A219&amp;'List 2'!C219&amp;'List 2'!D219)="","",LOWER(TRIM('List 2'!A219)&amp;"|"&amp;TRIM('List 2'!C219)&amp;"|"&amp;TRIM('List 2'!D219)))</f>
        <v/>
      </c>
      <c r="G219">
        <f>IF(F219="","",SUMPRODUCT(--($F$2:F219=F219)))</f>
        <v/>
      </c>
      <c r="H219">
        <f>IF(F219="","",F219&amp;"#"&amp;G219)</f>
        <v/>
      </c>
      <c r="I219">
        <f>IF(F219="","",IFERROR(--'List 2'!B219,0))</f>
        <v/>
      </c>
      <c r="K219">
        <f>C219</f>
        <v/>
      </c>
      <c r="L219">
        <f>IF(K219="","",IF(ISNUMBER('List 1'!A219),'List 1'!A219,TRIM('List 1'!A219)))</f>
        <v/>
      </c>
      <c r="M219">
        <f>IF(K219="","",IF(ISNUMBER('List 1'!C219),'List 1'!C219,TRIM('List 1'!C219)))</f>
        <v/>
      </c>
      <c r="N219">
        <f>IF(K219="","",IF(ISNUMBER('List 1'!D219),'List 1'!D219,TRIM('List 1'!D219)))</f>
        <v/>
      </c>
      <c r="O219">
        <f>IF(K219="","",D219)</f>
        <v/>
      </c>
      <c r="P219">
        <f>IF(K219="","",IF(R219,SUMPRODUCT(--($H$2:$H$501=K219),$I$2:$I$501),0))</f>
        <v/>
      </c>
      <c r="Q219">
        <f>IF(K219="","",TRUE)</f>
        <v/>
      </c>
      <c r="R219">
        <f>IF(K219="","",SUMPRODUCT(--($H$2:$H$501=K219))&gt;0)</f>
        <v/>
      </c>
      <c r="S219">
        <f>IF(K219="","",IF(AND(Q219,R219),IF(O219=P219,"Match","Qty Different"),IF(Q219,"Only in List 1","Only in List 2")))</f>
        <v/>
      </c>
      <c r="T219">
        <f>IF(K219="","",IF(ISNUMBER(--L219),TEXT(--L219,"000000000000.000"),LOWER(L219)))</f>
        <v/>
      </c>
      <c r="U219">
        <f>IF(K219="","",IF(ISNUMBER(--M219),TEXT(--M219,"000000000000.000"),LOWER(M219)))</f>
        <v/>
      </c>
      <c r="V219">
        <f>IF(K219="","",LOWER(N219))</f>
        <v/>
      </c>
      <c r="W219">
        <f>IF(K219="","",B219)</f>
        <v/>
      </c>
      <c r="X219">
        <f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>
      <c r="A220">
        <f>IF(TRIM('List 1'!A220&amp;'List 1'!C220&amp;'List 1'!D220)="","",LOWER(TRIM('List 1'!A220)&amp;"|"&amp;TRIM('List 1'!C220)&amp;"|"&amp;TRIM('List 1'!D220)))</f>
        <v/>
      </c>
      <c r="B220">
        <f>IF(A220="","",SUMPRODUCT(--($A$2:A220=A220)))</f>
        <v/>
      </c>
      <c r="C220">
        <f>IF(A220="","",A220&amp;"#"&amp;B220)</f>
        <v/>
      </c>
      <c r="D220">
        <f>IF(A220="","",IFERROR(--'List 1'!B220,0))</f>
        <v/>
      </c>
      <c r="F220">
        <f>IF(TRIM('List 2'!A220&amp;'List 2'!C220&amp;'List 2'!D220)="","",LOWER(TRIM('List 2'!A220)&amp;"|"&amp;TRIM('List 2'!C220)&amp;"|"&amp;TRIM('List 2'!D220)))</f>
        <v/>
      </c>
      <c r="G220">
        <f>IF(F220="","",SUMPRODUCT(--($F$2:F220=F220)))</f>
        <v/>
      </c>
      <c r="H220">
        <f>IF(F220="","",F220&amp;"#"&amp;G220)</f>
        <v/>
      </c>
      <c r="I220">
        <f>IF(F220="","",IFERROR(--'List 2'!B220,0))</f>
        <v/>
      </c>
      <c r="K220">
        <f>C220</f>
        <v/>
      </c>
      <c r="L220">
        <f>IF(K220="","",IF(ISNUMBER('List 1'!A220),'List 1'!A220,TRIM('List 1'!A220)))</f>
        <v/>
      </c>
      <c r="M220">
        <f>IF(K220="","",IF(ISNUMBER('List 1'!C220),'List 1'!C220,TRIM('List 1'!C220)))</f>
        <v/>
      </c>
      <c r="N220">
        <f>IF(K220="","",IF(ISNUMBER('List 1'!D220),'List 1'!D220,TRIM('List 1'!D220)))</f>
        <v/>
      </c>
      <c r="O220">
        <f>IF(K220="","",D220)</f>
        <v/>
      </c>
      <c r="P220">
        <f>IF(K220="","",IF(R220,SUMPRODUCT(--($H$2:$H$501=K220),$I$2:$I$501),0))</f>
        <v/>
      </c>
      <c r="Q220">
        <f>IF(K220="","",TRUE)</f>
        <v/>
      </c>
      <c r="R220">
        <f>IF(K220="","",SUMPRODUCT(--($H$2:$H$501=K220))&gt;0)</f>
        <v/>
      </c>
      <c r="S220">
        <f>IF(K220="","",IF(AND(Q220,R220),IF(O220=P220,"Match","Qty Different"),IF(Q220,"Only in List 1","Only in List 2")))</f>
        <v/>
      </c>
      <c r="T220">
        <f>IF(K220="","",IF(ISNUMBER(--L220),TEXT(--L220,"000000000000.000"),LOWER(L220)))</f>
        <v/>
      </c>
      <c r="U220">
        <f>IF(K220="","",IF(ISNUMBER(--M220),TEXT(--M220,"000000000000.000"),LOWER(M220)))</f>
        <v/>
      </c>
      <c r="V220">
        <f>IF(K220="","",LOWER(N220))</f>
        <v/>
      </c>
      <c r="W220">
        <f>IF(K220="","",B220)</f>
        <v/>
      </c>
      <c r="X220">
        <f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>
      <c r="A221">
        <f>IF(TRIM('List 1'!A221&amp;'List 1'!C221&amp;'List 1'!D221)="","",LOWER(TRIM('List 1'!A221)&amp;"|"&amp;TRIM('List 1'!C221)&amp;"|"&amp;TRIM('List 1'!D221)))</f>
        <v/>
      </c>
      <c r="B221">
        <f>IF(A221="","",SUMPRODUCT(--($A$2:A221=A221)))</f>
        <v/>
      </c>
      <c r="C221">
        <f>IF(A221="","",A221&amp;"#"&amp;B221)</f>
        <v/>
      </c>
      <c r="D221">
        <f>IF(A221="","",IFERROR(--'List 1'!B221,0))</f>
        <v/>
      </c>
      <c r="F221">
        <f>IF(TRIM('List 2'!A221&amp;'List 2'!C221&amp;'List 2'!D221)="","",LOWER(TRIM('List 2'!A221)&amp;"|"&amp;TRIM('List 2'!C221)&amp;"|"&amp;TRIM('List 2'!D221)))</f>
        <v/>
      </c>
      <c r="G221">
        <f>IF(F221="","",SUMPRODUCT(--($F$2:F221=F221)))</f>
        <v/>
      </c>
      <c r="H221">
        <f>IF(F221="","",F221&amp;"#"&amp;G221)</f>
        <v/>
      </c>
      <c r="I221">
        <f>IF(F221="","",IFERROR(--'List 2'!B221,0))</f>
        <v/>
      </c>
      <c r="K221">
        <f>C221</f>
        <v/>
      </c>
      <c r="L221">
        <f>IF(K221="","",IF(ISNUMBER('List 1'!A221),'List 1'!A221,TRIM('List 1'!A221)))</f>
        <v/>
      </c>
      <c r="M221">
        <f>IF(K221="","",IF(ISNUMBER('List 1'!C221),'List 1'!C221,TRIM('List 1'!C221)))</f>
        <v/>
      </c>
      <c r="N221">
        <f>IF(K221="","",IF(ISNUMBER('List 1'!D221),'List 1'!D221,TRIM('List 1'!D221)))</f>
        <v/>
      </c>
      <c r="O221">
        <f>IF(K221="","",D221)</f>
        <v/>
      </c>
      <c r="P221">
        <f>IF(K221="","",IF(R221,SUMPRODUCT(--($H$2:$H$501=K221),$I$2:$I$501),0))</f>
        <v/>
      </c>
      <c r="Q221">
        <f>IF(K221="","",TRUE)</f>
        <v/>
      </c>
      <c r="R221">
        <f>IF(K221="","",SUMPRODUCT(--($H$2:$H$501=K221))&gt;0)</f>
        <v/>
      </c>
      <c r="S221">
        <f>IF(K221="","",IF(AND(Q221,R221),IF(O221=P221,"Match","Qty Different"),IF(Q221,"Only in List 1","Only in List 2")))</f>
        <v/>
      </c>
      <c r="T221">
        <f>IF(K221="","",IF(ISNUMBER(--L221),TEXT(--L221,"000000000000.000"),LOWER(L221)))</f>
        <v/>
      </c>
      <c r="U221">
        <f>IF(K221="","",IF(ISNUMBER(--M221),TEXT(--M221,"000000000000.000"),LOWER(M221)))</f>
        <v/>
      </c>
      <c r="V221">
        <f>IF(K221="","",LOWER(N221))</f>
        <v/>
      </c>
      <c r="W221">
        <f>IF(K221="","",B221)</f>
        <v/>
      </c>
      <c r="X221">
        <f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>
      <c r="A222">
        <f>IF(TRIM('List 1'!A222&amp;'List 1'!C222&amp;'List 1'!D222)="","",LOWER(TRIM('List 1'!A222)&amp;"|"&amp;TRIM('List 1'!C222)&amp;"|"&amp;TRIM('List 1'!D222)))</f>
        <v/>
      </c>
      <c r="B222">
        <f>IF(A222="","",SUMPRODUCT(--($A$2:A222=A222)))</f>
        <v/>
      </c>
      <c r="C222">
        <f>IF(A222="","",A222&amp;"#"&amp;B222)</f>
        <v/>
      </c>
      <c r="D222">
        <f>IF(A222="","",IFERROR(--'List 1'!B222,0))</f>
        <v/>
      </c>
      <c r="F222">
        <f>IF(TRIM('List 2'!A222&amp;'List 2'!C222&amp;'List 2'!D222)="","",LOWER(TRIM('List 2'!A222)&amp;"|"&amp;TRIM('List 2'!C222)&amp;"|"&amp;TRIM('List 2'!D222)))</f>
        <v/>
      </c>
      <c r="G222">
        <f>IF(F222="","",SUMPRODUCT(--($F$2:F222=F222)))</f>
        <v/>
      </c>
      <c r="H222">
        <f>IF(F222="","",F222&amp;"#"&amp;G222)</f>
        <v/>
      </c>
      <c r="I222">
        <f>IF(F222="","",IFERROR(--'List 2'!B222,0))</f>
        <v/>
      </c>
      <c r="K222">
        <f>C222</f>
        <v/>
      </c>
      <c r="L222">
        <f>IF(K222="","",IF(ISNUMBER('List 1'!A222),'List 1'!A222,TRIM('List 1'!A222)))</f>
        <v/>
      </c>
      <c r="M222">
        <f>IF(K222="","",IF(ISNUMBER('List 1'!C222),'List 1'!C222,TRIM('List 1'!C222)))</f>
        <v/>
      </c>
      <c r="N222">
        <f>IF(K222="","",IF(ISNUMBER('List 1'!D222),'List 1'!D222,TRIM('List 1'!D222)))</f>
        <v/>
      </c>
      <c r="O222">
        <f>IF(K222="","",D222)</f>
        <v/>
      </c>
      <c r="P222">
        <f>IF(K222="","",IF(R222,SUMPRODUCT(--($H$2:$H$501=K222),$I$2:$I$501),0))</f>
        <v/>
      </c>
      <c r="Q222">
        <f>IF(K222="","",TRUE)</f>
        <v/>
      </c>
      <c r="R222">
        <f>IF(K222="","",SUMPRODUCT(--($H$2:$H$501=K222))&gt;0)</f>
        <v/>
      </c>
      <c r="S222">
        <f>IF(K222="","",IF(AND(Q222,R222),IF(O222=P222,"Match","Qty Different"),IF(Q222,"Only in List 1","Only in List 2")))</f>
        <v/>
      </c>
      <c r="T222">
        <f>IF(K222="","",IF(ISNUMBER(--L222),TEXT(--L222,"000000000000.000"),LOWER(L222)))</f>
        <v/>
      </c>
      <c r="U222">
        <f>IF(K222="","",IF(ISNUMBER(--M222),TEXT(--M222,"000000000000.000"),LOWER(M222)))</f>
        <v/>
      </c>
      <c r="V222">
        <f>IF(K222="","",LOWER(N222))</f>
        <v/>
      </c>
      <c r="W222">
        <f>IF(K222="","",B222)</f>
        <v/>
      </c>
      <c r="X222">
        <f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>
      <c r="A223">
        <f>IF(TRIM('List 1'!A223&amp;'List 1'!C223&amp;'List 1'!D223)="","",LOWER(TRIM('List 1'!A223)&amp;"|"&amp;TRIM('List 1'!C223)&amp;"|"&amp;TRIM('List 1'!D223)))</f>
        <v/>
      </c>
      <c r="B223">
        <f>IF(A223="","",SUMPRODUCT(--($A$2:A223=A223)))</f>
        <v/>
      </c>
      <c r="C223">
        <f>IF(A223="","",A223&amp;"#"&amp;B223)</f>
        <v/>
      </c>
      <c r="D223">
        <f>IF(A223="","",IFERROR(--'List 1'!B223,0))</f>
        <v/>
      </c>
      <c r="F223">
        <f>IF(TRIM('List 2'!A223&amp;'List 2'!C223&amp;'List 2'!D223)="","",LOWER(TRIM('List 2'!A223)&amp;"|"&amp;TRIM('List 2'!C223)&amp;"|"&amp;TRIM('List 2'!D223)))</f>
        <v/>
      </c>
      <c r="G223">
        <f>IF(F223="","",SUMPRODUCT(--($F$2:F223=F223)))</f>
        <v/>
      </c>
      <c r="H223">
        <f>IF(F223="","",F223&amp;"#"&amp;G223)</f>
        <v/>
      </c>
      <c r="I223">
        <f>IF(F223="","",IFERROR(--'List 2'!B223,0))</f>
        <v/>
      </c>
      <c r="K223">
        <f>C223</f>
        <v/>
      </c>
      <c r="L223">
        <f>IF(K223="","",IF(ISNUMBER('List 1'!A223),'List 1'!A223,TRIM('List 1'!A223)))</f>
        <v/>
      </c>
      <c r="M223">
        <f>IF(K223="","",IF(ISNUMBER('List 1'!C223),'List 1'!C223,TRIM('List 1'!C223)))</f>
        <v/>
      </c>
      <c r="N223">
        <f>IF(K223="","",IF(ISNUMBER('List 1'!D223),'List 1'!D223,TRIM('List 1'!D223)))</f>
        <v/>
      </c>
      <c r="O223">
        <f>IF(K223="","",D223)</f>
        <v/>
      </c>
      <c r="P223">
        <f>IF(K223="","",IF(R223,SUMPRODUCT(--($H$2:$H$501=K223),$I$2:$I$501),0))</f>
        <v/>
      </c>
      <c r="Q223">
        <f>IF(K223="","",TRUE)</f>
        <v/>
      </c>
      <c r="R223">
        <f>IF(K223="","",SUMPRODUCT(--($H$2:$H$501=K223))&gt;0)</f>
        <v/>
      </c>
      <c r="S223">
        <f>IF(K223="","",IF(AND(Q223,R223),IF(O223=P223,"Match","Qty Different"),IF(Q223,"Only in List 1","Only in List 2")))</f>
        <v/>
      </c>
      <c r="T223">
        <f>IF(K223="","",IF(ISNUMBER(--L223),TEXT(--L223,"000000000000.000"),LOWER(L223)))</f>
        <v/>
      </c>
      <c r="U223">
        <f>IF(K223="","",IF(ISNUMBER(--M223),TEXT(--M223,"000000000000.000"),LOWER(M223)))</f>
        <v/>
      </c>
      <c r="V223">
        <f>IF(K223="","",LOWER(N223))</f>
        <v/>
      </c>
      <c r="W223">
        <f>IF(K223="","",B223)</f>
        <v/>
      </c>
      <c r="X223">
        <f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>
      <c r="A224">
        <f>IF(TRIM('List 1'!A224&amp;'List 1'!C224&amp;'List 1'!D224)="","",LOWER(TRIM('List 1'!A224)&amp;"|"&amp;TRIM('List 1'!C224)&amp;"|"&amp;TRIM('List 1'!D224)))</f>
        <v/>
      </c>
      <c r="B224">
        <f>IF(A224="","",SUMPRODUCT(--($A$2:A224=A224)))</f>
        <v/>
      </c>
      <c r="C224">
        <f>IF(A224="","",A224&amp;"#"&amp;B224)</f>
        <v/>
      </c>
      <c r="D224">
        <f>IF(A224="","",IFERROR(--'List 1'!B224,0))</f>
        <v/>
      </c>
      <c r="F224">
        <f>IF(TRIM('List 2'!A224&amp;'List 2'!C224&amp;'List 2'!D224)="","",LOWER(TRIM('List 2'!A224)&amp;"|"&amp;TRIM('List 2'!C224)&amp;"|"&amp;TRIM('List 2'!D224)))</f>
        <v/>
      </c>
      <c r="G224">
        <f>IF(F224="","",SUMPRODUCT(--($F$2:F224=F224)))</f>
        <v/>
      </c>
      <c r="H224">
        <f>IF(F224="","",F224&amp;"#"&amp;G224)</f>
        <v/>
      </c>
      <c r="I224">
        <f>IF(F224="","",IFERROR(--'List 2'!B224,0))</f>
        <v/>
      </c>
      <c r="K224">
        <f>C224</f>
        <v/>
      </c>
      <c r="L224">
        <f>IF(K224="","",IF(ISNUMBER('List 1'!A224),'List 1'!A224,TRIM('List 1'!A224)))</f>
        <v/>
      </c>
      <c r="M224">
        <f>IF(K224="","",IF(ISNUMBER('List 1'!C224),'List 1'!C224,TRIM('List 1'!C224)))</f>
        <v/>
      </c>
      <c r="N224">
        <f>IF(K224="","",IF(ISNUMBER('List 1'!D224),'List 1'!D224,TRIM('List 1'!D224)))</f>
        <v/>
      </c>
      <c r="O224">
        <f>IF(K224="","",D224)</f>
        <v/>
      </c>
      <c r="P224">
        <f>IF(K224="","",IF(R224,SUMPRODUCT(--($H$2:$H$501=K224),$I$2:$I$501),0))</f>
        <v/>
      </c>
      <c r="Q224">
        <f>IF(K224="","",TRUE)</f>
        <v/>
      </c>
      <c r="R224">
        <f>IF(K224="","",SUMPRODUCT(--($H$2:$H$501=K224))&gt;0)</f>
        <v/>
      </c>
      <c r="S224">
        <f>IF(K224="","",IF(AND(Q224,R224),IF(O224=P224,"Match","Qty Different"),IF(Q224,"Only in List 1","Only in List 2")))</f>
        <v/>
      </c>
      <c r="T224">
        <f>IF(K224="","",IF(ISNUMBER(--L224),TEXT(--L224,"000000000000.000"),LOWER(L224)))</f>
        <v/>
      </c>
      <c r="U224">
        <f>IF(K224="","",IF(ISNUMBER(--M224),TEXT(--M224,"000000000000.000"),LOWER(M224)))</f>
        <v/>
      </c>
      <c r="V224">
        <f>IF(K224="","",LOWER(N224))</f>
        <v/>
      </c>
      <c r="W224">
        <f>IF(K224="","",B224)</f>
        <v/>
      </c>
      <c r="X224">
        <f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>
      <c r="A225">
        <f>IF(TRIM('List 1'!A225&amp;'List 1'!C225&amp;'List 1'!D225)="","",LOWER(TRIM('List 1'!A225)&amp;"|"&amp;TRIM('List 1'!C225)&amp;"|"&amp;TRIM('List 1'!D225)))</f>
        <v/>
      </c>
      <c r="B225">
        <f>IF(A225="","",SUMPRODUCT(--($A$2:A225=A225)))</f>
        <v/>
      </c>
      <c r="C225">
        <f>IF(A225="","",A225&amp;"#"&amp;B225)</f>
        <v/>
      </c>
      <c r="D225">
        <f>IF(A225="","",IFERROR(--'List 1'!B225,0))</f>
        <v/>
      </c>
      <c r="F225">
        <f>IF(TRIM('List 2'!A225&amp;'List 2'!C225&amp;'List 2'!D225)="","",LOWER(TRIM('List 2'!A225)&amp;"|"&amp;TRIM('List 2'!C225)&amp;"|"&amp;TRIM('List 2'!D225)))</f>
        <v/>
      </c>
      <c r="G225">
        <f>IF(F225="","",SUMPRODUCT(--($F$2:F225=F225)))</f>
        <v/>
      </c>
      <c r="H225">
        <f>IF(F225="","",F225&amp;"#"&amp;G225)</f>
        <v/>
      </c>
      <c r="I225">
        <f>IF(F225="","",IFERROR(--'List 2'!B225,0))</f>
        <v/>
      </c>
      <c r="K225">
        <f>C225</f>
        <v/>
      </c>
      <c r="L225">
        <f>IF(K225="","",IF(ISNUMBER('List 1'!A225),'List 1'!A225,TRIM('List 1'!A225)))</f>
        <v/>
      </c>
      <c r="M225">
        <f>IF(K225="","",IF(ISNUMBER('List 1'!C225),'List 1'!C225,TRIM('List 1'!C225)))</f>
        <v/>
      </c>
      <c r="N225">
        <f>IF(K225="","",IF(ISNUMBER('List 1'!D225),'List 1'!D225,TRIM('List 1'!D225)))</f>
        <v/>
      </c>
      <c r="O225">
        <f>IF(K225="","",D225)</f>
        <v/>
      </c>
      <c r="P225">
        <f>IF(K225="","",IF(R225,SUMPRODUCT(--($H$2:$H$501=K225),$I$2:$I$501),0))</f>
        <v/>
      </c>
      <c r="Q225">
        <f>IF(K225="","",TRUE)</f>
        <v/>
      </c>
      <c r="R225">
        <f>IF(K225="","",SUMPRODUCT(--($H$2:$H$501=K225))&gt;0)</f>
        <v/>
      </c>
      <c r="S225">
        <f>IF(K225="","",IF(AND(Q225,R225),IF(O225=P225,"Match","Qty Different"),IF(Q225,"Only in List 1","Only in List 2")))</f>
        <v/>
      </c>
      <c r="T225">
        <f>IF(K225="","",IF(ISNUMBER(--L225),TEXT(--L225,"000000000000.000"),LOWER(L225)))</f>
        <v/>
      </c>
      <c r="U225">
        <f>IF(K225="","",IF(ISNUMBER(--M225),TEXT(--M225,"000000000000.000"),LOWER(M225)))</f>
        <v/>
      </c>
      <c r="V225">
        <f>IF(K225="","",LOWER(N225))</f>
        <v/>
      </c>
      <c r="W225">
        <f>IF(K225="","",B225)</f>
        <v/>
      </c>
      <c r="X225">
        <f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>
      <c r="A226">
        <f>IF(TRIM('List 1'!A226&amp;'List 1'!C226&amp;'List 1'!D226)="","",LOWER(TRIM('List 1'!A226)&amp;"|"&amp;TRIM('List 1'!C226)&amp;"|"&amp;TRIM('List 1'!D226)))</f>
        <v/>
      </c>
      <c r="B226">
        <f>IF(A226="","",SUMPRODUCT(--($A$2:A226=A226)))</f>
        <v/>
      </c>
      <c r="C226">
        <f>IF(A226="","",A226&amp;"#"&amp;B226)</f>
        <v/>
      </c>
      <c r="D226">
        <f>IF(A226="","",IFERROR(--'List 1'!B226,0))</f>
        <v/>
      </c>
      <c r="F226">
        <f>IF(TRIM('List 2'!A226&amp;'List 2'!C226&amp;'List 2'!D226)="","",LOWER(TRIM('List 2'!A226)&amp;"|"&amp;TRIM('List 2'!C226)&amp;"|"&amp;TRIM('List 2'!D226)))</f>
        <v/>
      </c>
      <c r="G226">
        <f>IF(F226="","",SUMPRODUCT(--($F$2:F226=F226)))</f>
        <v/>
      </c>
      <c r="H226">
        <f>IF(F226="","",F226&amp;"#"&amp;G226)</f>
        <v/>
      </c>
      <c r="I226">
        <f>IF(F226="","",IFERROR(--'List 2'!B226,0))</f>
        <v/>
      </c>
      <c r="K226">
        <f>C226</f>
        <v/>
      </c>
      <c r="L226">
        <f>IF(K226="","",IF(ISNUMBER('List 1'!A226),'List 1'!A226,TRIM('List 1'!A226)))</f>
        <v/>
      </c>
      <c r="M226">
        <f>IF(K226="","",IF(ISNUMBER('List 1'!C226),'List 1'!C226,TRIM('List 1'!C226)))</f>
        <v/>
      </c>
      <c r="N226">
        <f>IF(K226="","",IF(ISNUMBER('List 1'!D226),'List 1'!D226,TRIM('List 1'!D226)))</f>
        <v/>
      </c>
      <c r="O226">
        <f>IF(K226="","",D226)</f>
        <v/>
      </c>
      <c r="P226">
        <f>IF(K226="","",IF(R226,SUMPRODUCT(--($H$2:$H$501=K226),$I$2:$I$501),0))</f>
        <v/>
      </c>
      <c r="Q226">
        <f>IF(K226="","",TRUE)</f>
        <v/>
      </c>
      <c r="R226">
        <f>IF(K226="","",SUMPRODUCT(--($H$2:$H$501=K226))&gt;0)</f>
        <v/>
      </c>
      <c r="S226">
        <f>IF(K226="","",IF(AND(Q226,R226),IF(O226=P226,"Match","Qty Different"),IF(Q226,"Only in List 1","Only in List 2")))</f>
        <v/>
      </c>
      <c r="T226">
        <f>IF(K226="","",IF(ISNUMBER(--L226),TEXT(--L226,"000000000000.000"),LOWER(L226)))</f>
        <v/>
      </c>
      <c r="U226">
        <f>IF(K226="","",IF(ISNUMBER(--M226),TEXT(--M226,"000000000000.000"),LOWER(M226)))</f>
        <v/>
      </c>
      <c r="V226">
        <f>IF(K226="","",LOWER(N226))</f>
        <v/>
      </c>
      <c r="W226">
        <f>IF(K226="","",B226)</f>
        <v/>
      </c>
      <c r="X226">
        <f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>
      <c r="A227">
        <f>IF(TRIM('List 1'!A227&amp;'List 1'!C227&amp;'List 1'!D227)="","",LOWER(TRIM('List 1'!A227)&amp;"|"&amp;TRIM('List 1'!C227)&amp;"|"&amp;TRIM('List 1'!D227)))</f>
        <v/>
      </c>
      <c r="B227">
        <f>IF(A227="","",SUMPRODUCT(--($A$2:A227=A227)))</f>
        <v/>
      </c>
      <c r="C227">
        <f>IF(A227="","",A227&amp;"#"&amp;B227)</f>
        <v/>
      </c>
      <c r="D227">
        <f>IF(A227="","",IFERROR(--'List 1'!B227,0))</f>
        <v/>
      </c>
      <c r="F227">
        <f>IF(TRIM('List 2'!A227&amp;'List 2'!C227&amp;'List 2'!D227)="","",LOWER(TRIM('List 2'!A227)&amp;"|"&amp;TRIM('List 2'!C227)&amp;"|"&amp;TRIM('List 2'!D227)))</f>
        <v/>
      </c>
      <c r="G227">
        <f>IF(F227="","",SUMPRODUCT(--($F$2:F227=F227)))</f>
        <v/>
      </c>
      <c r="H227">
        <f>IF(F227="","",F227&amp;"#"&amp;G227)</f>
        <v/>
      </c>
      <c r="I227">
        <f>IF(F227="","",IFERROR(--'List 2'!B227,0))</f>
        <v/>
      </c>
      <c r="K227">
        <f>C227</f>
        <v/>
      </c>
      <c r="L227">
        <f>IF(K227="","",IF(ISNUMBER('List 1'!A227),'List 1'!A227,TRIM('List 1'!A227)))</f>
        <v/>
      </c>
      <c r="M227">
        <f>IF(K227="","",IF(ISNUMBER('List 1'!C227),'List 1'!C227,TRIM('List 1'!C227)))</f>
        <v/>
      </c>
      <c r="N227">
        <f>IF(K227="","",IF(ISNUMBER('List 1'!D227),'List 1'!D227,TRIM('List 1'!D227)))</f>
        <v/>
      </c>
      <c r="O227">
        <f>IF(K227="","",D227)</f>
        <v/>
      </c>
      <c r="P227">
        <f>IF(K227="","",IF(R227,SUMPRODUCT(--($H$2:$H$501=K227),$I$2:$I$501),0))</f>
        <v/>
      </c>
      <c r="Q227">
        <f>IF(K227="","",TRUE)</f>
        <v/>
      </c>
      <c r="R227">
        <f>IF(K227="","",SUMPRODUCT(--($H$2:$H$501=K227))&gt;0)</f>
        <v/>
      </c>
      <c r="S227">
        <f>IF(K227="","",IF(AND(Q227,R227),IF(O227=P227,"Match","Qty Different"),IF(Q227,"Only in List 1","Only in List 2")))</f>
        <v/>
      </c>
      <c r="T227">
        <f>IF(K227="","",IF(ISNUMBER(--L227),TEXT(--L227,"000000000000.000"),LOWER(L227)))</f>
        <v/>
      </c>
      <c r="U227">
        <f>IF(K227="","",IF(ISNUMBER(--M227),TEXT(--M227,"000000000000.000"),LOWER(M227)))</f>
        <v/>
      </c>
      <c r="V227">
        <f>IF(K227="","",LOWER(N227))</f>
        <v/>
      </c>
      <c r="W227">
        <f>IF(K227="","",B227)</f>
        <v/>
      </c>
      <c r="X227">
        <f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>
      <c r="A228">
        <f>IF(TRIM('List 1'!A228&amp;'List 1'!C228&amp;'List 1'!D228)="","",LOWER(TRIM('List 1'!A228)&amp;"|"&amp;TRIM('List 1'!C228)&amp;"|"&amp;TRIM('List 1'!D228)))</f>
        <v/>
      </c>
      <c r="B228">
        <f>IF(A228="","",SUMPRODUCT(--($A$2:A228=A228)))</f>
        <v/>
      </c>
      <c r="C228">
        <f>IF(A228="","",A228&amp;"#"&amp;B228)</f>
        <v/>
      </c>
      <c r="D228">
        <f>IF(A228="","",IFERROR(--'List 1'!B228,0))</f>
        <v/>
      </c>
      <c r="F228">
        <f>IF(TRIM('List 2'!A228&amp;'List 2'!C228&amp;'List 2'!D228)="","",LOWER(TRIM('List 2'!A228)&amp;"|"&amp;TRIM('List 2'!C228)&amp;"|"&amp;TRIM('List 2'!D228)))</f>
        <v/>
      </c>
      <c r="G228">
        <f>IF(F228="","",SUMPRODUCT(--($F$2:F228=F228)))</f>
        <v/>
      </c>
      <c r="H228">
        <f>IF(F228="","",F228&amp;"#"&amp;G228)</f>
        <v/>
      </c>
      <c r="I228">
        <f>IF(F228="","",IFERROR(--'List 2'!B228,0))</f>
        <v/>
      </c>
      <c r="K228">
        <f>C228</f>
        <v/>
      </c>
      <c r="L228">
        <f>IF(K228="","",IF(ISNUMBER('List 1'!A228),'List 1'!A228,TRIM('List 1'!A228)))</f>
        <v/>
      </c>
      <c r="M228">
        <f>IF(K228="","",IF(ISNUMBER('List 1'!C228),'List 1'!C228,TRIM('List 1'!C228)))</f>
        <v/>
      </c>
      <c r="N228">
        <f>IF(K228="","",IF(ISNUMBER('List 1'!D228),'List 1'!D228,TRIM('List 1'!D228)))</f>
        <v/>
      </c>
      <c r="O228">
        <f>IF(K228="","",D228)</f>
        <v/>
      </c>
      <c r="P228">
        <f>IF(K228="","",IF(R228,SUMPRODUCT(--($H$2:$H$501=K228),$I$2:$I$501),0))</f>
        <v/>
      </c>
      <c r="Q228">
        <f>IF(K228="","",TRUE)</f>
        <v/>
      </c>
      <c r="R228">
        <f>IF(K228="","",SUMPRODUCT(--($H$2:$H$501=K228))&gt;0)</f>
        <v/>
      </c>
      <c r="S228">
        <f>IF(K228="","",IF(AND(Q228,R228),IF(O228=P228,"Match","Qty Different"),IF(Q228,"Only in List 1","Only in List 2")))</f>
        <v/>
      </c>
      <c r="T228">
        <f>IF(K228="","",IF(ISNUMBER(--L228),TEXT(--L228,"000000000000.000"),LOWER(L228)))</f>
        <v/>
      </c>
      <c r="U228">
        <f>IF(K228="","",IF(ISNUMBER(--M228),TEXT(--M228,"000000000000.000"),LOWER(M228)))</f>
        <v/>
      </c>
      <c r="V228">
        <f>IF(K228="","",LOWER(N228))</f>
        <v/>
      </c>
      <c r="W228">
        <f>IF(K228="","",B228)</f>
        <v/>
      </c>
      <c r="X228">
        <f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>
      <c r="A229">
        <f>IF(TRIM('List 1'!A229&amp;'List 1'!C229&amp;'List 1'!D229)="","",LOWER(TRIM('List 1'!A229)&amp;"|"&amp;TRIM('List 1'!C229)&amp;"|"&amp;TRIM('List 1'!D229)))</f>
        <v/>
      </c>
      <c r="B229">
        <f>IF(A229="","",SUMPRODUCT(--($A$2:A229=A229)))</f>
        <v/>
      </c>
      <c r="C229">
        <f>IF(A229="","",A229&amp;"#"&amp;B229)</f>
        <v/>
      </c>
      <c r="D229">
        <f>IF(A229="","",IFERROR(--'List 1'!B229,0))</f>
        <v/>
      </c>
      <c r="F229">
        <f>IF(TRIM('List 2'!A229&amp;'List 2'!C229&amp;'List 2'!D229)="","",LOWER(TRIM('List 2'!A229)&amp;"|"&amp;TRIM('List 2'!C229)&amp;"|"&amp;TRIM('List 2'!D229)))</f>
        <v/>
      </c>
      <c r="G229">
        <f>IF(F229="","",SUMPRODUCT(--($F$2:F229=F229)))</f>
        <v/>
      </c>
      <c r="H229">
        <f>IF(F229="","",F229&amp;"#"&amp;G229)</f>
        <v/>
      </c>
      <c r="I229">
        <f>IF(F229="","",IFERROR(--'List 2'!B229,0))</f>
        <v/>
      </c>
      <c r="K229">
        <f>C229</f>
        <v/>
      </c>
      <c r="L229">
        <f>IF(K229="","",IF(ISNUMBER('List 1'!A229),'List 1'!A229,TRIM('List 1'!A229)))</f>
        <v/>
      </c>
      <c r="M229">
        <f>IF(K229="","",IF(ISNUMBER('List 1'!C229),'List 1'!C229,TRIM('List 1'!C229)))</f>
        <v/>
      </c>
      <c r="N229">
        <f>IF(K229="","",IF(ISNUMBER('List 1'!D229),'List 1'!D229,TRIM('List 1'!D229)))</f>
        <v/>
      </c>
      <c r="O229">
        <f>IF(K229="","",D229)</f>
        <v/>
      </c>
      <c r="P229">
        <f>IF(K229="","",IF(R229,SUMPRODUCT(--($H$2:$H$501=K229),$I$2:$I$501),0))</f>
        <v/>
      </c>
      <c r="Q229">
        <f>IF(K229="","",TRUE)</f>
        <v/>
      </c>
      <c r="R229">
        <f>IF(K229="","",SUMPRODUCT(--($H$2:$H$501=K229))&gt;0)</f>
        <v/>
      </c>
      <c r="S229">
        <f>IF(K229="","",IF(AND(Q229,R229),IF(O229=P229,"Match","Qty Different"),IF(Q229,"Only in List 1","Only in List 2")))</f>
        <v/>
      </c>
      <c r="T229">
        <f>IF(K229="","",IF(ISNUMBER(--L229),TEXT(--L229,"000000000000.000"),LOWER(L229)))</f>
        <v/>
      </c>
      <c r="U229">
        <f>IF(K229="","",IF(ISNUMBER(--M229),TEXT(--M229,"000000000000.000"),LOWER(M229)))</f>
        <v/>
      </c>
      <c r="V229">
        <f>IF(K229="","",LOWER(N229))</f>
        <v/>
      </c>
      <c r="W229">
        <f>IF(K229="","",B229)</f>
        <v/>
      </c>
      <c r="X229">
        <f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>
      <c r="A230">
        <f>IF(TRIM('List 1'!A230&amp;'List 1'!C230&amp;'List 1'!D230)="","",LOWER(TRIM('List 1'!A230)&amp;"|"&amp;TRIM('List 1'!C230)&amp;"|"&amp;TRIM('List 1'!D230)))</f>
        <v/>
      </c>
      <c r="B230">
        <f>IF(A230="","",SUMPRODUCT(--($A$2:A230=A230)))</f>
        <v/>
      </c>
      <c r="C230">
        <f>IF(A230="","",A230&amp;"#"&amp;B230)</f>
        <v/>
      </c>
      <c r="D230">
        <f>IF(A230="","",IFERROR(--'List 1'!B230,0))</f>
        <v/>
      </c>
      <c r="F230">
        <f>IF(TRIM('List 2'!A230&amp;'List 2'!C230&amp;'List 2'!D230)="","",LOWER(TRIM('List 2'!A230)&amp;"|"&amp;TRIM('List 2'!C230)&amp;"|"&amp;TRIM('List 2'!D230)))</f>
        <v/>
      </c>
      <c r="G230">
        <f>IF(F230="","",SUMPRODUCT(--($F$2:F230=F230)))</f>
        <v/>
      </c>
      <c r="H230">
        <f>IF(F230="","",F230&amp;"#"&amp;G230)</f>
        <v/>
      </c>
      <c r="I230">
        <f>IF(F230="","",IFERROR(--'List 2'!B230,0))</f>
        <v/>
      </c>
      <c r="K230">
        <f>C230</f>
        <v/>
      </c>
      <c r="L230">
        <f>IF(K230="","",IF(ISNUMBER('List 1'!A230),'List 1'!A230,TRIM('List 1'!A230)))</f>
        <v/>
      </c>
      <c r="M230">
        <f>IF(K230="","",IF(ISNUMBER('List 1'!C230),'List 1'!C230,TRIM('List 1'!C230)))</f>
        <v/>
      </c>
      <c r="N230">
        <f>IF(K230="","",IF(ISNUMBER('List 1'!D230),'List 1'!D230,TRIM('List 1'!D230)))</f>
        <v/>
      </c>
      <c r="O230">
        <f>IF(K230="","",D230)</f>
        <v/>
      </c>
      <c r="P230">
        <f>IF(K230="","",IF(R230,SUMPRODUCT(--($H$2:$H$501=K230),$I$2:$I$501),0))</f>
        <v/>
      </c>
      <c r="Q230">
        <f>IF(K230="","",TRUE)</f>
        <v/>
      </c>
      <c r="R230">
        <f>IF(K230="","",SUMPRODUCT(--($H$2:$H$501=K230))&gt;0)</f>
        <v/>
      </c>
      <c r="S230">
        <f>IF(K230="","",IF(AND(Q230,R230),IF(O230=P230,"Match","Qty Different"),IF(Q230,"Only in List 1","Only in List 2")))</f>
        <v/>
      </c>
      <c r="T230">
        <f>IF(K230="","",IF(ISNUMBER(--L230),TEXT(--L230,"000000000000.000"),LOWER(L230)))</f>
        <v/>
      </c>
      <c r="U230">
        <f>IF(K230="","",IF(ISNUMBER(--M230),TEXT(--M230,"000000000000.000"),LOWER(M230)))</f>
        <v/>
      </c>
      <c r="V230">
        <f>IF(K230="","",LOWER(N230))</f>
        <v/>
      </c>
      <c r="W230">
        <f>IF(K230="","",B230)</f>
        <v/>
      </c>
      <c r="X230">
        <f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>
      <c r="A231">
        <f>IF(TRIM('List 1'!A231&amp;'List 1'!C231&amp;'List 1'!D231)="","",LOWER(TRIM('List 1'!A231)&amp;"|"&amp;TRIM('List 1'!C231)&amp;"|"&amp;TRIM('List 1'!D231)))</f>
        <v/>
      </c>
      <c r="B231">
        <f>IF(A231="","",SUMPRODUCT(--($A$2:A231=A231)))</f>
        <v/>
      </c>
      <c r="C231">
        <f>IF(A231="","",A231&amp;"#"&amp;B231)</f>
        <v/>
      </c>
      <c r="D231">
        <f>IF(A231="","",IFERROR(--'List 1'!B231,0))</f>
        <v/>
      </c>
      <c r="F231">
        <f>IF(TRIM('List 2'!A231&amp;'List 2'!C231&amp;'List 2'!D231)="","",LOWER(TRIM('List 2'!A231)&amp;"|"&amp;TRIM('List 2'!C231)&amp;"|"&amp;TRIM('List 2'!D231)))</f>
        <v/>
      </c>
      <c r="G231">
        <f>IF(F231="","",SUMPRODUCT(--($F$2:F231=F231)))</f>
        <v/>
      </c>
      <c r="H231">
        <f>IF(F231="","",F231&amp;"#"&amp;G231)</f>
        <v/>
      </c>
      <c r="I231">
        <f>IF(F231="","",IFERROR(--'List 2'!B231,0))</f>
        <v/>
      </c>
      <c r="K231">
        <f>C231</f>
        <v/>
      </c>
      <c r="L231">
        <f>IF(K231="","",IF(ISNUMBER('List 1'!A231),'List 1'!A231,TRIM('List 1'!A231)))</f>
        <v/>
      </c>
      <c r="M231">
        <f>IF(K231="","",IF(ISNUMBER('List 1'!C231),'List 1'!C231,TRIM('List 1'!C231)))</f>
        <v/>
      </c>
      <c r="N231">
        <f>IF(K231="","",IF(ISNUMBER('List 1'!D231),'List 1'!D231,TRIM('List 1'!D231)))</f>
        <v/>
      </c>
      <c r="O231">
        <f>IF(K231="","",D231)</f>
        <v/>
      </c>
      <c r="P231">
        <f>IF(K231="","",IF(R231,SUMPRODUCT(--($H$2:$H$501=K231),$I$2:$I$501),0))</f>
        <v/>
      </c>
      <c r="Q231">
        <f>IF(K231="","",TRUE)</f>
        <v/>
      </c>
      <c r="R231">
        <f>IF(K231="","",SUMPRODUCT(--($H$2:$H$501=K231))&gt;0)</f>
        <v/>
      </c>
      <c r="S231">
        <f>IF(K231="","",IF(AND(Q231,R231),IF(O231=P231,"Match","Qty Different"),IF(Q231,"Only in List 1","Only in List 2")))</f>
        <v/>
      </c>
      <c r="T231">
        <f>IF(K231="","",IF(ISNUMBER(--L231),TEXT(--L231,"000000000000.000"),LOWER(L231)))</f>
        <v/>
      </c>
      <c r="U231">
        <f>IF(K231="","",IF(ISNUMBER(--M231),TEXT(--M231,"000000000000.000"),LOWER(M231)))</f>
        <v/>
      </c>
      <c r="V231">
        <f>IF(K231="","",LOWER(N231))</f>
        <v/>
      </c>
      <c r="W231">
        <f>IF(K231="","",B231)</f>
        <v/>
      </c>
      <c r="X231">
        <f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>
      <c r="A232">
        <f>IF(TRIM('List 1'!A232&amp;'List 1'!C232&amp;'List 1'!D232)="","",LOWER(TRIM('List 1'!A232)&amp;"|"&amp;TRIM('List 1'!C232)&amp;"|"&amp;TRIM('List 1'!D232)))</f>
        <v/>
      </c>
      <c r="B232">
        <f>IF(A232="","",SUMPRODUCT(--($A$2:A232=A232)))</f>
        <v/>
      </c>
      <c r="C232">
        <f>IF(A232="","",A232&amp;"#"&amp;B232)</f>
        <v/>
      </c>
      <c r="D232">
        <f>IF(A232="","",IFERROR(--'List 1'!B232,0))</f>
        <v/>
      </c>
      <c r="F232">
        <f>IF(TRIM('List 2'!A232&amp;'List 2'!C232&amp;'List 2'!D232)="","",LOWER(TRIM('List 2'!A232)&amp;"|"&amp;TRIM('List 2'!C232)&amp;"|"&amp;TRIM('List 2'!D232)))</f>
        <v/>
      </c>
      <c r="G232">
        <f>IF(F232="","",SUMPRODUCT(--($F$2:F232=F232)))</f>
        <v/>
      </c>
      <c r="H232">
        <f>IF(F232="","",F232&amp;"#"&amp;G232)</f>
        <v/>
      </c>
      <c r="I232">
        <f>IF(F232="","",IFERROR(--'List 2'!B232,0))</f>
        <v/>
      </c>
      <c r="K232">
        <f>C232</f>
        <v/>
      </c>
      <c r="L232">
        <f>IF(K232="","",IF(ISNUMBER('List 1'!A232),'List 1'!A232,TRIM('List 1'!A232)))</f>
        <v/>
      </c>
      <c r="M232">
        <f>IF(K232="","",IF(ISNUMBER('List 1'!C232),'List 1'!C232,TRIM('List 1'!C232)))</f>
        <v/>
      </c>
      <c r="N232">
        <f>IF(K232="","",IF(ISNUMBER('List 1'!D232),'List 1'!D232,TRIM('List 1'!D232)))</f>
        <v/>
      </c>
      <c r="O232">
        <f>IF(K232="","",D232)</f>
        <v/>
      </c>
      <c r="P232">
        <f>IF(K232="","",IF(R232,SUMPRODUCT(--($H$2:$H$501=K232),$I$2:$I$501),0))</f>
        <v/>
      </c>
      <c r="Q232">
        <f>IF(K232="","",TRUE)</f>
        <v/>
      </c>
      <c r="R232">
        <f>IF(K232="","",SUMPRODUCT(--($H$2:$H$501=K232))&gt;0)</f>
        <v/>
      </c>
      <c r="S232">
        <f>IF(K232="","",IF(AND(Q232,R232),IF(O232=P232,"Match","Qty Different"),IF(Q232,"Only in List 1","Only in List 2")))</f>
        <v/>
      </c>
      <c r="T232">
        <f>IF(K232="","",IF(ISNUMBER(--L232),TEXT(--L232,"000000000000.000"),LOWER(L232)))</f>
        <v/>
      </c>
      <c r="U232">
        <f>IF(K232="","",IF(ISNUMBER(--M232),TEXT(--M232,"000000000000.000"),LOWER(M232)))</f>
        <v/>
      </c>
      <c r="V232">
        <f>IF(K232="","",LOWER(N232))</f>
        <v/>
      </c>
      <c r="W232">
        <f>IF(K232="","",B232)</f>
        <v/>
      </c>
      <c r="X232">
        <f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>
      <c r="A233">
        <f>IF(TRIM('List 1'!A233&amp;'List 1'!C233&amp;'List 1'!D233)="","",LOWER(TRIM('List 1'!A233)&amp;"|"&amp;TRIM('List 1'!C233)&amp;"|"&amp;TRIM('List 1'!D233)))</f>
        <v/>
      </c>
      <c r="B233">
        <f>IF(A233="","",SUMPRODUCT(--($A$2:A233=A233)))</f>
        <v/>
      </c>
      <c r="C233">
        <f>IF(A233="","",A233&amp;"#"&amp;B233)</f>
        <v/>
      </c>
      <c r="D233">
        <f>IF(A233="","",IFERROR(--'List 1'!B233,0))</f>
        <v/>
      </c>
      <c r="F233">
        <f>IF(TRIM('List 2'!A233&amp;'List 2'!C233&amp;'List 2'!D233)="","",LOWER(TRIM('List 2'!A233)&amp;"|"&amp;TRIM('List 2'!C233)&amp;"|"&amp;TRIM('List 2'!D233)))</f>
        <v/>
      </c>
      <c r="G233">
        <f>IF(F233="","",SUMPRODUCT(--($F$2:F233=F233)))</f>
        <v/>
      </c>
      <c r="H233">
        <f>IF(F233="","",F233&amp;"#"&amp;G233)</f>
        <v/>
      </c>
      <c r="I233">
        <f>IF(F233="","",IFERROR(--'List 2'!B233,0))</f>
        <v/>
      </c>
      <c r="K233">
        <f>C233</f>
        <v/>
      </c>
      <c r="L233">
        <f>IF(K233="","",IF(ISNUMBER('List 1'!A233),'List 1'!A233,TRIM('List 1'!A233)))</f>
        <v/>
      </c>
      <c r="M233">
        <f>IF(K233="","",IF(ISNUMBER('List 1'!C233),'List 1'!C233,TRIM('List 1'!C233)))</f>
        <v/>
      </c>
      <c r="N233">
        <f>IF(K233="","",IF(ISNUMBER('List 1'!D233),'List 1'!D233,TRIM('List 1'!D233)))</f>
        <v/>
      </c>
      <c r="O233">
        <f>IF(K233="","",D233)</f>
        <v/>
      </c>
      <c r="P233">
        <f>IF(K233="","",IF(R233,SUMPRODUCT(--($H$2:$H$501=K233),$I$2:$I$501),0))</f>
        <v/>
      </c>
      <c r="Q233">
        <f>IF(K233="","",TRUE)</f>
        <v/>
      </c>
      <c r="R233">
        <f>IF(K233="","",SUMPRODUCT(--($H$2:$H$501=K233))&gt;0)</f>
        <v/>
      </c>
      <c r="S233">
        <f>IF(K233="","",IF(AND(Q233,R233),IF(O233=P233,"Match","Qty Different"),IF(Q233,"Only in List 1","Only in List 2")))</f>
        <v/>
      </c>
      <c r="T233">
        <f>IF(K233="","",IF(ISNUMBER(--L233),TEXT(--L233,"000000000000.000"),LOWER(L233)))</f>
        <v/>
      </c>
      <c r="U233">
        <f>IF(K233="","",IF(ISNUMBER(--M233),TEXT(--M233,"000000000000.000"),LOWER(M233)))</f>
        <v/>
      </c>
      <c r="V233">
        <f>IF(K233="","",LOWER(N233))</f>
        <v/>
      </c>
      <c r="W233">
        <f>IF(K233="","",B233)</f>
        <v/>
      </c>
      <c r="X233">
        <f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>
      <c r="A234">
        <f>IF(TRIM('List 1'!A234&amp;'List 1'!C234&amp;'List 1'!D234)="","",LOWER(TRIM('List 1'!A234)&amp;"|"&amp;TRIM('List 1'!C234)&amp;"|"&amp;TRIM('List 1'!D234)))</f>
        <v/>
      </c>
      <c r="B234">
        <f>IF(A234="","",SUMPRODUCT(--($A$2:A234=A234)))</f>
        <v/>
      </c>
      <c r="C234">
        <f>IF(A234="","",A234&amp;"#"&amp;B234)</f>
        <v/>
      </c>
      <c r="D234">
        <f>IF(A234="","",IFERROR(--'List 1'!B234,0))</f>
        <v/>
      </c>
      <c r="F234">
        <f>IF(TRIM('List 2'!A234&amp;'List 2'!C234&amp;'List 2'!D234)="","",LOWER(TRIM('List 2'!A234)&amp;"|"&amp;TRIM('List 2'!C234)&amp;"|"&amp;TRIM('List 2'!D234)))</f>
        <v/>
      </c>
      <c r="G234">
        <f>IF(F234="","",SUMPRODUCT(--($F$2:F234=F234)))</f>
        <v/>
      </c>
      <c r="H234">
        <f>IF(F234="","",F234&amp;"#"&amp;G234)</f>
        <v/>
      </c>
      <c r="I234">
        <f>IF(F234="","",IFERROR(--'List 2'!B234,0))</f>
        <v/>
      </c>
      <c r="K234">
        <f>C234</f>
        <v/>
      </c>
      <c r="L234">
        <f>IF(K234="","",IF(ISNUMBER('List 1'!A234),'List 1'!A234,TRIM('List 1'!A234)))</f>
        <v/>
      </c>
      <c r="M234">
        <f>IF(K234="","",IF(ISNUMBER('List 1'!C234),'List 1'!C234,TRIM('List 1'!C234)))</f>
        <v/>
      </c>
      <c r="N234">
        <f>IF(K234="","",IF(ISNUMBER('List 1'!D234),'List 1'!D234,TRIM('List 1'!D234)))</f>
        <v/>
      </c>
      <c r="O234">
        <f>IF(K234="","",D234)</f>
        <v/>
      </c>
      <c r="P234">
        <f>IF(K234="","",IF(R234,SUMPRODUCT(--($H$2:$H$501=K234),$I$2:$I$501),0))</f>
        <v/>
      </c>
      <c r="Q234">
        <f>IF(K234="","",TRUE)</f>
        <v/>
      </c>
      <c r="R234">
        <f>IF(K234="","",SUMPRODUCT(--($H$2:$H$501=K234))&gt;0)</f>
        <v/>
      </c>
      <c r="S234">
        <f>IF(K234="","",IF(AND(Q234,R234),IF(O234=P234,"Match","Qty Different"),IF(Q234,"Only in List 1","Only in List 2")))</f>
        <v/>
      </c>
      <c r="T234">
        <f>IF(K234="","",IF(ISNUMBER(--L234),TEXT(--L234,"000000000000.000"),LOWER(L234)))</f>
        <v/>
      </c>
      <c r="U234">
        <f>IF(K234="","",IF(ISNUMBER(--M234),TEXT(--M234,"000000000000.000"),LOWER(M234)))</f>
        <v/>
      </c>
      <c r="V234">
        <f>IF(K234="","",LOWER(N234))</f>
        <v/>
      </c>
      <c r="W234">
        <f>IF(K234="","",B234)</f>
        <v/>
      </c>
      <c r="X234">
        <f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>
      <c r="A235">
        <f>IF(TRIM('List 1'!A235&amp;'List 1'!C235&amp;'List 1'!D235)="","",LOWER(TRIM('List 1'!A235)&amp;"|"&amp;TRIM('List 1'!C235)&amp;"|"&amp;TRIM('List 1'!D235)))</f>
        <v/>
      </c>
      <c r="B235">
        <f>IF(A235="","",SUMPRODUCT(--($A$2:A235=A235)))</f>
        <v/>
      </c>
      <c r="C235">
        <f>IF(A235="","",A235&amp;"#"&amp;B235)</f>
        <v/>
      </c>
      <c r="D235">
        <f>IF(A235="","",IFERROR(--'List 1'!B235,0))</f>
        <v/>
      </c>
      <c r="F235">
        <f>IF(TRIM('List 2'!A235&amp;'List 2'!C235&amp;'List 2'!D235)="","",LOWER(TRIM('List 2'!A235)&amp;"|"&amp;TRIM('List 2'!C235)&amp;"|"&amp;TRIM('List 2'!D235)))</f>
        <v/>
      </c>
      <c r="G235">
        <f>IF(F235="","",SUMPRODUCT(--($F$2:F235=F235)))</f>
        <v/>
      </c>
      <c r="H235">
        <f>IF(F235="","",F235&amp;"#"&amp;G235)</f>
        <v/>
      </c>
      <c r="I235">
        <f>IF(F235="","",IFERROR(--'List 2'!B235,0))</f>
        <v/>
      </c>
      <c r="K235">
        <f>C235</f>
        <v/>
      </c>
      <c r="L235">
        <f>IF(K235="","",IF(ISNUMBER('List 1'!A235),'List 1'!A235,TRIM('List 1'!A235)))</f>
        <v/>
      </c>
      <c r="M235">
        <f>IF(K235="","",IF(ISNUMBER('List 1'!C235),'List 1'!C235,TRIM('List 1'!C235)))</f>
        <v/>
      </c>
      <c r="N235">
        <f>IF(K235="","",IF(ISNUMBER('List 1'!D235),'List 1'!D235,TRIM('List 1'!D235)))</f>
        <v/>
      </c>
      <c r="O235">
        <f>IF(K235="","",D235)</f>
        <v/>
      </c>
      <c r="P235">
        <f>IF(K235="","",IF(R235,SUMPRODUCT(--($H$2:$H$501=K235),$I$2:$I$501),0))</f>
        <v/>
      </c>
      <c r="Q235">
        <f>IF(K235="","",TRUE)</f>
        <v/>
      </c>
      <c r="R235">
        <f>IF(K235="","",SUMPRODUCT(--($H$2:$H$501=K235))&gt;0)</f>
        <v/>
      </c>
      <c r="S235">
        <f>IF(K235="","",IF(AND(Q235,R235),IF(O235=P235,"Match","Qty Different"),IF(Q235,"Only in List 1","Only in List 2")))</f>
        <v/>
      </c>
      <c r="T235">
        <f>IF(K235="","",IF(ISNUMBER(--L235),TEXT(--L235,"000000000000.000"),LOWER(L235)))</f>
        <v/>
      </c>
      <c r="U235">
        <f>IF(K235="","",IF(ISNUMBER(--M235),TEXT(--M235,"000000000000.000"),LOWER(M235)))</f>
        <v/>
      </c>
      <c r="V235">
        <f>IF(K235="","",LOWER(N235))</f>
        <v/>
      </c>
      <c r="W235">
        <f>IF(K235="","",B235)</f>
        <v/>
      </c>
      <c r="X235">
        <f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>
      <c r="A236">
        <f>IF(TRIM('List 1'!A236&amp;'List 1'!C236&amp;'List 1'!D236)="","",LOWER(TRIM('List 1'!A236)&amp;"|"&amp;TRIM('List 1'!C236)&amp;"|"&amp;TRIM('List 1'!D236)))</f>
        <v/>
      </c>
      <c r="B236">
        <f>IF(A236="","",SUMPRODUCT(--($A$2:A236=A236)))</f>
        <v/>
      </c>
      <c r="C236">
        <f>IF(A236="","",A236&amp;"#"&amp;B236)</f>
        <v/>
      </c>
      <c r="D236">
        <f>IF(A236="","",IFERROR(--'List 1'!B236,0))</f>
        <v/>
      </c>
      <c r="F236">
        <f>IF(TRIM('List 2'!A236&amp;'List 2'!C236&amp;'List 2'!D236)="","",LOWER(TRIM('List 2'!A236)&amp;"|"&amp;TRIM('List 2'!C236)&amp;"|"&amp;TRIM('List 2'!D236)))</f>
        <v/>
      </c>
      <c r="G236">
        <f>IF(F236="","",SUMPRODUCT(--($F$2:F236=F236)))</f>
        <v/>
      </c>
      <c r="H236">
        <f>IF(F236="","",F236&amp;"#"&amp;G236)</f>
        <v/>
      </c>
      <c r="I236">
        <f>IF(F236="","",IFERROR(--'List 2'!B236,0))</f>
        <v/>
      </c>
      <c r="K236">
        <f>C236</f>
        <v/>
      </c>
      <c r="L236">
        <f>IF(K236="","",IF(ISNUMBER('List 1'!A236),'List 1'!A236,TRIM('List 1'!A236)))</f>
        <v/>
      </c>
      <c r="M236">
        <f>IF(K236="","",IF(ISNUMBER('List 1'!C236),'List 1'!C236,TRIM('List 1'!C236)))</f>
        <v/>
      </c>
      <c r="N236">
        <f>IF(K236="","",IF(ISNUMBER('List 1'!D236),'List 1'!D236,TRIM('List 1'!D236)))</f>
        <v/>
      </c>
      <c r="O236">
        <f>IF(K236="","",D236)</f>
        <v/>
      </c>
      <c r="P236">
        <f>IF(K236="","",IF(R236,SUMPRODUCT(--($H$2:$H$501=K236),$I$2:$I$501),0))</f>
        <v/>
      </c>
      <c r="Q236">
        <f>IF(K236="","",TRUE)</f>
        <v/>
      </c>
      <c r="R236">
        <f>IF(K236="","",SUMPRODUCT(--($H$2:$H$501=K236))&gt;0)</f>
        <v/>
      </c>
      <c r="S236">
        <f>IF(K236="","",IF(AND(Q236,R236),IF(O236=P236,"Match","Qty Different"),IF(Q236,"Only in List 1","Only in List 2")))</f>
        <v/>
      </c>
      <c r="T236">
        <f>IF(K236="","",IF(ISNUMBER(--L236),TEXT(--L236,"000000000000.000"),LOWER(L236)))</f>
        <v/>
      </c>
      <c r="U236">
        <f>IF(K236="","",IF(ISNUMBER(--M236),TEXT(--M236,"000000000000.000"),LOWER(M236)))</f>
        <v/>
      </c>
      <c r="V236">
        <f>IF(K236="","",LOWER(N236))</f>
        <v/>
      </c>
      <c r="W236">
        <f>IF(K236="","",B236)</f>
        <v/>
      </c>
      <c r="X236">
        <f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>
      <c r="A237">
        <f>IF(TRIM('List 1'!A237&amp;'List 1'!C237&amp;'List 1'!D237)="","",LOWER(TRIM('List 1'!A237)&amp;"|"&amp;TRIM('List 1'!C237)&amp;"|"&amp;TRIM('List 1'!D237)))</f>
        <v/>
      </c>
      <c r="B237">
        <f>IF(A237="","",SUMPRODUCT(--($A$2:A237=A237)))</f>
        <v/>
      </c>
      <c r="C237">
        <f>IF(A237="","",A237&amp;"#"&amp;B237)</f>
        <v/>
      </c>
      <c r="D237">
        <f>IF(A237="","",IFERROR(--'List 1'!B237,0))</f>
        <v/>
      </c>
      <c r="F237">
        <f>IF(TRIM('List 2'!A237&amp;'List 2'!C237&amp;'List 2'!D237)="","",LOWER(TRIM('List 2'!A237)&amp;"|"&amp;TRIM('List 2'!C237)&amp;"|"&amp;TRIM('List 2'!D237)))</f>
        <v/>
      </c>
      <c r="G237">
        <f>IF(F237="","",SUMPRODUCT(--($F$2:F237=F237)))</f>
        <v/>
      </c>
      <c r="H237">
        <f>IF(F237="","",F237&amp;"#"&amp;G237)</f>
        <v/>
      </c>
      <c r="I237">
        <f>IF(F237="","",IFERROR(--'List 2'!B237,0))</f>
        <v/>
      </c>
      <c r="K237">
        <f>C237</f>
        <v/>
      </c>
      <c r="L237">
        <f>IF(K237="","",IF(ISNUMBER('List 1'!A237),'List 1'!A237,TRIM('List 1'!A237)))</f>
        <v/>
      </c>
      <c r="M237">
        <f>IF(K237="","",IF(ISNUMBER('List 1'!C237),'List 1'!C237,TRIM('List 1'!C237)))</f>
        <v/>
      </c>
      <c r="N237">
        <f>IF(K237="","",IF(ISNUMBER('List 1'!D237),'List 1'!D237,TRIM('List 1'!D237)))</f>
        <v/>
      </c>
      <c r="O237">
        <f>IF(K237="","",D237)</f>
        <v/>
      </c>
      <c r="P237">
        <f>IF(K237="","",IF(R237,SUMPRODUCT(--($H$2:$H$501=K237),$I$2:$I$501),0))</f>
        <v/>
      </c>
      <c r="Q237">
        <f>IF(K237="","",TRUE)</f>
        <v/>
      </c>
      <c r="R237">
        <f>IF(K237="","",SUMPRODUCT(--($H$2:$H$501=K237))&gt;0)</f>
        <v/>
      </c>
      <c r="S237">
        <f>IF(K237="","",IF(AND(Q237,R237),IF(O237=P237,"Match","Qty Different"),IF(Q237,"Only in List 1","Only in List 2")))</f>
        <v/>
      </c>
      <c r="T237">
        <f>IF(K237="","",IF(ISNUMBER(--L237),TEXT(--L237,"000000000000.000"),LOWER(L237)))</f>
        <v/>
      </c>
      <c r="U237">
        <f>IF(K237="","",IF(ISNUMBER(--M237),TEXT(--M237,"000000000000.000"),LOWER(M237)))</f>
        <v/>
      </c>
      <c r="V237">
        <f>IF(K237="","",LOWER(N237))</f>
        <v/>
      </c>
      <c r="W237">
        <f>IF(K237="","",B237)</f>
        <v/>
      </c>
      <c r="X237">
        <f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>
      <c r="A238">
        <f>IF(TRIM('List 1'!A238&amp;'List 1'!C238&amp;'List 1'!D238)="","",LOWER(TRIM('List 1'!A238)&amp;"|"&amp;TRIM('List 1'!C238)&amp;"|"&amp;TRIM('List 1'!D238)))</f>
        <v/>
      </c>
      <c r="B238">
        <f>IF(A238="","",SUMPRODUCT(--($A$2:A238=A238)))</f>
        <v/>
      </c>
      <c r="C238">
        <f>IF(A238="","",A238&amp;"#"&amp;B238)</f>
        <v/>
      </c>
      <c r="D238">
        <f>IF(A238="","",IFERROR(--'List 1'!B238,0))</f>
        <v/>
      </c>
      <c r="F238">
        <f>IF(TRIM('List 2'!A238&amp;'List 2'!C238&amp;'List 2'!D238)="","",LOWER(TRIM('List 2'!A238)&amp;"|"&amp;TRIM('List 2'!C238)&amp;"|"&amp;TRIM('List 2'!D238)))</f>
        <v/>
      </c>
      <c r="G238">
        <f>IF(F238="","",SUMPRODUCT(--($F$2:F238=F238)))</f>
        <v/>
      </c>
      <c r="H238">
        <f>IF(F238="","",F238&amp;"#"&amp;G238)</f>
        <v/>
      </c>
      <c r="I238">
        <f>IF(F238="","",IFERROR(--'List 2'!B238,0))</f>
        <v/>
      </c>
      <c r="K238">
        <f>C238</f>
        <v/>
      </c>
      <c r="L238">
        <f>IF(K238="","",IF(ISNUMBER('List 1'!A238),'List 1'!A238,TRIM('List 1'!A238)))</f>
        <v/>
      </c>
      <c r="M238">
        <f>IF(K238="","",IF(ISNUMBER('List 1'!C238),'List 1'!C238,TRIM('List 1'!C238)))</f>
        <v/>
      </c>
      <c r="N238">
        <f>IF(K238="","",IF(ISNUMBER('List 1'!D238),'List 1'!D238,TRIM('List 1'!D238)))</f>
        <v/>
      </c>
      <c r="O238">
        <f>IF(K238="","",D238)</f>
        <v/>
      </c>
      <c r="P238">
        <f>IF(K238="","",IF(R238,SUMPRODUCT(--($H$2:$H$501=K238),$I$2:$I$501),0))</f>
        <v/>
      </c>
      <c r="Q238">
        <f>IF(K238="","",TRUE)</f>
        <v/>
      </c>
      <c r="R238">
        <f>IF(K238="","",SUMPRODUCT(--($H$2:$H$501=K238))&gt;0)</f>
        <v/>
      </c>
      <c r="S238">
        <f>IF(K238="","",IF(AND(Q238,R238),IF(O238=P238,"Match","Qty Different"),IF(Q238,"Only in List 1","Only in List 2")))</f>
        <v/>
      </c>
      <c r="T238">
        <f>IF(K238="","",IF(ISNUMBER(--L238),TEXT(--L238,"000000000000.000"),LOWER(L238)))</f>
        <v/>
      </c>
      <c r="U238">
        <f>IF(K238="","",IF(ISNUMBER(--M238),TEXT(--M238,"000000000000.000"),LOWER(M238)))</f>
        <v/>
      </c>
      <c r="V238">
        <f>IF(K238="","",LOWER(N238))</f>
        <v/>
      </c>
      <c r="W238">
        <f>IF(K238="","",B238)</f>
        <v/>
      </c>
      <c r="X238">
        <f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>
      <c r="A239">
        <f>IF(TRIM('List 1'!A239&amp;'List 1'!C239&amp;'List 1'!D239)="","",LOWER(TRIM('List 1'!A239)&amp;"|"&amp;TRIM('List 1'!C239)&amp;"|"&amp;TRIM('List 1'!D239)))</f>
        <v/>
      </c>
      <c r="B239">
        <f>IF(A239="","",SUMPRODUCT(--($A$2:A239=A239)))</f>
        <v/>
      </c>
      <c r="C239">
        <f>IF(A239="","",A239&amp;"#"&amp;B239)</f>
        <v/>
      </c>
      <c r="D239">
        <f>IF(A239="","",IFERROR(--'List 1'!B239,0))</f>
        <v/>
      </c>
      <c r="F239">
        <f>IF(TRIM('List 2'!A239&amp;'List 2'!C239&amp;'List 2'!D239)="","",LOWER(TRIM('List 2'!A239)&amp;"|"&amp;TRIM('List 2'!C239)&amp;"|"&amp;TRIM('List 2'!D239)))</f>
        <v/>
      </c>
      <c r="G239">
        <f>IF(F239="","",SUMPRODUCT(--($F$2:F239=F239)))</f>
        <v/>
      </c>
      <c r="H239">
        <f>IF(F239="","",F239&amp;"#"&amp;G239)</f>
        <v/>
      </c>
      <c r="I239">
        <f>IF(F239="","",IFERROR(--'List 2'!B239,0))</f>
        <v/>
      </c>
      <c r="K239">
        <f>C239</f>
        <v/>
      </c>
      <c r="L239">
        <f>IF(K239="","",IF(ISNUMBER('List 1'!A239),'List 1'!A239,TRIM('List 1'!A239)))</f>
        <v/>
      </c>
      <c r="M239">
        <f>IF(K239="","",IF(ISNUMBER('List 1'!C239),'List 1'!C239,TRIM('List 1'!C239)))</f>
        <v/>
      </c>
      <c r="N239">
        <f>IF(K239="","",IF(ISNUMBER('List 1'!D239),'List 1'!D239,TRIM('List 1'!D239)))</f>
        <v/>
      </c>
      <c r="O239">
        <f>IF(K239="","",D239)</f>
        <v/>
      </c>
      <c r="P239">
        <f>IF(K239="","",IF(R239,SUMPRODUCT(--($H$2:$H$501=K239),$I$2:$I$501),0))</f>
        <v/>
      </c>
      <c r="Q239">
        <f>IF(K239="","",TRUE)</f>
        <v/>
      </c>
      <c r="R239">
        <f>IF(K239="","",SUMPRODUCT(--($H$2:$H$501=K239))&gt;0)</f>
        <v/>
      </c>
      <c r="S239">
        <f>IF(K239="","",IF(AND(Q239,R239),IF(O239=P239,"Match","Qty Different"),IF(Q239,"Only in List 1","Only in List 2")))</f>
        <v/>
      </c>
      <c r="T239">
        <f>IF(K239="","",IF(ISNUMBER(--L239),TEXT(--L239,"000000000000.000"),LOWER(L239)))</f>
        <v/>
      </c>
      <c r="U239">
        <f>IF(K239="","",IF(ISNUMBER(--M239),TEXT(--M239,"000000000000.000"),LOWER(M239)))</f>
        <v/>
      </c>
      <c r="V239">
        <f>IF(K239="","",LOWER(N239))</f>
        <v/>
      </c>
      <c r="W239">
        <f>IF(K239="","",B239)</f>
        <v/>
      </c>
      <c r="X239">
        <f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>
      <c r="A240">
        <f>IF(TRIM('List 1'!A240&amp;'List 1'!C240&amp;'List 1'!D240)="","",LOWER(TRIM('List 1'!A240)&amp;"|"&amp;TRIM('List 1'!C240)&amp;"|"&amp;TRIM('List 1'!D240)))</f>
        <v/>
      </c>
      <c r="B240">
        <f>IF(A240="","",SUMPRODUCT(--($A$2:A240=A240)))</f>
        <v/>
      </c>
      <c r="C240">
        <f>IF(A240="","",A240&amp;"#"&amp;B240)</f>
        <v/>
      </c>
      <c r="D240">
        <f>IF(A240="","",IFERROR(--'List 1'!B240,0))</f>
        <v/>
      </c>
      <c r="F240">
        <f>IF(TRIM('List 2'!A240&amp;'List 2'!C240&amp;'List 2'!D240)="","",LOWER(TRIM('List 2'!A240)&amp;"|"&amp;TRIM('List 2'!C240)&amp;"|"&amp;TRIM('List 2'!D240)))</f>
        <v/>
      </c>
      <c r="G240">
        <f>IF(F240="","",SUMPRODUCT(--($F$2:F240=F240)))</f>
        <v/>
      </c>
      <c r="H240">
        <f>IF(F240="","",F240&amp;"#"&amp;G240)</f>
        <v/>
      </c>
      <c r="I240">
        <f>IF(F240="","",IFERROR(--'List 2'!B240,0))</f>
        <v/>
      </c>
      <c r="K240">
        <f>C240</f>
        <v/>
      </c>
      <c r="L240">
        <f>IF(K240="","",IF(ISNUMBER('List 1'!A240),'List 1'!A240,TRIM('List 1'!A240)))</f>
        <v/>
      </c>
      <c r="M240">
        <f>IF(K240="","",IF(ISNUMBER('List 1'!C240),'List 1'!C240,TRIM('List 1'!C240)))</f>
        <v/>
      </c>
      <c r="N240">
        <f>IF(K240="","",IF(ISNUMBER('List 1'!D240),'List 1'!D240,TRIM('List 1'!D240)))</f>
        <v/>
      </c>
      <c r="O240">
        <f>IF(K240="","",D240)</f>
        <v/>
      </c>
      <c r="P240">
        <f>IF(K240="","",IF(R240,SUMPRODUCT(--($H$2:$H$501=K240),$I$2:$I$501),0))</f>
        <v/>
      </c>
      <c r="Q240">
        <f>IF(K240="","",TRUE)</f>
        <v/>
      </c>
      <c r="R240">
        <f>IF(K240="","",SUMPRODUCT(--($H$2:$H$501=K240))&gt;0)</f>
        <v/>
      </c>
      <c r="S240">
        <f>IF(K240="","",IF(AND(Q240,R240),IF(O240=P240,"Match","Qty Different"),IF(Q240,"Only in List 1","Only in List 2")))</f>
        <v/>
      </c>
      <c r="T240">
        <f>IF(K240="","",IF(ISNUMBER(--L240),TEXT(--L240,"000000000000.000"),LOWER(L240)))</f>
        <v/>
      </c>
      <c r="U240">
        <f>IF(K240="","",IF(ISNUMBER(--M240),TEXT(--M240,"000000000000.000"),LOWER(M240)))</f>
        <v/>
      </c>
      <c r="V240">
        <f>IF(K240="","",LOWER(N240))</f>
        <v/>
      </c>
      <c r="W240">
        <f>IF(K240="","",B240)</f>
        <v/>
      </c>
      <c r="X240">
        <f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>
      <c r="A241">
        <f>IF(TRIM('List 1'!A241&amp;'List 1'!C241&amp;'List 1'!D241)="","",LOWER(TRIM('List 1'!A241)&amp;"|"&amp;TRIM('List 1'!C241)&amp;"|"&amp;TRIM('List 1'!D241)))</f>
        <v/>
      </c>
      <c r="B241">
        <f>IF(A241="","",SUMPRODUCT(--($A$2:A241=A241)))</f>
        <v/>
      </c>
      <c r="C241">
        <f>IF(A241="","",A241&amp;"#"&amp;B241)</f>
        <v/>
      </c>
      <c r="D241">
        <f>IF(A241="","",IFERROR(--'List 1'!B241,0))</f>
        <v/>
      </c>
      <c r="F241">
        <f>IF(TRIM('List 2'!A241&amp;'List 2'!C241&amp;'List 2'!D241)="","",LOWER(TRIM('List 2'!A241)&amp;"|"&amp;TRIM('List 2'!C241)&amp;"|"&amp;TRIM('List 2'!D241)))</f>
        <v/>
      </c>
      <c r="G241">
        <f>IF(F241="","",SUMPRODUCT(--($F$2:F241=F241)))</f>
        <v/>
      </c>
      <c r="H241">
        <f>IF(F241="","",F241&amp;"#"&amp;G241)</f>
        <v/>
      </c>
      <c r="I241">
        <f>IF(F241="","",IFERROR(--'List 2'!B241,0))</f>
        <v/>
      </c>
      <c r="K241">
        <f>C241</f>
        <v/>
      </c>
      <c r="L241">
        <f>IF(K241="","",IF(ISNUMBER('List 1'!A241),'List 1'!A241,TRIM('List 1'!A241)))</f>
        <v/>
      </c>
      <c r="M241">
        <f>IF(K241="","",IF(ISNUMBER('List 1'!C241),'List 1'!C241,TRIM('List 1'!C241)))</f>
        <v/>
      </c>
      <c r="N241">
        <f>IF(K241="","",IF(ISNUMBER('List 1'!D241),'List 1'!D241,TRIM('List 1'!D241)))</f>
        <v/>
      </c>
      <c r="O241">
        <f>IF(K241="","",D241)</f>
        <v/>
      </c>
      <c r="P241">
        <f>IF(K241="","",IF(R241,SUMPRODUCT(--($H$2:$H$501=K241),$I$2:$I$501),0))</f>
        <v/>
      </c>
      <c r="Q241">
        <f>IF(K241="","",TRUE)</f>
        <v/>
      </c>
      <c r="R241">
        <f>IF(K241="","",SUMPRODUCT(--($H$2:$H$501=K241))&gt;0)</f>
        <v/>
      </c>
      <c r="S241">
        <f>IF(K241="","",IF(AND(Q241,R241),IF(O241=P241,"Match","Qty Different"),IF(Q241,"Only in List 1","Only in List 2")))</f>
        <v/>
      </c>
      <c r="T241">
        <f>IF(K241="","",IF(ISNUMBER(--L241),TEXT(--L241,"000000000000.000"),LOWER(L241)))</f>
        <v/>
      </c>
      <c r="U241">
        <f>IF(K241="","",IF(ISNUMBER(--M241),TEXT(--M241,"000000000000.000"),LOWER(M241)))</f>
        <v/>
      </c>
      <c r="V241">
        <f>IF(K241="","",LOWER(N241))</f>
        <v/>
      </c>
      <c r="W241">
        <f>IF(K241="","",B241)</f>
        <v/>
      </c>
      <c r="X241">
        <f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>
      <c r="A242">
        <f>IF(TRIM('List 1'!A242&amp;'List 1'!C242&amp;'List 1'!D242)="","",LOWER(TRIM('List 1'!A242)&amp;"|"&amp;TRIM('List 1'!C242)&amp;"|"&amp;TRIM('List 1'!D242)))</f>
        <v/>
      </c>
      <c r="B242">
        <f>IF(A242="","",SUMPRODUCT(--($A$2:A242=A242)))</f>
        <v/>
      </c>
      <c r="C242">
        <f>IF(A242="","",A242&amp;"#"&amp;B242)</f>
        <v/>
      </c>
      <c r="D242">
        <f>IF(A242="","",IFERROR(--'List 1'!B242,0))</f>
        <v/>
      </c>
      <c r="F242">
        <f>IF(TRIM('List 2'!A242&amp;'List 2'!C242&amp;'List 2'!D242)="","",LOWER(TRIM('List 2'!A242)&amp;"|"&amp;TRIM('List 2'!C242)&amp;"|"&amp;TRIM('List 2'!D242)))</f>
        <v/>
      </c>
      <c r="G242">
        <f>IF(F242="","",SUMPRODUCT(--($F$2:F242=F242)))</f>
        <v/>
      </c>
      <c r="H242">
        <f>IF(F242="","",F242&amp;"#"&amp;G242)</f>
        <v/>
      </c>
      <c r="I242">
        <f>IF(F242="","",IFERROR(--'List 2'!B242,0))</f>
        <v/>
      </c>
      <c r="K242">
        <f>C242</f>
        <v/>
      </c>
      <c r="L242">
        <f>IF(K242="","",IF(ISNUMBER('List 1'!A242),'List 1'!A242,TRIM('List 1'!A242)))</f>
        <v/>
      </c>
      <c r="M242">
        <f>IF(K242="","",IF(ISNUMBER('List 1'!C242),'List 1'!C242,TRIM('List 1'!C242)))</f>
        <v/>
      </c>
      <c r="N242">
        <f>IF(K242="","",IF(ISNUMBER('List 1'!D242),'List 1'!D242,TRIM('List 1'!D242)))</f>
        <v/>
      </c>
      <c r="O242">
        <f>IF(K242="","",D242)</f>
        <v/>
      </c>
      <c r="P242">
        <f>IF(K242="","",IF(R242,SUMPRODUCT(--($H$2:$H$501=K242),$I$2:$I$501),0))</f>
        <v/>
      </c>
      <c r="Q242">
        <f>IF(K242="","",TRUE)</f>
        <v/>
      </c>
      <c r="R242">
        <f>IF(K242="","",SUMPRODUCT(--($H$2:$H$501=K242))&gt;0)</f>
        <v/>
      </c>
      <c r="S242">
        <f>IF(K242="","",IF(AND(Q242,R242),IF(O242=P242,"Match","Qty Different"),IF(Q242,"Only in List 1","Only in List 2")))</f>
        <v/>
      </c>
      <c r="T242">
        <f>IF(K242="","",IF(ISNUMBER(--L242),TEXT(--L242,"000000000000.000"),LOWER(L242)))</f>
        <v/>
      </c>
      <c r="U242">
        <f>IF(K242="","",IF(ISNUMBER(--M242),TEXT(--M242,"000000000000.000"),LOWER(M242)))</f>
        <v/>
      </c>
      <c r="V242">
        <f>IF(K242="","",LOWER(N242))</f>
        <v/>
      </c>
      <c r="W242">
        <f>IF(K242="","",B242)</f>
        <v/>
      </c>
      <c r="X242">
        <f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>
      <c r="A243">
        <f>IF(TRIM('List 1'!A243&amp;'List 1'!C243&amp;'List 1'!D243)="","",LOWER(TRIM('List 1'!A243)&amp;"|"&amp;TRIM('List 1'!C243)&amp;"|"&amp;TRIM('List 1'!D243)))</f>
        <v/>
      </c>
      <c r="B243">
        <f>IF(A243="","",SUMPRODUCT(--($A$2:A243=A243)))</f>
        <v/>
      </c>
      <c r="C243">
        <f>IF(A243="","",A243&amp;"#"&amp;B243)</f>
        <v/>
      </c>
      <c r="D243">
        <f>IF(A243="","",IFERROR(--'List 1'!B243,0))</f>
        <v/>
      </c>
      <c r="F243">
        <f>IF(TRIM('List 2'!A243&amp;'List 2'!C243&amp;'List 2'!D243)="","",LOWER(TRIM('List 2'!A243)&amp;"|"&amp;TRIM('List 2'!C243)&amp;"|"&amp;TRIM('List 2'!D243)))</f>
        <v/>
      </c>
      <c r="G243">
        <f>IF(F243="","",SUMPRODUCT(--($F$2:F243=F243)))</f>
        <v/>
      </c>
      <c r="H243">
        <f>IF(F243="","",F243&amp;"#"&amp;G243)</f>
        <v/>
      </c>
      <c r="I243">
        <f>IF(F243="","",IFERROR(--'List 2'!B243,0))</f>
        <v/>
      </c>
      <c r="K243">
        <f>C243</f>
        <v/>
      </c>
      <c r="L243">
        <f>IF(K243="","",IF(ISNUMBER('List 1'!A243),'List 1'!A243,TRIM('List 1'!A243)))</f>
        <v/>
      </c>
      <c r="M243">
        <f>IF(K243="","",IF(ISNUMBER('List 1'!C243),'List 1'!C243,TRIM('List 1'!C243)))</f>
        <v/>
      </c>
      <c r="N243">
        <f>IF(K243="","",IF(ISNUMBER('List 1'!D243),'List 1'!D243,TRIM('List 1'!D243)))</f>
        <v/>
      </c>
      <c r="O243">
        <f>IF(K243="","",D243)</f>
        <v/>
      </c>
      <c r="P243">
        <f>IF(K243="","",IF(R243,SUMPRODUCT(--($H$2:$H$501=K243),$I$2:$I$501),0))</f>
        <v/>
      </c>
      <c r="Q243">
        <f>IF(K243="","",TRUE)</f>
        <v/>
      </c>
      <c r="R243">
        <f>IF(K243="","",SUMPRODUCT(--($H$2:$H$501=K243))&gt;0)</f>
        <v/>
      </c>
      <c r="S243">
        <f>IF(K243="","",IF(AND(Q243,R243),IF(O243=P243,"Match","Qty Different"),IF(Q243,"Only in List 1","Only in List 2")))</f>
        <v/>
      </c>
      <c r="T243">
        <f>IF(K243="","",IF(ISNUMBER(--L243),TEXT(--L243,"000000000000.000"),LOWER(L243)))</f>
        <v/>
      </c>
      <c r="U243">
        <f>IF(K243="","",IF(ISNUMBER(--M243),TEXT(--M243,"000000000000.000"),LOWER(M243)))</f>
        <v/>
      </c>
      <c r="V243">
        <f>IF(K243="","",LOWER(N243))</f>
        <v/>
      </c>
      <c r="W243">
        <f>IF(K243="","",B243)</f>
        <v/>
      </c>
      <c r="X243">
        <f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>
      <c r="A244">
        <f>IF(TRIM('List 1'!A244&amp;'List 1'!C244&amp;'List 1'!D244)="","",LOWER(TRIM('List 1'!A244)&amp;"|"&amp;TRIM('List 1'!C244)&amp;"|"&amp;TRIM('List 1'!D244)))</f>
        <v/>
      </c>
      <c r="B244">
        <f>IF(A244="","",SUMPRODUCT(--($A$2:A244=A244)))</f>
        <v/>
      </c>
      <c r="C244">
        <f>IF(A244="","",A244&amp;"#"&amp;B244)</f>
        <v/>
      </c>
      <c r="D244">
        <f>IF(A244="","",IFERROR(--'List 1'!B244,0))</f>
        <v/>
      </c>
      <c r="F244">
        <f>IF(TRIM('List 2'!A244&amp;'List 2'!C244&amp;'List 2'!D244)="","",LOWER(TRIM('List 2'!A244)&amp;"|"&amp;TRIM('List 2'!C244)&amp;"|"&amp;TRIM('List 2'!D244)))</f>
        <v/>
      </c>
      <c r="G244">
        <f>IF(F244="","",SUMPRODUCT(--($F$2:F244=F244)))</f>
        <v/>
      </c>
      <c r="H244">
        <f>IF(F244="","",F244&amp;"#"&amp;G244)</f>
        <v/>
      </c>
      <c r="I244">
        <f>IF(F244="","",IFERROR(--'List 2'!B244,0))</f>
        <v/>
      </c>
      <c r="K244">
        <f>C244</f>
        <v/>
      </c>
      <c r="L244">
        <f>IF(K244="","",IF(ISNUMBER('List 1'!A244),'List 1'!A244,TRIM('List 1'!A244)))</f>
        <v/>
      </c>
      <c r="M244">
        <f>IF(K244="","",IF(ISNUMBER('List 1'!C244),'List 1'!C244,TRIM('List 1'!C244)))</f>
        <v/>
      </c>
      <c r="N244">
        <f>IF(K244="","",IF(ISNUMBER('List 1'!D244),'List 1'!D244,TRIM('List 1'!D244)))</f>
        <v/>
      </c>
      <c r="O244">
        <f>IF(K244="","",D244)</f>
        <v/>
      </c>
      <c r="P244">
        <f>IF(K244="","",IF(R244,SUMPRODUCT(--($H$2:$H$501=K244),$I$2:$I$501),0))</f>
        <v/>
      </c>
      <c r="Q244">
        <f>IF(K244="","",TRUE)</f>
        <v/>
      </c>
      <c r="R244">
        <f>IF(K244="","",SUMPRODUCT(--($H$2:$H$501=K244))&gt;0)</f>
        <v/>
      </c>
      <c r="S244">
        <f>IF(K244="","",IF(AND(Q244,R244),IF(O244=P244,"Match","Qty Different"),IF(Q244,"Only in List 1","Only in List 2")))</f>
        <v/>
      </c>
      <c r="T244">
        <f>IF(K244="","",IF(ISNUMBER(--L244),TEXT(--L244,"000000000000.000"),LOWER(L244)))</f>
        <v/>
      </c>
      <c r="U244">
        <f>IF(K244="","",IF(ISNUMBER(--M244),TEXT(--M244,"000000000000.000"),LOWER(M244)))</f>
        <v/>
      </c>
      <c r="V244">
        <f>IF(K244="","",LOWER(N244))</f>
        <v/>
      </c>
      <c r="W244">
        <f>IF(K244="","",B244)</f>
        <v/>
      </c>
      <c r="X244">
        <f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>
      <c r="A245">
        <f>IF(TRIM('List 1'!A245&amp;'List 1'!C245&amp;'List 1'!D245)="","",LOWER(TRIM('List 1'!A245)&amp;"|"&amp;TRIM('List 1'!C245)&amp;"|"&amp;TRIM('List 1'!D245)))</f>
        <v/>
      </c>
      <c r="B245">
        <f>IF(A245="","",SUMPRODUCT(--($A$2:A245=A245)))</f>
        <v/>
      </c>
      <c r="C245">
        <f>IF(A245="","",A245&amp;"#"&amp;B245)</f>
        <v/>
      </c>
      <c r="D245">
        <f>IF(A245="","",IFERROR(--'List 1'!B245,0))</f>
        <v/>
      </c>
      <c r="F245">
        <f>IF(TRIM('List 2'!A245&amp;'List 2'!C245&amp;'List 2'!D245)="","",LOWER(TRIM('List 2'!A245)&amp;"|"&amp;TRIM('List 2'!C245)&amp;"|"&amp;TRIM('List 2'!D245)))</f>
        <v/>
      </c>
      <c r="G245">
        <f>IF(F245="","",SUMPRODUCT(--($F$2:F245=F245)))</f>
        <v/>
      </c>
      <c r="H245">
        <f>IF(F245="","",F245&amp;"#"&amp;G245)</f>
        <v/>
      </c>
      <c r="I245">
        <f>IF(F245="","",IFERROR(--'List 2'!B245,0))</f>
        <v/>
      </c>
      <c r="K245">
        <f>C245</f>
        <v/>
      </c>
      <c r="L245">
        <f>IF(K245="","",IF(ISNUMBER('List 1'!A245),'List 1'!A245,TRIM('List 1'!A245)))</f>
        <v/>
      </c>
      <c r="M245">
        <f>IF(K245="","",IF(ISNUMBER('List 1'!C245),'List 1'!C245,TRIM('List 1'!C245)))</f>
        <v/>
      </c>
      <c r="N245">
        <f>IF(K245="","",IF(ISNUMBER('List 1'!D245),'List 1'!D245,TRIM('List 1'!D245)))</f>
        <v/>
      </c>
      <c r="O245">
        <f>IF(K245="","",D245)</f>
        <v/>
      </c>
      <c r="P245">
        <f>IF(K245="","",IF(R245,SUMPRODUCT(--($H$2:$H$501=K245),$I$2:$I$501),0))</f>
        <v/>
      </c>
      <c r="Q245">
        <f>IF(K245="","",TRUE)</f>
        <v/>
      </c>
      <c r="R245">
        <f>IF(K245="","",SUMPRODUCT(--($H$2:$H$501=K245))&gt;0)</f>
        <v/>
      </c>
      <c r="S245">
        <f>IF(K245="","",IF(AND(Q245,R245),IF(O245=P245,"Match","Qty Different"),IF(Q245,"Only in List 1","Only in List 2")))</f>
        <v/>
      </c>
      <c r="T245">
        <f>IF(K245="","",IF(ISNUMBER(--L245),TEXT(--L245,"000000000000.000"),LOWER(L245)))</f>
        <v/>
      </c>
      <c r="U245">
        <f>IF(K245="","",IF(ISNUMBER(--M245),TEXT(--M245,"000000000000.000"),LOWER(M245)))</f>
        <v/>
      </c>
      <c r="V245">
        <f>IF(K245="","",LOWER(N245))</f>
        <v/>
      </c>
      <c r="W245">
        <f>IF(K245="","",B245)</f>
        <v/>
      </c>
      <c r="X245">
        <f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>
      <c r="A246">
        <f>IF(TRIM('List 1'!A246&amp;'List 1'!C246&amp;'List 1'!D246)="","",LOWER(TRIM('List 1'!A246)&amp;"|"&amp;TRIM('List 1'!C246)&amp;"|"&amp;TRIM('List 1'!D246)))</f>
        <v/>
      </c>
      <c r="B246">
        <f>IF(A246="","",SUMPRODUCT(--($A$2:A246=A246)))</f>
        <v/>
      </c>
      <c r="C246">
        <f>IF(A246="","",A246&amp;"#"&amp;B246)</f>
        <v/>
      </c>
      <c r="D246">
        <f>IF(A246="","",IFERROR(--'List 1'!B246,0))</f>
        <v/>
      </c>
      <c r="F246">
        <f>IF(TRIM('List 2'!A246&amp;'List 2'!C246&amp;'List 2'!D246)="","",LOWER(TRIM('List 2'!A246)&amp;"|"&amp;TRIM('List 2'!C246)&amp;"|"&amp;TRIM('List 2'!D246)))</f>
        <v/>
      </c>
      <c r="G246">
        <f>IF(F246="","",SUMPRODUCT(--($F$2:F246=F246)))</f>
        <v/>
      </c>
      <c r="H246">
        <f>IF(F246="","",F246&amp;"#"&amp;G246)</f>
        <v/>
      </c>
      <c r="I246">
        <f>IF(F246="","",IFERROR(--'List 2'!B246,0))</f>
        <v/>
      </c>
      <c r="K246">
        <f>C246</f>
        <v/>
      </c>
      <c r="L246">
        <f>IF(K246="","",IF(ISNUMBER('List 1'!A246),'List 1'!A246,TRIM('List 1'!A246)))</f>
        <v/>
      </c>
      <c r="M246">
        <f>IF(K246="","",IF(ISNUMBER('List 1'!C246),'List 1'!C246,TRIM('List 1'!C246)))</f>
        <v/>
      </c>
      <c r="N246">
        <f>IF(K246="","",IF(ISNUMBER('List 1'!D246),'List 1'!D246,TRIM('List 1'!D246)))</f>
        <v/>
      </c>
      <c r="O246">
        <f>IF(K246="","",D246)</f>
        <v/>
      </c>
      <c r="P246">
        <f>IF(K246="","",IF(R246,SUMPRODUCT(--($H$2:$H$501=K246),$I$2:$I$501),0))</f>
        <v/>
      </c>
      <c r="Q246">
        <f>IF(K246="","",TRUE)</f>
        <v/>
      </c>
      <c r="R246">
        <f>IF(K246="","",SUMPRODUCT(--($H$2:$H$501=K246))&gt;0)</f>
        <v/>
      </c>
      <c r="S246">
        <f>IF(K246="","",IF(AND(Q246,R246),IF(O246=P246,"Match","Qty Different"),IF(Q246,"Only in List 1","Only in List 2")))</f>
        <v/>
      </c>
      <c r="T246">
        <f>IF(K246="","",IF(ISNUMBER(--L246),TEXT(--L246,"000000000000.000"),LOWER(L246)))</f>
        <v/>
      </c>
      <c r="U246">
        <f>IF(K246="","",IF(ISNUMBER(--M246),TEXT(--M246,"000000000000.000"),LOWER(M246)))</f>
        <v/>
      </c>
      <c r="V246">
        <f>IF(K246="","",LOWER(N246))</f>
        <v/>
      </c>
      <c r="W246">
        <f>IF(K246="","",B246)</f>
        <v/>
      </c>
      <c r="X246">
        <f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>
      <c r="A247">
        <f>IF(TRIM('List 1'!A247&amp;'List 1'!C247&amp;'List 1'!D247)="","",LOWER(TRIM('List 1'!A247)&amp;"|"&amp;TRIM('List 1'!C247)&amp;"|"&amp;TRIM('List 1'!D247)))</f>
        <v/>
      </c>
      <c r="B247">
        <f>IF(A247="","",SUMPRODUCT(--($A$2:A247=A247)))</f>
        <v/>
      </c>
      <c r="C247">
        <f>IF(A247="","",A247&amp;"#"&amp;B247)</f>
        <v/>
      </c>
      <c r="D247">
        <f>IF(A247="","",IFERROR(--'List 1'!B247,0))</f>
        <v/>
      </c>
      <c r="F247">
        <f>IF(TRIM('List 2'!A247&amp;'List 2'!C247&amp;'List 2'!D247)="","",LOWER(TRIM('List 2'!A247)&amp;"|"&amp;TRIM('List 2'!C247)&amp;"|"&amp;TRIM('List 2'!D247)))</f>
        <v/>
      </c>
      <c r="G247">
        <f>IF(F247="","",SUMPRODUCT(--($F$2:F247=F247)))</f>
        <v/>
      </c>
      <c r="H247">
        <f>IF(F247="","",F247&amp;"#"&amp;G247)</f>
        <v/>
      </c>
      <c r="I247">
        <f>IF(F247="","",IFERROR(--'List 2'!B247,0))</f>
        <v/>
      </c>
      <c r="K247">
        <f>C247</f>
        <v/>
      </c>
      <c r="L247">
        <f>IF(K247="","",IF(ISNUMBER('List 1'!A247),'List 1'!A247,TRIM('List 1'!A247)))</f>
        <v/>
      </c>
      <c r="M247">
        <f>IF(K247="","",IF(ISNUMBER('List 1'!C247),'List 1'!C247,TRIM('List 1'!C247)))</f>
        <v/>
      </c>
      <c r="N247">
        <f>IF(K247="","",IF(ISNUMBER('List 1'!D247),'List 1'!D247,TRIM('List 1'!D247)))</f>
        <v/>
      </c>
      <c r="O247">
        <f>IF(K247="","",D247)</f>
        <v/>
      </c>
      <c r="P247">
        <f>IF(K247="","",IF(R247,SUMPRODUCT(--($H$2:$H$501=K247),$I$2:$I$501),0))</f>
        <v/>
      </c>
      <c r="Q247">
        <f>IF(K247="","",TRUE)</f>
        <v/>
      </c>
      <c r="R247">
        <f>IF(K247="","",SUMPRODUCT(--($H$2:$H$501=K247))&gt;0)</f>
        <v/>
      </c>
      <c r="S247">
        <f>IF(K247="","",IF(AND(Q247,R247),IF(O247=P247,"Match","Qty Different"),IF(Q247,"Only in List 1","Only in List 2")))</f>
        <v/>
      </c>
      <c r="T247">
        <f>IF(K247="","",IF(ISNUMBER(--L247),TEXT(--L247,"000000000000.000"),LOWER(L247)))</f>
        <v/>
      </c>
      <c r="U247">
        <f>IF(K247="","",IF(ISNUMBER(--M247),TEXT(--M247,"000000000000.000"),LOWER(M247)))</f>
        <v/>
      </c>
      <c r="V247">
        <f>IF(K247="","",LOWER(N247))</f>
        <v/>
      </c>
      <c r="W247">
        <f>IF(K247="","",B247)</f>
        <v/>
      </c>
      <c r="X247">
        <f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>
      <c r="A248">
        <f>IF(TRIM('List 1'!A248&amp;'List 1'!C248&amp;'List 1'!D248)="","",LOWER(TRIM('List 1'!A248)&amp;"|"&amp;TRIM('List 1'!C248)&amp;"|"&amp;TRIM('List 1'!D248)))</f>
        <v/>
      </c>
      <c r="B248">
        <f>IF(A248="","",SUMPRODUCT(--($A$2:A248=A248)))</f>
        <v/>
      </c>
      <c r="C248">
        <f>IF(A248="","",A248&amp;"#"&amp;B248)</f>
        <v/>
      </c>
      <c r="D248">
        <f>IF(A248="","",IFERROR(--'List 1'!B248,0))</f>
        <v/>
      </c>
      <c r="F248">
        <f>IF(TRIM('List 2'!A248&amp;'List 2'!C248&amp;'List 2'!D248)="","",LOWER(TRIM('List 2'!A248)&amp;"|"&amp;TRIM('List 2'!C248)&amp;"|"&amp;TRIM('List 2'!D248)))</f>
        <v/>
      </c>
      <c r="G248">
        <f>IF(F248="","",SUMPRODUCT(--($F$2:F248=F248)))</f>
        <v/>
      </c>
      <c r="H248">
        <f>IF(F248="","",F248&amp;"#"&amp;G248)</f>
        <v/>
      </c>
      <c r="I248">
        <f>IF(F248="","",IFERROR(--'List 2'!B248,0))</f>
        <v/>
      </c>
      <c r="K248">
        <f>C248</f>
        <v/>
      </c>
      <c r="L248">
        <f>IF(K248="","",IF(ISNUMBER('List 1'!A248),'List 1'!A248,TRIM('List 1'!A248)))</f>
        <v/>
      </c>
      <c r="M248">
        <f>IF(K248="","",IF(ISNUMBER('List 1'!C248),'List 1'!C248,TRIM('List 1'!C248)))</f>
        <v/>
      </c>
      <c r="N248">
        <f>IF(K248="","",IF(ISNUMBER('List 1'!D248),'List 1'!D248,TRIM('List 1'!D248)))</f>
        <v/>
      </c>
      <c r="O248">
        <f>IF(K248="","",D248)</f>
        <v/>
      </c>
      <c r="P248">
        <f>IF(K248="","",IF(R248,SUMPRODUCT(--($H$2:$H$501=K248),$I$2:$I$501),0))</f>
        <v/>
      </c>
      <c r="Q248">
        <f>IF(K248="","",TRUE)</f>
        <v/>
      </c>
      <c r="R248">
        <f>IF(K248="","",SUMPRODUCT(--($H$2:$H$501=K248))&gt;0)</f>
        <v/>
      </c>
      <c r="S248">
        <f>IF(K248="","",IF(AND(Q248,R248),IF(O248=P248,"Match","Qty Different"),IF(Q248,"Only in List 1","Only in List 2")))</f>
        <v/>
      </c>
      <c r="T248">
        <f>IF(K248="","",IF(ISNUMBER(--L248),TEXT(--L248,"000000000000.000"),LOWER(L248)))</f>
        <v/>
      </c>
      <c r="U248">
        <f>IF(K248="","",IF(ISNUMBER(--M248),TEXT(--M248,"000000000000.000"),LOWER(M248)))</f>
        <v/>
      </c>
      <c r="V248">
        <f>IF(K248="","",LOWER(N248))</f>
        <v/>
      </c>
      <c r="W248">
        <f>IF(K248="","",B248)</f>
        <v/>
      </c>
      <c r="X248">
        <f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>
      <c r="A249">
        <f>IF(TRIM('List 1'!A249&amp;'List 1'!C249&amp;'List 1'!D249)="","",LOWER(TRIM('List 1'!A249)&amp;"|"&amp;TRIM('List 1'!C249)&amp;"|"&amp;TRIM('List 1'!D249)))</f>
        <v/>
      </c>
      <c r="B249">
        <f>IF(A249="","",SUMPRODUCT(--($A$2:A249=A249)))</f>
        <v/>
      </c>
      <c r="C249">
        <f>IF(A249="","",A249&amp;"#"&amp;B249)</f>
        <v/>
      </c>
      <c r="D249">
        <f>IF(A249="","",IFERROR(--'List 1'!B249,0))</f>
        <v/>
      </c>
      <c r="F249">
        <f>IF(TRIM('List 2'!A249&amp;'List 2'!C249&amp;'List 2'!D249)="","",LOWER(TRIM('List 2'!A249)&amp;"|"&amp;TRIM('List 2'!C249)&amp;"|"&amp;TRIM('List 2'!D249)))</f>
        <v/>
      </c>
      <c r="G249">
        <f>IF(F249="","",SUMPRODUCT(--($F$2:F249=F249)))</f>
        <v/>
      </c>
      <c r="H249">
        <f>IF(F249="","",F249&amp;"#"&amp;G249)</f>
        <v/>
      </c>
      <c r="I249">
        <f>IF(F249="","",IFERROR(--'List 2'!B249,0))</f>
        <v/>
      </c>
      <c r="K249">
        <f>C249</f>
        <v/>
      </c>
      <c r="L249">
        <f>IF(K249="","",IF(ISNUMBER('List 1'!A249),'List 1'!A249,TRIM('List 1'!A249)))</f>
        <v/>
      </c>
      <c r="M249">
        <f>IF(K249="","",IF(ISNUMBER('List 1'!C249),'List 1'!C249,TRIM('List 1'!C249)))</f>
        <v/>
      </c>
      <c r="N249">
        <f>IF(K249="","",IF(ISNUMBER('List 1'!D249),'List 1'!D249,TRIM('List 1'!D249)))</f>
        <v/>
      </c>
      <c r="O249">
        <f>IF(K249="","",D249)</f>
        <v/>
      </c>
      <c r="P249">
        <f>IF(K249="","",IF(R249,SUMPRODUCT(--($H$2:$H$501=K249),$I$2:$I$501),0))</f>
        <v/>
      </c>
      <c r="Q249">
        <f>IF(K249="","",TRUE)</f>
        <v/>
      </c>
      <c r="R249">
        <f>IF(K249="","",SUMPRODUCT(--($H$2:$H$501=K249))&gt;0)</f>
        <v/>
      </c>
      <c r="S249">
        <f>IF(K249="","",IF(AND(Q249,R249),IF(O249=P249,"Match","Qty Different"),IF(Q249,"Only in List 1","Only in List 2")))</f>
        <v/>
      </c>
      <c r="T249">
        <f>IF(K249="","",IF(ISNUMBER(--L249),TEXT(--L249,"000000000000.000"),LOWER(L249)))</f>
        <v/>
      </c>
      <c r="U249">
        <f>IF(K249="","",IF(ISNUMBER(--M249),TEXT(--M249,"000000000000.000"),LOWER(M249)))</f>
        <v/>
      </c>
      <c r="V249">
        <f>IF(K249="","",LOWER(N249))</f>
        <v/>
      </c>
      <c r="W249">
        <f>IF(K249="","",B249)</f>
        <v/>
      </c>
      <c r="X249">
        <f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>
      <c r="A250">
        <f>IF(TRIM('List 1'!A250&amp;'List 1'!C250&amp;'List 1'!D250)="","",LOWER(TRIM('List 1'!A250)&amp;"|"&amp;TRIM('List 1'!C250)&amp;"|"&amp;TRIM('List 1'!D250)))</f>
        <v/>
      </c>
      <c r="B250">
        <f>IF(A250="","",SUMPRODUCT(--($A$2:A250=A250)))</f>
        <v/>
      </c>
      <c r="C250">
        <f>IF(A250="","",A250&amp;"#"&amp;B250)</f>
        <v/>
      </c>
      <c r="D250">
        <f>IF(A250="","",IFERROR(--'List 1'!B250,0))</f>
        <v/>
      </c>
      <c r="F250">
        <f>IF(TRIM('List 2'!A250&amp;'List 2'!C250&amp;'List 2'!D250)="","",LOWER(TRIM('List 2'!A250)&amp;"|"&amp;TRIM('List 2'!C250)&amp;"|"&amp;TRIM('List 2'!D250)))</f>
        <v/>
      </c>
      <c r="G250">
        <f>IF(F250="","",SUMPRODUCT(--($F$2:F250=F250)))</f>
        <v/>
      </c>
      <c r="H250">
        <f>IF(F250="","",F250&amp;"#"&amp;G250)</f>
        <v/>
      </c>
      <c r="I250">
        <f>IF(F250="","",IFERROR(--'List 2'!B250,0))</f>
        <v/>
      </c>
      <c r="K250">
        <f>C250</f>
        <v/>
      </c>
      <c r="L250">
        <f>IF(K250="","",IF(ISNUMBER('List 1'!A250),'List 1'!A250,TRIM('List 1'!A250)))</f>
        <v/>
      </c>
      <c r="M250">
        <f>IF(K250="","",IF(ISNUMBER('List 1'!C250),'List 1'!C250,TRIM('List 1'!C250)))</f>
        <v/>
      </c>
      <c r="N250">
        <f>IF(K250="","",IF(ISNUMBER('List 1'!D250),'List 1'!D250,TRIM('List 1'!D250)))</f>
        <v/>
      </c>
      <c r="O250">
        <f>IF(K250="","",D250)</f>
        <v/>
      </c>
      <c r="P250">
        <f>IF(K250="","",IF(R250,SUMPRODUCT(--($H$2:$H$501=K250),$I$2:$I$501),0))</f>
        <v/>
      </c>
      <c r="Q250">
        <f>IF(K250="","",TRUE)</f>
        <v/>
      </c>
      <c r="R250">
        <f>IF(K250="","",SUMPRODUCT(--($H$2:$H$501=K250))&gt;0)</f>
        <v/>
      </c>
      <c r="S250">
        <f>IF(K250="","",IF(AND(Q250,R250),IF(O250=P250,"Match","Qty Different"),IF(Q250,"Only in List 1","Only in List 2")))</f>
        <v/>
      </c>
      <c r="T250">
        <f>IF(K250="","",IF(ISNUMBER(--L250),TEXT(--L250,"000000000000.000"),LOWER(L250)))</f>
        <v/>
      </c>
      <c r="U250">
        <f>IF(K250="","",IF(ISNUMBER(--M250),TEXT(--M250,"000000000000.000"),LOWER(M250)))</f>
        <v/>
      </c>
      <c r="V250">
        <f>IF(K250="","",LOWER(N250))</f>
        <v/>
      </c>
      <c r="W250">
        <f>IF(K250="","",B250)</f>
        <v/>
      </c>
      <c r="X250">
        <f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>
      <c r="A251">
        <f>IF(TRIM('List 1'!A251&amp;'List 1'!C251&amp;'List 1'!D251)="","",LOWER(TRIM('List 1'!A251)&amp;"|"&amp;TRIM('List 1'!C251)&amp;"|"&amp;TRIM('List 1'!D251)))</f>
        <v/>
      </c>
      <c r="B251">
        <f>IF(A251="","",SUMPRODUCT(--($A$2:A251=A251)))</f>
        <v/>
      </c>
      <c r="C251">
        <f>IF(A251="","",A251&amp;"#"&amp;B251)</f>
        <v/>
      </c>
      <c r="D251">
        <f>IF(A251="","",IFERROR(--'List 1'!B251,0))</f>
        <v/>
      </c>
      <c r="F251">
        <f>IF(TRIM('List 2'!A251&amp;'List 2'!C251&amp;'List 2'!D251)="","",LOWER(TRIM('List 2'!A251)&amp;"|"&amp;TRIM('List 2'!C251)&amp;"|"&amp;TRIM('List 2'!D251)))</f>
        <v/>
      </c>
      <c r="G251">
        <f>IF(F251="","",SUMPRODUCT(--($F$2:F251=F251)))</f>
        <v/>
      </c>
      <c r="H251">
        <f>IF(F251="","",F251&amp;"#"&amp;G251)</f>
        <v/>
      </c>
      <c r="I251">
        <f>IF(F251="","",IFERROR(--'List 2'!B251,0))</f>
        <v/>
      </c>
      <c r="K251">
        <f>C251</f>
        <v/>
      </c>
      <c r="L251">
        <f>IF(K251="","",IF(ISNUMBER('List 1'!A251),'List 1'!A251,TRIM('List 1'!A251)))</f>
        <v/>
      </c>
      <c r="M251">
        <f>IF(K251="","",IF(ISNUMBER('List 1'!C251),'List 1'!C251,TRIM('List 1'!C251)))</f>
        <v/>
      </c>
      <c r="N251">
        <f>IF(K251="","",IF(ISNUMBER('List 1'!D251),'List 1'!D251,TRIM('List 1'!D251)))</f>
        <v/>
      </c>
      <c r="O251">
        <f>IF(K251="","",D251)</f>
        <v/>
      </c>
      <c r="P251">
        <f>IF(K251="","",IF(R251,SUMPRODUCT(--($H$2:$H$501=K251),$I$2:$I$501),0))</f>
        <v/>
      </c>
      <c r="Q251">
        <f>IF(K251="","",TRUE)</f>
        <v/>
      </c>
      <c r="R251">
        <f>IF(K251="","",SUMPRODUCT(--($H$2:$H$501=K251))&gt;0)</f>
        <v/>
      </c>
      <c r="S251">
        <f>IF(K251="","",IF(AND(Q251,R251),IF(O251=P251,"Match","Qty Different"),IF(Q251,"Only in List 1","Only in List 2")))</f>
        <v/>
      </c>
      <c r="T251">
        <f>IF(K251="","",IF(ISNUMBER(--L251),TEXT(--L251,"000000000000.000"),LOWER(L251)))</f>
        <v/>
      </c>
      <c r="U251">
        <f>IF(K251="","",IF(ISNUMBER(--M251),TEXT(--M251,"000000000000.000"),LOWER(M251)))</f>
        <v/>
      </c>
      <c r="V251">
        <f>IF(K251="","",LOWER(N251))</f>
        <v/>
      </c>
      <c r="W251">
        <f>IF(K251="","",B251)</f>
        <v/>
      </c>
      <c r="X251">
        <f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>
      <c r="A252">
        <f>IF(TRIM('List 1'!A252&amp;'List 1'!C252&amp;'List 1'!D252)="","",LOWER(TRIM('List 1'!A252)&amp;"|"&amp;TRIM('List 1'!C252)&amp;"|"&amp;TRIM('List 1'!D252)))</f>
        <v/>
      </c>
      <c r="B252">
        <f>IF(A252="","",SUMPRODUCT(--($A$2:A252=A252)))</f>
        <v/>
      </c>
      <c r="C252">
        <f>IF(A252="","",A252&amp;"#"&amp;B252)</f>
        <v/>
      </c>
      <c r="D252">
        <f>IF(A252="","",IFERROR(--'List 1'!B252,0))</f>
        <v/>
      </c>
      <c r="F252">
        <f>IF(TRIM('List 2'!A252&amp;'List 2'!C252&amp;'List 2'!D252)="","",LOWER(TRIM('List 2'!A252)&amp;"|"&amp;TRIM('List 2'!C252)&amp;"|"&amp;TRIM('List 2'!D252)))</f>
        <v/>
      </c>
      <c r="G252">
        <f>IF(F252="","",SUMPRODUCT(--($F$2:F252=F252)))</f>
        <v/>
      </c>
      <c r="H252">
        <f>IF(F252="","",F252&amp;"#"&amp;G252)</f>
        <v/>
      </c>
      <c r="I252">
        <f>IF(F252="","",IFERROR(--'List 2'!B252,0))</f>
        <v/>
      </c>
      <c r="K252">
        <f>C252</f>
        <v/>
      </c>
      <c r="L252">
        <f>IF(K252="","",IF(ISNUMBER('List 1'!A252),'List 1'!A252,TRIM('List 1'!A252)))</f>
        <v/>
      </c>
      <c r="M252">
        <f>IF(K252="","",IF(ISNUMBER('List 1'!C252),'List 1'!C252,TRIM('List 1'!C252)))</f>
        <v/>
      </c>
      <c r="N252">
        <f>IF(K252="","",IF(ISNUMBER('List 1'!D252),'List 1'!D252,TRIM('List 1'!D252)))</f>
        <v/>
      </c>
      <c r="O252">
        <f>IF(K252="","",D252)</f>
        <v/>
      </c>
      <c r="P252">
        <f>IF(K252="","",IF(R252,SUMPRODUCT(--($H$2:$H$501=K252),$I$2:$I$501),0))</f>
        <v/>
      </c>
      <c r="Q252">
        <f>IF(K252="","",TRUE)</f>
        <v/>
      </c>
      <c r="R252">
        <f>IF(K252="","",SUMPRODUCT(--($H$2:$H$501=K252))&gt;0)</f>
        <v/>
      </c>
      <c r="S252">
        <f>IF(K252="","",IF(AND(Q252,R252),IF(O252=P252,"Match","Qty Different"),IF(Q252,"Only in List 1","Only in List 2")))</f>
        <v/>
      </c>
      <c r="T252">
        <f>IF(K252="","",IF(ISNUMBER(--L252),TEXT(--L252,"000000000000.000"),LOWER(L252)))</f>
        <v/>
      </c>
      <c r="U252">
        <f>IF(K252="","",IF(ISNUMBER(--M252),TEXT(--M252,"000000000000.000"),LOWER(M252)))</f>
        <v/>
      </c>
      <c r="V252">
        <f>IF(K252="","",LOWER(N252))</f>
        <v/>
      </c>
      <c r="W252">
        <f>IF(K252="","",B252)</f>
        <v/>
      </c>
      <c r="X252">
        <f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>
      <c r="A253">
        <f>IF(TRIM('List 1'!A253&amp;'List 1'!C253&amp;'List 1'!D253)="","",LOWER(TRIM('List 1'!A253)&amp;"|"&amp;TRIM('List 1'!C253)&amp;"|"&amp;TRIM('List 1'!D253)))</f>
        <v/>
      </c>
      <c r="B253">
        <f>IF(A253="","",SUMPRODUCT(--($A$2:A253=A253)))</f>
        <v/>
      </c>
      <c r="C253">
        <f>IF(A253="","",A253&amp;"#"&amp;B253)</f>
        <v/>
      </c>
      <c r="D253">
        <f>IF(A253="","",IFERROR(--'List 1'!B253,0))</f>
        <v/>
      </c>
      <c r="F253">
        <f>IF(TRIM('List 2'!A253&amp;'List 2'!C253&amp;'List 2'!D253)="","",LOWER(TRIM('List 2'!A253)&amp;"|"&amp;TRIM('List 2'!C253)&amp;"|"&amp;TRIM('List 2'!D253)))</f>
        <v/>
      </c>
      <c r="G253">
        <f>IF(F253="","",SUMPRODUCT(--($F$2:F253=F253)))</f>
        <v/>
      </c>
      <c r="H253">
        <f>IF(F253="","",F253&amp;"#"&amp;G253)</f>
        <v/>
      </c>
      <c r="I253">
        <f>IF(F253="","",IFERROR(--'List 2'!B253,0))</f>
        <v/>
      </c>
      <c r="K253">
        <f>C253</f>
        <v/>
      </c>
      <c r="L253">
        <f>IF(K253="","",IF(ISNUMBER('List 1'!A253),'List 1'!A253,TRIM('List 1'!A253)))</f>
        <v/>
      </c>
      <c r="M253">
        <f>IF(K253="","",IF(ISNUMBER('List 1'!C253),'List 1'!C253,TRIM('List 1'!C253)))</f>
        <v/>
      </c>
      <c r="N253">
        <f>IF(K253="","",IF(ISNUMBER('List 1'!D253),'List 1'!D253,TRIM('List 1'!D253)))</f>
        <v/>
      </c>
      <c r="O253">
        <f>IF(K253="","",D253)</f>
        <v/>
      </c>
      <c r="P253">
        <f>IF(K253="","",IF(R253,SUMPRODUCT(--($H$2:$H$501=K253),$I$2:$I$501),0))</f>
        <v/>
      </c>
      <c r="Q253">
        <f>IF(K253="","",TRUE)</f>
        <v/>
      </c>
      <c r="R253">
        <f>IF(K253="","",SUMPRODUCT(--($H$2:$H$501=K253))&gt;0)</f>
        <v/>
      </c>
      <c r="S253">
        <f>IF(K253="","",IF(AND(Q253,R253),IF(O253=P253,"Match","Qty Different"),IF(Q253,"Only in List 1","Only in List 2")))</f>
        <v/>
      </c>
      <c r="T253">
        <f>IF(K253="","",IF(ISNUMBER(--L253),TEXT(--L253,"000000000000.000"),LOWER(L253)))</f>
        <v/>
      </c>
      <c r="U253">
        <f>IF(K253="","",IF(ISNUMBER(--M253),TEXT(--M253,"000000000000.000"),LOWER(M253)))</f>
        <v/>
      </c>
      <c r="V253">
        <f>IF(K253="","",LOWER(N253))</f>
        <v/>
      </c>
      <c r="W253">
        <f>IF(K253="","",B253)</f>
        <v/>
      </c>
      <c r="X253">
        <f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>
      <c r="A254">
        <f>IF(TRIM('List 1'!A254&amp;'List 1'!C254&amp;'List 1'!D254)="","",LOWER(TRIM('List 1'!A254)&amp;"|"&amp;TRIM('List 1'!C254)&amp;"|"&amp;TRIM('List 1'!D254)))</f>
        <v/>
      </c>
      <c r="B254">
        <f>IF(A254="","",SUMPRODUCT(--($A$2:A254=A254)))</f>
        <v/>
      </c>
      <c r="C254">
        <f>IF(A254="","",A254&amp;"#"&amp;B254)</f>
        <v/>
      </c>
      <c r="D254">
        <f>IF(A254="","",IFERROR(--'List 1'!B254,0))</f>
        <v/>
      </c>
      <c r="F254">
        <f>IF(TRIM('List 2'!A254&amp;'List 2'!C254&amp;'List 2'!D254)="","",LOWER(TRIM('List 2'!A254)&amp;"|"&amp;TRIM('List 2'!C254)&amp;"|"&amp;TRIM('List 2'!D254)))</f>
        <v/>
      </c>
      <c r="G254">
        <f>IF(F254="","",SUMPRODUCT(--($F$2:F254=F254)))</f>
        <v/>
      </c>
      <c r="H254">
        <f>IF(F254="","",F254&amp;"#"&amp;G254)</f>
        <v/>
      </c>
      <c r="I254">
        <f>IF(F254="","",IFERROR(--'List 2'!B254,0))</f>
        <v/>
      </c>
      <c r="K254">
        <f>C254</f>
        <v/>
      </c>
      <c r="L254">
        <f>IF(K254="","",IF(ISNUMBER('List 1'!A254),'List 1'!A254,TRIM('List 1'!A254)))</f>
        <v/>
      </c>
      <c r="M254">
        <f>IF(K254="","",IF(ISNUMBER('List 1'!C254),'List 1'!C254,TRIM('List 1'!C254)))</f>
        <v/>
      </c>
      <c r="N254">
        <f>IF(K254="","",IF(ISNUMBER('List 1'!D254),'List 1'!D254,TRIM('List 1'!D254)))</f>
        <v/>
      </c>
      <c r="O254">
        <f>IF(K254="","",D254)</f>
        <v/>
      </c>
      <c r="P254">
        <f>IF(K254="","",IF(R254,SUMPRODUCT(--($H$2:$H$501=K254),$I$2:$I$501),0))</f>
        <v/>
      </c>
      <c r="Q254">
        <f>IF(K254="","",TRUE)</f>
        <v/>
      </c>
      <c r="R254">
        <f>IF(K254="","",SUMPRODUCT(--($H$2:$H$501=K254))&gt;0)</f>
        <v/>
      </c>
      <c r="S254">
        <f>IF(K254="","",IF(AND(Q254,R254),IF(O254=P254,"Match","Qty Different"),IF(Q254,"Only in List 1","Only in List 2")))</f>
        <v/>
      </c>
      <c r="T254">
        <f>IF(K254="","",IF(ISNUMBER(--L254),TEXT(--L254,"000000000000.000"),LOWER(L254)))</f>
        <v/>
      </c>
      <c r="U254">
        <f>IF(K254="","",IF(ISNUMBER(--M254),TEXT(--M254,"000000000000.000"),LOWER(M254)))</f>
        <v/>
      </c>
      <c r="V254">
        <f>IF(K254="","",LOWER(N254))</f>
        <v/>
      </c>
      <c r="W254">
        <f>IF(K254="","",B254)</f>
        <v/>
      </c>
      <c r="X254">
        <f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>
      <c r="A255">
        <f>IF(TRIM('List 1'!A255&amp;'List 1'!C255&amp;'List 1'!D255)="","",LOWER(TRIM('List 1'!A255)&amp;"|"&amp;TRIM('List 1'!C255)&amp;"|"&amp;TRIM('List 1'!D255)))</f>
        <v/>
      </c>
      <c r="B255">
        <f>IF(A255="","",SUMPRODUCT(--($A$2:A255=A255)))</f>
        <v/>
      </c>
      <c r="C255">
        <f>IF(A255="","",A255&amp;"#"&amp;B255)</f>
        <v/>
      </c>
      <c r="D255">
        <f>IF(A255="","",IFERROR(--'List 1'!B255,0))</f>
        <v/>
      </c>
      <c r="F255">
        <f>IF(TRIM('List 2'!A255&amp;'List 2'!C255&amp;'List 2'!D255)="","",LOWER(TRIM('List 2'!A255)&amp;"|"&amp;TRIM('List 2'!C255)&amp;"|"&amp;TRIM('List 2'!D255)))</f>
        <v/>
      </c>
      <c r="G255">
        <f>IF(F255="","",SUMPRODUCT(--($F$2:F255=F255)))</f>
        <v/>
      </c>
      <c r="H255">
        <f>IF(F255="","",F255&amp;"#"&amp;G255)</f>
        <v/>
      </c>
      <c r="I255">
        <f>IF(F255="","",IFERROR(--'List 2'!B255,0))</f>
        <v/>
      </c>
      <c r="K255">
        <f>C255</f>
        <v/>
      </c>
      <c r="L255">
        <f>IF(K255="","",IF(ISNUMBER('List 1'!A255),'List 1'!A255,TRIM('List 1'!A255)))</f>
        <v/>
      </c>
      <c r="M255">
        <f>IF(K255="","",IF(ISNUMBER('List 1'!C255),'List 1'!C255,TRIM('List 1'!C255)))</f>
        <v/>
      </c>
      <c r="N255">
        <f>IF(K255="","",IF(ISNUMBER('List 1'!D255),'List 1'!D255,TRIM('List 1'!D255)))</f>
        <v/>
      </c>
      <c r="O255">
        <f>IF(K255="","",D255)</f>
        <v/>
      </c>
      <c r="P255">
        <f>IF(K255="","",IF(R255,SUMPRODUCT(--($H$2:$H$501=K255),$I$2:$I$501),0))</f>
        <v/>
      </c>
      <c r="Q255">
        <f>IF(K255="","",TRUE)</f>
        <v/>
      </c>
      <c r="R255">
        <f>IF(K255="","",SUMPRODUCT(--($H$2:$H$501=K255))&gt;0)</f>
        <v/>
      </c>
      <c r="S255">
        <f>IF(K255="","",IF(AND(Q255,R255),IF(O255=P255,"Match","Qty Different"),IF(Q255,"Only in List 1","Only in List 2")))</f>
        <v/>
      </c>
      <c r="T255">
        <f>IF(K255="","",IF(ISNUMBER(--L255),TEXT(--L255,"000000000000.000"),LOWER(L255)))</f>
        <v/>
      </c>
      <c r="U255">
        <f>IF(K255="","",IF(ISNUMBER(--M255),TEXT(--M255,"000000000000.000"),LOWER(M255)))</f>
        <v/>
      </c>
      <c r="V255">
        <f>IF(K255="","",LOWER(N255))</f>
        <v/>
      </c>
      <c r="W255">
        <f>IF(K255="","",B255)</f>
        <v/>
      </c>
      <c r="X255">
        <f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>
      <c r="A256">
        <f>IF(TRIM('List 1'!A256&amp;'List 1'!C256&amp;'List 1'!D256)="","",LOWER(TRIM('List 1'!A256)&amp;"|"&amp;TRIM('List 1'!C256)&amp;"|"&amp;TRIM('List 1'!D256)))</f>
        <v/>
      </c>
      <c r="B256">
        <f>IF(A256="","",SUMPRODUCT(--($A$2:A256=A256)))</f>
        <v/>
      </c>
      <c r="C256">
        <f>IF(A256="","",A256&amp;"#"&amp;B256)</f>
        <v/>
      </c>
      <c r="D256">
        <f>IF(A256="","",IFERROR(--'List 1'!B256,0))</f>
        <v/>
      </c>
      <c r="F256">
        <f>IF(TRIM('List 2'!A256&amp;'List 2'!C256&amp;'List 2'!D256)="","",LOWER(TRIM('List 2'!A256)&amp;"|"&amp;TRIM('List 2'!C256)&amp;"|"&amp;TRIM('List 2'!D256)))</f>
        <v/>
      </c>
      <c r="G256">
        <f>IF(F256="","",SUMPRODUCT(--($F$2:F256=F256)))</f>
        <v/>
      </c>
      <c r="H256">
        <f>IF(F256="","",F256&amp;"#"&amp;G256)</f>
        <v/>
      </c>
      <c r="I256">
        <f>IF(F256="","",IFERROR(--'List 2'!B256,0))</f>
        <v/>
      </c>
      <c r="K256">
        <f>C256</f>
        <v/>
      </c>
      <c r="L256">
        <f>IF(K256="","",IF(ISNUMBER('List 1'!A256),'List 1'!A256,TRIM('List 1'!A256)))</f>
        <v/>
      </c>
      <c r="M256">
        <f>IF(K256="","",IF(ISNUMBER('List 1'!C256),'List 1'!C256,TRIM('List 1'!C256)))</f>
        <v/>
      </c>
      <c r="N256">
        <f>IF(K256="","",IF(ISNUMBER('List 1'!D256),'List 1'!D256,TRIM('List 1'!D256)))</f>
        <v/>
      </c>
      <c r="O256">
        <f>IF(K256="","",D256)</f>
        <v/>
      </c>
      <c r="P256">
        <f>IF(K256="","",IF(R256,SUMPRODUCT(--($H$2:$H$501=K256),$I$2:$I$501),0))</f>
        <v/>
      </c>
      <c r="Q256">
        <f>IF(K256="","",TRUE)</f>
        <v/>
      </c>
      <c r="R256">
        <f>IF(K256="","",SUMPRODUCT(--($H$2:$H$501=K256))&gt;0)</f>
        <v/>
      </c>
      <c r="S256">
        <f>IF(K256="","",IF(AND(Q256,R256),IF(O256=P256,"Match","Qty Different"),IF(Q256,"Only in List 1","Only in List 2")))</f>
        <v/>
      </c>
      <c r="T256">
        <f>IF(K256="","",IF(ISNUMBER(--L256),TEXT(--L256,"000000000000.000"),LOWER(L256)))</f>
        <v/>
      </c>
      <c r="U256">
        <f>IF(K256="","",IF(ISNUMBER(--M256),TEXT(--M256,"000000000000.000"),LOWER(M256)))</f>
        <v/>
      </c>
      <c r="V256">
        <f>IF(K256="","",LOWER(N256))</f>
        <v/>
      </c>
      <c r="W256">
        <f>IF(K256="","",B256)</f>
        <v/>
      </c>
      <c r="X256">
        <f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>
      <c r="A257">
        <f>IF(TRIM('List 1'!A257&amp;'List 1'!C257&amp;'List 1'!D257)="","",LOWER(TRIM('List 1'!A257)&amp;"|"&amp;TRIM('List 1'!C257)&amp;"|"&amp;TRIM('List 1'!D257)))</f>
        <v/>
      </c>
      <c r="B257">
        <f>IF(A257="","",SUMPRODUCT(--($A$2:A257=A257)))</f>
        <v/>
      </c>
      <c r="C257">
        <f>IF(A257="","",A257&amp;"#"&amp;B257)</f>
        <v/>
      </c>
      <c r="D257">
        <f>IF(A257="","",IFERROR(--'List 1'!B257,0))</f>
        <v/>
      </c>
      <c r="F257">
        <f>IF(TRIM('List 2'!A257&amp;'List 2'!C257&amp;'List 2'!D257)="","",LOWER(TRIM('List 2'!A257)&amp;"|"&amp;TRIM('List 2'!C257)&amp;"|"&amp;TRIM('List 2'!D257)))</f>
        <v/>
      </c>
      <c r="G257">
        <f>IF(F257="","",SUMPRODUCT(--($F$2:F257=F257)))</f>
        <v/>
      </c>
      <c r="H257">
        <f>IF(F257="","",F257&amp;"#"&amp;G257)</f>
        <v/>
      </c>
      <c r="I257">
        <f>IF(F257="","",IFERROR(--'List 2'!B257,0))</f>
        <v/>
      </c>
      <c r="K257">
        <f>C257</f>
        <v/>
      </c>
      <c r="L257">
        <f>IF(K257="","",IF(ISNUMBER('List 1'!A257),'List 1'!A257,TRIM('List 1'!A257)))</f>
        <v/>
      </c>
      <c r="M257">
        <f>IF(K257="","",IF(ISNUMBER('List 1'!C257),'List 1'!C257,TRIM('List 1'!C257)))</f>
        <v/>
      </c>
      <c r="N257">
        <f>IF(K257="","",IF(ISNUMBER('List 1'!D257),'List 1'!D257,TRIM('List 1'!D257)))</f>
        <v/>
      </c>
      <c r="O257">
        <f>IF(K257="","",D257)</f>
        <v/>
      </c>
      <c r="P257">
        <f>IF(K257="","",IF(R257,SUMPRODUCT(--($H$2:$H$501=K257),$I$2:$I$501),0))</f>
        <v/>
      </c>
      <c r="Q257">
        <f>IF(K257="","",TRUE)</f>
        <v/>
      </c>
      <c r="R257">
        <f>IF(K257="","",SUMPRODUCT(--($H$2:$H$501=K257))&gt;0)</f>
        <v/>
      </c>
      <c r="S257">
        <f>IF(K257="","",IF(AND(Q257,R257),IF(O257=P257,"Match","Qty Different"),IF(Q257,"Only in List 1","Only in List 2")))</f>
        <v/>
      </c>
      <c r="T257">
        <f>IF(K257="","",IF(ISNUMBER(--L257),TEXT(--L257,"000000000000.000"),LOWER(L257)))</f>
        <v/>
      </c>
      <c r="U257">
        <f>IF(K257="","",IF(ISNUMBER(--M257),TEXT(--M257,"000000000000.000"),LOWER(M257)))</f>
        <v/>
      </c>
      <c r="V257">
        <f>IF(K257="","",LOWER(N257))</f>
        <v/>
      </c>
      <c r="W257">
        <f>IF(K257="","",B257)</f>
        <v/>
      </c>
      <c r="X257">
        <f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>
      <c r="A258">
        <f>IF(TRIM('List 1'!A258&amp;'List 1'!C258&amp;'List 1'!D258)="","",LOWER(TRIM('List 1'!A258)&amp;"|"&amp;TRIM('List 1'!C258)&amp;"|"&amp;TRIM('List 1'!D258)))</f>
        <v/>
      </c>
      <c r="B258">
        <f>IF(A258="","",SUMPRODUCT(--($A$2:A258=A258)))</f>
        <v/>
      </c>
      <c r="C258">
        <f>IF(A258="","",A258&amp;"#"&amp;B258)</f>
        <v/>
      </c>
      <c r="D258">
        <f>IF(A258="","",IFERROR(--'List 1'!B258,0))</f>
        <v/>
      </c>
      <c r="F258">
        <f>IF(TRIM('List 2'!A258&amp;'List 2'!C258&amp;'List 2'!D258)="","",LOWER(TRIM('List 2'!A258)&amp;"|"&amp;TRIM('List 2'!C258)&amp;"|"&amp;TRIM('List 2'!D258)))</f>
        <v/>
      </c>
      <c r="G258">
        <f>IF(F258="","",SUMPRODUCT(--($F$2:F258=F258)))</f>
        <v/>
      </c>
      <c r="H258">
        <f>IF(F258="","",F258&amp;"#"&amp;G258)</f>
        <v/>
      </c>
      <c r="I258">
        <f>IF(F258="","",IFERROR(--'List 2'!B258,0))</f>
        <v/>
      </c>
      <c r="K258">
        <f>C258</f>
        <v/>
      </c>
      <c r="L258">
        <f>IF(K258="","",IF(ISNUMBER('List 1'!A258),'List 1'!A258,TRIM('List 1'!A258)))</f>
        <v/>
      </c>
      <c r="M258">
        <f>IF(K258="","",IF(ISNUMBER('List 1'!C258),'List 1'!C258,TRIM('List 1'!C258)))</f>
        <v/>
      </c>
      <c r="N258">
        <f>IF(K258="","",IF(ISNUMBER('List 1'!D258),'List 1'!D258,TRIM('List 1'!D258)))</f>
        <v/>
      </c>
      <c r="O258">
        <f>IF(K258="","",D258)</f>
        <v/>
      </c>
      <c r="P258">
        <f>IF(K258="","",IF(R258,SUMPRODUCT(--($H$2:$H$501=K258),$I$2:$I$501),0))</f>
        <v/>
      </c>
      <c r="Q258">
        <f>IF(K258="","",TRUE)</f>
        <v/>
      </c>
      <c r="R258">
        <f>IF(K258="","",SUMPRODUCT(--($H$2:$H$501=K258))&gt;0)</f>
        <v/>
      </c>
      <c r="S258">
        <f>IF(K258="","",IF(AND(Q258,R258),IF(O258=P258,"Match","Qty Different"),IF(Q258,"Only in List 1","Only in List 2")))</f>
        <v/>
      </c>
      <c r="T258">
        <f>IF(K258="","",IF(ISNUMBER(--L258),TEXT(--L258,"000000000000.000"),LOWER(L258)))</f>
        <v/>
      </c>
      <c r="U258">
        <f>IF(K258="","",IF(ISNUMBER(--M258),TEXT(--M258,"000000000000.000"),LOWER(M258)))</f>
        <v/>
      </c>
      <c r="V258">
        <f>IF(K258="","",LOWER(N258))</f>
        <v/>
      </c>
      <c r="W258">
        <f>IF(K258="","",B258)</f>
        <v/>
      </c>
      <c r="X258">
        <f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>
      <c r="A259">
        <f>IF(TRIM('List 1'!A259&amp;'List 1'!C259&amp;'List 1'!D259)="","",LOWER(TRIM('List 1'!A259)&amp;"|"&amp;TRIM('List 1'!C259)&amp;"|"&amp;TRIM('List 1'!D259)))</f>
        <v/>
      </c>
      <c r="B259">
        <f>IF(A259="","",SUMPRODUCT(--($A$2:A259=A259)))</f>
        <v/>
      </c>
      <c r="C259">
        <f>IF(A259="","",A259&amp;"#"&amp;B259)</f>
        <v/>
      </c>
      <c r="D259">
        <f>IF(A259="","",IFERROR(--'List 1'!B259,0))</f>
        <v/>
      </c>
      <c r="F259">
        <f>IF(TRIM('List 2'!A259&amp;'List 2'!C259&amp;'List 2'!D259)="","",LOWER(TRIM('List 2'!A259)&amp;"|"&amp;TRIM('List 2'!C259)&amp;"|"&amp;TRIM('List 2'!D259)))</f>
        <v/>
      </c>
      <c r="G259">
        <f>IF(F259="","",SUMPRODUCT(--($F$2:F259=F259)))</f>
        <v/>
      </c>
      <c r="H259">
        <f>IF(F259="","",F259&amp;"#"&amp;G259)</f>
        <v/>
      </c>
      <c r="I259">
        <f>IF(F259="","",IFERROR(--'List 2'!B259,0))</f>
        <v/>
      </c>
      <c r="K259">
        <f>C259</f>
        <v/>
      </c>
      <c r="L259">
        <f>IF(K259="","",IF(ISNUMBER('List 1'!A259),'List 1'!A259,TRIM('List 1'!A259)))</f>
        <v/>
      </c>
      <c r="M259">
        <f>IF(K259="","",IF(ISNUMBER('List 1'!C259),'List 1'!C259,TRIM('List 1'!C259)))</f>
        <v/>
      </c>
      <c r="N259">
        <f>IF(K259="","",IF(ISNUMBER('List 1'!D259),'List 1'!D259,TRIM('List 1'!D259)))</f>
        <v/>
      </c>
      <c r="O259">
        <f>IF(K259="","",D259)</f>
        <v/>
      </c>
      <c r="P259">
        <f>IF(K259="","",IF(R259,SUMPRODUCT(--($H$2:$H$501=K259),$I$2:$I$501),0))</f>
        <v/>
      </c>
      <c r="Q259">
        <f>IF(K259="","",TRUE)</f>
        <v/>
      </c>
      <c r="R259">
        <f>IF(K259="","",SUMPRODUCT(--($H$2:$H$501=K259))&gt;0)</f>
        <v/>
      </c>
      <c r="S259">
        <f>IF(K259="","",IF(AND(Q259,R259),IF(O259=P259,"Match","Qty Different"),IF(Q259,"Only in List 1","Only in List 2")))</f>
        <v/>
      </c>
      <c r="T259">
        <f>IF(K259="","",IF(ISNUMBER(--L259),TEXT(--L259,"000000000000.000"),LOWER(L259)))</f>
        <v/>
      </c>
      <c r="U259">
        <f>IF(K259="","",IF(ISNUMBER(--M259),TEXT(--M259,"000000000000.000"),LOWER(M259)))</f>
        <v/>
      </c>
      <c r="V259">
        <f>IF(K259="","",LOWER(N259))</f>
        <v/>
      </c>
      <c r="W259">
        <f>IF(K259="","",B259)</f>
        <v/>
      </c>
      <c r="X259">
        <f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>
      <c r="A260">
        <f>IF(TRIM('List 1'!A260&amp;'List 1'!C260&amp;'List 1'!D260)="","",LOWER(TRIM('List 1'!A260)&amp;"|"&amp;TRIM('List 1'!C260)&amp;"|"&amp;TRIM('List 1'!D260)))</f>
        <v/>
      </c>
      <c r="B260">
        <f>IF(A260="","",SUMPRODUCT(--($A$2:A260=A260)))</f>
        <v/>
      </c>
      <c r="C260">
        <f>IF(A260="","",A260&amp;"#"&amp;B260)</f>
        <v/>
      </c>
      <c r="D260">
        <f>IF(A260="","",IFERROR(--'List 1'!B260,0))</f>
        <v/>
      </c>
      <c r="F260">
        <f>IF(TRIM('List 2'!A260&amp;'List 2'!C260&amp;'List 2'!D260)="","",LOWER(TRIM('List 2'!A260)&amp;"|"&amp;TRIM('List 2'!C260)&amp;"|"&amp;TRIM('List 2'!D260)))</f>
        <v/>
      </c>
      <c r="G260">
        <f>IF(F260="","",SUMPRODUCT(--($F$2:F260=F260)))</f>
        <v/>
      </c>
      <c r="H260">
        <f>IF(F260="","",F260&amp;"#"&amp;G260)</f>
        <v/>
      </c>
      <c r="I260">
        <f>IF(F260="","",IFERROR(--'List 2'!B260,0))</f>
        <v/>
      </c>
      <c r="K260">
        <f>C260</f>
        <v/>
      </c>
      <c r="L260">
        <f>IF(K260="","",IF(ISNUMBER('List 1'!A260),'List 1'!A260,TRIM('List 1'!A260)))</f>
        <v/>
      </c>
      <c r="M260">
        <f>IF(K260="","",IF(ISNUMBER('List 1'!C260),'List 1'!C260,TRIM('List 1'!C260)))</f>
        <v/>
      </c>
      <c r="N260">
        <f>IF(K260="","",IF(ISNUMBER('List 1'!D260),'List 1'!D260,TRIM('List 1'!D260)))</f>
        <v/>
      </c>
      <c r="O260">
        <f>IF(K260="","",D260)</f>
        <v/>
      </c>
      <c r="P260">
        <f>IF(K260="","",IF(R260,SUMPRODUCT(--($H$2:$H$501=K260),$I$2:$I$501),0))</f>
        <v/>
      </c>
      <c r="Q260">
        <f>IF(K260="","",TRUE)</f>
        <v/>
      </c>
      <c r="R260">
        <f>IF(K260="","",SUMPRODUCT(--($H$2:$H$501=K260))&gt;0)</f>
        <v/>
      </c>
      <c r="S260">
        <f>IF(K260="","",IF(AND(Q260,R260),IF(O260=P260,"Match","Qty Different"),IF(Q260,"Only in List 1","Only in List 2")))</f>
        <v/>
      </c>
      <c r="T260">
        <f>IF(K260="","",IF(ISNUMBER(--L260),TEXT(--L260,"000000000000.000"),LOWER(L260)))</f>
        <v/>
      </c>
      <c r="U260">
        <f>IF(K260="","",IF(ISNUMBER(--M260),TEXT(--M260,"000000000000.000"),LOWER(M260)))</f>
        <v/>
      </c>
      <c r="V260">
        <f>IF(K260="","",LOWER(N260))</f>
        <v/>
      </c>
      <c r="W260">
        <f>IF(K260="","",B260)</f>
        <v/>
      </c>
      <c r="X260">
        <f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>
      <c r="A261">
        <f>IF(TRIM('List 1'!A261&amp;'List 1'!C261&amp;'List 1'!D261)="","",LOWER(TRIM('List 1'!A261)&amp;"|"&amp;TRIM('List 1'!C261)&amp;"|"&amp;TRIM('List 1'!D261)))</f>
        <v/>
      </c>
      <c r="B261">
        <f>IF(A261="","",SUMPRODUCT(--($A$2:A261=A261)))</f>
        <v/>
      </c>
      <c r="C261">
        <f>IF(A261="","",A261&amp;"#"&amp;B261)</f>
        <v/>
      </c>
      <c r="D261">
        <f>IF(A261="","",IFERROR(--'List 1'!B261,0))</f>
        <v/>
      </c>
      <c r="F261">
        <f>IF(TRIM('List 2'!A261&amp;'List 2'!C261&amp;'List 2'!D261)="","",LOWER(TRIM('List 2'!A261)&amp;"|"&amp;TRIM('List 2'!C261)&amp;"|"&amp;TRIM('List 2'!D261)))</f>
        <v/>
      </c>
      <c r="G261">
        <f>IF(F261="","",SUMPRODUCT(--($F$2:F261=F261)))</f>
        <v/>
      </c>
      <c r="H261">
        <f>IF(F261="","",F261&amp;"#"&amp;G261)</f>
        <v/>
      </c>
      <c r="I261">
        <f>IF(F261="","",IFERROR(--'List 2'!B261,0))</f>
        <v/>
      </c>
      <c r="K261">
        <f>C261</f>
        <v/>
      </c>
      <c r="L261">
        <f>IF(K261="","",IF(ISNUMBER('List 1'!A261),'List 1'!A261,TRIM('List 1'!A261)))</f>
        <v/>
      </c>
      <c r="M261">
        <f>IF(K261="","",IF(ISNUMBER('List 1'!C261),'List 1'!C261,TRIM('List 1'!C261)))</f>
        <v/>
      </c>
      <c r="N261">
        <f>IF(K261="","",IF(ISNUMBER('List 1'!D261),'List 1'!D261,TRIM('List 1'!D261)))</f>
        <v/>
      </c>
      <c r="O261">
        <f>IF(K261="","",D261)</f>
        <v/>
      </c>
      <c r="P261">
        <f>IF(K261="","",IF(R261,SUMPRODUCT(--($H$2:$H$501=K261),$I$2:$I$501),0))</f>
        <v/>
      </c>
      <c r="Q261">
        <f>IF(K261="","",TRUE)</f>
        <v/>
      </c>
      <c r="R261">
        <f>IF(K261="","",SUMPRODUCT(--($H$2:$H$501=K261))&gt;0)</f>
        <v/>
      </c>
      <c r="S261">
        <f>IF(K261="","",IF(AND(Q261,R261),IF(O261=P261,"Match","Qty Different"),IF(Q261,"Only in List 1","Only in List 2")))</f>
        <v/>
      </c>
      <c r="T261">
        <f>IF(K261="","",IF(ISNUMBER(--L261),TEXT(--L261,"000000000000.000"),LOWER(L261)))</f>
        <v/>
      </c>
      <c r="U261">
        <f>IF(K261="","",IF(ISNUMBER(--M261),TEXT(--M261,"000000000000.000"),LOWER(M261)))</f>
        <v/>
      </c>
      <c r="V261">
        <f>IF(K261="","",LOWER(N261))</f>
        <v/>
      </c>
      <c r="W261">
        <f>IF(K261="","",B261)</f>
        <v/>
      </c>
      <c r="X261">
        <f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>
      <c r="A262">
        <f>IF(TRIM('List 1'!A262&amp;'List 1'!C262&amp;'List 1'!D262)="","",LOWER(TRIM('List 1'!A262)&amp;"|"&amp;TRIM('List 1'!C262)&amp;"|"&amp;TRIM('List 1'!D262)))</f>
        <v/>
      </c>
      <c r="B262">
        <f>IF(A262="","",SUMPRODUCT(--($A$2:A262=A262)))</f>
        <v/>
      </c>
      <c r="C262">
        <f>IF(A262="","",A262&amp;"#"&amp;B262)</f>
        <v/>
      </c>
      <c r="D262">
        <f>IF(A262="","",IFERROR(--'List 1'!B262,0))</f>
        <v/>
      </c>
      <c r="F262">
        <f>IF(TRIM('List 2'!A262&amp;'List 2'!C262&amp;'List 2'!D262)="","",LOWER(TRIM('List 2'!A262)&amp;"|"&amp;TRIM('List 2'!C262)&amp;"|"&amp;TRIM('List 2'!D262)))</f>
        <v/>
      </c>
      <c r="G262">
        <f>IF(F262="","",SUMPRODUCT(--($F$2:F262=F262)))</f>
        <v/>
      </c>
      <c r="H262">
        <f>IF(F262="","",F262&amp;"#"&amp;G262)</f>
        <v/>
      </c>
      <c r="I262">
        <f>IF(F262="","",IFERROR(--'List 2'!B262,0))</f>
        <v/>
      </c>
      <c r="K262">
        <f>C262</f>
        <v/>
      </c>
      <c r="L262">
        <f>IF(K262="","",IF(ISNUMBER('List 1'!A262),'List 1'!A262,TRIM('List 1'!A262)))</f>
        <v/>
      </c>
      <c r="M262">
        <f>IF(K262="","",IF(ISNUMBER('List 1'!C262),'List 1'!C262,TRIM('List 1'!C262)))</f>
        <v/>
      </c>
      <c r="N262">
        <f>IF(K262="","",IF(ISNUMBER('List 1'!D262),'List 1'!D262,TRIM('List 1'!D262)))</f>
        <v/>
      </c>
      <c r="O262">
        <f>IF(K262="","",D262)</f>
        <v/>
      </c>
      <c r="P262">
        <f>IF(K262="","",IF(R262,SUMPRODUCT(--($H$2:$H$501=K262),$I$2:$I$501),0))</f>
        <v/>
      </c>
      <c r="Q262">
        <f>IF(K262="","",TRUE)</f>
        <v/>
      </c>
      <c r="R262">
        <f>IF(K262="","",SUMPRODUCT(--($H$2:$H$501=K262))&gt;0)</f>
        <v/>
      </c>
      <c r="S262">
        <f>IF(K262="","",IF(AND(Q262,R262),IF(O262=P262,"Match","Qty Different"),IF(Q262,"Only in List 1","Only in List 2")))</f>
        <v/>
      </c>
      <c r="T262">
        <f>IF(K262="","",IF(ISNUMBER(--L262),TEXT(--L262,"000000000000.000"),LOWER(L262)))</f>
        <v/>
      </c>
      <c r="U262">
        <f>IF(K262="","",IF(ISNUMBER(--M262),TEXT(--M262,"000000000000.000"),LOWER(M262)))</f>
        <v/>
      </c>
      <c r="V262">
        <f>IF(K262="","",LOWER(N262))</f>
        <v/>
      </c>
      <c r="W262">
        <f>IF(K262="","",B262)</f>
        <v/>
      </c>
      <c r="X262">
        <f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>
      <c r="A263">
        <f>IF(TRIM('List 1'!A263&amp;'List 1'!C263&amp;'List 1'!D263)="","",LOWER(TRIM('List 1'!A263)&amp;"|"&amp;TRIM('List 1'!C263)&amp;"|"&amp;TRIM('List 1'!D263)))</f>
        <v/>
      </c>
      <c r="B263">
        <f>IF(A263="","",SUMPRODUCT(--($A$2:A263=A263)))</f>
        <v/>
      </c>
      <c r="C263">
        <f>IF(A263="","",A263&amp;"#"&amp;B263)</f>
        <v/>
      </c>
      <c r="D263">
        <f>IF(A263="","",IFERROR(--'List 1'!B263,0))</f>
        <v/>
      </c>
      <c r="F263">
        <f>IF(TRIM('List 2'!A263&amp;'List 2'!C263&amp;'List 2'!D263)="","",LOWER(TRIM('List 2'!A263)&amp;"|"&amp;TRIM('List 2'!C263)&amp;"|"&amp;TRIM('List 2'!D263)))</f>
        <v/>
      </c>
      <c r="G263">
        <f>IF(F263="","",SUMPRODUCT(--($F$2:F263=F263)))</f>
        <v/>
      </c>
      <c r="H263">
        <f>IF(F263="","",F263&amp;"#"&amp;G263)</f>
        <v/>
      </c>
      <c r="I263">
        <f>IF(F263="","",IFERROR(--'List 2'!B263,0))</f>
        <v/>
      </c>
      <c r="K263">
        <f>C263</f>
        <v/>
      </c>
      <c r="L263">
        <f>IF(K263="","",IF(ISNUMBER('List 1'!A263),'List 1'!A263,TRIM('List 1'!A263)))</f>
        <v/>
      </c>
      <c r="M263">
        <f>IF(K263="","",IF(ISNUMBER('List 1'!C263),'List 1'!C263,TRIM('List 1'!C263)))</f>
        <v/>
      </c>
      <c r="N263">
        <f>IF(K263="","",IF(ISNUMBER('List 1'!D263),'List 1'!D263,TRIM('List 1'!D263)))</f>
        <v/>
      </c>
      <c r="O263">
        <f>IF(K263="","",D263)</f>
        <v/>
      </c>
      <c r="P263">
        <f>IF(K263="","",IF(R263,SUMPRODUCT(--($H$2:$H$501=K263),$I$2:$I$501),0))</f>
        <v/>
      </c>
      <c r="Q263">
        <f>IF(K263="","",TRUE)</f>
        <v/>
      </c>
      <c r="R263">
        <f>IF(K263="","",SUMPRODUCT(--($H$2:$H$501=K263))&gt;0)</f>
        <v/>
      </c>
      <c r="S263">
        <f>IF(K263="","",IF(AND(Q263,R263),IF(O263=P263,"Match","Qty Different"),IF(Q263,"Only in List 1","Only in List 2")))</f>
        <v/>
      </c>
      <c r="T263">
        <f>IF(K263="","",IF(ISNUMBER(--L263),TEXT(--L263,"000000000000.000"),LOWER(L263)))</f>
        <v/>
      </c>
      <c r="U263">
        <f>IF(K263="","",IF(ISNUMBER(--M263),TEXT(--M263,"000000000000.000"),LOWER(M263)))</f>
        <v/>
      </c>
      <c r="V263">
        <f>IF(K263="","",LOWER(N263))</f>
        <v/>
      </c>
      <c r="W263">
        <f>IF(K263="","",B263)</f>
        <v/>
      </c>
      <c r="X263">
        <f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>
      <c r="A264">
        <f>IF(TRIM('List 1'!A264&amp;'List 1'!C264&amp;'List 1'!D264)="","",LOWER(TRIM('List 1'!A264)&amp;"|"&amp;TRIM('List 1'!C264)&amp;"|"&amp;TRIM('List 1'!D264)))</f>
        <v/>
      </c>
      <c r="B264">
        <f>IF(A264="","",SUMPRODUCT(--($A$2:A264=A264)))</f>
        <v/>
      </c>
      <c r="C264">
        <f>IF(A264="","",A264&amp;"#"&amp;B264)</f>
        <v/>
      </c>
      <c r="D264">
        <f>IF(A264="","",IFERROR(--'List 1'!B264,0))</f>
        <v/>
      </c>
      <c r="F264">
        <f>IF(TRIM('List 2'!A264&amp;'List 2'!C264&amp;'List 2'!D264)="","",LOWER(TRIM('List 2'!A264)&amp;"|"&amp;TRIM('List 2'!C264)&amp;"|"&amp;TRIM('List 2'!D264)))</f>
        <v/>
      </c>
      <c r="G264">
        <f>IF(F264="","",SUMPRODUCT(--($F$2:F264=F264)))</f>
        <v/>
      </c>
      <c r="H264">
        <f>IF(F264="","",F264&amp;"#"&amp;G264)</f>
        <v/>
      </c>
      <c r="I264">
        <f>IF(F264="","",IFERROR(--'List 2'!B264,0))</f>
        <v/>
      </c>
      <c r="K264">
        <f>C264</f>
        <v/>
      </c>
      <c r="L264">
        <f>IF(K264="","",IF(ISNUMBER('List 1'!A264),'List 1'!A264,TRIM('List 1'!A264)))</f>
        <v/>
      </c>
      <c r="M264">
        <f>IF(K264="","",IF(ISNUMBER('List 1'!C264),'List 1'!C264,TRIM('List 1'!C264)))</f>
        <v/>
      </c>
      <c r="N264">
        <f>IF(K264="","",IF(ISNUMBER('List 1'!D264),'List 1'!D264,TRIM('List 1'!D264)))</f>
        <v/>
      </c>
      <c r="O264">
        <f>IF(K264="","",D264)</f>
        <v/>
      </c>
      <c r="P264">
        <f>IF(K264="","",IF(R264,SUMPRODUCT(--($H$2:$H$501=K264),$I$2:$I$501),0))</f>
        <v/>
      </c>
      <c r="Q264">
        <f>IF(K264="","",TRUE)</f>
        <v/>
      </c>
      <c r="R264">
        <f>IF(K264="","",SUMPRODUCT(--($H$2:$H$501=K264))&gt;0)</f>
        <v/>
      </c>
      <c r="S264">
        <f>IF(K264="","",IF(AND(Q264,R264),IF(O264=P264,"Match","Qty Different"),IF(Q264,"Only in List 1","Only in List 2")))</f>
        <v/>
      </c>
      <c r="T264">
        <f>IF(K264="","",IF(ISNUMBER(--L264),TEXT(--L264,"000000000000.000"),LOWER(L264)))</f>
        <v/>
      </c>
      <c r="U264">
        <f>IF(K264="","",IF(ISNUMBER(--M264),TEXT(--M264,"000000000000.000"),LOWER(M264)))</f>
        <v/>
      </c>
      <c r="V264">
        <f>IF(K264="","",LOWER(N264))</f>
        <v/>
      </c>
      <c r="W264">
        <f>IF(K264="","",B264)</f>
        <v/>
      </c>
      <c r="X264">
        <f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>
      <c r="A265">
        <f>IF(TRIM('List 1'!A265&amp;'List 1'!C265&amp;'List 1'!D265)="","",LOWER(TRIM('List 1'!A265)&amp;"|"&amp;TRIM('List 1'!C265)&amp;"|"&amp;TRIM('List 1'!D265)))</f>
        <v/>
      </c>
      <c r="B265">
        <f>IF(A265="","",SUMPRODUCT(--($A$2:A265=A265)))</f>
        <v/>
      </c>
      <c r="C265">
        <f>IF(A265="","",A265&amp;"#"&amp;B265)</f>
        <v/>
      </c>
      <c r="D265">
        <f>IF(A265="","",IFERROR(--'List 1'!B265,0))</f>
        <v/>
      </c>
      <c r="F265">
        <f>IF(TRIM('List 2'!A265&amp;'List 2'!C265&amp;'List 2'!D265)="","",LOWER(TRIM('List 2'!A265)&amp;"|"&amp;TRIM('List 2'!C265)&amp;"|"&amp;TRIM('List 2'!D265)))</f>
        <v/>
      </c>
      <c r="G265">
        <f>IF(F265="","",SUMPRODUCT(--($F$2:F265=F265)))</f>
        <v/>
      </c>
      <c r="H265">
        <f>IF(F265="","",F265&amp;"#"&amp;G265)</f>
        <v/>
      </c>
      <c r="I265">
        <f>IF(F265="","",IFERROR(--'List 2'!B265,0))</f>
        <v/>
      </c>
      <c r="K265">
        <f>C265</f>
        <v/>
      </c>
      <c r="L265">
        <f>IF(K265="","",IF(ISNUMBER('List 1'!A265),'List 1'!A265,TRIM('List 1'!A265)))</f>
        <v/>
      </c>
      <c r="M265">
        <f>IF(K265="","",IF(ISNUMBER('List 1'!C265),'List 1'!C265,TRIM('List 1'!C265)))</f>
        <v/>
      </c>
      <c r="N265">
        <f>IF(K265="","",IF(ISNUMBER('List 1'!D265),'List 1'!D265,TRIM('List 1'!D265)))</f>
        <v/>
      </c>
      <c r="O265">
        <f>IF(K265="","",D265)</f>
        <v/>
      </c>
      <c r="P265">
        <f>IF(K265="","",IF(R265,SUMPRODUCT(--($H$2:$H$501=K265),$I$2:$I$501),0))</f>
        <v/>
      </c>
      <c r="Q265">
        <f>IF(K265="","",TRUE)</f>
        <v/>
      </c>
      <c r="R265">
        <f>IF(K265="","",SUMPRODUCT(--($H$2:$H$501=K265))&gt;0)</f>
        <v/>
      </c>
      <c r="S265">
        <f>IF(K265="","",IF(AND(Q265,R265),IF(O265=P265,"Match","Qty Different"),IF(Q265,"Only in List 1","Only in List 2")))</f>
        <v/>
      </c>
      <c r="T265">
        <f>IF(K265="","",IF(ISNUMBER(--L265),TEXT(--L265,"000000000000.000"),LOWER(L265)))</f>
        <v/>
      </c>
      <c r="U265">
        <f>IF(K265="","",IF(ISNUMBER(--M265),TEXT(--M265,"000000000000.000"),LOWER(M265)))</f>
        <v/>
      </c>
      <c r="V265">
        <f>IF(K265="","",LOWER(N265))</f>
        <v/>
      </c>
      <c r="W265">
        <f>IF(K265="","",B265)</f>
        <v/>
      </c>
      <c r="X265">
        <f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>
      <c r="A266">
        <f>IF(TRIM('List 1'!A266&amp;'List 1'!C266&amp;'List 1'!D266)="","",LOWER(TRIM('List 1'!A266)&amp;"|"&amp;TRIM('List 1'!C266)&amp;"|"&amp;TRIM('List 1'!D266)))</f>
        <v/>
      </c>
      <c r="B266">
        <f>IF(A266="","",SUMPRODUCT(--($A$2:A266=A266)))</f>
        <v/>
      </c>
      <c r="C266">
        <f>IF(A266="","",A266&amp;"#"&amp;B266)</f>
        <v/>
      </c>
      <c r="D266">
        <f>IF(A266="","",IFERROR(--'List 1'!B266,0))</f>
        <v/>
      </c>
      <c r="F266">
        <f>IF(TRIM('List 2'!A266&amp;'List 2'!C266&amp;'List 2'!D266)="","",LOWER(TRIM('List 2'!A266)&amp;"|"&amp;TRIM('List 2'!C266)&amp;"|"&amp;TRIM('List 2'!D266)))</f>
        <v/>
      </c>
      <c r="G266">
        <f>IF(F266="","",SUMPRODUCT(--($F$2:F266=F266)))</f>
        <v/>
      </c>
      <c r="H266">
        <f>IF(F266="","",F266&amp;"#"&amp;G266)</f>
        <v/>
      </c>
      <c r="I266">
        <f>IF(F266="","",IFERROR(--'List 2'!B266,0))</f>
        <v/>
      </c>
      <c r="K266">
        <f>C266</f>
        <v/>
      </c>
      <c r="L266">
        <f>IF(K266="","",IF(ISNUMBER('List 1'!A266),'List 1'!A266,TRIM('List 1'!A266)))</f>
        <v/>
      </c>
      <c r="M266">
        <f>IF(K266="","",IF(ISNUMBER('List 1'!C266),'List 1'!C266,TRIM('List 1'!C266)))</f>
        <v/>
      </c>
      <c r="N266">
        <f>IF(K266="","",IF(ISNUMBER('List 1'!D266),'List 1'!D266,TRIM('List 1'!D266)))</f>
        <v/>
      </c>
      <c r="O266">
        <f>IF(K266="","",D266)</f>
        <v/>
      </c>
      <c r="P266">
        <f>IF(K266="","",IF(R266,SUMPRODUCT(--($H$2:$H$501=K266),$I$2:$I$501),0))</f>
        <v/>
      </c>
      <c r="Q266">
        <f>IF(K266="","",TRUE)</f>
        <v/>
      </c>
      <c r="R266">
        <f>IF(K266="","",SUMPRODUCT(--($H$2:$H$501=K266))&gt;0)</f>
        <v/>
      </c>
      <c r="S266">
        <f>IF(K266="","",IF(AND(Q266,R266),IF(O266=P266,"Match","Qty Different"),IF(Q266,"Only in List 1","Only in List 2")))</f>
        <v/>
      </c>
      <c r="T266">
        <f>IF(K266="","",IF(ISNUMBER(--L266),TEXT(--L266,"000000000000.000"),LOWER(L266)))</f>
        <v/>
      </c>
      <c r="U266">
        <f>IF(K266="","",IF(ISNUMBER(--M266),TEXT(--M266,"000000000000.000"),LOWER(M266)))</f>
        <v/>
      </c>
      <c r="V266">
        <f>IF(K266="","",LOWER(N266))</f>
        <v/>
      </c>
      <c r="W266">
        <f>IF(K266="","",B266)</f>
        <v/>
      </c>
      <c r="X266">
        <f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>
      <c r="A267">
        <f>IF(TRIM('List 1'!A267&amp;'List 1'!C267&amp;'List 1'!D267)="","",LOWER(TRIM('List 1'!A267)&amp;"|"&amp;TRIM('List 1'!C267)&amp;"|"&amp;TRIM('List 1'!D267)))</f>
        <v/>
      </c>
      <c r="B267">
        <f>IF(A267="","",SUMPRODUCT(--($A$2:A267=A267)))</f>
        <v/>
      </c>
      <c r="C267">
        <f>IF(A267="","",A267&amp;"#"&amp;B267)</f>
        <v/>
      </c>
      <c r="D267">
        <f>IF(A267="","",IFERROR(--'List 1'!B267,0))</f>
        <v/>
      </c>
      <c r="F267">
        <f>IF(TRIM('List 2'!A267&amp;'List 2'!C267&amp;'List 2'!D267)="","",LOWER(TRIM('List 2'!A267)&amp;"|"&amp;TRIM('List 2'!C267)&amp;"|"&amp;TRIM('List 2'!D267)))</f>
        <v/>
      </c>
      <c r="G267">
        <f>IF(F267="","",SUMPRODUCT(--($F$2:F267=F267)))</f>
        <v/>
      </c>
      <c r="H267">
        <f>IF(F267="","",F267&amp;"#"&amp;G267)</f>
        <v/>
      </c>
      <c r="I267">
        <f>IF(F267="","",IFERROR(--'List 2'!B267,0))</f>
        <v/>
      </c>
      <c r="K267">
        <f>C267</f>
        <v/>
      </c>
      <c r="L267">
        <f>IF(K267="","",IF(ISNUMBER('List 1'!A267),'List 1'!A267,TRIM('List 1'!A267)))</f>
        <v/>
      </c>
      <c r="M267">
        <f>IF(K267="","",IF(ISNUMBER('List 1'!C267),'List 1'!C267,TRIM('List 1'!C267)))</f>
        <v/>
      </c>
      <c r="N267">
        <f>IF(K267="","",IF(ISNUMBER('List 1'!D267),'List 1'!D267,TRIM('List 1'!D267)))</f>
        <v/>
      </c>
      <c r="O267">
        <f>IF(K267="","",D267)</f>
        <v/>
      </c>
      <c r="P267">
        <f>IF(K267="","",IF(R267,SUMPRODUCT(--($H$2:$H$501=K267),$I$2:$I$501),0))</f>
        <v/>
      </c>
      <c r="Q267">
        <f>IF(K267="","",TRUE)</f>
        <v/>
      </c>
      <c r="R267">
        <f>IF(K267="","",SUMPRODUCT(--($H$2:$H$501=K267))&gt;0)</f>
        <v/>
      </c>
      <c r="S267">
        <f>IF(K267="","",IF(AND(Q267,R267),IF(O267=P267,"Match","Qty Different"),IF(Q267,"Only in List 1","Only in List 2")))</f>
        <v/>
      </c>
      <c r="T267">
        <f>IF(K267="","",IF(ISNUMBER(--L267),TEXT(--L267,"000000000000.000"),LOWER(L267)))</f>
        <v/>
      </c>
      <c r="U267">
        <f>IF(K267="","",IF(ISNUMBER(--M267),TEXT(--M267,"000000000000.000"),LOWER(M267)))</f>
        <v/>
      </c>
      <c r="V267">
        <f>IF(K267="","",LOWER(N267))</f>
        <v/>
      </c>
      <c r="W267">
        <f>IF(K267="","",B267)</f>
        <v/>
      </c>
      <c r="X267">
        <f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>
      <c r="A268">
        <f>IF(TRIM('List 1'!A268&amp;'List 1'!C268&amp;'List 1'!D268)="","",LOWER(TRIM('List 1'!A268)&amp;"|"&amp;TRIM('List 1'!C268)&amp;"|"&amp;TRIM('List 1'!D268)))</f>
        <v/>
      </c>
      <c r="B268">
        <f>IF(A268="","",SUMPRODUCT(--($A$2:A268=A268)))</f>
        <v/>
      </c>
      <c r="C268">
        <f>IF(A268="","",A268&amp;"#"&amp;B268)</f>
        <v/>
      </c>
      <c r="D268">
        <f>IF(A268="","",IFERROR(--'List 1'!B268,0))</f>
        <v/>
      </c>
      <c r="F268">
        <f>IF(TRIM('List 2'!A268&amp;'List 2'!C268&amp;'List 2'!D268)="","",LOWER(TRIM('List 2'!A268)&amp;"|"&amp;TRIM('List 2'!C268)&amp;"|"&amp;TRIM('List 2'!D268)))</f>
        <v/>
      </c>
      <c r="G268">
        <f>IF(F268="","",SUMPRODUCT(--($F$2:F268=F268)))</f>
        <v/>
      </c>
      <c r="H268">
        <f>IF(F268="","",F268&amp;"#"&amp;G268)</f>
        <v/>
      </c>
      <c r="I268">
        <f>IF(F268="","",IFERROR(--'List 2'!B268,0))</f>
        <v/>
      </c>
      <c r="K268">
        <f>C268</f>
        <v/>
      </c>
      <c r="L268">
        <f>IF(K268="","",IF(ISNUMBER('List 1'!A268),'List 1'!A268,TRIM('List 1'!A268)))</f>
        <v/>
      </c>
      <c r="M268">
        <f>IF(K268="","",IF(ISNUMBER('List 1'!C268),'List 1'!C268,TRIM('List 1'!C268)))</f>
        <v/>
      </c>
      <c r="N268">
        <f>IF(K268="","",IF(ISNUMBER('List 1'!D268),'List 1'!D268,TRIM('List 1'!D268)))</f>
        <v/>
      </c>
      <c r="O268">
        <f>IF(K268="","",D268)</f>
        <v/>
      </c>
      <c r="P268">
        <f>IF(K268="","",IF(R268,SUMPRODUCT(--($H$2:$H$501=K268),$I$2:$I$501),0))</f>
        <v/>
      </c>
      <c r="Q268">
        <f>IF(K268="","",TRUE)</f>
        <v/>
      </c>
      <c r="R268">
        <f>IF(K268="","",SUMPRODUCT(--($H$2:$H$501=K268))&gt;0)</f>
        <v/>
      </c>
      <c r="S268">
        <f>IF(K268="","",IF(AND(Q268,R268),IF(O268=P268,"Match","Qty Different"),IF(Q268,"Only in List 1","Only in List 2")))</f>
        <v/>
      </c>
      <c r="T268">
        <f>IF(K268="","",IF(ISNUMBER(--L268),TEXT(--L268,"000000000000.000"),LOWER(L268)))</f>
        <v/>
      </c>
      <c r="U268">
        <f>IF(K268="","",IF(ISNUMBER(--M268),TEXT(--M268,"000000000000.000"),LOWER(M268)))</f>
        <v/>
      </c>
      <c r="V268">
        <f>IF(K268="","",LOWER(N268))</f>
        <v/>
      </c>
      <c r="W268">
        <f>IF(K268="","",B268)</f>
        <v/>
      </c>
      <c r="X268">
        <f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>
      <c r="A269">
        <f>IF(TRIM('List 1'!A269&amp;'List 1'!C269&amp;'List 1'!D269)="","",LOWER(TRIM('List 1'!A269)&amp;"|"&amp;TRIM('List 1'!C269)&amp;"|"&amp;TRIM('List 1'!D269)))</f>
        <v/>
      </c>
      <c r="B269">
        <f>IF(A269="","",SUMPRODUCT(--($A$2:A269=A269)))</f>
        <v/>
      </c>
      <c r="C269">
        <f>IF(A269="","",A269&amp;"#"&amp;B269)</f>
        <v/>
      </c>
      <c r="D269">
        <f>IF(A269="","",IFERROR(--'List 1'!B269,0))</f>
        <v/>
      </c>
      <c r="F269">
        <f>IF(TRIM('List 2'!A269&amp;'List 2'!C269&amp;'List 2'!D269)="","",LOWER(TRIM('List 2'!A269)&amp;"|"&amp;TRIM('List 2'!C269)&amp;"|"&amp;TRIM('List 2'!D269)))</f>
        <v/>
      </c>
      <c r="G269">
        <f>IF(F269="","",SUMPRODUCT(--($F$2:F269=F269)))</f>
        <v/>
      </c>
      <c r="H269">
        <f>IF(F269="","",F269&amp;"#"&amp;G269)</f>
        <v/>
      </c>
      <c r="I269">
        <f>IF(F269="","",IFERROR(--'List 2'!B269,0))</f>
        <v/>
      </c>
      <c r="K269">
        <f>C269</f>
        <v/>
      </c>
      <c r="L269">
        <f>IF(K269="","",IF(ISNUMBER('List 1'!A269),'List 1'!A269,TRIM('List 1'!A269)))</f>
        <v/>
      </c>
      <c r="M269">
        <f>IF(K269="","",IF(ISNUMBER('List 1'!C269),'List 1'!C269,TRIM('List 1'!C269)))</f>
        <v/>
      </c>
      <c r="N269">
        <f>IF(K269="","",IF(ISNUMBER('List 1'!D269),'List 1'!D269,TRIM('List 1'!D269)))</f>
        <v/>
      </c>
      <c r="O269">
        <f>IF(K269="","",D269)</f>
        <v/>
      </c>
      <c r="P269">
        <f>IF(K269="","",IF(R269,SUMPRODUCT(--($H$2:$H$501=K269),$I$2:$I$501),0))</f>
        <v/>
      </c>
      <c r="Q269">
        <f>IF(K269="","",TRUE)</f>
        <v/>
      </c>
      <c r="R269">
        <f>IF(K269="","",SUMPRODUCT(--($H$2:$H$501=K269))&gt;0)</f>
        <v/>
      </c>
      <c r="S269">
        <f>IF(K269="","",IF(AND(Q269,R269),IF(O269=P269,"Match","Qty Different"),IF(Q269,"Only in List 1","Only in List 2")))</f>
        <v/>
      </c>
      <c r="T269">
        <f>IF(K269="","",IF(ISNUMBER(--L269),TEXT(--L269,"000000000000.000"),LOWER(L269)))</f>
        <v/>
      </c>
      <c r="U269">
        <f>IF(K269="","",IF(ISNUMBER(--M269),TEXT(--M269,"000000000000.000"),LOWER(M269)))</f>
        <v/>
      </c>
      <c r="V269">
        <f>IF(K269="","",LOWER(N269))</f>
        <v/>
      </c>
      <c r="W269">
        <f>IF(K269="","",B269)</f>
        <v/>
      </c>
      <c r="X269">
        <f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>
      <c r="A270">
        <f>IF(TRIM('List 1'!A270&amp;'List 1'!C270&amp;'List 1'!D270)="","",LOWER(TRIM('List 1'!A270)&amp;"|"&amp;TRIM('List 1'!C270)&amp;"|"&amp;TRIM('List 1'!D270)))</f>
        <v/>
      </c>
      <c r="B270">
        <f>IF(A270="","",SUMPRODUCT(--($A$2:A270=A270)))</f>
        <v/>
      </c>
      <c r="C270">
        <f>IF(A270="","",A270&amp;"#"&amp;B270)</f>
        <v/>
      </c>
      <c r="D270">
        <f>IF(A270="","",IFERROR(--'List 1'!B270,0))</f>
        <v/>
      </c>
      <c r="F270">
        <f>IF(TRIM('List 2'!A270&amp;'List 2'!C270&amp;'List 2'!D270)="","",LOWER(TRIM('List 2'!A270)&amp;"|"&amp;TRIM('List 2'!C270)&amp;"|"&amp;TRIM('List 2'!D270)))</f>
        <v/>
      </c>
      <c r="G270">
        <f>IF(F270="","",SUMPRODUCT(--($F$2:F270=F270)))</f>
        <v/>
      </c>
      <c r="H270">
        <f>IF(F270="","",F270&amp;"#"&amp;G270)</f>
        <v/>
      </c>
      <c r="I270">
        <f>IF(F270="","",IFERROR(--'List 2'!B270,0))</f>
        <v/>
      </c>
      <c r="K270">
        <f>C270</f>
        <v/>
      </c>
      <c r="L270">
        <f>IF(K270="","",IF(ISNUMBER('List 1'!A270),'List 1'!A270,TRIM('List 1'!A270)))</f>
        <v/>
      </c>
      <c r="M270">
        <f>IF(K270="","",IF(ISNUMBER('List 1'!C270),'List 1'!C270,TRIM('List 1'!C270)))</f>
        <v/>
      </c>
      <c r="N270">
        <f>IF(K270="","",IF(ISNUMBER('List 1'!D270),'List 1'!D270,TRIM('List 1'!D270)))</f>
        <v/>
      </c>
      <c r="O270">
        <f>IF(K270="","",D270)</f>
        <v/>
      </c>
      <c r="P270">
        <f>IF(K270="","",IF(R270,SUMPRODUCT(--($H$2:$H$501=K270),$I$2:$I$501),0))</f>
        <v/>
      </c>
      <c r="Q270">
        <f>IF(K270="","",TRUE)</f>
        <v/>
      </c>
      <c r="R270">
        <f>IF(K270="","",SUMPRODUCT(--($H$2:$H$501=K270))&gt;0)</f>
        <v/>
      </c>
      <c r="S270">
        <f>IF(K270="","",IF(AND(Q270,R270),IF(O270=P270,"Match","Qty Different"),IF(Q270,"Only in List 1","Only in List 2")))</f>
        <v/>
      </c>
      <c r="T270">
        <f>IF(K270="","",IF(ISNUMBER(--L270),TEXT(--L270,"000000000000.000"),LOWER(L270)))</f>
        <v/>
      </c>
      <c r="U270">
        <f>IF(K270="","",IF(ISNUMBER(--M270),TEXT(--M270,"000000000000.000"),LOWER(M270)))</f>
        <v/>
      </c>
      <c r="V270">
        <f>IF(K270="","",LOWER(N270))</f>
        <v/>
      </c>
      <c r="W270">
        <f>IF(K270="","",B270)</f>
        <v/>
      </c>
      <c r="X270">
        <f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>
      <c r="A271">
        <f>IF(TRIM('List 1'!A271&amp;'List 1'!C271&amp;'List 1'!D271)="","",LOWER(TRIM('List 1'!A271)&amp;"|"&amp;TRIM('List 1'!C271)&amp;"|"&amp;TRIM('List 1'!D271)))</f>
        <v/>
      </c>
      <c r="B271">
        <f>IF(A271="","",SUMPRODUCT(--($A$2:A271=A271)))</f>
        <v/>
      </c>
      <c r="C271">
        <f>IF(A271="","",A271&amp;"#"&amp;B271)</f>
        <v/>
      </c>
      <c r="D271">
        <f>IF(A271="","",IFERROR(--'List 1'!B271,0))</f>
        <v/>
      </c>
      <c r="F271">
        <f>IF(TRIM('List 2'!A271&amp;'List 2'!C271&amp;'List 2'!D271)="","",LOWER(TRIM('List 2'!A271)&amp;"|"&amp;TRIM('List 2'!C271)&amp;"|"&amp;TRIM('List 2'!D271)))</f>
        <v/>
      </c>
      <c r="G271">
        <f>IF(F271="","",SUMPRODUCT(--($F$2:F271=F271)))</f>
        <v/>
      </c>
      <c r="H271">
        <f>IF(F271="","",F271&amp;"#"&amp;G271)</f>
        <v/>
      </c>
      <c r="I271">
        <f>IF(F271="","",IFERROR(--'List 2'!B271,0))</f>
        <v/>
      </c>
      <c r="K271">
        <f>C271</f>
        <v/>
      </c>
      <c r="L271">
        <f>IF(K271="","",IF(ISNUMBER('List 1'!A271),'List 1'!A271,TRIM('List 1'!A271)))</f>
        <v/>
      </c>
      <c r="M271">
        <f>IF(K271="","",IF(ISNUMBER('List 1'!C271),'List 1'!C271,TRIM('List 1'!C271)))</f>
        <v/>
      </c>
      <c r="N271">
        <f>IF(K271="","",IF(ISNUMBER('List 1'!D271),'List 1'!D271,TRIM('List 1'!D271)))</f>
        <v/>
      </c>
      <c r="O271">
        <f>IF(K271="","",D271)</f>
        <v/>
      </c>
      <c r="P271">
        <f>IF(K271="","",IF(R271,SUMPRODUCT(--($H$2:$H$501=K271),$I$2:$I$501),0))</f>
        <v/>
      </c>
      <c r="Q271">
        <f>IF(K271="","",TRUE)</f>
        <v/>
      </c>
      <c r="R271">
        <f>IF(K271="","",SUMPRODUCT(--($H$2:$H$501=K271))&gt;0)</f>
        <v/>
      </c>
      <c r="S271">
        <f>IF(K271="","",IF(AND(Q271,R271),IF(O271=P271,"Match","Qty Different"),IF(Q271,"Only in List 1","Only in List 2")))</f>
        <v/>
      </c>
      <c r="T271">
        <f>IF(K271="","",IF(ISNUMBER(--L271),TEXT(--L271,"000000000000.000"),LOWER(L271)))</f>
        <v/>
      </c>
      <c r="U271">
        <f>IF(K271="","",IF(ISNUMBER(--M271),TEXT(--M271,"000000000000.000"),LOWER(M271)))</f>
        <v/>
      </c>
      <c r="V271">
        <f>IF(K271="","",LOWER(N271))</f>
        <v/>
      </c>
      <c r="W271">
        <f>IF(K271="","",B271)</f>
        <v/>
      </c>
      <c r="X271">
        <f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>
      <c r="A272">
        <f>IF(TRIM('List 1'!A272&amp;'List 1'!C272&amp;'List 1'!D272)="","",LOWER(TRIM('List 1'!A272)&amp;"|"&amp;TRIM('List 1'!C272)&amp;"|"&amp;TRIM('List 1'!D272)))</f>
        <v/>
      </c>
      <c r="B272">
        <f>IF(A272="","",SUMPRODUCT(--($A$2:A272=A272)))</f>
        <v/>
      </c>
      <c r="C272">
        <f>IF(A272="","",A272&amp;"#"&amp;B272)</f>
        <v/>
      </c>
      <c r="D272">
        <f>IF(A272="","",IFERROR(--'List 1'!B272,0))</f>
        <v/>
      </c>
      <c r="F272">
        <f>IF(TRIM('List 2'!A272&amp;'List 2'!C272&amp;'List 2'!D272)="","",LOWER(TRIM('List 2'!A272)&amp;"|"&amp;TRIM('List 2'!C272)&amp;"|"&amp;TRIM('List 2'!D272)))</f>
        <v/>
      </c>
      <c r="G272">
        <f>IF(F272="","",SUMPRODUCT(--($F$2:F272=F272)))</f>
        <v/>
      </c>
      <c r="H272">
        <f>IF(F272="","",F272&amp;"#"&amp;G272)</f>
        <v/>
      </c>
      <c r="I272">
        <f>IF(F272="","",IFERROR(--'List 2'!B272,0))</f>
        <v/>
      </c>
      <c r="K272">
        <f>C272</f>
        <v/>
      </c>
      <c r="L272">
        <f>IF(K272="","",IF(ISNUMBER('List 1'!A272),'List 1'!A272,TRIM('List 1'!A272)))</f>
        <v/>
      </c>
      <c r="M272">
        <f>IF(K272="","",IF(ISNUMBER('List 1'!C272),'List 1'!C272,TRIM('List 1'!C272)))</f>
        <v/>
      </c>
      <c r="N272">
        <f>IF(K272="","",IF(ISNUMBER('List 1'!D272),'List 1'!D272,TRIM('List 1'!D272)))</f>
        <v/>
      </c>
      <c r="O272">
        <f>IF(K272="","",D272)</f>
        <v/>
      </c>
      <c r="P272">
        <f>IF(K272="","",IF(R272,SUMPRODUCT(--($H$2:$H$501=K272),$I$2:$I$501),0))</f>
        <v/>
      </c>
      <c r="Q272">
        <f>IF(K272="","",TRUE)</f>
        <v/>
      </c>
      <c r="R272">
        <f>IF(K272="","",SUMPRODUCT(--($H$2:$H$501=K272))&gt;0)</f>
        <v/>
      </c>
      <c r="S272">
        <f>IF(K272="","",IF(AND(Q272,R272),IF(O272=P272,"Match","Qty Different"),IF(Q272,"Only in List 1","Only in List 2")))</f>
        <v/>
      </c>
      <c r="T272">
        <f>IF(K272="","",IF(ISNUMBER(--L272),TEXT(--L272,"000000000000.000"),LOWER(L272)))</f>
        <v/>
      </c>
      <c r="U272">
        <f>IF(K272="","",IF(ISNUMBER(--M272),TEXT(--M272,"000000000000.000"),LOWER(M272)))</f>
        <v/>
      </c>
      <c r="V272">
        <f>IF(K272="","",LOWER(N272))</f>
        <v/>
      </c>
      <c r="W272">
        <f>IF(K272="","",B272)</f>
        <v/>
      </c>
      <c r="X272">
        <f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>
      <c r="A273">
        <f>IF(TRIM('List 1'!A273&amp;'List 1'!C273&amp;'List 1'!D273)="","",LOWER(TRIM('List 1'!A273)&amp;"|"&amp;TRIM('List 1'!C273)&amp;"|"&amp;TRIM('List 1'!D273)))</f>
        <v/>
      </c>
      <c r="B273">
        <f>IF(A273="","",SUMPRODUCT(--($A$2:A273=A273)))</f>
        <v/>
      </c>
      <c r="C273">
        <f>IF(A273="","",A273&amp;"#"&amp;B273)</f>
        <v/>
      </c>
      <c r="D273">
        <f>IF(A273="","",IFERROR(--'List 1'!B273,0))</f>
        <v/>
      </c>
      <c r="F273">
        <f>IF(TRIM('List 2'!A273&amp;'List 2'!C273&amp;'List 2'!D273)="","",LOWER(TRIM('List 2'!A273)&amp;"|"&amp;TRIM('List 2'!C273)&amp;"|"&amp;TRIM('List 2'!D273)))</f>
        <v/>
      </c>
      <c r="G273">
        <f>IF(F273="","",SUMPRODUCT(--($F$2:F273=F273)))</f>
        <v/>
      </c>
      <c r="H273">
        <f>IF(F273="","",F273&amp;"#"&amp;G273)</f>
        <v/>
      </c>
      <c r="I273">
        <f>IF(F273="","",IFERROR(--'List 2'!B273,0))</f>
        <v/>
      </c>
      <c r="K273">
        <f>C273</f>
        <v/>
      </c>
      <c r="L273">
        <f>IF(K273="","",IF(ISNUMBER('List 1'!A273),'List 1'!A273,TRIM('List 1'!A273)))</f>
        <v/>
      </c>
      <c r="M273">
        <f>IF(K273="","",IF(ISNUMBER('List 1'!C273),'List 1'!C273,TRIM('List 1'!C273)))</f>
        <v/>
      </c>
      <c r="N273">
        <f>IF(K273="","",IF(ISNUMBER('List 1'!D273),'List 1'!D273,TRIM('List 1'!D273)))</f>
        <v/>
      </c>
      <c r="O273">
        <f>IF(K273="","",D273)</f>
        <v/>
      </c>
      <c r="P273">
        <f>IF(K273="","",IF(R273,SUMPRODUCT(--($H$2:$H$501=K273),$I$2:$I$501),0))</f>
        <v/>
      </c>
      <c r="Q273">
        <f>IF(K273="","",TRUE)</f>
        <v/>
      </c>
      <c r="R273">
        <f>IF(K273="","",SUMPRODUCT(--($H$2:$H$501=K273))&gt;0)</f>
        <v/>
      </c>
      <c r="S273">
        <f>IF(K273="","",IF(AND(Q273,R273),IF(O273=P273,"Match","Qty Different"),IF(Q273,"Only in List 1","Only in List 2")))</f>
        <v/>
      </c>
      <c r="T273">
        <f>IF(K273="","",IF(ISNUMBER(--L273),TEXT(--L273,"000000000000.000"),LOWER(L273)))</f>
        <v/>
      </c>
      <c r="U273">
        <f>IF(K273="","",IF(ISNUMBER(--M273),TEXT(--M273,"000000000000.000"),LOWER(M273)))</f>
        <v/>
      </c>
      <c r="V273">
        <f>IF(K273="","",LOWER(N273))</f>
        <v/>
      </c>
      <c r="W273">
        <f>IF(K273="","",B273)</f>
        <v/>
      </c>
      <c r="X273">
        <f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>
      <c r="A274">
        <f>IF(TRIM('List 1'!A274&amp;'List 1'!C274&amp;'List 1'!D274)="","",LOWER(TRIM('List 1'!A274)&amp;"|"&amp;TRIM('List 1'!C274)&amp;"|"&amp;TRIM('List 1'!D274)))</f>
        <v/>
      </c>
      <c r="B274">
        <f>IF(A274="","",SUMPRODUCT(--($A$2:A274=A274)))</f>
        <v/>
      </c>
      <c r="C274">
        <f>IF(A274="","",A274&amp;"#"&amp;B274)</f>
        <v/>
      </c>
      <c r="D274">
        <f>IF(A274="","",IFERROR(--'List 1'!B274,0))</f>
        <v/>
      </c>
      <c r="F274">
        <f>IF(TRIM('List 2'!A274&amp;'List 2'!C274&amp;'List 2'!D274)="","",LOWER(TRIM('List 2'!A274)&amp;"|"&amp;TRIM('List 2'!C274)&amp;"|"&amp;TRIM('List 2'!D274)))</f>
        <v/>
      </c>
      <c r="G274">
        <f>IF(F274="","",SUMPRODUCT(--($F$2:F274=F274)))</f>
        <v/>
      </c>
      <c r="H274">
        <f>IF(F274="","",F274&amp;"#"&amp;G274)</f>
        <v/>
      </c>
      <c r="I274">
        <f>IF(F274="","",IFERROR(--'List 2'!B274,0))</f>
        <v/>
      </c>
      <c r="K274">
        <f>C274</f>
        <v/>
      </c>
      <c r="L274">
        <f>IF(K274="","",IF(ISNUMBER('List 1'!A274),'List 1'!A274,TRIM('List 1'!A274)))</f>
        <v/>
      </c>
      <c r="M274">
        <f>IF(K274="","",IF(ISNUMBER('List 1'!C274),'List 1'!C274,TRIM('List 1'!C274)))</f>
        <v/>
      </c>
      <c r="N274">
        <f>IF(K274="","",IF(ISNUMBER('List 1'!D274),'List 1'!D274,TRIM('List 1'!D274)))</f>
        <v/>
      </c>
      <c r="O274">
        <f>IF(K274="","",D274)</f>
        <v/>
      </c>
      <c r="P274">
        <f>IF(K274="","",IF(R274,SUMPRODUCT(--($H$2:$H$501=K274),$I$2:$I$501),0))</f>
        <v/>
      </c>
      <c r="Q274">
        <f>IF(K274="","",TRUE)</f>
        <v/>
      </c>
      <c r="R274">
        <f>IF(K274="","",SUMPRODUCT(--($H$2:$H$501=K274))&gt;0)</f>
        <v/>
      </c>
      <c r="S274">
        <f>IF(K274="","",IF(AND(Q274,R274),IF(O274=P274,"Match","Qty Different"),IF(Q274,"Only in List 1","Only in List 2")))</f>
        <v/>
      </c>
      <c r="T274">
        <f>IF(K274="","",IF(ISNUMBER(--L274),TEXT(--L274,"000000000000.000"),LOWER(L274)))</f>
        <v/>
      </c>
      <c r="U274">
        <f>IF(K274="","",IF(ISNUMBER(--M274),TEXT(--M274,"000000000000.000"),LOWER(M274)))</f>
        <v/>
      </c>
      <c r="V274">
        <f>IF(K274="","",LOWER(N274))</f>
        <v/>
      </c>
      <c r="W274">
        <f>IF(K274="","",B274)</f>
        <v/>
      </c>
      <c r="X274">
        <f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>
      <c r="A275">
        <f>IF(TRIM('List 1'!A275&amp;'List 1'!C275&amp;'List 1'!D275)="","",LOWER(TRIM('List 1'!A275)&amp;"|"&amp;TRIM('List 1'!C275)&amp;"|"&amp;TRIM('List 1'!D275)))</f>
        <v/>
      </c>
      <c r="B275">
        <f>IF(A275="","",SUMPRODUCT(--($A$2:A275=A275)))</f>
        <v/>
      </c>
      <c r="C275">
        <f>IF(A275="","",A275&amp;"#"&amp;B275)</f>
        <v/>
      </c>
      <c r="D275">
        <f>IF(A275="","",IFERROR(--'List 1'!B275,0))</f>
        <v/>
      </c>
      <c r="F275">
        <f>IF(TRIM('List 2'!A275&amp;'List 2'!C275&amp;'List 2'!D275)="","",LOWER(TRIM('List 2'!A275)&amp;"|"&amp;TRIM('List 2'!C275)&amp;"|"&amp;TRIM('List 2'!D275)))</f>
        <v/>
      </c>
      <c r="G275">
        <f>IF(F275="","",SUMPRODUCT(--($F$2:F275=F275)))</f>
        <v/>
      </c>
      <c r="H275">
        <f>IF(F275="","",F275&amp;"#"&amp;G275)</f>
        <v/>
      </c>
      <c r="I275">
        <f>IF(F275="","",IFERROR(--'List 2'!B275,0))</f>
        <v/>
      </c>
      <c r="K275">
        <f>C275</f>
        <v/>
      </c>
      <c r="L275">
        <f>IF(K275="","",IF(ISNUMBER('List 1'!A275),'List 1'!A275,TRIM('List 1'!A275)))</f>
        <v/>
      </c>
      <c r="M275">
        <f>IF(K275="","",IF(ISNUMBER('List 1'!C275),'List 1'!C275,TRIM('List 1'!C275)))</f>
        <v/>
      </c>
      <c r="N275">
        <f>IF(K275="","",IF(ISNUMBER('List 1'!D275),'List 1'!D275,TRIM('List 1'!D275)))</f>
        <v/>
      </c>
      <c r="O275">
        <f>IF(K275="","",D275)</f>
        <v/>
      </c>
      <c r="P275">
        <f>IF(K275="","",IF(R275,SUMPRODUCT(--($H$2:$H$501=K275),$I$2:$I$501),0))</f>
        <v/>
      </c>
      <c r="Q275">
        <f>IF(K275="","",TRUE)</f>
        <v/>
      </c>
      <c r="R275">
        <f>IF(K275="","",SUMPRODUCT(--($H$2:$H$501=K275))&gt;0)</f>
        <v/>
      </c>
      <c r="S275">
        <f>IF(K275="","",IF(AND(Q275,R275),IF(O275=P275,"Match","Qty Different"),IF(Q275,"Only in List 1","Only in List 2")))</f>
        <v/>
      </c>
      <c r="T275">
        <f>IF(K275="","",IF(ISNUMBER(--L275),TEXT(--L275,"000000000000.000"),LOWER(L275)))</f>
        <v/>
      </c>
      <c r="U275">
        <f>IF(K275="","",IF(ISNUMBER(--M275),TEXT(--M275,"000000000000.000"),LOWER(M275)))</f>
        <v/>
      </c>
      <c r="V275">
        <f>IF(K275="","",LOWER(N275))</f>
        <v/>
      </c>
      <c r="W275">
        <f>IF(K275="","",B275)</f>
        <v/>
      </c>
      <c r="X275">
        <f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>
      <c r="A276">
        <f>IF(TRIM('List 1'!A276&amp;'List 1'!C276&amp;'List 1'!D276)="","",LOWER(TRIM('List 1'!A276)&amp;"|"&amp;TRIM('List 1'!C276)&amp;"|"&amp;TRIM('List 1'!D276)))</f>
        <v/>
      </c>
      <c r="B276">
        <f>IF(A276="","",SUMPRODUCT(--($A$2:A276=A276)))</f>
        <v/>
      </c>
      <c r="C276">
        <f>IF(A276="","",A276&amp;"#"&amp;B276)</f>
        <v/>
      </c>
      <c r="D276">
        <f>IF(A276="","",IFERROR(--'List 1'!B276,0))</f>
        <v/>
      </c>
      <c r="F276">
        <f>IF(TRIM('List 2'!A276&amp;'List 2'!C276&amp;'List 2'!D276)="","",LOWER(TRIM('List 2'!A276)&amp;"|"&amp;TRIM('List 2'!C276)&amp;"|"&amp;TRIM('List 2'!D276)))</f>
        <v/>
      </c>
      <c r="G276">
        <f>IF(F276="","",SUMPRODUCT(--($F$2:F276=F276)))</f>
        <v/>
      </c>
      <c r="H276">
        <f>IF(F276="","",F276&amp;"#"&amp;G276)</f>
        <v/>
      </c>
      <c r="I276">
        <f>IF(F276="","",IFERROR(--'List 2'!B276,0))</f>
        <v/>
      </c>
      <c r="K276">
        <f>C276</f>
        <v/>
      </c>
      <c r="L276">
        <f>IF(K276="","",IF(ISNUMBER('List 1'!A276),'List 1'!A276,TRIM('List 1'!A276)))</f>
        <v/>
      </c>
      <c r="M276">
        <f>IF(K276="","",IF(ISNUMBER('List 1'!C276),'List 1'!C276,TRIM('List 1'!C276)))</f>
        <v/>
      </c>
      <c r="N276">
        <f>IF(K276="","",IF(ISNUMBER('List 1'!D276),'List 1'!D276,TRIM('List 1'!D276)))</f>
        <v/>
      </c>
      <c r="O276">
        <f>IF(K276="","",D276)</f>
        <v/>
      </c>
      <c r="P276">
        <f>IF(K276="","",IF(R276,SUMPRODUCT(--($H$2:$H$501=K276),$I$2:$I$501),0))</f>
        <v/>
      </c>
      <c r="Q276">
        <f>IF(K276="","",TRUE)</f>
        <v/>
      </c>
      <c r="R276">
        <f>IF(K276="","",SUMPRODUCT(--($H$2:$H$501=K276))&gt;0)</f>
        <v/>
      </c>
      <c r="S276">
        <f>IF(K276="","",IF(AND(Q276,R276),IF(O276=P276,"Match","Qty Different"),IF(Q276,"Only in List 1","Only in List 2")))</f>
        <v/>
      </c>
      <c r="T276">
        <f>IF(K276="","",IF(ISNUMBER(--L276),TEXT(--L276,"000000000000.000"),LOWER(L276)))</f>
        <v/>
      </c>
      <c r="U276">
        <f>IF(K276="","",IF(ISNUMBER(--M276),TEXT(--M276,"000000000000.000"),LOWER(M276)))</f>
        <v/>
      </c>
      <c r="V276">
        <f>IF(K276="","",LOWER(N276))</f>
        <v/>
      </c>
      <c r="W276">
        <f>IF(K276="","",B276)</f>
        <v/>
      </c>
      <c r="X276">
        <f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>
      <c r="A277">
        <f>IF(TRIM('List 1'!A277&amp;'List 1'!C277&amp;'List 1'!D277)="","",LOWER(TRIM('List 1'!A277)&amp;"|"&amp;TRIM('List 1'!C277)&amp;"|"&amp;TRIM('List 1'!D277)))</f>
        <v/>
      </c>
      <c r="B277">
        <f>IF(A277="","",SUMPRODUCT(--($A$2:A277=A277)))</f>
        <v/>
      </c>
      <c r="C277">
        <f>IF(A277="","",A277&amp;"#"&amp;B277)</f>
        <v/>
      </c>
      <c r="D277">
        <f>IF(A277="","",IFERROR(--'List 1'!B277,0))</f>
        <v/>
      </c>
      <c r="F277">
        <f>IF(TRIM('List 2'!A277&amp;'List 2'!C277&amp;'List 2'!D277)="","",LOWER(TRIM('List 2'!A277)&amp;"|"&amp;TRIM('List 2'!C277)&amp;"|"&amp;TRIM('List 2'!D277)))</f>
        <v/>
      </c>
      <c r="G277">
        <f>IF(F277="","",SUMPRODUCT(--($F$2:F277=F277)))</f>
        <v/>
      </c>
      <c r="H277">
        <f>IF(F277="","",F277&amp;"#"&amp;G277)</f>
        <v/>
      </c>
      <c r="I277">
        <f>IF(F277="","",IFERROR(--'List 2'!B277,0))</f>
        <v/>
      </c>
      <c r="K277">
        <f>C277</f>
        <v/>
      </c>
      <c r="L277">
        <f>IF(K277="","",IF(ISNUMBER('List 1'!A277),'List 1'!A277,TRIM('List 1'!A277)))</f>
        <v/>
      </c>
      <c r="M277">
        <f>IF(K277="","",IF(ISNUMBER('List 1'!C277),'List 1'!C277,TRIM('List 1'!C277)))</f>
        <v/>
      </c>
      <c r="N277">
        <f>IF(K277="","",IF(ISNUMBER('List 1'!D277),'List 1'!D277,TRIM('List 1'!D277)))</f>
        <v/>
      </c>
      <c r="O277">
        <f>IF(K277="","",D277)</f>
        <v/>
      </c>
      <c r="P277">
        <f>IF(K277="","",IF(R277,SUMPRODUCT(--($H$2:$H$501=K277),$I$2:$I$501),0))</f>
        <v/>
      </c>
      <c r="Q277">
        <f>IF(K277="","",TRUE)</f>
        <v/>
      </c>
      <c r="R277">
        <f>IF(K277="","",SUMPRODUCT(--($H$2:$H$501=K277))&gt;0)</f>
        <v/>
      </c>
      <c r="S277">
        <f>IF(K277="","",IF(AND(Q277,R277),IF(O277=P277,"Match","Qty Different"),IF(Q277,"Only in List 1","Only in List 2")))</f>
        <v/>
      </c>
      <c r="T277">
        <f>IF(K277="","",IF(ISNUMBER(--L277),TEXT(--L277,"000000000000.000"),LOWER(L277)))</f>
        <v/>
      </c>
      <c r="U277">
        <f>IF(K277="","",IF(ISNUMBER(--M277),TEXT(--M277,"000000000000.000"),LOWER(M277)))</f>
        <v/>
      </c>
      <c r="V277">
        <f>IF(K277="","",LOWER(N277))</f>
        <v/>
      </c>
      <c r="W277">
        <f>IF(K277="","",B277)</f>
        <v/>
      </c>
      <c r="X277">
        <f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>
      <c r="A278">
        <f>IF(TRIM('List 1'!A278&amp;'List 1'!C278&amp;'List 1'!D278)="","",LOWER(TRIM('List 1'!A278)&amp;"|"&amp;TRIM('List 1'!C278)&amp;"|"&amp;TRIM('List 1'!D278)))</f>
        <v/>
      </c>
      <c r="B278">
        <f>IF(A278="","",SUMPRODUCT(--($A$2:A278=A278)))</f>
        <v/>
      </c>
      <c r="C278">
        <f>IF(A278="","",A278&amp;"#"&amp;B278)</f>
        <v/>
      </c>
      <c r="D278">
        <f>IF(A278="","",IFERROR(--'List 1'!B278,0))</f>
        <v/>
      </c>
      <c r="F278">
        <f>IF(TRIM('List 2'!A278&amp;'List 2'!C278&amp;'List 2'!D278)="","",LOWER(TRIM('List 2'!A278)&amp;"|"&amp;TRIM('List 2'!C278)&amp;"|"&amp;TRIM('List 2'!D278)))</f>
        <v/>
      </c>
      <c r="G278">
        <f>IF(F278="","",SUMPRODUCT(--($F$2:F278=F278)))</f>
        <v/>
      </c>
      <c r="H278">
        <f>IF(F278="","",F278&amp;"#"&amp;G278)</f>
        <v/>
      </c>
      <c r="I278">
        <f>IF(F278="","",IFERROR(--'List 2'!B278,0))</f>
        <v/>
      </c>
      <c r="K278">
        <f>C278</f>
        <v/>
      </c>
      <c r="L278">
        <f>IF(K278="","",IF(ISNUMBER('List 1'!A278),'List 1'!A278,TRIM('List 1'!A278)))</f>
        <v/>
      </c>
      <c r="M278">
        <f>IF(K278="","",IF(ISNUMBER('List 1'!C278),'List 1'!C278,TRIM('List 1'!C278)))</f>
        <v/>
      </c>
      <c r="N278">
        <f>IF(K278="","",IF(ISNUMBER('List 1'!D278),'List 1'!D278,TRIM('List 1'!D278)))</f>
        <v/>
      </c>
      <c r="O278">
        <f>IF(K278="","",D278)</f>
        <v/>
      </c>
      <c r="P278">
        <f>IF(K278="","",IF(R278,SUMPRODUCT(--($H$2:$H$501=K278),$I$2:$I$501),0))</f>
        <v/>
      </c>
      <c r="Q278">
        <f>IF(K278="","",TRUE)</f>
        <v/>
      </c>
      <c r="R278">
        <f>IF(K278="","",SUMPRODUCT(--($H$2:$H$501=K278))&gt;0)</f>
        <v/>
      </c>
      <c r="S278">
        <f>IF(K278="","",IF(AND(Q278,R278),IF(O278=P278,"Match","Qty Different"),IF(Q278,"Only in List 1","Only in List 2")))</f>
        <v/>
      </c>
      <c r="T278">
        <f>IF(K278="","",IF(ISNUMBER(--L278),TEXT(--L278,"000000000000.000"),LOWER(L278)))</f>
        <v/>
      </c>
      <c r="U278">
        <f>IF(K278="","",IF(ISNUMBER(--M278),TEXT(--M278,"000000000000.000"),LOWER(M278)))</f>
        <v/>
      </c>
      <c r="V278">
        <f>IF(K278="","",LOWER(N278))</f>
        <v/>
      </c>
      <c r="W278">
        <f>IF(K278="","",B278)</f>
        <v/>
      </c>
      <c r="X278">
        <f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>
      <c r="A279">
        <f>IF(TRIM('List 1'!A279&amp;'List 1'!C279&amp;'List 1'!D279)="","",LOWER(TRIM('List 1'!A279)&amp;"|"&amp;TRIM('List 1'!C279)&amp;"|"&amp;TRIM('List 1'!D279)))</f>
        <v/>
      </c>
      <c r="B279">
        <f>IF(A279="","",SUMPRODUCT(--($A$2:A279=A279)))</f>
        <v/>
      </c>
      <c r="C279">
        <f>IF(A279="","",A279&amp;"#"&amp;B279)</f>
        <v/>
      </c>
      <c r="D279">
        <f>IF(A279="","",IFERROR(--'List 1'!B279,0))</f>
        <v/>
      </c>
      <c r="F279">
        <f>IF(TRIM('List 2'!A279&amp;'List 2'!C279&amp;'List 2'!D279)="","",LOWER(TRIM('List 2'!A279)&amp;"|"&amp;TRIM('List 2'!C279)&amp;"|"&amp;TRIM('List 2'!D279)))</f>
        <v/>
      </c>
      <c r="G279">
        <f>IF(F279="","",SUMPRODUCT(--($F$2:F279=F279)))</f>
        <v/>
      </c>
      <c r="H279">
        <f>IF(F279="","",F279&amp;"#"&amp;G279)</f>
        <v/>
      </c>
      <c r="I279">
        <f>IF(F279="","",IFERROR(--'List 2'!B279,0))</f>
        <v/>
      </c>
      <c r="K279">
        <f>C279</f>
        <v/>
      </c>
      <c r="L279">
        <f>IF(K279="","",IF(ISNUMBER('List 1'!A279),'List 1'!A279,TRIM('List 1'!A279)))</f>
        <v/>
      </c>
      <c r="M279">
        <f>IF(K279="","",IF(ISNUMBER('List 1'!C279),'List 1'!C279,TRIM('List 1'!C279)))</f>
        <v/>
      </c>
      <c r="N279">
        <f>IF(K279="","",IF(ISNUMBER('List 1'!D279),'List 1'!D279,TRIM('List 1'!D279)))</f>
        <v/>
      </c>
      <c r="O279">
        <f>IF(K279="","",D279)</f>
        <v/>
      </c>
      <c r="P279">
        <f>IF(K279="","",IF(R279,SUMPRODUCT(--($H$2:$H$501=K279),$I$2:$I$501),0))</f>
        <v/>
      </c>
      <c r="Q279">
        <f>IF(K279="","",TRUE)</f>
        <v/>
      </c>
      <c r="R279">
        <f>IF(K279="","",SUMPRODUCT(--($H$2:$H$501=K279))&gt;0)</f>
        <v/>
      </c>
      <c r="S279">
        <f>IF(K279="","",IF(AND(Q279,R279),IF(O279=P279,"Match","Qty Different"),IF(Q279,"Only in List 1","Only in List 2")))</f>
        <v/>
      </c>
      <c r="T279">
        <f>IF(K279="","",IF(ISNUMBER(--L279),TEXT(--L279,"000000000000.000"),LOWER(L279)))</f>
        <v/>
      </c>
      <c r="U279">
        <f>IF(K279="","",IF(ISNUMBER(--M279),TEXT(--M279,"000000000000.000"),LOWER(M279)))</f>
        <v/>
      </c>
      <c r="V279">
        <f>IF(K279="","",LOWER(N279))</f>
        <v/>
      </c>
      <c r="W279">
        <f>IF(K279="","",B279)</f>
        <v/>
      </c>
      <c r="X279">
        <f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>
      <c r="A280">
        <f>IF(TRIM('List 1'!A280&amp;'List 1'!C280&amp;'List 1'!D280)="","",LOWER(TRIM('List 1'!A280)&amp;"|"&amp;TRIM('List 1'!C280)&amp;"|"&amp;TRIM('List 1'!D280)))</f>
        <v/>
      </c>
      <c r="B280">
        <f>IF(A280="","",SUMPRODUCT(--($A$2:A280=A280)))</f>
        <v/>
      </c>
      <c r="C280">
        <f>IF(A280="","",A280&amp;"#"&amp;B280)</f>
        <v/>
      </c>
      <c r="D280">
        <f>IF(A280="","",IFERROR(--'List 1'!B280,0))</f>
        <v/>
      </c>
      <c r="F280">
        <f>IF(TRIM('List 2'!A280&amp;'List 2'!C280&amp;'List 2'!D280)="","",LOWER(TRIM('List 2'!A280)&amp;"|"&amp;TRIM('List 2'!C280)&amp;"|"&amp;TRIM('List 2'!D280)))</f>
        <v/>
      </c>
      <c r="G280">
        <f>IF(F280="","",SUMPRODUCT(--($F$2:F280=F280)))</f>
        <v/>
      </c>
      <c r="H280">
        <f>IF(F280="","",F280&amp;"#"&amp;G280)</f>
        <v/>
      </c>
      <c r="I280">
        <f>IF(F280="","",IFERROR(--'List 2'!B280,0))</f>
        <v/>
      </c>
      <c r="K280">
        <f>C280</f>
        <v/>
      </c>
      <c r="L280">
        <f>IF(K280="","",IF(ISNUMBER('List 1'!A280),'List 1'!A280,TRIM('List 1'!A280)))</f>
        <v/>
      </c>
      <c r="M280">
        <f>IF(K280="","",IF(ISNUMBER('List 1'!C280),'List 1'!C280,TRIM('List 1'!C280)))</f>
        <v/>
      </c>
      <c r="N280">
        <f>IF(K280="","",IF(ISNUMBER('List 1'!D280),'List 1'!D280,TRIM('List 1'!D280)))</f>
        <v/>
      </c>
      <c r="O280">
        <f>IF(K280="","",D280)</f>
        <v/>
      </c>
      <c r="P280">
        <f>IF(K280="","",IF(R280,SUMPRODUCT(--($H$2:$H$501=K280),$I$2:$I$501),0))</f>
        <v/>
      </c>
      <c r="Q280">
        <f>IF(K280="","",TRUE)</f>
        <v/>
      </c>
      <c r="R280">
        <f>IF(K280="","",SUMPRODUCT(--($H$2:$H$501=K280))&gt;0)</f>
        <v/>
      </c>
      <c r="S280">
        <f>IF(K280="","",IF(AND(Q280,R280),IF(O280=P280,"Match","Qty Different"),IF(Q280,"Only in List 1","Only in List 2")))</f>
        <v/>
      </c>
      <c r="T280">
        <f>IF(K280="","",IF(ISNUMBER(--L280),TEXT(--L280,"000000000000.000"),LOWER(L280)))</f>
        <v/>
      </c>
      <c r="U280">
        <f>IF(K280="","",IF(ISNUMBER(--M280),TEXT(--M280,"000000000000.000"),LOWER(M280)))</f>
        <v/>
      </c>
      <c r="V280">
        <f>IF(K280="","",LOWER(N280))</f>
        <v/>
      </c>
      <c r="W280">
        <f>IF(K280="","",B280)</f>
        <v/>
      </c>
      <c r="X280">
        <f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>
      <c r="A281">
        <f>IF(TRIM('List 1'!A281&amp;'List 1'!C281&amp;'List 1'!D281)="","",LOWER(TRIM('List 1'!A281)&amp;"|"&amp;TRIM('List 1'!C281)&amp;"|"&amp;TRIM('List 1'!D281)))</f>
        <v/>
      </c>
      <c r="B281">
        <f>IF(A281="","",SUMPRODUCT(--($A$2:A281=A281)))</f>
        <v/>
      </c>
      <c r="C281">
        <f>IF(A281="","",A281&amp;"#"&amp;B281)</f>
        <v/>
      </c>
      <c r="D281">
        <f>IF(A281="","",IFERROR(--'List 1'!B281,0))</f>
        <v/>
      </c>
      <c r="F281">
        <f>IF(TRIM('List 2'!A281&amp;'List 2'!C281&amp;'List 2'!D281)="","",LOWER(TRIM('List 2'!A281)&amp;"|"&amp;TRIM('List 2'!C281)&amp;"|"&amp;TRIM('List 2'!D281)))</f>
        <v/>
      </c>
      <c r="G281">
        <f>IF(F281="","",SUMPRODUCT(--($F$2:F281=F281)))</f>
        <v/>
      </c>
      <c r="H281">
        <f>IF(F281="","",F281&amp;"#"&amp;G281)</f>
        <v/>
      </c>
      <c r="I281">
        <f>IF(F281="","",IFERROR(--'List 2'!B281,0))</f>
        <v/>
      </c>
      <c r="K281">
        <f>C281</f>
        <v/>
      </c>
      <c r="L281">
        <f>IF(K281="","",IF(ISNUMBER('List 1'!A281),'List 1'!A281,TRIM('List 1'!A281)))</f>
        <v/>
      </c>
      <c r="M281">
        <f>IF(K281="","",IF(ISNUMBER('List 1'!C281),'List 1'!C281,TRIM('List 1'!C281)))</f>
        <v/>
      </c>
      <c r="N281">
        <f>IF(K281="","",IF(ISNUMBER('List 1'!D281),'List 1'!D281,TRIM('List 1'!D281)))</f>
        <v/>
      </c>
      <c r="O281">
        <f>IF(K281="","",D281)</f>
        <v/>
      </c>
      <c r="P281">
        <f>IF(K281="","",IF(R281,SUMPRODUCT(--($H$2:$H$501=K281),$I$2:$I$501),0))</f>
        <v/>
      </c>
      <c r="Q281">
        <f>IF(K281="","",TRUE)</f>
        <v/>
      </c>
      <c r="R281">
        <f>IF(K281="","",SUMPRODUCT(--($H$2:$H$501=K281))&gt;0)</f>
        <v/>
      </c>
      <c r="S281">
        <f>IF(K281="","",IF(AND(Q281,R281),IF(O281=P281,"Match","Qty Different"),IF(Q281,"Only in List 1","Only in List 2")))</f>
        <v/>
      </c>
      <c r="T281">
        <f>IF(K281="","",IF(ISNUMBER(--L281),TEXT(--L281,"000000000000.000"),LOWER(L281)))</f>
        <v/>
      </c>
      <c r="U281">
        <f>IF(K281="","",IF(ISNUMBER(--M281),TEXT(--M281,"000000000000.000"),LOWER(M281)))</f>
        <v/>
      </c>
      <c r="V281">
        <f>IF(K281="","",LOWER(N281))</f>
        <v/>
      </c>
      <c r="W281">
        <f>IF(K281="","",B281)</f>
        <v/>
      </c>
      <c r="X281">
        <f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>
      <c r="A282">
        <f>IF(TRIM('List 1'!A282&amp;'List 1'!C282&amp;'List 1'!D282)="","",LOWER(TRIM('List 1'!A282)&amp;"|"&amp;TRIM('List 1'!C282)&amp;"|"&amp;TRIM('List 1'!D282)))</f>
        <v/>
      </c>
      <c r="B282">
        <f>IF(A282="","",SUMPRODUCT(--($A$2:A282=A282)))</f>
        <v/>
      </c>
      <c r="C282">
        <f>IF(A282="","",A282&amp;"#"&amp;B282)</f>
        <v/>
      </c>
      <c r="D282">
        <f>IF(A282="","",IFERROR(--'List 1'!B282,0))</f>
        <v/>
      </c>
      <c r="F282">
        <f>IF(TRIM('List 2'!A282&amp;'List 2'!C282&amp;'List 2'!D282)="","",LOWER(TRIM('List 2'!A282)&amp;"|"&amp;TRIM('List 2'!C282)&amp;"|"&amp;TRIM('List 2'!D282)))</f>
        <v/>
      </c>
      <c r="G282">
        <f>IF(F282="","",SUMPRODUCT(--($F$2:F282=F282)))</f>
        <v/>
      </c>
      <c r="H282">
        <f>IF(F282="","",F282&amp;"#"&amp;G282)</f>
        <v/>
      </c>
      <c r="I282">
        <f>IF(F282="","",IFERROR(--'List 2'!B282,0))</f>
        <v/>
      </c>
      <c r="K282">
        <f>C282</f>
        <v/>
      </c>
      <c r="L282">
        <f>IF(K282="","",IF(ISNUMBER('List 1'!A282),'List 1'!A282,TRIM('List 1'!A282)))</f>
        <v/>
      </c>
      <c r="M282">
        <f>IF(K282="","",IF(ISNUMBER('List 1'!C282),'List 1'!C282,TRIM('List 1'!C282)))</f>
        <v/>
      </c>
      <c r="N282">
        <f>IF(K282="","",IF(ISNUMBER('List 1'!D282),'List 1'!D282,TRIM('List 1'!D282)))</f>
        <v/>
      </c>
      <c r="O282">
        <f>IF(K282="","",D282)</f>
        <v/>
      </c>
      <c r="P282">
        <f>IF(K282="","",IF(R282,SUMPRODUCT(--($H$2:$H$501=K282),$I$2:$I$501),0))</f>
        <v/>
      </c>
      <c r="Q282">
        <f>IF(K282="","",TRUE)</f>
        <v/>
      </c>
      <c r="R282">
        <f>IF(K282="","",SUMPRODUCT(--($H$2:$H$501=K282))&gt;0)</f>
        <v/>
      </c>
      <c r="S282">
        <f>IF(K282="","",IF(AND(Q282,R282),IF(O282=P282,"Match","Qty Different"),IF(Q282,"Only in List 1","Only in List 2")))</f>
        <v/>
      </c>
      <c r="T282">
        <f>IF(K282="","",IF(ISNUMBER(--L282),TEXT(--L282,"000000000000.000"),LOWER(L282)))</f>
        <v/>
      </c>
      <c r="U282">
        <f>IF(K282="","",IF(ISNUMBER(--M282),TEXT(--M282,"000000000000.000"),LOWER(M282)))</f>
        <v/>
      </c>
      <c r="V282">
        <f>IF(K282="","",LOWER(N282))</f>
        <v/>
      </c>
      <c r="W282">
        <f>IF(K282="","",B282)</f>
        <v/>
      </c>
      <c r="X282">
        <f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>
      <c r="A283">
        <f>IF(TRIM('List 1'!A283&amp;'List 1'!C283&amp;'List 1'!D283)="","",LOWER(TRIM('List 1'!A283)&amp;"|"&amp;TRIM('List 1'!C283)&amp;"|"&amp;TRIM('List 1'!D283)))</f>
        <v/>
      </c>
      <c r="B283">
        <f>IF(A283="","",SUMPRODUCT(--($A$2:A283=A283)))</f>
        <v/>
      </c>
      <c r="C283">
        <f>IF(A283="","",A283&amp;"#"&amp;B283)</f>
        <v/>
      </c>
      <c r="D283">
        <f>IF(A283="","",IFERROR(--'List 1'!B283,0))</f>
        <v/>
      </c>
      <c r="F283">
        <f>IF(TRIM('List 2'!A283&amp;'List 2'!C283&amp;'List 2'!D283)="","",LOWER(TRIM('List 2'!A283)&amp;"|"&amp;TRIM('List 2'!C283)&amp;"|"&amp;TRIM('List 2'!D283)))</f>
        <v/>
      </c>
      <c r="G283">
        <f>IF(F283="","",SUMPRODUCT(--($F$2:F283=F283)))</f>
        <v/>
      </c>
      <c r="H283">
        <f>IF(F283="","",F283&amp;"#"&amp;G283)</f>
        <v/>
      </c>
      <c r="I283">
        <f>IF(F283="","",IFERROR(--'List 2'!B283,0))</f>
        <v/>
      </c>
      <c r="K283">
        <f>C283</f>
        <v/>
      </c>
      <c r="L283">
        <f>IF(K283="","",IF(ISNUMBER('List 1'!A283),'List 1'!A283,TRIM('List 1'!A283)))</f>
        <v/>
      </c>
      <c r="M283">
        <f>IF(K283="","",IF(ISNUMBER('List 1'!C283),'List 1'!C283,TRIM('List 1'!C283)))</f>
        <v/>
      </c>
      <c r="N283">
        <f>IF(K283="","",IF(ISNUMBER('List 1'!D283),'List 1'!D283,TRIM('List 1'!D283)))</f>
        <v/>
      </c>
      <c r="O283">
        <f>IF(K283="","",D283)</f>
        <v/>
      </c>
      <c r="P283">
        <f>IF(K283="","",IF(R283,SUMPRODUCT(--($H$2:$H$501=K283),$I$2:$I$501),0))</f>
        <v/>
      </c>
      <c r="Q283">
        <f>IF(K283="","",TRUE)</f>
        <v/>
      </c>
      <c r="R283">
        <f>IF(K283="","",SUMPRODUCT(--($H$2:$H$501=K283))&gt;0)</f>
        <v/>
      </c>
      <c r="S283">
        <f>IF(K283="","",IF(AND(Q283,R283),IF(O283=P283,"Match","Qty Different"),IF(Q283,"Only in List 1","Only in List 2")))</f>
        <v/>
      </c>
      <c r="T283">
        <f>IF(K283="","",IF(ISNUMBER(--L283),TEXT(--L283,"000000000000.000"),LOWER(L283)))</f>
        <v/>
      </c>
      <c r="U283">
        <f>IF(K283="","",IF(ISNUMBER(--M283),TEXT(--M283,"000000000000.000"),LOWER(M283)))</f>
        <v/>
      </c>
      <c r="V283">
        <f>IF(K283="","",LOWER(N283))</f>
        <v/>
      </c>
      <c r="W283">
        <f>IF(K283="","",B283)</f>
        <v/>
      </c>
      <c r="X283">
        <f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>
      <c r="A284">
        <f>IF(TRIM('List 1'!A284&amp;'List 1'!C284&amp;'List 1'!D284)="","",LOWER(TRIM('List 1'!A284)&amp;"|"&amp;TRIM('List 1'!C284)&amp;"|"&amp;TRIM('List 1'!D284)))</f>
        <v/>
      </c>
      <c r="B284">
        <f>IF(A284="","",SUMPRODUCT(--($A$2:A284=A284)))</f>
        <v/>
      </c>
      <c r="C284">
        <f>IF(A284="","",A284&amp;"#"&amp;B284)</f>
        <v/>
      </c>
      <c r="D284">
        <f>IF(A284="","",IFERROR(--'List 1'!B284,0))</f>
        <v/>
      </c>
      <c r="F284">
        <f>IF(TRIM('List 2'!A284&amp;'List 2'!C284&amp;'List 2'!D284)="","",LOWER(TRIM('List 2'!A284)&amp;"|"&amp;TRIM('List 2'!C284)&amp;"|"&amp;TRIM('List 2'!D284)))</f>
        <v/>
      </c>
      <c r="G284">
        <f>IF(F284="","",SUMPRODUCT(--($F$2:F284=F284)))</f>
        <v/>
      </c>
      <c r="H284">
        <f>IF(F284="","",F284&amp;"#"&amp;G284)</f>
        <v/>
      </c>
      <c r="I284">
        <f>IF(F284="","",IFERROR(--'List 2'!B284,0))</f>
        <v/>
      </c>
      <c r="K284">
        <f>C284</f>
        <v/>
      </c>
      <c r="L284">
        <f>IF(K284="","",IF(ISNUMBER('List 1'!A284),'List 1'!A284,TRIM('List 1'!A284)))</f>
        <v/>
      </c>
      <c r="M284">
        <f>IF(K284="","",IF(ISNUMBER('List 1'!C284),'List 1'!C284,TRIM('List 1'!C284)))</f>
        <v/>
      </c>
      <c r="N284">
        <f>IF(K284="","",IF(ISNUMBER('List 1'!D284),'List 1'!D284,TRIM('List 1'!D284)))</f>
        <v/>
      </c>
      <c r="O284">
        <f>IF(K284="","",D284)</f>
        <v/>
      </c>
      <c r="P284">
        <f>IF(K284="","",IF(R284,SUMPRODUCT(--($H$2:$H$501=K284),$I$2:$I$501),0))</f>
        <v/>
      </c>
      <c r="Q284">
        <f>IF(K284="","",TRUE)</f>
        <v/>
      </c>
      <c r="R284">
        <f>IF(K284="","",SUMPRODUCT(--($H$2:$H$501=K284))&gt;0)</f>
        <v/>
      </c>
      <c r="S284">
        <f>IF(K284="","",IF(AND(Q284,R284),IF(O284=P284,"Match","Qty Different"),IF(Q284,"Only in List 1","Only in List 2")))</f>
        <v/>
      </c>
      <c r="T284">
        <f>IF(K284="","",IF(ISNUMBER(--L284),TEXT(--L284,"000000000000.000"),LOWER(L284)))</f>
        <v/>
      </c>
      <c r="U284">
        <f>IF(K284="","",IF(ISNUMBER(--M284),TEXT(--M284,"000000000000.000"),LOWER(M284)))</f>
        <v/>
      </c>
      <c r="V284">
        <f>IF(K284="","",LOWER(N284))</f>
        <v/>
      </c>
      <c r="W284">
        <f>IF(K284="","",B284)</f>
        <v/>
      </c>
      <c r="X284">
        <f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>
      <c r="A285">
        <f>IF(TRIM('List 1'!A285&amp;'List 1'!C285&amp;'List 1'!D285)="","",LOWER(TRIM('List 1'!A285)&amp;"|"&amp;TRIM('List 1'!C285)&amp;"|"&amp;TRIM('List 1'!D285)))</f>
        <v/>
      </c>
      <c r="B285">
        <f>IF(A285="","",SUMPRODUCT(--($A$2:A285=A285)))</f>
        <v/>
      </c>
      <c r="C285">
        <f>IF(A285="","",A285&amp;"#"&amp;B285)</f>
        <v/>
      </c>
      <c r="D285">
        <f>IF(A285="","",IFERROR(--'List 1'!B285,0))</f>
        <v/>
      </c>
      <c r="F285">
        <f>IF(TRIM('List 2'!A285&amp;'List 2'!C285&amp;'List 2'!D285)="","",LOWER(TRIM('List 2'!A285)&amp;"|"&amp;TRIM('List 2'!C285)&amp;"|"&amp;TRIM('List 2'!D285)))</f>
        <v/>
      </c>
      <c r="G285">
        <f>IF(F285="","",SUMPRODUCT(--($F$2:F285=F285)))</f>
        <v/>
      </c>
      <c r="H285">
        <f>IF(F285="","",F285&amp;"#"&amp;G285)</f>
        <v/>
      </c>
      <c r="I285">
        <f>IF(F285="","",IFERROR(--'List 2'!B285,0))</f>
        <v/>
      </c>
      <c r="K285">
        <f>C285</f>
        <v/>
      </c>
      <c r="L285">
        <f>IF(K285="","",IF(ISNUMBER('List 1'!A285),'List 1'!A285,TRIM('List 1'!A285)))</f>
        <v/>
      </c>
      <c r="M285">
        <f>IF(K285="","",IF(ISNUMBER('List 1'!C285),'List 1'!C285,TRIM('List 1'!C285)))</f>
        <v/>
      </c>
      <c r="N285">
        <f>IF(K285="","",IF(ISNUMBER('List 1'!D285),'List 1'!D285,TRIM('List 1'!D285)))</f>
        <v/>
      </c>
      <c r="O285">
        <f>IF(K285="","",D285)</f>
        <v/>
      </c>
      <c r="P285">
        <f>IF(K285="","",IF(R285,SUMPRODUCT(--($H$2:$H$501=K285),$I$2:$I$501),0))</f>
        <v/>
      </c>
      <c r="Q285">
        <f>IF(K285="","",TRUE)</f>
        <v/>
      </c>
      <c r="R285">
        <f>IF(K285="","",SUMPRODUCT(--($H$2:$H$501=K285))&gt;0)</f>
        <v/>
      </c>
      <c r="S285">
        <f>IF(K285="","",IF(AND(Q285,R285),IF(O285=P285,"Match","Qty Different"),IF(Q285,"Only in List 1","Only in List 2")))</f>
        <v/>
      </c>
      <c r="T285">
        <f>IF(K285="","",IF(ISNUMBER(--L285),TEXT(--L285,"000000000000.000"),LOWER(L285)))</f>
        <v/>
      </c>
      <c r="U285">
        <f>IF(K285="","",IF(ISNUMBER(--M285),TEXT(--M285,"000000000000.000"),LOWER(M285)))</f>
        <v/>
      </c>
      <c r="V285">
        <f>IF(K285="","",LOWER(N285))</f>
        <v/>
      </c>
      <c r="W285">
        <f>IF(K285="","",B285)</f>
        <v/>
      </c>
      <c r="X285">
        <f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>
      <c r="A286">
        <f>IF(TRIM('List 1'!A286&amp;'List 1'!C286&amp;'List 1'!D286)="","",LOWER(TRIM('List 1'!A286)&amp;"|"&amp;TRIM('List 1'!C286)&amp;"|"&amp;TRIM('List 1'!D286)))</f>
        <v/>
      </c>
      <c r="B286">
        <f>IF(A286="","",SUMPRODUCT(--($A$2:A286=A286)))</f>
        <v/>
      </c>
      <c r="C286">
        <f>IF(A286="","",A286&amp;"#"&amp;B286)</f>
        <v/>
      </c>
      <c r="D286">
        <f>IF(A286="","",IFERROR(--'List 1'!B286,0))</f>
        <v/>
      </c>
      <c r="F286">
        <f>IF(TRIM('List 2'!A286&amp;'List 2'!C286&amp;'List 2'!D286)="","",LOWER(TRIM('List 2'!A286)&amp;"|"&amp;TRIM('List 2'!C286)&amp;"|"&amp;TRIM('List 2'!D286)))</f>
        <v/>
      </c>
      <c r="G286">
        <f>IF(F286="","",SUMPRODUCT(--($F$2:F286=F286)))</f>
        <v/>
      </c>
      <c r="H286">
        <f>IF(F286="","",F286&amp;"#"&amp;G286)</f>
        <v/>
      </c>
      <c r="I286">
        <f>IF(F286="","",IFERROR(--'List 2'!B286,0))</f>
        <v/>
      </c>
      <c r="K286">
        <f>C286</f>
        <v/>
      </c>
      <c r="L286">
        <f>IF(K286="","",IF(ISNUMBER('List 1'!A286),'List 1'!A286,TRIM('List 1'!A286)))</f>
        <v/>
      </c>
      <c r="M286">
        <f>IF(K286="","",IF(ISNUMBER('List 1'!C286),'List 1'!C286,TRIM('List 1'!C286)))</f>
        <v/>
      </c>
      <c r="N286">
        <f>IF(K286="","",IF(ISNUMBER('List 1'!D286),'List 1'!D286,TRIM('List 1'!D286)))</f>
        <v/>
      </c>
      <c r="O286">
        <f>IF(K286="","",D286)</f>
        <v/>
      </c>
      <c r="P286">
        <f>IF(K286="","",IF(R286,SUMPRODUCT(--($H$2:$H$501=K286),$I$2:$I$501),0))</f>
        <v/>
      </c>
      <c r="Q286">
        <f>IF(K286="","",TRUE)</f>
        <v/>
      </c>
      <c r="R286">
        <f>IF(K286="","",SUMPRODUCT(--($H$2:$H$501=K286))&gt;0)</f>
        <v/>
      </c>
      <c r="S286">
        <f>IF(K286="","",IF(AND(Q286,R286),IF(O286=P286,"Match","Qty Different"),IF(Q286,"Only in List 1","Only in List 2")))</f>
        <v/>
      </c>
      <c r="T286">
        <f>IF(K286="","",IF(ISNUMBER(--L286),TEXT(--L286,"000000000000.000"),LOWER(L286)))</f>
        <v/>
      </c>
      <c r="U286">
        <f>IF(K286="","",IF(ISNUMBER(--M286),TEXT(--M286,"000000000000.000"),LOWER(M286)))</f>
        <v/>
      </c>
      <c r="V286">
        <f>IF(K286="","",LOWER(N286))</f>
        <v/>
      </c>
      <c r="W286">
        <f>IF(K286="","",B286)</f>
        <v/>
      </c>
      <c r="X286">
        <f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>
      <c r="A287">
        <f>IF(TRIM('List 1'!A287&amp;'List 1'!C287&amp;'List 1'!D287)="","",LOWER(TRIM('List 1'!A287)&amp;"|"&amp;TRIM('List 1'!C287)&amp;"|"&amp;TRIM('List 1'!D287)))</f>
        <v/>
      </c>
      <c r="B287">
        <f>IF(A287="","",SUMPRODUCT(--($A$2:A287=A287)))</f>
        <v/>
      </c>
      <c r="C287">
        <f>IF(A287="","",A287&amp;"#"&amp;B287)</f>
        <v/>
      </c>
      <c r="D287">
        <f>IF(A287="","",IFERROR(--'List 1'!B287,0))</f>
        <v/>
      </c>
      <c r="F287">
        <f>IF(TRIM('List 2'!A287&amp;'List 2'!C287&amp;'List 2'!D287)="","",LOWER(TRIM('List 2'!A287)&amp;"|"&amp;TRIM('List 2'!C287)&amp;"|"&amp;TRIM('List 2'!D287)))</f>
        <v/>
      </c>
      <c r="G287">
        <f>IF(F287="","",SUMPRODUCT(--($F$2:F287=F287)))</f>
        <v/>
      </c>
      <c r="H287">
        <f>IF(F287="","",F287&amp;"#"&amp;G287)</f>
        <v/>
      </c>
      <c r="I287">
        <f>IF(F287="","",IFERROR(--'List 2'!B287,0))</f>
        <v/>
      </c>
      <c r="K287">
        <f>C287</f>
        <v/>
      </c>
      <c r="L287">
        <f>IF(K287="","",IF(ISNUMBER('List 1'!A287),'List 1'!A287,TRIM('List 1'!A287)))</f>
        <v/>
      </c>
      <c r="M287">
        <f>IF(K287="","",IF(ISNUMBER('List 1'!C287),'List 1'!C287,TRIM('List 1'!C287)))</f>
        <v/>
      </c>
      <c r="N287">
        <f>IF(K287="","",IF(ISNUMBER('List 1'!D287),'List 1'!D287,TRIM('List 1'!D287)))</f>
        <v/>
      </c>
      <c r="O287">
        <f>IF(K287="","",D287)</f>
        <v/>
      </c>
      <c r="P287">
        <f>IF(K287="","",IF(R287,SUMPRODUCT(--($H$2:$H$501=K287),$I$2:$I$501),0))</f>
        <v/>
      </c>
      <c r="Q287">
        <f>IF(K287="","",TRUE)</f>
        <v/>
      </c>
      <c r="R287">
        <f>IF(K287="","",SUMPRODUCT(--($H$2:$H$501=K287))&gt;0)</f>
        <v/>
      </c>
      <c r="S287">
        <f>IF(K287="","",IF(AND(Q287,R287),IF(O287=P287,"Match","Qty Different"),IF(Q287,"Only in List 1","Only in List 2")))</f>
        <v/>
      </c>
      <c r="T287">
        <f>IF(K287="","",IF(ISNUMBER(--L287),TEXT(--L287,"000000000000.000"),LOWER(L287)))</f>
        <v/>
      </c>
      <c r="U287">
        <f>IF(K287="","",IF(ISNUMBER(--M287),TEXT(--M287,"000000000000.000"),LOWER(M287)))</f>
        <v/>
      </c>
      <c r="V287">
        <f>IF(K287="","",LOWER(N287))</f>
        <v/>
      </c>
      <c r="W287">
        <f>IF(K287="","",B287)</f>
        <v/>
      </c>
      <c r="X287">
        <f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>
      <c r="A288">
        <f>IF(TRIM('List 1'!A288&amp;'List 1'!C288&amp;'List 1'!D288)="","",LOWER(TRIM('List 1'!A288)&amp;"|"&amp;TRIM('List 1'!C288)&amp;"|"&amp;TRIM('List 1'!D288)))</f>
        <v/>
      </c>
      <c r="B288">
        <f>IF(A288="","",SUMPRODUCT(--($A$2:A288=A288)))</f>
        <v/>
      </c>
      <c r="C288">
        <f>IF(A288="","",A288&amp;"#"&amp;B288)</f>
        <v/>
      </c>
      <c r="D288">
        <f>IF(A288="","",IFERROR(--'List 1'!B288,0))</f>
        <v/>
      </c>
      <c r="F288">
        <f>IF(TRIM('List 2'!A288&amp;'List 2'!C288&amp;'List 2'!D288)="","",LOWER(TRIM('List 2'!A288)&amp;"|"&amp;TRIM('List 2'!C288)&amp;"|"&amp;TRIM('List 2'!D288)))</f>
        <v/>
      </c>
      <c r="G288">
        <f>IF(F288="","",SUMPRODUCT(--($F$2:F288=F288)))</f>
        <v/>
      </c>
      <c r="H288">
        <f>IF(F288="","",F288&amp;"#"&amp;G288)</f>
        <v/>
      </c>
      <c r="I288">
        <f>IF(F288="","",IFERROR(--'List 2'!B288,0))</f>
        <v/>
      </c>
      <c r="K288">
        <f>C288</f>
        <v/>
      </c>
      <c r="L288">
        <f>IF(K288="","",IF(ISNUMBER('List 1'!A288),'List 1'!A288,TRIM('List 1'!A288)))</f>
        <v/>
      </c>
      <c r="M288">
        <f>IF(K288="","",IF(ISNUMBER('List 1'!C288),'List 1'!C288,TRIM('List 1'!C288)))</f>
        <v/>
      </c>
      <c r="N288">
        <f>IF(K288="","",IF(ISNUMBER('List 1'!D288),'List 1'!D288,TRIM('List 1'!D288)))</f>
        <v/>
      </c>
      <c r="O288">
        <f>IF(K288="","",D288)</f>
        <v/>
      </c>
      <c r="P288">
        <f>IF(K288="","",IF(R288,SUMPRODUCT(--($H$2:$H$501=K288),$I$2:$I$501),0))</f>
        <v/>
      </c>
      <c r="Q288">
        <f>IF(K288="","",TRUE)</f>
        <v/>
      </c>
      <c r="R288">
        <f>IF(K288="","",SUMPRODUCT(--($H$2:$H$501=K288))&gt;0)</f>
        <v/>
      </c>
      <c r="S288">
        <f>IF(K288="","",IF(AND(Q288,R288),IF(O288=P288,"Match","Qty Different"),IF(Q288,"Only in List 1","Only in List 2")))</f>
        <v/>
      </c>
      <c r="T288">
        <f>IF(K288="","",IF(ISNUMBER(--L288),TEXT(--L288,"000000000000.000"),LOWER(L288)))</f>
        <v/>
      </c>
      <c r="U288">
        <f>IF(K288="","",IF(ISNUMBER(--M288),TEXT(--M288,"000000000000.000"),LOWER(M288)))</f>
        <v/>
      </c>
      <c r="V288">
        <f>IF(K288="","",LOWER(N288))</f>
        <v/>
      </c>
      <c r="W288">
        <f>IF(K288="","",B288)</f>
        <v/>
      </c>
      <c r="X288">
        <f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>
      <c r="A289">
        <f>IF(TRIM('List 1'!A289&amp;'List 1'!C289&amp;'List 1'!D289)="","",LOWER(TRIM('List 1'!A289)&amp;"|"&amp;TRIM('List 1'!C289)&amp;"|"&amp;TRIM('List 1'!D289)))</f>
        <v/>
      </c>
      <c r="B289">
        <f>IF(A289="","",SUMPRODUCT(--($A$2:A289=A289)))</f>
        <v/>
      </c>
      <c r="C289">
        <f>IF(A289="","",A289&amp;"#"&amp;B289)</f>
        <v/>
      </c>
      <c r="D289">
        <f>IF(A289="","",IFERROR(--'List 1'!B289,0))</f>
        <v/>
      </c>
      <c r="F289">
        <f>IF(TRIM('List 2'!A289&amp;'List 2'!C289&amp;'List 2'!D289)="","",LOWER(TRIM('List 2'!A289)&amp;"|"&amp;TRIM('List 2'!C289)&amp;"|"&amp;TRIM('List 2'!D289)))</f>
        <v/>
      </c>
      <c r="G289">
        <f>IF(F289="","",SUMPRODUCT(--($F$2:F289=F289)))</f>
        <v/>
      </c>
      <c r="H289">
        <f>IF(F289="","",F289&amp;"#"&amp;G289)</f>
        <v/>
      </c>
      <c r="I289">
        <f>IF(F289="","",IFERROR(--'List 2'!B289,0))</f>
        <v/>
      </c>
      <c r="K289">
        <f>C289</f>
        <v/>
      </c>
      <c r="L289">
        <f>IF(K289="","",IF(ISNUMBER('List 1'!A289),'List 1'!A289,TRIM('List 1'!A289)))</f>
        <v/>
      </c>
      <c r="M289">
        <f>IF(K289="","",IF(ISNUMBER('List 1'!C289),'List 1'!C289,TRIM('List 1'!C289)))</f>
        <v/>
      </c>
      <c r="N289">
        <f>IF(K289="","",IF(ISNUMBER('List 1'!D289),'List 1'!D289,TRIM('List 1'!D289)))</f>
        <v/>
      </c>
      <c r="O289">
        <f>IF(K289="","",D289)</f>
        <v/>
      </c>
      <c r="P289">
        <f>IF(K289="","",IF(R289,SUMPRODUCT(--($H$2:$H$501=K289),$I$2:$I$501),0))</f>
        <v/>
      </c>
      <c r="Q289">
        <f>IF(K289="","",TRUE)</f>
        <v/>
      </c>
      <c r="R289">
        <f>IF(K289="","",SUMPRODUCT(--($H$2:$H$501=K289))&gt;0)</f>
        <v/>
      </c>
      <c r="S289">
        <f>IF(K289="","",IF(AND(Q289,R289),IF(O289=P289,"Match","Qty Different"),IF(Q289,"Only in List 1","Only in List 2")))</f>
        <v/>
      </c>
      <c r="T289">
        <f>IF(K289="","",IF(ISNUMBER(--L289),TEXT(--L289,"000000000000.000"),LOWER(L289)))</f>
        <v/>
      </c>
      <c r="U289">
        <f>IF(K289="","",IF(ISNUMBER(--M289),TEXT(--M289,"000000000000.000"),LOWER(M289)))</f>
        <v/>
      </c>
      <c r="V289">
        <f>IF(K289="","",LOWER(N289))</f>
        <v/>
      </c>
      <c r="W289">
        <f>IF(K289="","",B289)</f>
        <v/>
      </c>
      <c r="X289">
        <f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>
      <c r="A290">
        <f>IF(TRIM('List 1'!A290&amp;'List 1'!C290&amp;'List 1'!D290)="","",LOWER(TRIM('List 1'!A290)&amp;"|"&amp;TRIM('List 1'!C290)&amp;"|"&amp;TRIM('List 1'!D290)))</f>
        <v/>
      </c>
      <c r="B290">
        <f>IF(A290="","",SUMPRODUCT(--($A$2:A290=A290)))</f>
        <v/>
      </c>
      <c r="C290">
        <f>IF(A290="","",A290&amp;"#"&amp;B290)</f>
        <v/>
      </c>
      <c r="D290">
        <f>IF(A290="","",IFERROR(--'List 1'!B290,0))</f>
        <v/>
      </c>
      <c r="F290">
        <f>IF(TRIM('List 2'!A290&amp;'List 2'!C290&amp;'List 2'!D290)="","",LOWER(TRIM('List 2'!A290)&amp;"|"&amp;TRIM('List 2'!C290)&amp;"|"&amp;TRIM('List 2'!D290)))</f>
        <v/>
      </c>
      <c r="G290">
        <f>IF(F290="","",SUMPRODUCT(--($F$2:F290=F290)))</f>
        <v/>
      </c>
      <c r="H290">
        <f>IF(F290="","",F290&amp;"#"&amp;G290)</f>
        <v/>
      </c>
      <c r="I290">
        <f>IF(F290="","",IFERROR(--'List 2'!B290,0))</f>
        <v/>
      </c>
      <c r="K290">
        <f>C290</f>
        <v/>
      </c>
      <c r="L290">
        <f>IF(K290="","",IF(ISNUMBER('List 1'!A290),'List 1'!A290,TRIM('List 1'!A290)))</f>
        <v/>
      </c>
      <c r="M290">
        <f>IF(K290="","",IF(ISNUMBER('List 1'!C290),'List 1'!C290,TRIM('List 1'!C290)))</f>
        <v/>
      </c>
      <c r="N290">
        <f>IF(K290="","",IF(ISNUMBER('List 1'!D290),'List 1'!D290,TRIM('List 1'!D290)))</f>
        <v/>
      </c>
      <c r="O290">
        <f>IF(K290="","",D290)</f>
        <v/>
      </c>
      <c r="P290">
        <f>IF(K290="","",IF(R290,SUMPRODUCT(--($H$2:$H$501=K290),$I$2:$I$501),0))</f>
        <v/>
      </c>
      <c r="Q290">
        <f>IF(K290="","",TRUE)</f>
        <v/>
      </c>
      <c r="R290">
        <f>IF(K290="","",SUMPRODUCT(--($H$2:$H$501=K290))&gt;0)</f>
        <v/>
      </c>
      <c r="S290">
        <f>IF(K290="","",IF(AND(Q290,R290),IF(O290=P290,"Match","Qty Different"),IF(Q290,"Only in List 1","Only in List 2")))</f>
        <v/>
      </c>
      <c r="T290">
        <f>IF(K290="","",IF(ISNUMBER(--L290),TEXT(--L290,"000000000000.000"),LOWER(L290)))</f>
        <v/>
      </c>
      <c r="U290">
        <f>IF(K290="","",IF(ISNUMBER(--M290),TEXT(--M290,"000000000000.000"),LOWER(M290)))</f>
        <v/>
      </c>
      <c r="V290">
        <f>IF(K290="","",LOWER(N290))</f>
        <v/>
      </c>
      <c r="W290">
        <f>IF(K290="","",B290)</f>
        <v/>
      </c>
      <c r="X290">
        <f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>
      <c r="A291">
        <f>IF(TRIM('List 1'!A291&amp;'List 1'!C291&amp;'List 1'!D291)="","",LOWER(TRIM('List 1'!A291)&amp;"|"&amp;TRIM('List 1'!C291)&amp;"|"&amp;TRIM('List 1'!D291)))</f>
        <v/>
      </c>
      <c r="B291">
        <f>IF(A291="","",SUMPRODUCT(--($A$2:A291=A291)))</f>
        <v/>
      </c>
      <c r="C291">
        <f>IF(A291="","",A291&amp;"#"&amp;B291)</f>
        <v/>
      </c>
      <c r="D291">
        <f>IF(A291="","",IFERROR(--'List 1'!B291,0))</f>
        <v/>
      </c>
      <c r="F291">
        <f>IF(TRIM('List 2'!A291&amp;'List 2'!C291&amp;'List 2'!D291)="","",LOWER(TRIM('List 2'!A291)&amp;"|"&amp;TRIM('List 2'!C291)&amp;"|"&amp;TRIM('List 2'!D291)))</f>
        <v/>
      </c>
      <c r="G291">
        <f>IF(F291="","",SUMPRODUCT(--($F$2:F291=F291)))</f>
        <v/>
      </c>
      <c r="H291">
        <f>IF(F291="","",F291&amp;"#"&amp;G291)</f>
        <v/>
      </c>
      <c r="I291">
        <f>IF(F291="","",IFERROR(--'List 2'!B291,0))</f>
        <v/>
      </c>
      <c r="K291">
        <f>C291</f>
        <v/>
      </c>
      <c r="L291">
        <f>IF(K291="","",IF(ISNUMBER('List 1'!A291),'List 1'!A291,TRIM('List 1'!A291)))</f>
        <v/>
      </c>
      <c r="M291">
        <f>IF(K291="","",IF(ISNUMBER('List 1'!C291),'List 1'!C291,TRIM('List 1'!C291)))</f>
        <v/>
      </c>
      <c r="N291">
        <f>IF(K291="","",IF(ISNUMBER('List 1'!D291),'List 1'!D291,TRIM('List 1'!D291)))</f>
        <v/>
      </c>
      <c r="O291">
        <f>IF(K291="","",D291)</f>
        <v/>
      </c>
      <c r="P291">
        <f>IF(K291="","",IF(R291,SUMPRODUCT(--($H$2:$H$501=K291),$I$2:$I$501),0))</f>
        <v/>
      </c>
      <c r="Q291">
        <f>IF(K291="","",TRUE)</f>
        <v/>
      </c>
      <c r="R291">
        <f>IF(K291="","",SUMPRODUCT(--($H$2:$H$501=K291))&gt;0)</f>
        <v/>
      </c>
      <c r="S291">
        <f>IF(K291="","",IF(AND(Q291,R291),IF(O291=P291,"Match","Qty Different"),IF(Q291,"Only in List 1","Only in List 2")))</f>
        <v/>
      </c>
      <c r="T291">
        <f>IF(K291="","",IF(ISNUMBER(--L291),TEXT(--L291,"000000000000.000"),LOWER(L291)))</f>
        <v/>
      </c>
      <c r="U291">
        <f>IF(K291="","",IF(ISNUMBER(--M291),TEXT(--M291,"000000000000.000"),LOWER(M291)))</f>
        <v/>
      </c>
      <c r="V291">
        <f>IF(K291="","",LOWER(N291))</f>
        <v/>
      </c>
      <c r="W291">
        <f>IF(K291="","",B291)</f>
        <v/>
      </c>
      <c r="X291">
        <f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>
      <c r="A292">
        <f>IF(TRIM('List 1'!A292&amp;'List 1'!C292&amp;'List 1'!D292)="","",LOWER(TRIM('List 1'!A292)&amp;"|"&amp;TRIM('List 1'!C292)&amp;"|"&amp;TRIM('List 1'!D292)))</f>
        <v/>
      </c>
      <c r="B292">
        <f>IF(A292="","",SUMPRODUCT(--($A$2:A292=A292)))</f>
        <v/>
      </c>
      <c r="C292">
        <f>IF(A292="","",A292&amp;"#"&amp;B292)</f>
        <v/>
      </c>
      <c r="D292">
        <f>IF(A292="","",IFERROR(--'List 1'!B292,0))</f>
        <v/>
      </c>
      <c r="F292">
        <f>IF(TRIM('List 2'!A292&amp;'List 2'!C292&amp;'List 2'!D292)="","",LOWER(TRIM('List 2'!A292)&amp;"|"&amp;TRIM('List 2'!C292)&amp;"|"&amp;TRIM('List 2'!D292)))</f>
        <v/>
      </c>
      <c r="G292">
        <f>IF(F292="","",SUMPRODUCT(--($F$2:F292=F292)))</f>
        <v/>
      </c>
      <c r="H292">
        <f>IF(F292="","",F292&amp;"#"&amp;G292)</f>
        <v/>
      </c>
      <c r="I292">
        <f>IF(F292="","",IFERROR(--'List 2'!B292,0))</f>
        <v/>
      </c>
      <c r="K292">
        <f>C292</f>
        <v/>
      </c>
      <c r="L292">
        <f>IF(K292="","",IF(ISNUMBER('List 1'!A292),'List 1'!A292,TRIM('List 1'!A292)))</f>
        <v/>
      </c>
      <c r="M292">
        <f>IF(K292="","",IF(ISNUMBER('List 1'!C292),'List 1'!C292,TRIM('List 1'!C292)))</f>
        <v/>
      </c>
      <c r="N292">
        <f>IF(K292="","",IF(ISNUMBER('List 1'!D292),'List 1'!D292,TRIM('List 1'!D292)))</f>
        <v/>
      </c>
      <c r="O292">
        <f>IF(K292="","",D292)</f>
        <v/>
      </c>
      <c r="P292">
        <f>IF(K292="","",IF(R292,SUMPRODUCT(--($H$2:$H$501=K292),$I$2:$I$501),0))</f>
        <v/>
      </c>
      <c r="Q292">
        <f>IF(K292="","",TRUE)</f>
        <v/>
      </c>
      <c r="R292">
        <f>IF(K292="","",SUMPRODUCT(--($H$2:$H$501=K292))&gt;0)</f>
        <v/>
      </c>
      <c r="S292">
        <f>IF(K292="","",IF(AND(Q292,R292),IF(O292=P292,"Match","Qty Different"),IF(Q292,"Only in List 1","Only in List 2")))</f>
        <v/>
      </c>
      <c r="T292">
        <f>IF(K292="","",IF(ISNUMBER(--L292),TEXT(--L292,"000000000000.000"),LOWER(L292)))</f>
        <v/>
      </c>
      <c r="U292">
        <f>IF(K292="","",IF(ISNUMBER(--M292),TEXT(--M292,"000000000000.000"),LOWER(M292)))</f>
        <v/>
      </c>
      <c r="V292">
        <f>IF(K292="","",LOWER(N292))</f>
        <v/>
      </c>
      <c r="W292">
        <f>IF(K292="","",B292)</f>
        <v/>
      </c>
      <c r="X292">
        <f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>
      <c r="A293">
        <f>IF(TRIM('List 1'!A293&amp;'List 1'!C293&amp;'List 1'!D293)="","",LOWER(TRIM('List 1'!A293)&amp;"|"&amp;TRIM('List 1'!C293)&amp;"|"&amp;TRIM('List 1'!D293)))</f>
        <v/>
      </c>
      <c r="B293">
        <f>IF(A293="","",SUMPRODUCT(--($A$2:A293=A293)))</f>
        <v/>
      </c>
      <c r="C293">
        <f>IF(A293="","",A293&amp;"#"&amp;B293)</f>
        <v/>
      </c>
      <c r="D293">
        <f>IF(A293="","",IFERROR(--'List 1'!B293,0))</f>
        <v/>
      </c>
      <c r="F293">
        <f>IF(TRIM('List 2'!A293&amp;'List 2'!C293&amp;'List 2'!D293)="","",LOWER(TRIM('List 2'!A293)&amp;"|"&amp;TRIM('List 2'!C293)&amp;"|"&amp;TRIM('List 2'!D293)))</f>
        <v/>
      </c>
      <c r="G293">
        <f>IF(F293="","",SUMPRODUCT(--($F$2:F293=F293)))</f>
        <v/>
      </c>
      <c r="H293">
        <f>IF(F293="","",F293&amp;"#"&amp;G293)</f>
        <v/>
      </c>
      <c r="I293">
        <f>IF(F293="","",IFERROR(--'List 2'!B293,0))</f>
        <v/>
      </c>
      <c r="K293">
        <f>C293</f>
        <v/>
      </c>
      <c r="L293">
        <f>IF(K293="","",IF(ISNUMBER('List 1'!A293),'List 1'!A293,TRIM('List 1'!A293)))</f>
        <v/>
      </c>
      <c r="M293">
        <f>IF(K293="","",IF(ISNUMBER('List 1'!C293),'List 1'!C293,TRIM('List 1'!C293)))</f>
        <v/>
      </c>
      <c r="N293">
        <f>IF(K293="","",IF(ISNUMBER('List 1'!D293),'List 1'!D293,TRIM('List 1'!D293)))</f>
        <v/>
      </c>
      <c r="O293">
        <f>IF(K293="","",D293)</f>
        <v/>
      </c>
      <c r="P293">
        <f>IF(K293="","",IF(R293,SUMPRODUCT(--($H$2:$H$501=K293),$I$2:$I$501),0))</f>
        <v/>
      </c>
      <c r="Q293">
        <f>IF(K293="","",TRUE)</f>
        <v/>
      </c>
      <c r="R293">
        <f>IF(K293="","",SUMPRODUCT(--($H$2:$H$501=K293))&gt;0)</f>
        <v/>
      </c>
      <c r="S293">
        <f>IF(K293="","",IF(AND(Q293,R293),IF(O293=P293,"Match","Qty Different"),IF(Q293,"Only in List 1","Only in List 2")))</f>
        <v/>
      </c>
      <c r="T293">
        <f>IF(K293="","",IF(ISNUMBER(--L293),TEXT(--L293,"000000000000.000"),LOWER(L293)))</f>
        <v/>
      </c>
      <c r="U293">
        <f>IF(K293="","",IF(ISNUMBER(--M293),TEXT(--M293,"000000000000.000"),LOWER(M293)))</f>
        <v/>
      </c>
      <c r="V293">
        <f>IF(K293="","",LOWER(N293))</f>
        <v/>
      </c>
      <c r="W293">
        <f>IF(K293="","",B293)</f>
        <v/>
      </c>
      <c r="X293">
        <f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>
      <c r="A294">
        <f>IF(TRIM('List 1'!A294&amp;'List 1'!C294&amp;'List 1'!D294)="","",LOWER(TRIM('List 1'!A294)&amp;"|"&amp;TRIM('List 1'!C294)&amp;"|"&amp;TRIM('List 1'!D294)))</f>
        <v/>
      </c>
      <c r="B294">
        <f>IF(A294="","",SUMPRODUCT(--($A$2:A294=A294)))</f>
        <v/>
      </c>
      <c r="C294">
        <f>IF(A294="","",A294&amp;"#"&amp;B294)</f>
        <v/>
      </c>
      <c r="D294">
        <f>IF(A294="","",IFERROR(--'List 1'!B294,0))</f>
        <v/>
      </c>
      <c r="F294">
        <f>IF(TRIM('List 2'!A294&amp;'List 2'!C294&amp;'List 2'!D294)="","",LOWER(TRIM('List 2'!A294)&amp;"|"&amp;TRIM('List 2'!C294)&amp;"|"&amp;TRIM('List 2'!D294)))</f>
        <v/>
      </c>
      <c r="G294">
        <f>IF(F294="","",SUMPRODUCT(--($F$2:F294=F294)))</f>
        <v/>
      </c>
      <c r="H294">
        <f>IF(F294="","",F294&amp;"#"&amp;G294)</f>
        <v/>
      </c>
      <c r="I294">
        <f>IF(F294="","",IFERROR(--'List 2'!B294,0))</f>
        <v/>
      </c>
      <c r="K294">
        <f>C294</f>
        <v/>
      </c>
      <c r="L294">
        <f>IF(K294="","",IF(ISNUMBER('List 1'!A294),'List 1'!A294,TRIM('List 1'!A294)))</f>
        <v/>
      </c>
      <c r="M294">
        <f>IF(K294="","",IF(ISNUMBER('List 1'!C294),'List 1'!C294,TRIM('List 1'!C294)))</f>
        <v/>
      </c>
      <c r="N294">
        <f>IF(K294="","",IF(ISNUMBER('List 1'!D294),'List 1'!D294,TRIM('List 1'!D294)))</f>
        <v/>
      </c>
      <c r="O294">
        <f>IF(K294="","",D294)</f>
        <v/>
      </c>
      <c r="P294">
        <f>IF(K294="","",IF(R294,SUMPRODUCT(--($H$2:$H$501=K294),$I$2:$I$501),0))</f>
        <v/>
      </c>
      <c r="Q294">
        <f>IF(K294="","",TRUE)</f>
        <v/>
      </c>
      <c r="R294">
        <f>IF(K294="","",SUMPRODUCT(--($H$2:$H$501=K294))&gt;0)</f>
        <v/>
      </c>
      <c r="S294">
        <f>IF(K294="","",IF(AND(Q294,R294),IF(O294=P294,"Match","Qty Different"),IF(Q294,"Only in List 1","Only in List 2")))</f>
        <v/>
      </c>
      <c r="T294">
        <f>IF(K294="","",IF(ISNUMBER(--L294),TEXT(--L294,"000000000000.000"),LOWER(L294)))</f>
        <v/>
      </c>
      <c r="U294">
        <f>IF(K294="","",IF(ISNUMBER(--M294),TEXT(--M294,"000000000000.000"),LOWER(M294)))</f>
        <v/>
      </c>
      <c r="V294">
        <f>IF(K294="","",LOWER(N294))</f>
        <v/>
      </c>
      <c r="W294">
        <f>IF(K294="","",B294)</f>
        <v/>
      </c>
      <c r="X294">
        <f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>
      <c r="A295">
        <f>IF(TRIM('List 1'!A295&amp;'List 1'!C295&amp;'List 1'!D295)="","",LOWER(TRIM('List 1'!A295)&amp;"|"&amp;TRIM('List 1'!C295)&amp;"|"&amp;TRIM('List 1'!D295)))</f>
        <v/>
      </c>
      <c r="B295">
        <f>IF(A295="","",SUMPRODUCT(--($A$2:A295=A295)))</f>
        <v/>
      </c>
      <c r="C295">
        <f>IF(A295="","",A295&amp;"#"&amp;B295)</f>
        <v/>
      </c>
      <c r="D295">
        <f>IF(A295="","",IFERROR(--'List 1'!B295,0))</f>
        <v/>
      </c>
      <c r="F295">
        <f>IF(TRIM('List 2'!A295&amp;'List 2'!C295&amp;'List 2'!D295)="","",LOWER(TRIM('List 2'!A295)&amp;"|"&amp;TRIM('List 2'!C295)&amp;"|"&amp;TRIM('List 2'!D295)))</f>
        <v/>
      </c>
      <c r="G295">
        <f>IF(F295="","",SUMPRODUCT(--($F$2:F295=F295)))</f>
        <v/>
      </c>
      <c r="H295">
        <f>IF(F295="","",F295&amp;"#"&amp;G295)</f>
        <v/>
      </c>
      <c r="I295">
        <f>IF(F295="","",IFERROR(--'List 2'!B295,0))</f>
        <v/>
      </c>
      <c r="K295">
        <f>C295</f>
        <v/>
      </c>
      <c r="L295">
        <f>IF(K295="","",IF(ISNUMBER('List 1'!A295),'List 1'!A295,TRIM('List 1'!A295)))</f>
        <v/>
      </c>
      <c r="M295">
        <f>IF(K295="","",IF(ISNUMBER('List 1'!C295),'List 1'!C295,TRIM('List 1'!C295)))</f>
        <v/>
      </c>
      <c r="N295">
        <f>IF(K295="","",IF(ISNUMBER('List 1'!D295),'List 1'!D295,TRIM('List 1'!D295)))</f>
        <v/>
      </c>
      <c r="O295">
        <f>IF(K295="","",D295)</f>
        <v/>
      </c>
      <c r="P295">
        <f>IF(K295="","",IF(R295,SUMPRODUCT(--($H$2:$H$501=K295),$I$2:$I$501),0))</f>
        <v/>
      </c>
      <c r="Q295">
        <f>IF(K295="","",TRUE)</f>
        <v/>
      </c>
      <c r="R295">
        <f>IF(K295="","",SUMPRODUCT(--($H$2:$H$501=K295))&gt;0)</f>
        <v/>
      </c>
      <c r="S295">
        <f>IF(K295="","",IF(AND(Q295,R295),IF(O295=P295,"Match","Qty Different"),IF(Q295,"Only in List 1","Only in List 2")))</f>
        <v/>
      </c>
      <c r="T295">
        <f>IF(K295="","",IF(ISNUMBER(--L295),TEXT(--L295,"000000000000.000"),LOWER(L295)))</f>
        <v/>
      </c>
      <c r="U295">
        <f>IF(K295="","",IF(ISNUMBER(--M295),TEXT(--M295,"000000000000.000"),LOWER(M295)))</f>
        <v/>
      </c>
      <c r="V295">
        <f>IF(K295="","",LOWER(N295))</f>
        <v/>
      </c>
      <c r="W295">
        <f>IF(K295="","",B295)</f>
        <v/>
      </c>
      <c r="X295">
        <f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>
      <c r="A296">
        <f>IF(TRIM('List 1'!A296&amp;'List 1'!C296&amp;'List 1'!D296)="","",LOWER(TRIM('List 1'!A296)&amp;"|"&amp;TRIM('List 1'!C296)&amp;"|"&amp;TRIM('List 1'!D296)))</f>
        <v/>
      </c>
      <c r="B296">
        <f>IF(A296="","",SUMPRODUCT(--($A$2:A296=A296)))</f>
        <v/>
      </c>
      <c r="C296">
        <f>IF(A296="","",A296&amp;"#"&amp;B296)</f>
        <v/>
      </c>
      <c r="D296">
        <f>IF(A296="","",IFERROR(--'List 1'!B296,0))</f>
        <v/>
      </c>
      <c r="F296">
        <f>IF(TRIM('List 2'!A296&amp;'List 2'!C296&amp;'List 2'!D296)="","",LOWER(TRIM('List 2'!A296)&amp;"|"&amp;TRIM('List 2'!C296)&amp;"|"&amp;TRIM('List 2'!D296)))</f>
        <v/>
      </c>
      <c r="G296">
        <f>IF(F296="","",SUMPRODUCT(--($F$2:F296=F296)))</f>
        <v/>
      </c>
      <c r="H296">
        <f>IF(F296="","",F296&amp;"#"&amp;G296)</f>
        <v/>
      </c>
      <c r="I296">
        <f>IF(F296="","",IFERROR(--'List 2'!B296,0))</f>
        <v/>
      </c>
      <c r="K296">
        <f>C296</f>
        <v/>
      </c>
      <c r="L296">
        <f>IF(K296="","",IF(ISNUMBER('List 1'!A296),'List 1'!A296,TRIM('List 1'!A296)))</f>
        <v/>
      </c>
      <c r="M296">
        <f>IF(K296="","",IF(ISNUMBER('List 1'!C296),'List 1'!C296,TRIM('List 1'!C296)))</f>
        <v/>
      </c>
      <c r="N296">
        <f>IF(K296="","",IF(ISNUMBER('List 1'!D296),'List 1'!D296,TRIM('List 1'!D296)))</f>
        <v/>
      </c>
      <c r="O296">
        <f>IF(K296="","",D296)</f>
        <v/>
      </c>
      <c r="P296">
        <f>IF(K296="","",IF(R296,SUMPRODUCT(--($H$2:$H$501=K296),$I$2:$I$501),0))</f>
        <v/>
      </c>
      <c r="Q296">
        <f>IF(K296="","",TRUE)</f>
        <v/>
      </c>
      <c r="R296">
        <f>IF(K296="","",SUMPRODUCT(--($H$2:$H$501=K296))&gt;0)</f>
        <v/>
      </c>
      <c r="S296">
        <f>IF(K296="","",IF(AND(Q296,R296),IF(O296=P296,"Match","Qty Different"),IF(Q296,"Only in List 1","Only in List 2")))</f>
        <v/>
      </c>
      <c r="T296">
        <f>IF(K296="","",IF(ISNUMBER(--L296),TEXT(--L296,"000000000000.000"),LOWER(L296)))</f>
        <v/>
      </c>
      <c r="U296">
        <f>IF(K296="","",IF(ISNUMBER(--M296),TEXT(--M296,"000000000000.000"),LOWER(M296)))</f>
        <v/>
      </c>
      <c r="V296">
        <f>IF(K296="","",LOWER(N296))</f>
        <v/>
      </c>
      <c r="W296">
        <f>IF(K296="","",B296)</f>
        <v/>
      </c>
      <c r="X296">
        <f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>
      <c r="A297">
        <f>IF(TRIM('List 1'!A297&amp;'List 1'!C297&amp;'List 1'!D297)="","",LOWER(TRIM('List 1'!A297)&amp;"|"&amp;TRIM('List 1'!C297)&amp;"|"&amp;TRIM('List 1'!D297)))</f>
        <v/>
      </c>
      <c r="B297">
        <f>IF(A297="","",SUMPRODUCT(--($A$2:A297=A297)))</f>
        <v/>
      </c>
      <c r="C297">
        <f>IF(A297="","",A297&amp;"#"&amp;B297)</f>
        <v/>
      </c>
      <c r="D297">
        <f>IF(A297="","",IFERROR(--'List 1'!B297,0))</f>
        <v/>
      </c>
      <c r="F297">
        <f>IF(TRIM('List 2'!A297&amp;'List 2'!C297&amp;'List 2'!D297)="","",LOWER(TRIM('List 2'!A297)&amp;"|"&amp;TRIM('List 2'!C297)&amp;"|"&amp;TRIM('List 2'!D297)))</f>
        <v/>
      </c>
      <c r="G297">
        <f>IF(F297="","",SUMPRODUCT(--($F$2:F297=F297)))</f>
        <v/>
      </c>
      <c r="H297">
        <f>IF(F297="","",F297&amp;"#"&amp;G297)</f>
        <v/>
      </c>
      <c r="I297">
        <f>IF(F297="","",IFERROR(--'List 2'!B297,0))</f>
        <v/>
      </c>
      <c r="K297">
        <f>C297</f>
        <v/>
      </c>
      <c r="L297">
        <f>IF(K297="","",IF(ISNUMBER('List 1'!A297),'List 1'!A297,TRIM('List 1'!A297)))</f>
        <v/>
      </c>
      <c r="M297">
        <f>IF(K297="","",IF(ISNUMBER('List 1'!C297),'List 1'!C297,TRIM('List 1'!C297)))</f>
        <v/>
      </c>
      <c r="N297">
        <f>IF(K297="","",IF(ISNUMBER('List 1'!D297),'List 1'!D297,TRIM('List 1'!D297)))</f>
        <v/>
      </c>
      <c r="O297">
        <f>IF(K297="","",D297)</f>
        <v/>
      </c>
      <c r="P297">
        <f>IF(K297="","",IF(R297,SUMPRODUCT(--($H$2:$H$501=K297),$I$2:$I$501),0))</f>
        <v/>
      </c>
      <c r="Q297">
        <f>IF(K297="","",TRUE)</f>
        <v/>
      </c>
      <c r="R297">
        <f>IF(K297="","",SUMPRODUCT(--($H$2:$H$501=K297))&gt;0)</f>
        <v/>
      </c>
      <c r="S297">
        <f>IF(K297="","",IF(AND(Q297,R297),IF(O297=P297,"Match","Qty Different"),IF(Q297,"Only in List 1","Only in List 2")))</f>
        <v/>
      </c>
      <c r="T297">
        <f>IF(K297="","",IF(ISNUMBER(--L297),TEXT(--L297,"000000000000.000"),LOWER(L297)))</f>
        <v/>
      </c>
      <c r="U297">
        <f>IF(K297="","",IF(ISNUMBER(--M297),TEXT(--M297,"000000000000.000"),LOWER(M297)))</f>
        <v/>
      </c>
      <c r="V297">
        <f>IF(K297="","",LOWER(N297))</f>
        <v/>
      </c>
      <c r="W297">
        <f>IF(K297="","",B297)</f>
        <v/>
      </c>
      <c r="X297">
        <f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>
      <c r="A298">
        <f>IF(TRIM('List 1'!A298&amp;'List 1'!C298&amp;'List 1'!D298)="","",LOWER(TRIM('List 1'!A298)&amp;"|"&amp;TRIM('List 1'!C298)&amp;"|"&amp;TRIM('List 1'!D298)))</f>
        <v/>
      </c>
      <c r="B298">
        <f>IF(A298="","",SUMPRODUCT(--($A$2:A298=A298)))</f>
        <v/>
      </c>
      <c r="C298">
        <f>IF(A298="","",A298&amp;"#"&amp;B298)</f>
        <v/>
      </c>
      <c r="D298">
        <f>IF(A298="","",IFERROR(--'List 1'!B298,0))</f>
        <v/>
      </c>
      <c r="F298">
        <f>IF(TRIM('List 2'!A298&amp;'List 2'!C298&amp;'List 2'!D298)="","",LOWER(TRIM('List 2'!A298)&amp;"|"&amp;TRIM('List 2'!C298)&amp;"|"&amp;TRIM('List 2'!D298)))</f>
        <v/>
      </c>
      <c r="G298">
        <f>IF(F298="","",SUMPRODUCT(--($F$2:F298=F298)))</f>
        <v/>
      </c>
      <c r="H298">
        <f>IF(F298="","",F298&amp;"#"&amp;G298)</f>
        <v/>
      </c>
      <c r="I298">
        <f>IF(F298="","",IFERROR(--'List 2'!B298,0))</f>
        <v/>
      </c>
      <c r="K298">
        <f>C298</f>
        <v/>
      </c>
      <c r="L298">
        <f>IF(K298="","",IF(ISNUMBER('List 1'!A298),'List 1'!A298,TRIM('List 1'!A298)))</f>
        <v/>
      </c>
      <c r="M298">
        <f>IF(K298="","",IF(ISNUMBER('List 1'!C298),'List 1'!C298,TRIM('List 1'!C298)))</f>
        <v/>
      </c>
      <c r="N298">
        <f>IF(K298="","",IF(ISNUMBER('List 1'!D298),'List 1'!D298,TRIM('List 1'!D298)))</f>
        <v/>
      </c>
      <c r="O298">
        <f>IF(K298="","",D298)</f>
        <v/>
      </c>
      <c r="P298">
        <f>IF(K298="","",IF(R298,SUMPRODUCT(--($H$2:$H$501=K298),$I$2:$I$501),0))</f>
        <v/>
      </c>
      <c r="Q298">
        <f>IF(K298="","",TRUE)</f>
        <v/>
      </c>
      <c r="R298">
        <f>IF(K298="","",SUMPRODUCT(--($H$2:$H$501=K298))&gt;0)</f>
        <v/>
      </c>
      <c r="S298">
        <f>IF(K298="","",IF(AND(Q298,R298),IF(O298=P298,"Match","Qty Different"),IF(Q298,"Only in List 1","Only in List 2")))</f>
        <v/>
      </c>
      <c r="T298">
        <f>IF(K298="","",IF(ISNUMBER(--L298),TEXT(--L298,"000000000000.000"),LOWER(L298)))</f>
        <v/>
      </c>
      <c r="U298">
        <f>IF(K298="","",IF(ISNUMBER(--M298),TEXT(--M298,"000000000000.000"),LOWER(M298)))</f>
        <v/>
      </c>
      <c r="V298">
        <f>IF(K298="","",LOWER(N298))</f>
        <v/>
      </c>
      <c r="W298">
        <f>IF(K298="","",B298)</f>
        <v/>
      </c>
      <c r="X298">
        <f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>
      <c r="A299">
        <f>IF(TRIM('List 1'!A299&amp;'List 1'!C299&amp;'List 1'!D299)="","",LOWER(TRIM('List 1'!A299)&amp;"|"&amp;TRIM('List 1'!C299)&amp;"|"&amp;TRIM('List 1'!D299)))</f>
        <v/>
      </c>
      <c r="B299">
        <f>IF(A299="","",SUMPRODUCT(--($A$2:A299=A299)))</f>
        <v/>
      </c>
      <c r="C299">
        <f>IF(A299="","",A299&amp;"#"&amp;B299)</f>
        <v/>
      </c>
      <c r="D299">
        <f>IF(A299="","",IFERROR(--'List 1'!B299,0))</f>
        <v/>
      </c>
      <c r="F299">
        <f>IF(TRIM('List 2'!A299&amp;'List 2'!C299&amp;'List 2'!D299)="","",LOWER(TRIM('List 2'!A299)&amp;"|"&amp;TRIM('List 2'!C299)&amp;"|"&amp;TRIM('List 2'!D299)))</f>
        <v/>
      </c>
      <c r="G299">
        <f>IF(F299="","",SUMPRODUCT(--($F$2:F299=F299)))</f>
        <v/>
      </c>
      <c r="H299">
        <f>IF(F299="","",F299&amp;"#"&amp;G299)</f>
        <v/>
      </c>
      <c r="I299">
        <f>IF(F299="","",IFERROR(--'List 2'!B299,0))</f>
        <v/>
      </c>
      <c r="K299">
        <f>C299</f>
        <v/>
      </c>
      <c r="L299">
        <f>IF(K299="","",IF(ISNUMBER('List 1'!A299),'List 1'!A299,TRIM('List 1'!A299)))</f>
        <v/>
      </c>
      <c r="M299">
        <f>IF(K299="","",IF(ISNUMBER('List 1'!C299),'List 1'!C299,TRIM('List 1'!C299)))</f>
        <v/>
      </c>
      <c r="N299">
        <f>IF(K299="","",IF(ISNUMBER('List 1'!D299),'List 1'!D299,TRIM('List 1'!D299)))</f>
        <v/>
      </c>
      <c r="O299">
        <f>IF(K299="","",D299)</f>
        <v/>
      </c>
      <c r="P299">
        <f>IF(K299="","",IF(R299,SUMPRODUCT(--($H$2:$H$501=K299),$I$2:$I$501),0))</f>
        <v/>
      </c>
      <c r="Q299">
        <f>IF(K299="","",TRUE)</f>
        <v/>
      </c>
      <c r="R299">
        <f>IF(K299="","",SUMPRODUCT(--($H$2:$H$501=K299))&gt;0)</f>
        <v/>
      </c>
      <c r="S299">
        <f>IF(K299="","",IF(AND(Q299,R299),IF(O299=P299,"Match","Qty Different"),IF(Q299,"Only in List 1","Only in List 2")))</f>
        <v/>
      </c>
      <c r="T299">
        <f>IF(K299="","",IF(ISNUMBER(--L299),TEXT(--L299,"000000000000.000"),LOWER(L299)))</f>
        <v/>
      </c>
      <c r="U299">
        <f>IF(K299="","",IF(ISNUMBER(--M299),TEXT(--M299,"000000000000.000"),LOWER(M299)))</f>
        <v/>
      </c>
      <c r="V299">
        <f>IF(K299="","",LOWER(N299))</f>
        <v/>
      </c>
      <c r="W299">
        <f>IF(K299="","",B299)</f>
        <v/>
      </c>
      <c r="X299">
        <f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>
      <c r="A300">
        <f>IF(TRIM('List 1'!A300&amp;'List 1'!C300&amp;'List 1'!D300)="","",LOWER(TRIM('List 1'!A300)&amp;"|"&amp;TRIM('List 1'!C300)&amp;"|"&amp;TRIM('List 1'!D300)))</f>
        <v/>
      </c>
      <c r="B300">
        <f>IF(A300="","",SUMPRODUCT(--($A$2:A300=A300)))</f>
        <v/>
      </c>
      <c r="C300">
        <f>IF(A300="","",A300&amp;"#"&amp;B300)</f>
        <v/>
      </c>
      <c r="D300">
        <f>IF(A300="","",IFERROR(--'List 1'!B300,0))</f>
        <v/>
      </c>
      <c r="F300">
        <f>IF(TRIM('List 2'!A300&amp;'List 2'!C300&amp;'List 2'!D300)="","",LOWER(TRIM('List 2'!A300)&amp;"|"&amp;TRIM('List 2'!C300)&amp;"|"&amp;TRIM('List 2'!D300)))</f>
        <v/>
      </c>
      <c r="G300">
        <f>IF(F300="","",SUMPRODUCT(--($F$2:F300=F300)))</f>
        <v/>
      </c>
      <c r="H300">
        <f>IF(F300="","",F300&amp;"#"&amp;G300)</f>
        <v/>
      </c>
      <c r="I300">
        <f>IF(F300="","",IFERROR(--'List 2'!B300,0))</f>
        <v/>
      </c>
      <c r="K300">
        <f>C300</f>
        <v/>
      </c>
      <c r="L300">
        <f>IF(K300="","",IF(ISNUMBER('List 1'!A300),'List 1'!A300,TRIM('List 1'!A300)))</f>
        <v/>
      </c>
      <c r="M300">
        <f>IF(K300="","",IF(ISNUMBER('List 1'!C300),'List 1'!C300,TRIM('List 1'!C300)))</f>
        <v/>
      </c>
      <c r="N300">
        <f>IF(K300="","",IF(ISNUMBER('List 1'!D300),'List 1'!D300,TRIM('List 1'!D300)))</f>
        <v/>
      </c>
      <c r="O300">
        <f>IF(K300="","",D300)</f>
        <v/>
      </c>
      <c r="P300">
        <f>IF(K300="","",IF(R300,SUMPRODUCT(--($H$2:$H$501=K300),$I$2:$I$501),0))</f>
        <v/>
      </c>
      <c r="Q300">
        <f>IF(K300="","",TRUE)</f>
        <v/>
      </c>
      <c r="R300">
        <f>IF(K300="","",SUMPRODUCT(--($H$2:$H$501=K300))&gt;0)</f>
        <v/>
      </c>
      <c r="S300">
        <f>IF(K300="","",IF(AND(Q300,R300),IF(O300=P300,"Match","Qty Different"),IF(Q300,"Only in List 1","Only in List 2")))</f>
        <v/>
      </c>
      <c r="T300">
        <f>IF(K300="","",IF(ISNUMBER(--L300),TEXT(--L300,"000000000000.000"),LOWER(L300)))</f>
        <v/>
      </c>
      <c r="U300">
        <f>IF(K300="","",IF(ISNUMBER(--M300),TEXT(--M300,"000000000000.000"),LOWER(M300)))</f>
        <v/>
      </c>
      <c r="V300">
        <f>IF(K300="","",LOWER(N300))</f>
        <v/>
      </c>
      <c r="W300">
        <f>IF(K300="","",B300)</f>
        <v/>
      </c>
      <c r="X300">
        <f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>
      <c r="A301">
        <f>IF(TRIM('List 1'!A301&amp;'List 1'!C301&amp;'List 1'!D301)="","",LOWER(TRIM('List 1'!A301)&amp;"|"&amp;TRIM('List 1'!C301)&amp;"|"&amp;TRIM('List 1'!D301)))</f>
        <v/>
      </c>
      <c r="B301">
        <f>IF(A301="","",SUMPRODUCT(--($A$2:A301=A301)))</f>
        <v/>
      </c>
      <c r="C301">
        <f>IF(A301="","",A301&amp;"#"&amp;B301)</f>
        <v/>
      </c>
      <c r="D301">
        <f>IF(A301="","",IFERROR(--'List 1'!B301,0))</f>
        <v/>
      </c>
      <c r="F301">
        <f>IF(TRIM('List 2'!A301&amp;'List 2'!C301&amp;'List 2'!D301)="","",LOWER(TRIM('List 2'!A301)&amp;"|"&amp;TRIM('List 2'!C301)&amp;"|"&amp;TRIM('List 2'!D301)))</f>
        <v/>
      </c>
      <c r="G301">
        <f>IF(F301="","",SUMPRODUCT(--($F$2:F301=F301)))</f>
        <v/>
      </c>
      <c r="H301">
        <f>IF(F301="","",F301&amp;"#"&amp;G301)</f>
        <v/>
      </c>
      <c r="I301">
        <f>IF(F301="","",IFERROR(--'List 2'!B301,0))</f>
        <v/>
      </c>
      <c r="K301">
        <f>C301</f>
        <v/>
      </c>
      <c r="L301">
        <f>IF(K301="","",IF(ISNUMBER('List 1'!A301),'List 1'!A301,TRIM('List 1'!A301)))</f>
        <v/>
      </c>
      <c r="M301">
        <f>IF(K301="","",IF(ISNUMBER('List 1'!C301),'List 1'!C301,TRIM('List 1'!C301)))</f>
        <v/>
      </c>
      <c r="N301">
        <f>IF(K301="","",IF(ISNUMBER('List 1'!D301),'List 1'!D301,TRIM('List 1'!D301)))</f>
        <v/>
      </c>
      <c r="O301">
        <f>IF(K301="","",D301)</f>
        <v/>
      </c>
      <c r="P301">
        <f>IF(K301="","",IF(R301,SUMPRODUCT(--($H$2:$H$501=K301),$I$2:$I$501),0))</f>
        <v/>
      </c>
      <c r="Q301">
        <f>IF(K301="","",TRUE)</f>
        <v/>
      </c>
      <c r="R301">
        <f>IF(K301="","",SUMPRODUCT(--($H$2:$H$501=K301))&gt;0)</f>
        <v/>
      </c>
      <c r="S301">
        <f>IF(K301="","",IF(AND(Q301,R301),IF(O301=P301,"Match","Qty Different"),IF(Q301,"Only in List 1","Only in List 2")))</f>
        <v/>
      </c>
      <c r="T301">
        <f>IF(K301="","",IF(ISNUMBER(--L301),TEXT(--L301,"000000000000.000"),LOWER(L301)))</f>
        <v/>
      </c>
      <c r="U301">
        <f>IF(K301="","",IF(ISNUMBER(--M301),TEXT(--M301,"000000000000.000"),LOWER(M301)))</f>
        <v/>
      </c>
      <c r="V301">
        <f>IF(K301="","",LOWER(N301))</f>
        <v/>
      </c>
      <c r="W301">
        <f>IF(K301="","",B301)</f>
        <v/>
      </c>
      <c r="X301">
        <f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>
      <c r="A302">
        <f>IF(TRIM('List 1'!A302&amp;'List 1'!C302&amp;'List 1'!D302)="","",LOWER(TRIM('List 1'!A302)&amp;"|"&amp;TRIM('List 1'!C302)&amp;"|"&amp;TRIM('List 1'!D302)))</f>
        <v/>
      </c>
      <c r="B302">
        <f>IF(A302="","",SUMPRODUCT(--($A$2:A302=A302)))</f>
        <v/>
      </c>
      <c r="C302">
        <f>IF(A302="","",A302&amp;"#"&amp;B302)</f>
        <v/>
      </c>
      <c r="D302">
        <f>IF(A302="","",IFERROR(--'List 1'!B302,0))</f>
        <v/>
      </c>
      <c r="F302">
        <f>IF(TRIM('List 2'!A302&amp;'List 2'!C302&amp;'List 2'!D302)="","",LOWER(TRIM('List 2'!A302)&amp;"|"&amp;TRIM('List 2'!C302)&amp;"|"&amp;TRIM('List 2'!D302)))</f>
        <v/>
      </c>
      <c r="G302">
        <f>IF(F302="","",SUMPRODUCT(--($F$2:F302=F302)))</f>
        <v/>
      </c>
      <c r="H302">
        <f>IF(F302="","",F302&amp;"#"&amp;G302)</f>
        <v/>
      </c>
      <c r="I302">
        <f>IF(F302="","",IFERROR(--'List 2'!B302,0))</f>
        <v/>
      </c>
      <c r="K302">
        <f>C302</f>
        <v/>
      </c>
      <c r="L302">
        <f>IF(K302="","",IF(ISNUMBER('List 1'!A302),'List 1'!A302,TRIM('List 1'!A302)))</f>
        <v/>
      </c>
      <c r="M302">
        <f>IF(K302="","",IF(ISNUMBER('List 1'!C302),'List 1'!C302,TRIM('List 1'!C302)))</f>
        <v/>
      </c>
      <c r="N302">
        <f>IF(K302="","",IF(ISNUMBER('List 1'!D302),'List 1'!D302,TRIM('List 1'!D302)))</f>
        <v/>
      </c>
      <c r="O302">
        <f>IF(K302="","",D302)</f>
        <v/>
      </c>
      <c r="P302">
        <f>IF(K302="","",IF(R302,SUMPRODUCT(--($H$2:$H$501=K302),$I$2:$I$501),0))</f>
        <v/>
      </c>
      <c r="Q302">
        <f>IF(K302="","",TRUE)</f>
        <v/>
      </c>
      <c r="R302">
        <f>IF(K302="","",SUMPRODUCT(--($H$2:$H$501=K302))&gt;0)</f>
        <v/>
      </c>
      <c r="S302">
        <f>IF(K302="","",IF(AND(Q302,R302),IF(O302=P302,"Match","Qty Different"),IF(Q302,"Only in List 1","Only in List 2")))</f>
        <v/>
      </c>
      <c r="T302">
        <f>IF(K302="","",IF(ISNUMBER(--L302),TEXT(--L302,"000000000000.000"),LOWER(L302)))</f>
        <v/>
      </c>
      <c r="U302">
        <f>IF(K302="","",IF(ISNUMBER(--M302),TEXT(--M302,"000000000000.000"),LOWER(M302)))</f>
        <v/>
      </c>
      <c r="V302">
        <f>IF(K302="","",LOWER(N302))</f>
        <v/>
      </c>
      <c r="W302">
        <f>IF(K302="","",B302)</f>
        <v/>
      </c>
      <c r="X302">
        <f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>
      <c r="A303">
        <f>IF(TRIM('List 1'!A303&amp;'List 1'!C303&amp;'List 1'!D303)="","",LOWER(TRIM('List 1'!A303)&amp;"|"&amp;TRIM('List 1'!C303)&amp;"|"&amp;TRIM('List 1'!D303)))</f>
        <v/>
      </c>
      <c r="B303">
        <f>IF(A303="","",SUMPRODUCT(--($A$2:A303=A303)))</f>
        <v/>
      </c>
      <c r="C303">
        <f>IF(A303="","",A303&amp;"#"&amp;B303)</f>
        <v/>
      </c>
      <c r="D303">
        <f>IF(A303="","",IFERROR(--'List 1'!B303,0))</f>
        <v/>
      </c>
      <c r="F303">
        <f>IF(TRIM('List 2'!A303&amp;'List 2'!C303&amp;'List 2'!D303)="","",LOWER(TRIM('List 2'!A303)&amp;"|"&amp;TRIM('List 2'!C303)&amp;"|"&amp;TRIM('List 2'!D303)))</f>
        <v/>
      </c>
      <c r="G303">
        <f>IF(F303="","",SUMPRODUCT(--($F$2:F303=F303)))</f>
        <v/>
      </c>
      <c r="H303">
        <f>IF(F303="","",F303&amp;"#"&amp;G303)</f>
        <v/>
      </c>
      <c r="I303">
        <f>IF(F303="","",IFERROR(--'List 2'!B303,0))</f>
        <v/>
      </c>
      <c r="K303">
        <f>C303</f>
        <v/>
      </c>
      <c r="L303">
        <f>IF(K303="","",IF(ISNUMBER('List 1'!A303),'List 1'!A303,TRIM('List 1'!A303)))</f>
        <v/>
      </c>
      <c r="M303">
        <f>IF(K303="","",IF(ISNUMBER('List 1'!C303),'List 1'!C303,TRIM('List 1'!C303)))</f>
        <v/>
      </c>
      <c r="N303">
        <f>IF(K303="","",IF(ISNUMBER('List 1'!D303),'List 1'!D303,TRIM('List 1'!D303)))</f>
        <v/>
      </c>
      <c r="O303">
        <f>IF(K303="","",D303)</f>
        <v/>
      </c>
      <c r="P303">
        <f>IF(K303="","",IF(R303,SUMPRODUCT(--($H$2:$H$501=K303),$I$2:$I$501),0))</f>
        <v/>
      </c>
      <c r="Q303">
        <f>IF(K303="","",TRUE)</f>
        <v/>
      </c>
      <c r="R303">
        <f>IF(K303="","",SUMPRODUCT(--($H$2:$H$501=K303))&gt;0)</f>
        <v/>
      </c>
      <c r="S303">
        <f>IF(K303="","",IF(AND(Q303,R303),IF(O303=P303,"Match","Qty Different"),IF(Q303,"Only in List 1","Only in List 2")))</f>
        <v/>
      </c>
      <c r="T303">
        <f>IF(K303="","",IF(ISNUMBER(--L303),TEXT(--L303,"000000000000.000"),LOWER(L303)))</f>
        <v/>
      </c>
      <c r="U303">
        <f>IF(K303="","",IF(ISNUMBER(--M303),TEXT(--M303,"000000000000.000"),LOWER(M303)))</f>
        <v/>
      </c>
      <c r="V303">
        <f>IF(K303="","",LOWER(N303))</f>
        <v/>
      </c>
      <c r="W303">
        <f>IF(K303="","",B303)</f>
        <v/>
      </c>
      <c r="X303">
        <f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>
      <c r="A304">
        <f>IF(TRIM('List 1'!A304&amp;'List 1'!C304&amp;'List 1'!D304)="","",LOWER(TRIM('List 1'!A304)&amp;"|"&amp;TRIM('List 1'!C304)&amp;"|"&amp;TRIM('List 1'!D304)))</f>
        <v/>
      </c>
      <c r="B304">
        <f>IF(A304="","",SUMPRODUCT(--($A$2:A304=A304)))</f>
        <v/>
      </c>
      <c r="C304">
        <f>IF(A304="","",A304&amp;"#"&amp;B304)</f>
        <v/>
      </c>
      <c r="D304">
        <f>IF(A304="","",IFERROR(--'List 1'!B304,0))</f>
        <v/>
      </c>
      <c r="F304">
        <f>IF(TRIM('List 2'!A304&amp;'List 2'!C304&amp;'List 2'!D304)="","",LOWER(TRIM('List 2'!A304)&amp;"|"&amp;TRIM('List 2'!C304)&amp;"|"&amp;TRIM('List 2'!D304)))</f>
        <v/>
      </c>
      <c r="G304">
        <f>IF(F304="","",SUMPRODUCT(--($F$2:F304=F304)))</f>
        <v/>
      </c>
      <c r="H304">
        <f>IF(F304="","",F304&amp;"#"&amp;G304)</f>
        <v/>
      </c>
      <c r="I304">
        <f>IF(F304="","",IFERROR(--'List 2'!B304,0))</f>
        <v/>
      </c>
      <c r="K304">
        <f>C304</f>
        <v/>
      </c>
      <c r="L304">
        <f>IF(K304="","",IF(ISNUMBER('List 1'!A304),'List 1'!A304,TRIM('List 1'!A304)))</f>
        <v/>
      </c>
      <c r="M304">
        <f>IF(K304="","",IF(ISNUMBER('List 1'!C304),'List 1'!C304,TRIM('List 1'!C304)))</f>
        <v/>
      </c>
      <c r="N304">
        <f>IF(K304="","",IF(ISNUMBER('List 1'!D304),'List 1'!D304,TRIM('List 1'!D304)))</f>
        <v/>
      </c>
      <c r="O304">
        <f>IF(K304="","",D304)</f>
        <v/>
      </c>
      <c r="P304">
        <f>IF(K304="","",IF(R304,SUMPRODUCT(--($H$2:$H$501=K304),$I$2:$I$501),0))</f>
        <v/>
      </c>
      <c r="Q304">
        <f>IF(K304="","",TRUE)</f>
        <v/>
      </c>
      <c r="R304">
        <f>IF(K304="","",SUMPRODUCT(--($H$2:$H$501=K304))&gt;0)</f>
        <v/>
      </c>
      <c r="S304">
        <f>IF(K304="","",IF(AND(Q304,R304),IF(O304=P304,"Match","Qty Different"),IF(Q304,"Only in List 1","Only in List 2")))</f>
        <v/>
      </c>
      <c r="T304">
        <f>IF(K304="","",IF(ISNUMBER(--L304),TEXT(--L304,"000000000000.000"),LOWER(L304)))</f>
        <v/>
      </c>
      <c r="U304">
        <f>IF(K304="","",IF(ISNUMBER(--M304),TEXT(--M304,"000000000000.000"),LOWER(M304)))</f>
        <v/>
      </c>
      <c r="V304">
        <f>IF(K304="","",LOWER(N304))</f>
        <v/>
      </c>
      <c r="W304">
        <f>IF(K304="","",B304)</f>
        <v/>
      </c>
      <c r="X304">
        <f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>
      <c r="A305">
        <f>IF(TRIM('List 1'!A305&amp;'List 1'!C305&amp;'List 1'!D305)="","",LOWER(TRIM('List 1'!A305)&amp;"|"&amp;TRIM('List 1'!C305)&amp;"|"&amp;TRIM('List 1'!D305)))</f>
        <v/>
      </c>
      <c r="B305">
        <f>IF(A305="","",SUMPRODUCT(--($A$2:A305=A305)))</f>
        <v/>
      </c>
      <c r="C305">
        <f>IF(A305="","",A305&amp;"#"&amp;B305)</f>
        <v/>
      </c>
      <c r="D305">
        <f>IF(A305="","",IFERROR(--'List 1'!B305,0))</f>
        <v/>
      </c>
      <c r="F305">
        <f>IF(TRIM('List 2'!A305&amp;'List 2'!C305&amp;'List 2'!D305)="","",LOWER(TRIM('List 2'!A305)&amp;"|"&amp;TRIM('List 2'!C305)&amp;"|"&amp;TRIM('List 2'!D305)))</f>
        <v/>
      </c>
      <c r="G305">
        <f>IF(F305="","",SUMPRODUCT(--($F$2:F305=F305)))</f>
        <v/>
      </c>
      <c r="H305">
        <f>IF(F305="","",F305&amp;"#"&amp;G305)</f>
        <v/>
      </c>
      <c r="I305">
        <f>IF(F305="","",IFERROR(--'List 2'!B305,0))</f>
        <v/>
      </c>
      <c r="K305">
        <f>C305</f>
        <v/>
      </c>
      <c r="L305">
        <f>IF(K305="","",IF(ISNUMBER('List 1'!A305),'List 1'!A305,TRIM('List 1'!A305)))</f>
        <v/>
      </c>
      <c r="M305">
        <f>IF(K305="","",IF(ISNUMBER('List 1'!C305),'List 1'!C305,TRIM('List 1'!C305)))</f>
        <v/>
      </c>
      <c r="N305">
        <f>IF(K305="","",IF(ISNUMBER('List 1'!D305),'List 1'!D305,TRIM('List 1'!D305)))</f>
        <v/>
      </c>
      <c r="O305">
        <f>IF(K305="","",D305)</f>
        <v/>
      </c>
      <c r="P305">
        <f>IF(K305="","",IF(R305,SUMPRODUCT(--($H$2:$H$501=K305),$I$2:$I$501),0))</f>
        <v/>
      </c>
      <c r="Q305">
        <f>IF(K305="","",TRUE)</f>
        <v/>
      </c>
      <c r="R305">
        <f>IF(K305="","",SUMPRODUCT(--($H$2:$H$501=K305))&gt;0)</f>
        <v/>
      </c>
      <c r="S305">
        <f>IF(K305="","",IF(AND(Q305,R305),IF(O305=P305,"Match","Qty Different"),IF(Q305,"Only in List 1","Only in List 2")))</f>
        <v/>
      </c>
      <c r="T305">
        <f>IF(K305="","",IF(ISNUMBER(--L305),TEXT(--L305,"000000000000.000"),LOWER(L305)))</f>
        <v/>
      </c>
      <c r="U305">
        <f>IF(K305="","",IF(ISNUMBER(--M305),TEXT(--M305,"000000000000.000"),LOWER(M305)))</f>
        <v/>
      </c>
      <c r="V305">
        <f>IF(K305="","",LOWER(N305))</f>
        <v/>
      </c>
      <c r="W305">
        <f>IF(K305="","",B305)</f>
        <v/>
      </c>
      <c r="X305">
        <f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>
      <c r="A306">
        <f>IF(TRIM('List 1'!A306&amp;'List 1'!C306&amp;'List 1'!D306)="","",LOWER(TRIM('List 1'!A306)&amp;"|"&amp;TRIM('List 1'!C306)&amp;"|"&amp;TRIM('List 1'!D306)))</f>
        <v/>
      </c>
      <c r="B306">
        <f>IF(A306="","",SUMPRODUCT(--($A$2:A306=A306)))</f>
        <v/>
      </c>
      <c r="C306">
        <f>IF(A306="","",A306&amp;"#"&amp;B306)</f>
        <v/>
      </c>
      <c r="D306">
        <f>IF(A306="","",IFERROR(--'List 1'!B306,0))</f>
        <v/>
      </c>
      <c r="F306">
        <f>IF(TRIM('List 2'!A306&amp;'List 2'!C306&amp;'List 2'!D306)="","",LOWER(TRIM('List 2'!A306)&amp;"|"&amp;TRIM('List 2'!C306)&amp;"|"&amp;TRIM('List 2'!D306)))</f>
        <v/>
      </c>
      <c r="G306">
        <f>IF(F306="","",SUMPRODUCT(--($F$2:F306=F306)))</f>
        <v/>
      </c>
      <c r="H306">
        <f>IF(F306="","",F306&amp;"#"&amp;G306)</f>
        <v/>
      </c>
      <c r="I306">
        <f>IF(F306="","",IFERROR(--'List 2'!B306,0))</f>
        <v/>
      </c>
      <c r="K306">
        <f>C306</f>
        <v/>
      </c>
      <c r="L306">
        <f>IF(K306="","",IF(ISNUMBER('List 1'!A306),'List 1'!A306,TRIM('List 1'!A306)))</f>
        <v/>
      </c>
      <c r="M306">
        <f>IF(K306="","",IF(ISNUMBER('List 1'!C306),'List 1'!C306,TRIM('List 1'!C306)))</f>
        <v/>
      </c>
      <c r="N306">
        <f>IF(K306="","",IF(ISNUMBER('List 1'!D306),'List 1'!D306,TRIM('List 1'!D306)))</f>
        <v/>
      </c>
      <c r="O306">
        <f>IF(K306="","",D306)</f>
        <v/>
      </c>
      <c r="P306">
        <f>IF(K306="","",IF(R306,SUMPRODUCT(--($H$2:$H$501=K306),$I$2:$I$501),0))</f>
        <v/>
      </c>
      <c r="Q306">
        <f>IF(K306="","",TRUE)</f>
        <v/>
      </c>
      <c r="R306">
        <f>IF(K306="","",SUMPRODUCT(--($H$2:$H$501=K306))&gt;0)</f>
        <v/>
      </c>
      <c r="S306">
        <f>IF(K306="","",IF(AND(Q306,R306),IF(O306=P306,"Match","Qty Different"),IF(Q306,"Only in List 1","Only in List 2")))</f>
        <v/>
      </c>
      <c r="T306">
        <f>IF(K306="","",IF(ISNUMBER(--L306),TEXT(--L306,"000000000000.000"),LOWER(L306)))</f>
        <v/>
      </c>
      <c r="U306">
        <f>IF(K306="","",IF(ISNUMBER(--M306),TEXT(--M306,"000000000000.000"),LOWER(M306)))</f>
        <v/>
      </c>
      <c r="V306">
        <f>IF(K306="","",LOWER(N306))</f>
        <v/>
      </c>
      <c r="W306">
        <f>IF(K306="","",B306)</f>
        <v/>
      </c>
      <c r="X306">
        <f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>
      <c r="A307">
        <f>IF(TRIM('List 1'!A307&amp;'List 1'!C307&amp;'List 1'!D307)="","",LOWER(TRIM('List 1'!A307)&amp;"|"&amp;TRIM('List 1'!C307)&amp;"|"&amp;TRIM('List 1'!D307)))</f>
        <v/>
      </c>
      <c r="B307">
        <f>IF(A307="","",SUMPRODUCT(--($A$2:A307=A307)))</f>
        <v/>
      </c>
      <c r="C307">
        <f>IF(A307="","",A307&amp;"#"&amp;B307)</f>
        <v/>
      </c>
      <c r="D307">
        <f>IF(A307="","",IFERROR(--'List 1'!B307,0))</f>
        <v/>
      </c>
      <c r="F307">
        <f>IF(TRIM('List 2'!A307&amp;'List 2'!C307&amp;'List 2'!D307)="","",LOWER(TRIM('List 2'!A307)&amp;"|"&amp;TRIM('List 2'!C307)&amp;"|"&amp;TRIM('List 2'!D307)))</f>
        <v/>
      </c>
      <c r="G307">
        <f>IF(F307="","",SUMPRODUCT(--($F$2:F307=F307)))</f>
        <v/>
      </c>
      <c r="H307">
        <f>IF(F307="","",F307&amp;"#"&amp;G307)</f>
        <v/>
      </c>
      <c r="I307">
        <f>IF(F307="","",IFERROR(--'List 2'!B307,0))</f>
        <v/>
      </c>
      <c r="K307">
        <f>C307</f>
        <v/>
      </c>
      <c r="L307">
        <f>IF(K307="","",IF(ISNUMBER('List 1'!A307),'List 1'!A307,TRIM('List 1'!A307)))</f>
        <v/>
      </c>
      <c r="M307">
        <f>IF(K307="","",IF(ISNUMBER('List 1'!C307),'List 1'!C307,TRIM('List 1'!C307)))</f>
        <v/>
      </c>
      <c r="N307">
        <f>IF(K307="","",IF(ISNUMBER('List 1'!D307),'List 1'!D307,TRIM('List 1'!D307)))</f>
        <v/>
      </c>
      <c r="O307">
        <f>IF(K307="","",D307)</f>
        <v/>
      </c>
      <c r="P307">
        <f>IF(K307="","",IF(R307,SUMPRODUCT(--($H$2:$H$501=K307),$I$2:$I$501),0))</f>
        <v/>
      </c>
      <c r="Q307">
        <f>IF(K307="","",TRUE)</f>
        <v/>
      </c>
      <c r="R307">
        <f>IF(K307="","",SUMPRODUCT(--($H$2:$H$501=K307))&gt;0)</f>
        <v/>
      </c>
      <c r="S307">
        <f>IF(K307="","",IF(AND(Q307,R307),IF(O307=P307,"Match","Qty Different"),IF(Q307,"Only in List 1","Only in List 2")))</f>
        <v/>
      </c>
      <c r="T307">
        <f>IF(K307="","",IF(ISNUMBER(--L307),TEXT(--L307,"000000000000.000"),LOWER(L307)))</f>
        <v/>
      </c>
      <c r="U307">
        <f>IF(K307="","",IF(ISNUMBER(--M307),TEXT(--M307,"000000000000.000"),LOWER(M307)))</f>
        <v/>
      </c>
      <c r="V307">
        <f>IF(K307="","",LOWER(N307))</f>
        <v/>
      </c>
      <c r="W307">
        <f>IF(K307="","",B307)</f>
        <v/>
      </c>
      <c r="X307">
        <f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>
      <c r="A308">
        <f>IF(TRIM('List 1'!A308&amp;'List 1'!C308&amp;'List 1'!D308)="","",LOWER(TRIM('List 1'!A308)&amp;"|"&amp;TRIM('List 1'!C308)&amp;"|"&amp;TRIM('List 1'!D308)))</f>
        <v/>
      </c>
      <c r="B308">
        <f>IF(A308="","",SUMPRODUCT(--($A$2:A308=A308)))</f>
        <v/>
      </c>
      <c r="C308">
        <f>IF(A308="","",A308&amp;"#"&amp;B308)</f>
        <v/>
      </c>
      <c r="D308">
        <f>IF(A308="","",IFERROR(--'List 1'!B308,0))</f>
        <v/>
      </c>
      <c r="F308">
        <f>IF(TRIM('List 2'!A308&amp;'List 2'!C308&amp;'List 2'!D308)="","",LOWER(TRIM('List 2'!A308)&amp;"|"&amp;TRIM('List 2'!C308)&amp;"|"&amp;TRIM('List 2'!D308)))</f>
        <v/>
      </c>
      <c r="G308">
        <f>IF(F308="","",SUMPRODUCT(--($F$2:F308=F308)))</f>
        <v/>
      </c>
      <c r="H308">
        <f>IF(F308="","",F308&amp;"#"&amp;G308)</f>
        <v/>
      </c>
      <c r="I308">
        <f>IF(F308="","",IFERROR(--'List 2'!B308,0))</f>
        <v/>
      </c>
      <c r="K308">
        <f>C308</f>
        <v/>
      </c>
      <c r="L308">
        <f>IF(K308="","",IF(ISNUMBER('List 1'!A308),'List 1'!A308,TRIM('List 1'!A308)))</f>
        <v/>
      </c>
      <c r="M308">
        <f>IF(K308="","",IF(ISNUMBER('List 1'!C308),'List 1'!C308,TRIM('List 1'!C308)))</f>
        <v/>
      </c>
      <c r="N308">
        <f>IF(K308="","",IF(ISNUMBER('List 1'!D308),'List 1'!D308,TRIM('List 1'!D308)))</f>
        <v/>
      </c>
      <c r="O308">
        <f>IF(K308="","",D308)</f>
        <v/>
      </c>
      <c r="P308">
        <f>IF(K308="","",IF(R308,SUMPRODUCT(--($H$2:$H$501=K308),$I$2:$I$501),0))</f>
        <v/>
      </c>
      <c r="Q308">
        <f>IF(K308="","",TRUE)</f>
        <v/>
      </c>
      <c r="R308">
        <f>IF(K308="","",SUMPRODUCT(--($H$2:$H$501=K308))&gt;0)</f>
        <v/>
      </c>
      <c r="S308">
        <f>IF(K308="","",IF(AND(Q308,R308),IF(O308=P308,"Match","Qty Different"),IF(Q308,"Only in List 1","Only in List 2")))</f>
        <v/>
      </c>
      <c r="T308">
        <f>IF(K308="","",IF(ISNUMBER(--L308),TEXT(--L308,"000000000000.000"),LOWER(L308)))</f>
        <v/>
      </c>
      <c r="U308">
        <f>IF(K308="","",IF(ISNUMBER(--M308),TEXT(--M308,"000000000000.000"),LOWER(M308)))</f>
        <v/>
      </c>
      <c r="V308">
        <f>IF(K308="","",LOWER(N308))</f>
        <v/>
      </c>
      <c r="W308">
        <f>IF(K308="","",B308)</f>
        <v/>
      </c>
      <c r="X308">
        <f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>
      <c r="A309">
        <f>IF(TRIM('List 1'!A309&amp;'List 1'!C309&amp;'List 1'!D309)="","",LOWER(TRIM('List 1'!A309)&amp;"|"&amp;TRIM('List 1'!C309)&amp;"|"&amp;TRIM('List 1'!D309)))</f>
        <v/>
      </c>
      <c r="B309">
        <f>IF(A309="","",SUMPRODUCT(--($A$2:A309=A309)))</f>
        <v/>
      </c>
      <c r="C309">
        <f>IF(A309="","",A309&amp;"#"&amp;B309)</f>
        <v/>
      </c>
      <c r="D309">
        <f>IF(A309="","",IFERROR(--'List 1'!B309,0))</f>
        <v/>
      </c>
      <c r="F309">
        <f>IF(TRIM('List 2'!A309&amp;'List 2'!C309&amp;'List 2'!D309)="","",LOWER(TRIM('List 2'!A309)&amp;"|"&amp;TRIM('List 2'!C309)&amp;"|"&amp;TRIM('List 2'!D309)))</f>
        <v/>
      </c>
      <c r="G309">
        <f>IF(F309="","",SUMPRODUCT(--($F$2:F309=F309)))</f>
        <v/>
      </c>
      <c r="H309">
        <f>IF(F309="","",F309&amp;"#"&amp;G309)</f>
        <v/>
      </c>
      <c r="I309">
        <f>IF(F309="","",IFERROR(--'List 2'!B309,0))</f>
        <v/>
      </c>
      <c r="K309">
        <f>C309</f>
        <v/>
      </c>
      <c r="L309">
        <f>IF(K309="","",IF(ISNUMBER('List 1'!A309),'List 1'!A309,TRIM('List 1'!A309)))</f>
        <v/>
      </c>
      <c r="M309">
        <f>IF(K309="","",IF(ISNUMBER('List 1'!C309),'List 1'!C309,TRIM('List 1'!C309)))</f>
        <v/>
      </c>
      <c r="N309">
        <f>IF(K309="","",IF(ISNUMBER('List 1'!D309),'List 1'!D309,TRIM('List 1'!D309)))</f>
        <v/>
      </c>
      <c r="O309">
        <f>IF(K309="","",D309)</f>
        <v/>
      </c>
      <c r="P309">
        <f>IF(K309="","",IF(R309,SUMPRODUCT(--($H$2:$H$501=K309),$I$2:$I$501),0))</f>
        <v/>
      </c>
      <c r="Q309">
        <f>IF(K309="","",TRUE)</f>
        <v/>
      </c>
      <c r="R309">
        <f>IF(K309="","",SUMPRODUCT(--($H$2:$H$501=K309))&gt;0)</f>
        <v/>
      </c>
      <c r="S309">
        <f>IF(K309="","",IF(AND(Q309,R309),IF(O309=P309,"Match","Qty Different"),IF(Q309,"Only in List 1","Only in List 2")))</f>
        <v/>
      </c>
      <c r="T309">
        <f>IF(K309="","",IF(ISNUMBER(--L309),TEXT(--L309,"000000000000.000"),LOWER(L309)))</f>
        <v/>
      </c>
      <c r="U309">
        <f>IF(K309="","",IF(ISNUMBER(--M309),TEXT(--M309,"000000000000.000"),LOWER(M309)))</f>
        <v/>
      </c>
      <c r="V309">
        <f>IF(K309="","",LOWER(N309))</f>
        <v/>
      </c>
      <c r="W309">
        <f>IF(K309="","",B309)</f>
        <v/>
      </c>
      <c r="X309">
        <f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>
      <c r="A310">
        <f>IF(TRIM('List 1'!A310&amp;'List 1'!C310&amp;'List 1'!D310)="","",LOWER(TRIM('List 1'!A310)&amp;"|"&amp;TRIM('List 1'!C310)&amp;"|"&amp;TRIM('List 1'!D310)))</f>
        <v/>
      </c>
      <c r="B310">
        <f>IF(A310="","",SUMPRODUCT(--($A$2:A310=A310)))</f>
        <v/>
      </c>
      <c r="C310">
        <f>IF(A310="","",A310&amp;"#"&amp;B310)</f>
        <v/>
      </c>
      <c r="D310">
        <f>IF(A310="","",IFERROR(--'List 1'!B310,0))</f>
        <v/>
      </c>
      <c r="F310">
        <f>IF(TRIM('List 2'!A310&amp;'List 2'!C310&amp;'List 2'!D310)="","",LOWER(TRIM('List 2'!A310)&amp;"|"&amp;TRIM('List 2'!C310)&amp;"|"&amp;TRIM('List 2'!D310)))</f>
        <v/>
      </c>
      <c r="G310">
        <f>IF(F310="","",SUMPRODUCT(--($F$2:F310=F310)))</f>
        <v/>
      </c>
      <c r="H310">
        <f>IF(F310="","",F310&amp;"#"&amp;G310)</f>
        <v/>
      </c>
      <c r="I310">
        <f>IF(F310="","",IFERROR(--'List 2'!B310,0))</f>
        <v/>
      </c>
      <c r="K310">
        <f>C310</f>
        <v/>
      </c>
      <c r="L310">
        <f>IF(K310="","",IF(ISNUMBER('List 1'!A310),'List 1'!A310,TRIM('List 1'!A310)))</f>
        <v/>
      </c>
      <c r="M310">
        <f>IF(K310="","",IF(ISNUMBER('List 1'!C310),'List 1'!C310,TRIM('List 1'!C310)))</f>
        <v/>
      </c>
      <c r="N310">
        <f>IF(K310="","",IF(ISNUMBER('List 1'!D310),'List 1'!D310,TRIM('List 1'!D310)))</f>
        <v/>
      </c>
      <c r="O310">
        <f>IF(K310="","",D310)</f>
        <v/>
      </c>
      <c r="P310">
        <f>IF(K310="","",IF(R310,SUMPRODUCT(--($H$2:$H$501=K310),$I$2:$I$501),0))</f>
        <v/>
      </c>
      <c r="Q310">
        <f>IF(K310="","",TRUE)</f>
        <v/>
      </c>
      <c r="R310">
        <f>IF(K310="","",SUMPRODUCT(--($H$2:$H$501=K310))&gt;0)</f>
        <v/>
      </c>
      <c r="S310">
        <f>IF(K310="","",IF(AND(Q310,R310),IF(O310=P310,"Match","Qty Different"),IF(Q310,"Only in List 1","Only in List 2")))</f>
        <v/>
      </c>
      <c r="T310">
        <f>IF(K310="","",IF(ISNUMBER(--L310),TEXT(--L310,"000000000000.000"),LOWER(L310)))</f>
        <v/>
      </c>
      <c r="U310">
        <f>IF(K310="","",IF(ISNUMBER(--M310),TEXT(--M310,"000000000000.000"),LOWER(M310)))</f>
        <v/>
      </c>
      <c r="V310">
        <f>IF(K310="","",LOWER(N310))</f>
        <v/>
      </c>
      <c r="W310">
        <f>IF(K310="","",B310)</f>
        <v/>
      </c>
      <c r="X310">
        <f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>
      <c r="A311">
        <f>IF(TRIM('List 1'!A311&amp;'List 1'!C311&amp;'List 1'!D311)="","",LOWER(TRIM('List 1'!A311)&amp;"|"&amp;TRIM('List 1'!C311)&amp;"|"&amp;TRIM('List 1'!D311)))</f>
        <v/>
      </c>
      <c r="B311">
        <f>IF(A311="","",SUMPRODUCT(--($A$2:A311=A311)))</f>
        <v/>
      </c>
      <c r="C311">
        <f>IF(A311="","",A311&amp;"#"&amp;B311)</f>
        <v/>
      </c>
      <c r="D311">
        <f>IF(A311="","",IFERROR(--'List 1'!B311,0))</f>
        <v/>
      </c>
      <c r="F311">
        <f>IF(TRIM('List 2'!A311&amp;'List 2'!C311&amp;'List 2'!D311)="","",LOWER(TRIM('List 2'!A311)&amp;"|"&amp;TRIM('List 2'!C311)&amp;"|"&amp;TRIM('List 2'!D311)))</f>
        <v/>
      </c>
      <c r="G311">
        <f>IF(F311="","",SUMPRODUCT(--($F$2:F311=F311)))</f>
        <v/>
      </c>
      <c r="H311">
        <f>IF(F311="","",F311&amp;"#"&amp;G311)</f>
        <v/>
      </c>
      <c r="I311">
        <f>IF(F311="","",IFERROR(--'List 2'!B311,0))</f>
        <v/>
      </c>
      <c r="K311">
        <f>C311</f>
        <v/>
      </c>
      <c r="L311">
        <f>IF(K311="","",IF(ISNUMBER('List 1'!A311),'List 1'!A311,TRIM('List 1'!A311)))</f>
        <v/>
      </c>
      <c r="M311">
        <f>IF(K311="","",IF(ISNUMBER('List 1'!C311),'List 1'!C311,TRIM('List 1'!C311)))</f>
        <v/>
      </c>
      <c r="N311">
        <f>IF(K311="","",IF(ISNUMBER('List 1'!D311),'List 1'!D311,TRIM('List 1'!D311)))</f>
        <v/>
      </c>
      <c r="O311">
        <f>IF(K311="","",D311)</f>
        <v/>
      </c>
      <c r="P311">
        <f>IF(K311="","",IF(R311,SUMPRODUCT(--($H$2:$H$501=K311),$I$2:$I$501),0))</f>
        <v/>
      </c>
      <c r="Q311">
        <f>IF(K311="","",TRUE)</f>
        <v/>
      </c>
      <c r="R311">
        <f>IF(K311="","",SUMPRODUCT(--($H$2:$H$501=K311))&gt;0)</f>
        <v/>
      </c>
      <c r="S311">
        <f>IF(K311="","",IF(AND(Q311,R311),IF(O311=P311,"Match","Qty Different"),IF(Q311,"Only in List 1","Only in List 2")))</f>
        <v/>
      </c>
      <c r="T311">
        <f>IF(K311="","",IF(ISNUMBER(--L311),TEXT(--L311,"000000000000.000"),LOWER(L311)))</f>
        <v/>
      </c>
      <c r="U311">
        <f>IF(K311="","",IF(ISNUMBER(--M311),TEXT(--M311,"000000000000.000"),LOWER(M311)))</f>
        <v/>
      </c>
      <c r="V311">
        <f>IF(K311="","",LOWER(N311))</f>
        <v/>
      </c>
      <c r="W311">
        <f>IF(K311="","",B311)</f>
        <v/>
      </c>
      <c r="X311">
        <f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>
      <c r="A312">
        <f>IF(TRIM('List 1'!A312&amp;'List 1'!C312&amp;'List 1'!D312)="","",LOWER(TRIM('List 1'!A312)&amp;"|"&amp;TRIM('List 1'!C312)&amp;"|"&amp;TRIM('List 1'!D312)))</f>
        <v/>
      </c>
      <c r="B312">
        <f>IF(A312="","",SUMPRODUCT(--($A$2:A312=A312)))</f>
        <v/>
      </c>
      <c r="C312">
        <f>IF(A312="","",A312&amp;"#"&amp;B312)</f>
        <v/>
      </c>
      <c r="D312">
        <f>IF(A312="","",IFERROR(--'List 1'!B312,0))</f>
        <v/>
      </c>
      <c r="F312">
        <f>IF(TRIM('List 2'!A312&amp;'List 2'!C312&amp;'List 2'!D312)="","",LOWER(TRIM('List 2'!A312)&amp;"|"&amp;TRIM('List 2'!C312)&amp;"|"&amp;TRIM('List 2'!D312)))</f>
        <v/>
      </c>
      <c r="G312">
        <f>IF(F312="","",SUMPRODUCT(--($F$2:F312=F312)))</f>
        <v/>
      </c>
      <c r="H312">
        <f>IF(F312="","",F312&amp;"#"&amp;G312)</f>
        <v/>
      </c>
      <c r="I312">
        <f>IF(F312="","",IFERROR(--'List 2'!B312,0))</f>
        <v/>
      </c>
      <c r="K312">
        <f>C312</f>
        <v/>
      </c>
      <c r="L312">
        <f>IF(K312="","",IF(ISNUMBER('List 1'!A312),'List 1'!A312,TRIM('List 1'!A312)))</f>
        <v/>
      </c>
      <c r="M312">
        <f>IF(K312="","",IF(ISNUMBER('List 1'!C312),'List 1'!C312,TRIM('List 1'!C312)))</f>
        <v/>
      </c>
      <c r="N312">
        <f>IF(K312="","",IF(ISNUMBER('List 1'!D312),'List 1'!D312,TRIM('List 1'!D312)))</f>
        <v/>
      </c>
      <c r="O312">
        <f>IF(K312="","",D312)</f>
        <v/>
      </c>
      <c r="P312">
        <f>IF(K312="","",IF(R312,SUMPRODUCT(--($H$2:$H$501=K312),$I$2:$I$501),0))</f>
        <v/>
      </c>
      <c r="Q312">
        <f>IF(K312="","",TRUE)</f>
        <v/>
      </c>
      <c r="R312">
        <f>IF(K312="","",SUMPRODUCT(--($H$2:$H$501=K312))&gt;0)</f>
        <v/>
      </c>
      <c r="S312">
        <f>IF(K312="","",IF(AND(Q312,R312),IF(O312=P312,"Match","Qty Different"),IF(Q312,"Only in List 1","Only in List 2")))</f>
        <v/>
      </c>
      <c r="T312">
        <f>IF(K312="","",IF(ISNUMBER(--L312),TEXT(--L312,"000000000000.000"),LOWER(L312)))</f>
        <v/>
      </c>
      <c r="U312">
        <f>IF(K312="","",IF(ISNUMBER(--M312),TEXT(--M312,"000000000000.000"),LOWER(M312)))</f>
        <v/>
      </c>
      <c r="V312">
        <f>IF(K312="","",LOWER(N312))</f>
        <v/>
      </c>
      <c r="W312">
        <f>IF(K312="","",B312)</f>
        <v/>
      </c>
      <c r="X312">
        <f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>
      <c r="A313">
        <f>IF(TRIM('List 1'!A313&amp;'List 1'!C313&amp;'List 1'!D313)="","",LOWER(TRIM('List 1'!A313)&amp;"|"&amp;TRIM('List 1'!C313)&amp;"|"&amp;TRIM('List 1'!D313)))</f>
        <v/>
      </c>
      <c r="B313">
        <f>IF(A313="","",SUMPRODUCT(--($A$2:A313=A313)))</f>
        <v/>
      </c>
      <c r="C313">
        <f>IF(A313="","",A313&amp;"#"&amp;B313)</f>
        <v/>
      </c>
      <c r="D313">
        <f>IF(A313="","",IFERROR(--'List 1'!B313,0))</f>
        <v/>
      </c>
      <c r="F313">
        <f>IF(TRIM('List 2'!A313&amp;'List 2'!C313&amp;'List 2'!D313)="","",LOWER(TRIM('List 2'!A313)&amp;"|"&amp;TRIM('List 2'!C313)&amp;"|"&amp;TRIM('List 2'!D313)))</f>
        <v/>
      </c>
      <c r="G313">
        <f>IF(F313="","",SUMPRODUCT(--($F$2:F313=F313)))</f>
        <v/>
      </c>
      <c r="H313">
        <f>IF(F313="","",F313&amp;"#"&amp;G313)</f>
        <v/>
      </c>
      <c r="I313">
        <f>IF(F313="","",IFERROR(--'List 2'!B313,0))</f>
        <v/>
      </c>
      <c r="K313">
        <f>C313</f>
        <v/>
      </c>
      <c r="L313">
        <f>IF(K313="","",IF(ISNUMBER('List 1'!A313),'List 1'!A313,TRIM('List 1'!A313)))</f>
        <v/>
      </c>
      <c r="M313">
        <f>IF(K313="","",IF(ISNUMBER('List 1'!C313),'List 1'!C313,TRIM('List 1'!C313)))</f>
        <v/>
      </c>
      <c r="N313">
        <f>IF(K313="","",IF(ISNUMBER('List 1'!D313),'List 1'!D313,TRIM('List 1'!D313)))</f>
        <v/>
      </c>
      <c r="O313">
        <f>IF(K313="","",D313)</f>
        <v/>
      </c>
      <c r="P313">
        <f>IF(K313="","",IF(R313,SUMPRODUCT(--($H$2:$H$501=K313),$I$2:$I$501),0))</f>
        <v/>
      </c>
      <c r="Q313">
        <f>IF(K313="","",TRUE)</f>
        <v/>
      </c>
      <c r="R313">
        <f>IF(K313="","",SUMPRODUCT(--($H$2:$H$501=K313))&gt;0)</f>
        <v/>
      </c>
      <c r="S313">
        <f>IF(K313="","",IF(AND(Q313,R313),IF(O313=P313,"Match","Qty Different"),IF(Q313,"Only in List 1","Only in List 2")))</f>
        <v/>
      </c>
      <c r="T313">
        <f>IF(K313="","",IF(ISNUMBER(--L313),TEXT(--L313,"000000000000.000"),LOWER(L313)))</f>
        <v/>
      </c>
      <c r="U313">
        <f>IF(K313="","",IF(ISNUMBER(--M313),TEXT(--M313,"000000000000.000"),LOWER(M313)))</f>
        <v/>
      </c>
      <c r="V313">
        <f>IF(K313="","",LOWER(N313))</f>
        <v/>
      </c>
      <c r="W313">
        <f>IF(K313="","",B313)</f>
        <v/>
      </c>
      <c r="X313">
        <f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>
      <c r="A314">
        <f>IF(TRIM('List 1'!A314&amp;'List 1'!C314&amp;'List 1'!D314)="","",LOWER(TRIM('List 1'!A314)&amp;"|"&amp;TRIM('List 1'!C314)&amp;"|"&amp;TRIM('List 1'!D314)))</f>
        <v/>
      </c>
      <c r="B314">
        <f>IF(A314="","",SUMPRODUCT(--($A$2:A314=A314)))</f>
        <v/>
      </c>
      <c r="C314">
        <f>IF(A314="","",A314&amp;"#"&amp;B314)</f>
        <v/>
      </c>
      <c r="D314">
        <f>IF(A314="","",IFERROR(--'List 1'!B314,0))</f>
        <v/>
      </c>
      <c r="F314">
        <f>IF(TRIM('List 2'!A314&amp;'List 2'!C314&amp;'List 2'!D314)="","",LOWER(TRIM('List 2'!A314)&amp;"|"&amp;TRIM('List 2'!C314)&amp;"|"&amp;TRIM('List 2'!D314)))</f>
        <v/>
      </c>
      <c r="G314">
        <f>IF(F314="","",SUMPRODUCT(--($F$2:F314=F314)))</f>
        <v/>
      </c>
      <c r="H314">
        <f>IF(F314="","",F314&amp;"#"&amp;G314)</f>
        <v/>
      </c>
      <c r="I314">
        <f>IF(F314="","",IFERROR(--'List 2'!B314,0))</f>
        <v/>
      </c>
      <c r="K314">
        <f>C314</f>
        <v/>
      </c>
      <c r="L314">
        <f>IF(K314="","",IF(ISNUMBER('List 1'!A314),'List 1'!A314,TRIM('List 1'!A314)))</f>
        <v/>
      </c>
      <c r="M314">
        <f>IF(K314="","",IF(ISNUMBER('List 1'!C314),'List 1'!C314,TRIM('List 1'!C314)))</f>
        <v/>
      </c>
      <c r="N314">
        <f>IF(K314="","",IF(ISNUMBER('List 1'!D314),'List 1'!D314,TRIM('List 1'!D314)))</f>
        <v/>
      </c>
      <c r="O314">
        <f>IF(K314="","",D314)</f>
        <v/>
      </c>
      <c r="P314">
        <f>IF(K314="","",IF(R314,SUMPRODUCT(--($H$2:$H$501=K314),$I$2:$I$501),0))</f>
        <v/>
      </c>
      <c r="Q314">
        <f>IF(K314="","",TRUE)</f>
        <v/>
      </c>
      <c r="R314">
        <f>IF(K314="","",SUMPRODUCT(--($H$2:$H$501=K314))&gt;0)</f>
        <v/>
      </c>
      <c r="S314">
        <f>IF(K314="","",IF(AND(Q314,R314),IF(O314=P314,"Match","Qty Different"),IF(Q314,"Only in List 1","Only in List 2")))</f>
        <v/>
      </c>
      <c r="T314">
        <f>IF(K314="","",IF(ISNUMBER(--L314),TEXT(--L314,"000000000000.000"),LOWER(L314)))</f>
        <v/>
      </c>
      <c r="U314">
        <f>IF(K314="","",IF(ISNUMBER(--M314),TEXT(--M314,"000000000000.000"),LOWER(M314)))</f>
        <v/>
      </c>
      <c r="V314">
        <f>IF(K314="","",LOWER(N314))</f>
        <v/>
      </c>
      <c r="W314">
        <f>IF(K314="","",B314)</f>
        <v/>
      </c>
      <c r="X314">
        <f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>
      <c r="A315">
        <f>IF(TRIM('List 1'!A315&amp;'List 1'!C315&amp;'List 1'!D315)="","",LOWER(TRIM('List 1'!A315)&amp;"|"&amp;TRIM('List 1'!C315)&amp;"|"&amp;TRIM('List 1'!D315)))</f>
        <v/>
      </c>
      <c r="B315">
        <f>IF(A315="","",SUMPRODUCT(--($A$2:A315=A315)))</f>
        <v/>
      </c>
      <c r="C315">
        <f>IF(A315="","",A315&amp;"#"&amp;B315)</f>
        <v/>
      </c>
      <c r="D315">
        <f>IF(A315="","",IFERROR(--'List 1'!B315,0))</f>
        <v/>
      </c>
      <c r="F315">
        <f>IF(TRIM('List 2'!A315&amp;'List 2'!C315&amp;'List 2'!D315)="","",LOWER(TRIM('List 2'!A315)&amp;"|"&amp;TRIM('List 2'!C315)&amp;"|"&amp;TRIM('List 2'!D315)))</f>
        <v/>
      </c>
      <c r="G315">
        <f>IF(F315="","",SUMPRODUCT(--($F$2:F315=F315)))</f>
        <v/>
      </c>
      <c r="H315">
        <f>IF(F315="","",F315&amp;"#"&amp;G315)</f>
        <v/>
      </c>
      <c r="I315">
        <f>IF(F315="","",IFERROR(--'List 2'!B315,0))</f>
        <v/>
      </c>
      <c r="K315">
        <f>C315</f>
        <v/>
      </c>
      <c r="L315">
        <f>IF(K315="","",IF(ISNUMBER('List 1'!A315),'List 1'!A315,TRIM('List 1'!A315)))</f>
        <v/>
      </c>
      <c r="M315">
        <f>IF(K315="","",IF(ISNUMBER('List 1'!C315),'List 1'!C315,TRIM('List 1'!C315)))</f>
        <v/>
      </c>
      <c r="N315">
        <f>IF(K315="","",IF(ISNUMBER('List 1'!D315),'List 1'!D315,TRIM('List 1'!D315)))</f>
        <v/>
      </c>
      <c r="O315">
        <f>IF(K315="","",D315)</f>
        <v/>
      </c>
      <c r="P315">
        <f>IF(K315="","",IF(R315,SUMPRODUCT(--($H$2:$H$501=K315),$I$2:$I$501),0))</f>
        <v/>
      </c>
      <c r="Q315">
        <f>IF(K315="","",TRUE)</f>
        <v/>
      </c>
      <c r="R315">
        <f>IF(K315="","",SUMPRODUCT(--($H$2:$H$501=K315))&gt;0)</f>
        <v/>
      </c>
      <c r="S315">
        <f>IF(K315="","",IF(AND(Q315,R315),IF(O315=P315,"Match","Qty Different"),IF(Q315,"Only in List 1","Only in List 2")))</f>
        <v/>
      </c>
      <c r="T315">
        <f>IF(K315="","",IF(ISNUMBER(--L315),TEXT(--L315,"000000000000.000"),LOWER(L315)))</f>
        <v/>
      </c>
      <c r="U315">
        <f>IF(K315="","",IF(ISNUMBER(--M315),TEXT(--M315,"000000000000.000"),LOWER(M315)))</f>
        <v/>
      </c>
      <c r="V315">
        <f>IF(K315="","",LOWER(N315))</f>
        <v/>
      </c>
      <c r="W315">
        <f>IF(K315="","",B315)</f>
        <v/>
      </c>
      <c r="X315">
        <f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>
      <c r="A316">
        <f>IF(TRIM('List 1'!A316&amp;'List 1'!C316&amp;'List 1'!D316)="","",LOWER(TRIM('List 1'!A316)&amp;"|"&amp;TRIM('List 1'!C316)&amp;"|"&amp;TRIM('List 1'!D316)))</f>
        <v/>
      </c>
      <c r="B316">
        <f>IF(A316="","",SUMPRODUCT(--($A$2:A316=A316)))</f>
        <v/>
      </c>
      <c r="C316">
        <f>IF(A316="","",A316&amp;"#"&amp;B316)</f>
        <v/>
      </c>
      <c r="D316">
        <f>IF(A316="","",IFERROR(--'List 1'!B316,0))</f>
        <v/>
      </c>
      <c r="F316">
        <f>IF(TRIM('List 2'!A316&amp;'List 2'!C316&amp;'List 2'!D316)="","",LOWER(TRIM('List 2'!A316)&amp;"|"&amp;TRIM('List 2'!C316)&amp;"|"&amp;TRIM('List 2'!D316)))</f>
        <v/>
      </c>
      <c r="G316">
        <f>IF(F316="","",SUMPRODUCT(--($F$2:F316=F316)))</f>
        <v/>
      </c>
      <c r="H316">
        <f>IF(F316="","",F316&amp;"#"&amp;G316)</f>
        <v/>
      </c>
      <c r="I316">
        <f>IF(F316="","",IFERROR(--'List 2'!B316,0))</f>
        <v/>
      </c>
      <c r="K316">
        <f>C316</f>
        <v/>
      </c>
      <c r="L316">
        <f>IF(K316="","",IF(ISNUMBER('List 1'!A316),'List 1'!A316,TRIM('List 1'!A316)))</f>
        <v/>
      </c>
      <c r="M316">
        <f>IF(K316="","",IF(ISNUMBER('List 1'!C316),'List 1'!C316,TRIM('List 1'!C316)))</f>
        <v/>
      </c>
      <c r="N316">
        <f>IF(K316="","",IF(ISNUMBER('List 1'!D316),'List 1'!D316,TRIM('List 1'!D316)))</f>
        <v/>
      </c>
      <c r="O316">
        <f>IF(K316="","",D316)</f>
        <v/>
      </c>
      <c r="P316">
        <f>IF(K316="","",IF(R316,SUMPRODUCT(--($H$2:$H$501=K316),$I$2:$I$501),0))</f>
        <v/>
      </c>
      <c r="Q316">
        <f>IF(K316="","",TRUE)</f>
        <v/>
      </c>
      <c r="R316">
        <f>IF(K316="","",SUMPRODUCT(--($H$2:$H$501=K316))&gt;0)</f>
        <v/>
      </c>
      <c r="S316">
        <f>IF(K316="","",IF(AND(Q316,R316),IF(O316=P316,"Match","Qty Different"),IF(Q316,"Only in List 1","Only in List 2")))</f>
        <v/>
      </c>
      <c r="T316">
        <f>IF(K316="","",IF(ISNUMBER(--L316),TEXT(--L316,"000000000000.000"),LOWER(L316)))</f>
        <v/>
      </c>
      <c r="U316">
        <f>IF(K316="","",IF(ISNUMBER(--M316),TEXT(--M316,"000000000000.000"),LOWER(M316)))</f>
        <v/>
      </c>
      <c r="V316">
        <f>IF(K316="","",LOWER(N316))</f>
        <v/>
      </c>
      <c r="W316">
        <f>IF(K316="","",B316)</f>
        <v/>
      </c>
      <c r="X316">
        <f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>
      <c r="A317">
        <f>IF(TRIM('List 1'!A317&amp;'List 1'!C317&amp;'List 1'!D317)="","",LOWER(TRIM('List 1'!A317)&amp;"|"&amp;TRIM('List 1'!C317)&amp;"|"&amp;TRIM('List 1'!D317)))</f>
        <v/>
      </c>
      <c r="B317">
        <f>IF(A317="","",SUMPRODUCT(--($A$2:A317=A317)))</f>
        <v/>
      </c>
      <c r="C317">
        <f>IF(A317="","",A317&amp;"#"&amp;B317)</f>
        <v/>
      </c>
      <c r="D317">
        <f>IF(A317="","",IFERROR(--'List 1'!B317,0))</f>
        <v/>
      </c>
      <c r="F317">
        <f>IF(TRIM('List 2'!A317&amp;'List 2'!C317&amp;'List 2'!D317)="","",LOWER(TRIM('List 2'!A317)&amp;"|"&amp;TRIM('List 2'!C317)&amp;"|"&amp;TRIM('List 2'!D317)))</f>
        <v/>
      </c>
      <c r="G317">
        <f>IF(F317="","",SUMPRODUCT(--($F$2:F317=F317)))</f>
        <v/>
      </c>
      <c r="H317">
        <f>IF(F317="","",F317&amp;"#"&amp;G317)</f>
        <v/>
      </c>
      <c r="I317">
        <f>IF(F317="","",IFERROR(--'List 2'!B317,0))</f>
        <v/>
      </c>
      <c r="K317">
        <f>C317</f>
        <v/>
      </c>
      <c r="L317">
        <f>IF(K317="","",IF(ISNUMBER('List 1'!A317),'List 1'!A317,TRIM('List 1'!A317)))</f>
        <v/>
      </c>
      <c r="M317">
        <f>IF(K317="","",IF(ISNUMBER('List 1'!C317),'List 1'!C317,TRIM('List 1'!C317)))</f>
        <v/>
      </c>
      <c r="N317">
        <f>IF(K317="","",IF(ISNUMBER('List 1'!D317),'List 1'!D317,TRIM('List 1'!D317)))</f>
        <v/>
      </c>
      <c r="O317">
        <f>IF(K317="","",D317)</f>
        <v/>
      </c>
      <c r="P317">
        <f>IF(K317="","",IF(R317,SUMPRODUCT(--($H$2:$H$501=K317),$I$2:$I$501),0))</f>
        <v/>
      </c>
      <c r="Q317">
        <f>IF(K317="","",TRUE)</f>
        <v/>
      </c>
      <c r="R317">
        <f>IF(K317="","",SUMPRODUCT(--($H$2:$H$501=K317))&gt;0)</f>
        <v/>
      </c>
      <c r="S317">
        <f>IF(K317="","",IF(AND(Q317,R317),IF(O317=P317,"Match","Qty Different"),IF(Q317,"Only in List 1","Only in List 2")))</f>
        <v/>
      </c>
      <c r="T317">
        <f>IF(K317="","",IF(ISNUMBER(--L317),TEXT(--L317,"000000000000.000"),LOWER(L317)))</f>
        <v/>
      </c>
      <c r="U317">
        <f>IF(K317="","",IF(ISNUMBER(--M317),TEXT(--M317,"000000000000.000"),LOWER(M317)))</f>
        <v/>
      </c>
      <c r="V317">
        <f>IF(K317="","",LOWER(N317))</f>
        <v/>
      </c>
      <c r="W317">
        <f>IF(K317="","",B317)</f>
        <v/>
      </c>
      <c r="X317">
        <f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>
      <c r="A318">
        <f>IF(TRIM('List 1'!A318&amp;'List 1'!C318&amp;'List 1'!D318)="","",LOWER(TRIM('List 1'!A318)&amp;"|"&amp;TRIM('List 1'!C318)&amp;"|"&amp;TRIM('List 1'!D318)))</f>
        <v/>
      </c>
      <c r="B318">
        <f>IF(A318="","",SUMPRODUCT(--($A$2:A318=A318)))</f>
        <v/>
      </c>
      <c r="C318">
        <f>IF(A318="","",A318&amp;"#"&amp;B318)</f>
        <v/>
      </c>
      <c r="D318">
        <f>IF(A318="","",IFERROR(--'List 1'!B318,0))</f>
        <v/>
      </c>
      <c r="F318">
        <f>IF(TRIM('List 2'!A318&amp;'List 2'!C318&amp;'List 2'!D318)="","",LOWER(TRIM('List 2'!A318)&amp;"|"&amp;TRIM('List 2'!C318)&amp;"|"&amp;TRIM('List 2'!D318)))</f>
        <v/>
      </c>
      <c r="G318">
        <f>IF(F318="","",SUMPRODUCT(--($F$2:F318=F318)))</f>
        <v/>
      </c>
      <c r="H318">
        <f>IF(F318="","",F318&amp;"#"&amp;G318)</f>
        <v/>
      </c>
      <c r="I318">
        <f>IF(F318="","",IFERROR(--'List 2'!B318,0))</f>
        <v/>
      </c>
      <c r="K318">
        <f>C318</f>
        <v/>
      </c>
      <c r="L318">
        <f>IF(K318="","",IF(ISNUMBER('List 1'!A318),'List 1'!A318,TRIM('List 1'!A318)))</f>
        <v/>
      </c>
      <c r="M318">
        <f>IF(K318="","",IF(ISNUMBER('List 1'!C318),'List 1'!C318,TRIM('List 1'!C318)))</f>
        <v/>
      </c>
      <c r="N318">
        <f>IF(K318="","",IF(ISNUMBER('List 1'!D318),'List 1'!D318,TRIM('List 1'!D318)))</f>
        <v/>
      </c>
      <c r="O318">
        <f>IF(K318="","",D318)</f>
        <v/>
      </c>
      <c r="P318">
        <f>IF(K318="","",IF(R318,SUMPRODUCT(--($H$2:$H$501=K318),$I$2:$I$501),0))</f>
        <v/>
      </c>
      <c r="Q318">
        <f>IF(K318="","",TRUE)</f>
        <v/>
      </c>
      <c r="R318">
        <f>IF(K318="","",SUMPRODUCT(--($H$2:$H$501=K318))&gt;0)</f>
        <v/>
      </c>
      <c r="S318">
        <f>IF(K318="","",IF(AND(Q318,R318),IF(O318=P318,"Match","Qty Different"),IF(Q318,"Only in List 1","Only in List 2")))</f>
        <v/>
      </c>
      <c r="T318">
        <f>IF(K318="","",IF(ISNUMBER(--L318),TEXT(--L318,"000000000000.000"),LOWER(L318)))</f>
        <v/>
      </c>
      <c r="U318">
        <f>IF(K318="","",IF(ISNUMBER(--M318),TEXT(--M318,"000000000000.000"),LOWER(M318)))</f>
        <v/>
      </c>
      <c r="V318">
        <f>IF(K318="","",LOWER(N318))</f>
        <v/>
      </c>
      <c r="W318">
        <f>IF(K318="","",B318)</f>
        <v/>
      </c>
      <c r="X318">
        <f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>
      <c r="A319">
        <f>IF(TRIM('List 1'!A319&amp;'List 1'!C319&amp;'List 1'!D319)="","",LOWER(TRIM('List 1'!A319)&amp;"|"&amp;TRIM('List 1'!C319)&amp;"|"&amp;TRIM('List 1'!D319)))</f>
        <v/>
      </c>
      <c r="B319">
        <f>IF(A319="","",SUMPRODUCT(--($A$2:A319=A319)))</f>
        <v/>
      </c>
      <c r="C319">
        <f>IF(A319="","",A319&amp;"#"&amp;B319)</f>
        <v/>
      </c>
      <c r="D319">
        <f>IF(A319="","",IFERROR(--'List 1'!B319,0))</f>
        <v/>
      </c>
      <c r="F319">
        <f>IF(TRIM('List 2'!A319&amp;'List 2'!C319&amp;'List 2'!D319)="","",LOWER(TRIM('List 2'!A319)&amp;"|"&amp;TRIM('List 2'!C319)&amp;"|"&amp;TRIM('List 2'!D319)))</f>
        <v/>
      </c>
      <c r="G319">
        <f>IF(F319="","",SUMPRODUCT(--($F$2:F319=F319)))</f>
        <v/>
      </c>
      <c r="H319">
        <f>IF(F319="","",F319&amp;"#"&amp;G319)</f>
        <v/>
      </c>
      <c r="I319">
        <f>IF(F319="","",IFERROR(--'List 2'!B319,0))</f>
        <v/>
      </c>
      <c r="K319">
        <f>C319</f>
        <v/>
      </c>
      <c r="L319">
        <f>IF(K319="","",IF(ISNUMBER('List 1'!A319),'List 1'!A319,TRIM('List 1'!A319)))</f>
        <v/>
      </c>
      <c r="M319">
        <f>IF(K319="","",IF(ISNUMBER('List 1'!C319),'List 1'!C319,TRIM('List 1'!C319)))</f>
        <v/>
      </c>
      <c r="N319">
        <f>IF(K319="","",IF(ISNUMBER('List 1'!D319),'List 1'!D319,TRIM('List 1'!D319)))</f>
        <v/>
      </c>
      <c r="O319">
        <f>IF(K319="","",D319)</f>
        <v/>
      </c>
      <c r="P319">
        <f>IF(K319="","",IF(R319,SUMPRODUCT(--($H$2:$H$501=K319),$I$2:$I$501),0))</f>
        <v/>
      </c>
      <c r="Q319">
        <f>IF(K319="","",TRUE)</f>
        <v/>
      </c>
      <c r="R319">
        <f>IF(K319="","",SUMPRODUCT(--($H$2:$H$501=K319))&gt;0)</f>
        <v/>
      </c>
      <c r="S319">
        <f>IF(K319="","",IF(AND(Q319,R319),IF(O319=P319,"Match","Qty Different"),IF(Q319,"Only in List 1","Only in List 2")))</f>
        <v/>
      </c>
      <c r="T319">
        <f>IF(K319="","",IF(ISNUMBER(--L319),TEXT(--L319,"000000000000.000"),LOWER(L319)))</f>
        <v/>
      </c>
      <c r="U319">
        <f>IF(K319="","",IF(ISNUMBER(--M319),TEXT(--M319,"000000000000.000"),LOWER(M319)))</f>
        <v/>
      </c>
      <c r="V319">
        <f>IF(K319="","",LOWER(N319))</f>
        <v/>
      </c>
      <c r="W319">
        <f>IF(K319="","",B319)</f>
        <v/>
      </c>
      <c r="X319">
        <f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>
      <c r="A320">
        <f>IF(TRIM('List 1'!A320&amp;'List 1'!C320&amp;'List 1'!D320)="","",LOWER(TRIM('List 1'!A320)&amp;"|"&amp;TRIM('List 1'!C320)&amp;"|"&amp;TRIM('List 1'!D320)))</f>
        <v/>
      </c>
      <c r="B320">
        <f>IF(A320="","",SUMPRODUCT(--($A$2:A320=A320)))</f>
        <v/>
      </c>
      <c r="C320">
        <f>IF(A320="","",A320&amp;"#"&amp;B320)</f>
        <v/>
      </c>
      <c r="D320">
        <f>IF(A320="","",IFERROR(--'List 1'!B320,0))</f>
        <v/>
      </c>
      <c r="F320">
        <f>IF(TRIM('List 2'!A320&amp;'List 2'!C320&amp;'List 2'!D320)="","",LOWER(TRIM('List 2'!A320)&amp;"|"&amp;TRIM('List 2'!C320)&amp;"|"&amp;TRIM('List 2'!D320)))</f>
        <v/>
      </c>
      <c r="G320">
        <f>IF(F320="","",SUMPRODUCT(--($F$2:F320=F320)))</f>
        <v/>
      </c>
      <c r="H320">
        <f>IF(F320="","",F320&amp;"#"&amp;G320)</f>
        <v/>
      </c>
      <c r="I320">
        <f>IF(F320="","",IFERROR(--'List 2'!B320,0))</f>
        <v/>
      </c>
      <c r="K320">
        <f>C320</f>
        <v/>
      </c>
      <c r="L320">
        <f>IF(K320="","",IF(ISNUMBER('List 1'!A320),'List 1'!A320,TRIM('List 1'!A320)))</f>
        <v/>
      </c>
      <c r="M320">
        <f>IF(K320="","",IF(ISNUMBER('List 1'!C320),'List 1'!C320,TRIM('List 1'!C320)))</f>
        <v/>
      </c>
      <c r="N320">
        <f>IF(K320="","",IF(ISNUMBER('List 1'!D320),'List 1'!D320,TRIM('List 1'!D320)))</f>
        <v/>
      </c>
      <c r="O320">
        <f>IF(K320="","",D320)</f>
        <v/>
      </c>
      <c r="P320">
        <f>IF(K320="","",IF(R320,SUMPRODUCT(--($H$2:$H$501=K320),$I$2:$I$501),0))</f>
        <v/>
      </c>
      <c r="Q320">
        <f>IF(K320="","",TRUE)</f>
        <v/>
      </c>
      <c r="R320">
        <f>IF(K320="","",SUMPRODUCT(--($H$2:$H$501=K320))&gt;0)</f>
        <v/>
      </c>
      <c r="S320">
        <f>IF(K320="","",IF(AND(Q320,R320),IF(O320=P320,"Match","Qty Different"),IF(Q320,"Only in List 1","Only in List 2")))</f>
        <v/>
      </c>
      <c r="T320">
        <f>IF(K320="","",IF(ISNUMBER(--L320),TEXT(--L320,"000000000000.000"),LOWER(L320)))</f>
        <v/>
      </c>
      <c r="U320">
        <f>IF(K320="","",IF(ISNUMBER(--M320),TEXT(--M320,"000000000000.000"),LOWER(M320)))</f>
        <v/>
      </c>
      <c r="V320">
        <f>IF(K320="","",LOWER(N320))</f>
        <v/>
      </c>
      <c r="W320">
        <f>IF(K320="","",B320)</f>
        <v/>
      </c>
      <c r="X320">
        <f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>
      <c r="A321">
        <f>IF(TRIM('List 1'!A321&amp;'List 1'!C321&amp;'List 1'!D321)="","",LOWER(TRIM('List 1'!A321)&amp;"|"&amp;TRIM('List 1'!C321)&amp;"|"&amp;TRIM('List 1'!D321)))</f>
        <v/>
      </c>
      <c r="B321">
        <f>IF(A321="","",SUMPRODUCT(--($A$2:A321=A321)))</f>
        <v/>
      </c>
      <c r="C321">
        <f>IF(A321="","",A321&amp;"#"&amp;B321)</f>
        <v/>
      </c>
      <c r="D321">
        <f>IF(A321="","",IFERROR(--'List 1'!B321,0))</f>
        <v/>
      </c>
      <c r="F321">
        <f>IF(TRIM('List 2'!A321&amp;'List 2'!C321&amp;'List 2'!D321)="","",LOWER(TRIM('List 2'!A321)&amp;"|"&amp;TRIM('List 2'!C321)&amp;"|"&amp;TRIM('List 2'!D321)))</f>
        <v/>
      </c>
      <c r="G321">
        <f>IF(F321="","",SUMPRODUCT(--($F$2:F321=F321)))</f>
        <v/>
      </c>
      <c r="H321">
        <f>IF(F321="","",F321&amp;"#"&amp;G321)</f>
        <v/>
      </c>
      <c r="I321">
        <f>IF(F321="","",IFERROR(--'List 2'!B321,0))</f>
        <v/>
      </c>
      <c r="K321">
        <f>C321</f>
        <v/>
      </c>
      <c r="L321">
        <f>IF(K321="","",IF(ISNUMBER('List 1'!A321),'List 1'!A321,TRIM('List 1'!A321)))</f>
        <v/>
      </c>
      <c r="M321">
        <f>IF(K321="","",IF(ISNUMBER('List 1'!C321),'List 1'!C321,TRIM('List 1'!C321)))</f>
        <v/>
      </c>
      <c r="N321">
        <f>IF(K321="","",IF(ISNUMBER('List 1'!D321),'List 1'!D321,TRIM('List 1'!D321)))</f>
        <v/>
      </c>
      <c r="O321">
        <f>IF(K321="","",D321)</f>
        <v/>
      </c>
      <c r="P321">
        <f>IF(K321="","",IF(R321,SUMPRODUCT(--($H$2:$H$501=K321),$I$2:$I$501),0))</f>
        <v/>
      </c>
      <c r="Q321">
        <f>IF(K321="","",TRUE)</f>
        <v/>
      </c>
      <c r="R321">
        <f>IF(K321="","",SUMPRODUCT(--($H$2:$H$501=K321))&gt;0)</f>
        <v/>
      </c>
      <c r="S321">
        <f>IF(K321="","",IF(AND(Q321,R321),IF(O321=P321,"Match","Qty Different"),IF(Q321,"Only in List 1","Only in List 2")))</f>
        <v/>
      </c>
      <c r="T321">
        <f>IF(K321="","",IF(ISNUMBER(--L321),TEXT(--L321,"000000000000.000"),LOWER(L321)))</f>
        <v/>
      </c>
      <c r="U321">
        <f>IF(K321="","",IF(ISNUMBER(--M321),TEXT(--M321,"000000000000.000"),LOWER(M321)))</f>
        <v/>
      </c>
      <c r="V321">
        <f>IF(K321="","",LOWER(N321))</f>
        <v/>
      </c>
      <c r="W321">
        <f>IF(K321="","",B321)</f>
        <v/>
      </c>
      <c r="X321">
        <f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>
      <c r="A322">
        <f>IF(TRIM('List 1'!A322&amp;'List 1'!C322&amp;'List 1'!D322)="","",LOWER(TRIM('List 1'!A322)&amp;"|"&amp;TRIM('List 1'!C322)&amp;"|"&amp;TRIM('List 1'!D322)))</f>
        <v/>
      </c>
      <c r="B322">
        <f>IF(A322="","",SUMPRODUCT(--($A$2:A322=A322)))</f>
        <v/>
      </c>
      <c r="C322">
        <f>IF(A322="","",A322&amp;"#"&amp;B322)</f>
        <v/>
      </c>
      <c r="D322">
        <f>IF(A322="","",IFERROR(--'List 1'!B322,0))</f>
        <v/>
      </c>
      <c r="F322">
        <f>IF(TRIM('List 2'!A322&amp;'List 2'!C322&amp;'List 2'!D322)="","",LOWER(TRIM('List 2'!A322)&amp;"|"&amp;TRIM('List 2'!C322)&amp;"|"&amp;TRIM('List 2'!D322)))</f>
        <v/>
      </c>
      <c r="G322">
        <f>IF(F322="","",SUMPRODUCT(--($F$2:F322=F322)))</f>
        <v/>
      </c>
      <c r="H322">
        <f>IF(F322="","",F322&amp;"#"&amp;G322)</f>
        <v/>
      </c>
      <c r="I322">
        <f>IF(F322="","",IFERROR(--'List 2'!B322,0))</f>
        <v/>
      </c>
      <c r="K322">
        <f>C322</f>
        <v/>
      </c>
      <c r="L322">
        <f>IF(K322="","",IF(ISNUMBER('List 1'!A322),'List 1'!A322,TRIM('List 1'!A322)))</f>
        <v/>
      </c>
      <c r="M322">
        <f>IF(K322="","",IF(ISNUMBER('List 1'!C322),'List 1'!C322,TRIM('List 1'!C322)))</f>
        <v/>
      </c>
      <c r="N322">
        <f>IF(K322="","",IF(ISNUMBER('List 1'!D322),'List 1'!D322,TRIM('List 1'!D322)))</f>
        <v/>
      </c>
      <c r="O322">
        <f>IF(K322="","",D322)</f>
        <v/>
      </c>
      <c r="P322">
        <f>IF(K322="","",IF(R322,SUMPRODUCT(--($H$2:$H$501=K322),$I$2:$I$501),0))</f>
        <v/>
      </c>
      <c r="Q322">
        <f>IF(K322="","",TRUE)</f>
        <v/>
      </c>
      <c r="R322">
        <f>IF(K322="","",SUMPRODUCT(--($H$2:$H$501=K322))&gt;0)</f>
        <v/>
      </c>
      <c r="S322">
        <f>IF(K322="","",IF(AND(Q322,R322),IF(O322=P322,"Match","Qty Different"),IF(Q322,"Only in List 1","Only in List 2")))</f>
        <v/>
      </c>
      <c r="T322">
        <f>IF(K322="","",IF(ISNUMBER(--L322),TEXT(--L322,"000000000000.000"),LOWER(L322)))</f>
        <v/>
      </c>
      <c r="U322">
        <f>IF(K322="","",IF(ISNUMBER(--M322),TEXT(--M322,"000000000000.000"),LOWER(M322)))</f>
        <v/>
      </c>
      <c r="V322">
        <f>IF(K322="","",LOWER(N322))</f>
        <v/>
      </c>
      <c r="W322">
        <f>IF(K322="","",B322)</f>
        <v/>
      </c>
      <c r="X322">
        <f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>
      <c r="A323">
        <f>IF(TRIM('List 1'!A323&amp;'List 1'!C323&amp;'List 1'!D323)="","",LOWER(TRIM('List 1'!A323)&amp;"|"&amp;TRIM('List 1'!C323)&amp;"|"&amp;TRIM('List 1'!D323)))</f>
        <v/>
      </c>
      <c r="B323">
        <f>IF(A323="","",SUMPRODUCT(--($A$2:A323=A323)))</f>
        <v/>
      </c>
      <c r="C323">
        <f>IF(A323="","",A323&amp;"#"&amp;B323)</f>
        <v/>
      </c>
      <c r="D323">
        <f>IF(A323="","",IFERROR(--'List 1'!B323,0))</f>
        <v/>
      </c>
      <c r="F323">
        <f>IF(TRIM('List 2'!A323&amp;'List 2'!C323&amp;'List 2'!D323)="","",LOWER(TRIM('List 2'!A323)&amp;"|"&amp;TRIM('List 2'!C323)&amp;"|"&amp;TRIM('List 2'!D323)))</f>
        <v/>
      </c>
      <c r="G323">
        <f>IF(F323="","",SUMPRODUCT(--($F$2:F323=F323)))</f>
        <v/>
      </c>
      <c r="H323">
        <f>IF(F323="","",F323&amp;"#"&amp;G323)</f>
        <v/>
      </c>
      <c r="I323">
        <f>IF(F323="","",IFERROR(--'List 2'!B323,0))</f>
        <v/>
      </c>
      <c r="K323">
        <f>C323</f>
        <v/>
      </c>
      <c r="L323">
        <f>IF(K323="","",IF(ISNUMBER('List 1'!A323),'List 1'!A323,TRIM('List 1'!A323)))</f>
        <v/>
      </c>
      <c r="M323">
        <f>IF(K323="","",IF(ISNUMBER('List 1'!C323),'List 1'!C323,TRIM('List 1'!C323)))</f>
        <v/>
      </c>
      <c r="N323">
        <f>IF(K323="","",IF(ISNUMBER('List 1'!D323),'List 1'!D323,TRIM('List 1'!D323)))</f>
        <v/>
      </c>
      <c r="O323">
        <f>IF(K323="","",D323)</f>
        <v/>
      </c>
      <c r="P323">
        <f>IF(K323="","",IF(R323,SUMPRODUCT(--($H$2:$H$501=K323),$I$2:$I$501),0))</f>
        <v/>
      </c>
      <c r="Q323">
        <f>IF(K323="","",TRUE)</f>
        <v/>
      </c>
      <c r="R323">
        <f>IF(K323="","",SUMPRODUCT(--($H$2:$H$501=K323))&gt;0)</f>
        <v/>
      </c>
      <c r="S323">
        <f>IF(K323="","",IF(AND(Q323,R323),IF(O323=P323,"Match","Qty Different"),IF(Q323,"Only in List 1","Only in List 2")))</f>
        <v/>
      </c>
      <c r="T323">
        <f>IF(K323="","",IF(ISNUMBER(--L323),TEXT(--L323,"000000000000.000"),LOWER(L323)))</f>
        <v/>
      </c>
      <c r="U323">
        <f>IF(K323="","",IF(ISNUMBER(--M323),TEXT(--M323,"000000000000.000"),LOWER(M323)))</f>
        <v/>
      </c>
      <c r="V323">
        <f>IF(K323="","",LOWER(N323))</f>
        <v/>
      </c>
      <c r="W323">
        <f>IF(K323="","",B323)</f>
        <v/>
      </c>
      <c r="X323">
        <f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>
      <c r="A324">
        <f>IF(TRIM('List 1'!A324&amp;'List 1'!C324&amp;'List 1'!D324)="","",LOWER(TRIM('List 1'!A324)&amp;"|"&amp;TRIM('List 1'!C324)&amp;"|"&amp;TRIM('List 1'!D324)))</f>
        <v/>
      </c>
      <c r="B324">
        <f>IF(A324="","",SUMPRODUCT(--($A$2:A324=A324)))</f>
        <v/>
      </c>
      <c r="C324">
        <f>IF(A324="","",A324&amp;"#"&amp;B324)</f>
        <v/>
      </c>
      <c r="D324">
        <f>IF(A324="","",IFERROR(--'List 1'!B324,0))</f>
        <v/>
      </c>
      <c r="F324">
        <f>IF(TRIM('List 2'!A324&amp;'List 2'!C324&amp;'List 2'!D324)="","",LOWER(TRIM('List 2'!A324)&amp;"|"&amp;TRIM('List 2'!C324)&amp;"|"&amp;TRIM('List 2'!D324)))</f>
        <v/>
      </c>
      <c r="G324">
        <f>IF(F324="","",SUMPRODUCT(--($F$2:F324=F324)))</f>
        <v/>
      </c>
      <c r="H324">
        <f>IF(F324="","",F324&amp;"#"&amp;G324)</f>
        <v/>
      </c>
      <c r="I324">
        <f>IF(F324="","",IFERROR(--'List 2'!B324,0))</f>
        <v/>
      </c>
      <c r="K324">
        <f>C324</f>
        <v/>
      </c>
      <c r="L324">
        <f>IF(K324="","",IF(ISNUMBER('List 1'!A324),'List 1'!A324,TRIM('List 1'!A324)))</f>
        <v/>
      </c>
      <c r="M324">
        <f>IF(K324="","",IF(ISNUMBER('List 1'!C324),'List 1'!C324,TRIM('List 1'!C324)))</f>
        <v/>
      </c>
      <c r="N324">
        <f>IF(K324="","",IF(ISNUMBER('List 1'!D324),'List 1'!D324,TRIM('List 1'!D324)))</f>
        <v/>
      </c>
      <c r="O324">
        <f>IF(K324="","",D324)</f>
        <v/>
      </c>
      <c r="P324">
        <f>IF(K324="","",IF(R324,SUMPRODUCT(--($H$2:$H$501=K324),$I$2:$I$501),0))</f>
        <v/>
      </c>
      <c r="Q324">
        <f>IF(K324="","",TRUE)</f>
        <v/>
      </c>
      <c r="R324">
        <f>IF(K324="","",SUMPRODUCT(--($H$2:$H$501=K324))&gt;0)</f>
        <v/>
      </c>
      <c r="S324">
        <f>IF(K324="","",IF(AND(Q324,R324),IF(O324=P324,"Match","Qty Different"),IF(Q324,"Only in List 1","Only in List 2")))</f>
        <v/>
      </c>
      <c r="T324">
        <f>IF(K324="","",IF(ISNUMBER(--L324),TEXT(--L324,"000000000000.000"),LOWER(L324)))</f>
        <v/>
      </c>
      <c r="U324">
        <f>IF(K324="","",IF(ISNUMBER(--M324),TEXT(--M324,"000000000000.000"),LOWER(M324)))</f>
        <v/>
      </c>
      <c r="V324">
        <f>IF(K324="","",LOWER(N324))</f>
        <v/>
      </c>
      <c r="W324">
        <f>IF(K324="","",B324)</f>
        <v/>
      </c>
      <c r="X324">
        <f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>
      <c r="A325">
        <f>IF(TRIM('List 1'!A325&amp;'List 1'!C325&amp;'List 1'!D325)="","",LOWER(TRIM('List 1'!A325)&amp;"|"&amp;TRIM('List 1'!C325)&amp;"|"&amp;TRIM('List 1'!D325)))</f>
        <v/>
      </c>
      <c r="B325">
        <f>IF(A325="","",SUMPRODUCT(--($A$2:A325=A325)))</f>
        <v/>
      </c>
      <c r="C325">
        <f>IF(A325="","",A325&amp;"#"&amp;B325)</f>
        <v/>
      </c>
      <c r="D325">
        <f>IF(A325="","",IFERROR(--'List 1'!B325,0))</f>
        <v/>
      </c>
      <c r="F325">
        <f>IF(TRIM('List 2'!A325&amp;'List 2'!C325&amp;'List 2'!D325)="","",LOWER(TRIM('List 2'!A325)&amp;"|"&amp;TRIM('List 2'!C325)&amp;"|"&amp;TRIM('List 2'!D325)))</f>
        <v/>
      </c>
      <c r="G325">
        <f>IF(F325="","",SUMPRODUCT(--($F$2:F325=F325)))</f>
        <v/>
      </c>
      <c r="H325">
        <f>IF(F325="","",F325&amp;"#"&amp;G325)</f>
        <v/>
      </c>
      <c r="I325">
        <f>IF(F325="","",IFERROR(--'List 2'!B325,0))</f>
        <v/>
      </c>
      <c r="K325">
        <f>C325</f>
        <v/>
      </c>
      <c r="L325">
        <f>IF(K325="","",IF(ISNUMBER('List 1'!A325),'List 1'!A325,TRIM('List 1'!A325)))</f>
        <v/>
      </c>
      <c r="M325">
        <f>IF(K325="","",IF(ISNUMBER('List 1'!C325),'List 1'!C325,TRIM('List 1'!C325)))</f>
        <v/>
      </c>
      <c r="N325">
        <f>IF(K325="","",IF(ISNUMBER('List 1'!D325),'List 1'!D325,TRIM('List 1'!D325)))</f>
        <v/>
      </c>
      <c r="O325">
        <f>IF(K325="","",D325)</f>
        <v/>
      </c>
      <c r="P325">
        <f>IF(K325="","",IF(R325,SUMPRODUCT(--($H$2:$H$501=K325),$I$2:$I$501),0))</f>
        <v/>
      </c>
      <c r="Q325">
        <f>IF(K325="","",TRUE)</f>
        <v/>
      </c>
      <c r="R325">
        <f>IF(K325="","",SUMPRODUCT(--($H$2:$H$501=K325))&gt;0)</f>
        <v/>
      </c>
      <c r="S325">
        <f>IF(K325="","",IF(AND(Q325,R325),IF(O325=P325,"Match","Qty Different"),IF(Q325,"Only in List 1","Only in List 2")))</f>
        <v/>
      </c>
      <c r="T325">
        <f>IF(K325="","",IF(ISNUMBER(--L325),TEXT(--L325,"000000000000.000"),LOWER(L325)))</f>
        <v/>
      </c>
      <c r="U325">
        <f>IF(K325="","",IF(ISNUMBER(--M325),TEXT(--M325,"000000000000.000"),LOWER(M325)))</f>
        <v/>
      </c>
      <c r="V325">
        <f>IF(K325="","",LOWER(N325))</f>
        <v/>
      </c>
      <c r="W325">
        <f>IF(K325="","",B325)</f>
        <v/>
      </c>
      <c r="X325">
        <f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>
      <c r="A326">
        <f>IF(TRIM('List 1'!A326&amp;'List 1'!C326&amp;'List 1'!D326)="","",LOWER(TRIM('List 1'!A326)&amp;"|"&amp;TRIM('List 1'!C326)&amp;"|"&amp;TRIM('List 1'!D326)))</f>
        <v/>
      </c>
      <c r="B326">
        <f>IF(A326="","",SUMPRODUCT(--($A$2:A326=A326)))</f>
        <v/>
      </c>
      <c r="C326">
        <f>IF(A326="","",A326&amp;"#"&amp;B326)</f>
        <v/>
      </c>
      <c r="D326">
        <f>IF(A326="","",IFERROR(--'List 1'!B326,0))</f>
        <v/>
      </c>
      <c r="F326">
        <f>IF(TRIM('List 2'!A326&amp;'List 2'!C326&amp;'List 2'!D326)="","",LOWER(TRIM('List 2'!A326)&amp;"|"&amp;TRIM('List 2'!C326)&amp;"|"&amp;TRIM('List 2'!D326)))</f>
        <v/>
      </c>
      <c r="G326">
        <f>IF(F326="","",SUMPRODUCT(--($F$2:F326=F326)))</f>
        <v/>
      </c>
      <c r="H326">
        <f>IF(F326="","",F326&amp;"#"&amp;G326)</f>
        <v/>
      </c>
      <c r="I326">
        <f>IF(F326="","",IFERROR(--'List 2'!B326,0))</f>
        <v/>
      </c>
      <c r="K326">
        <f>C326</f>
        <v/>
      </c>
      <c r="L326">
        <f>IF(K326="","",IF(ISNUMBER('List 1'!A326),'List 1'!A326,TRIM('List 1'!A326)))</f>
        <v/>
      </c>
      <c r="M326">
        <f>IF(K326="","",IF(ISNUMBER('List 1'!C326),'List 1'!C326,TRIM('List 1'!C326)))</f>
        <v/>
      </c>
      <c r="N326">
        <f>IF(K326="","",IF(ISNUMBER('List 1'!D326),'List 1'!D326,TRIM('List 1'!D326)))</f>
        <v/>
      </c>
      <c r="O326">
        <f>IF(K326="","",D326)</f>
        <v/>
      </c>
      <c r="P326">
        <f>IF(K326="","",IF(R326,SUMPRODUCT(--($H$2:$H$501=K326),$I$2:$I$501),0))</f>
        <v/>
      </c>
      <c r="Q326">
        <f>IF(K326="","",TRUE)</f>
        <v/>
      </c>
      <c r="R326">
        <f>IF(K326="","",SUMPRODUCT(--($H$2:$H$501=K326))&gt;0)</f>
        <v/>
      </c>
      <c r="S326">
        <f>IF(K326="","",IF(AND(Q326,R326),IF(O326=P326,"Match","Qty Different"),IF(Q326,"Only in List 1","Only in List 2")))</f>
        <v/>
      </c>
      <c r="T326">
        <f>IF(K326="","",IF(ISNUMBER(--L326),TEXT(--L326,"000000000000.000"),LOWER(L326)))</f>
        <v/>
      </c>
      <c r="U326">
        <f>IF(K326="","",IF(ISNUMBER(--M326),TEXT(--M326,"000000000000.000"),LOWER(M326)))</f>
        <v/>
      </c>
      <c r="V326">
        <f>IF(K326="","",LOWER(N326))</f>
        <v/>
      </c>
      <c r="W326">
        <f>IF(K326="","",B326)</f>
        <v/>
      </c>
      <c r="X326">
        <f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>
      <c r="A327">
        <f>IF(TRIM('List 1'!A327&amp;'List 1'!C327&amp;'List 1'!D327)="","",LOWER(TRIM('List 1'!A327)&amp;"|"&amp;TRIM('List 1'!C327)&amp;"|"&amp;TRIM('List 1'!D327)))</f>
        <v/>
      </c>
      <c r="B327">
        <f>IF(A327="","",SUMPRODUCT(--($A$2:A327=A327)))</f>
        <v/>
      </c>
      <c r="C327">
        <f>IF(A327="","",A327&amp;"#"&amp;B327)</f>
        <v/>
      </c>
      <c r="D327">
        <f>IF(A327="","",IFERROR(--'List 1'!B327,0))</f>
        <v/>
      </c>
      <c r="F327">
        <f>IF(TRIM('List 2'!A327&amp;'List 2'!C327&amp;'List 2'!D327)="","",LOWER(TRIM('List 2'!A327)&amp;"|"&amp;TRIM('List 2'!C327)&amp;"|"&amp;TRIM('List 2'!D327)))</f>
        <v/>
      </c>
      <c r="G327">
        <f>IF(F327="","",SUMPRODUCT(--($F$2:F327=F327)))</f>
        <v/>
      </c>
      <c r="H327">
        <f>IF(F327="","",F327&amp;"#"&amp;G327)</f>
        <v/>
      </c>
      <c r="I327">
        <f>IF(F327="","",IFERROR(--'List 2'!B327,0))</f>
        <v/>
      </c>
      <c r="K327">
        <f>C327</f>
        <v/>
      </c>
      <c r="L327">
        <f>IF(K327="","",IF(ISNUMBER('List 1'!A327),'List 1'!A327,TRIM('List 1'!A327)))</f>
        <v/>
      </c>
      <c r="M327">
        <f>IF(K327="","",IF(ISNUMBER('List 1'!C327),'List 1'!C327,TRIM('List 1'!C327)))</f>
        <v/>
      </c>
      <c r="N327">
        <f>IF(K327="","",IF(ISNUMBER('List 1'!D327),'List 1'!D327,TRIM('List 1'!D327)))</f>
        <v/>
      </c>
      <c r="O327">
        <f>IF(K327="","",D327)</f>
        <v/>
      </c>
      <c r="P327">
        <f>IF(K327="","",IF(R327,SUMPRODUCT(--($H$2:$H$501=K327),$I$2:$I$501),0))</f>
        <v/>
      </c>
      <c r="Q327">
        <f>IF(K327="","",TRUE)</f>
        <v/>
      </c>
      <c r="R327">
        <f>IF(K327="","",SUMPRODUCT(--($H$2:$H$501=K327))&gt;0)</f>
        <v/>
      </c>
      <c r="S327">
        <f>IF(K327="","",IF(AND(Q327,R327),IF(O327=P327,"Match","Qty Different"),IF(Q327,"Only in List 1","Only in List 2")))</f>
        <v/>
      </c>
      <c r="T327">
        <f>IF(K327="","",IF(ISNUMBER(--L327),TEXT(--L327,"000000000000.000"),LOWER(L327)))</f>
        <v/>
      </c>
      <c r="U327">
        <f>IF(K327="","",IF(ISNUMBER(--M327),TEXT(--M327,"000000000000.000"),LOWER(M327)))</f>
        <v/>
      </c>
      <c r="V327">
        <f>IF(K327="","",LOWER(N327))</f>
        <v/>
      </c>
      <c r="W327">
        <f>IF(K327="","",B327)</f>
        <v/>
      </c>
      <c r="X327">
        <f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>
      <c r="A328">
        <f>IF(TRIM('List 1'!A328&amp;'List 1'!C328&amp;'List 1'!D328)="","",LOWER(TRIM('List 1'!A328)&amp;"|"&amp;TRIM('List 1'!C328)&amp;"|"&amp;TRIM('List 1'!D328)))</f>
        <v/>
      </c>
      <c r="B328">
        <f>IF(A328="","",SUMPRODUCT(--($A$2:A328=A328)))</f>
        <v/>
      </c>
      <c r="C328">
        <f>IF(A328="","",A328&amp;"#"&amp;B328)</f>
        <v/>
      </c>
      <c r="D328">
        <f>IF(A328="","",IFERROR(--'List 1'!B328,0))</f>
        <v/>
      </c>
      <c r="F328">
        <f>IF(TRIM('List 2'!A328&amp;'List 2'!C328&amp;'List 2'!D328)="","",LOWER(TRIM('List 2'!A328)&amp;"|"&amp;TRIM('List 2'!C328)&amp;"|"&amp;TRIM('List 2'!D328)))</f>
        <v/>
      </c>
      <c r="G328">
        <f>IF(F328="","",SUMPRODUCT(--($F$2:F328=F328)))</f>
        <v/>
      </c>
      <c r="H328">
        <f>IF(F328="","",F328&amp;"#"&amp;G328)</f>
        <v/>
      </c>
      <c r="I328">
        <f>IF(F328="","",IFERROR(--'List 2'!B328,0))</f>
        <v/>
      </c>
      <c r="K328">
        <f>C328</f>
        <v/>
      </c>
      <c r="L328">
        <f>IF(K328="","",IF(ISNUMBER('List 1'!A328),'List 1'!A328,TRIM('List 1'!A328)))</f>
        <v/>
      </c>
      <c r="M328">
        <f>IF(K328="","",IF(ISNUMBER('List 1'!C328),'List 1'!C328,TRIM('List 1'!C328)))</f>
        <v/>
      </c>
      <c r="N328">
        <f>IF(K328="","",IF(ISNUMBER('List 1'!D328),'List 1'!D328,TRIM('List 1'!D328)))</f>
        <v/>
      </c>
      <c r="O328">
        <f>IF(K328="","",D328)</f>
        <v/>
      </c>
      <c r="P328">
        <f>IF(K328="","",IF(R328,SUMPRODUCT(--($H$2:$H$501=K328),$I$2:$I$501),0))</f>
        <v/>
      </c>
      <c r="Q328">
        <f>IF(K328="","",TRUE)</f>
        <v/>
      </c>
      <c r="R328">
        <f>IF(K328="","",SUMPRODUCT(--($H$2:$H$501=K328))&gt;0)</f>
        <v/>
      </c>
      <c r="S328">
        <f>IF(K328="","",IF(AND(Q328,R328),IF(O328=P328,"Match","Qty Different"),IF(Q328,"Only in List 1","Only in List 2")))</f>
        <v/>
      </c>
      <c r="T328">
        <f>IF(K328="","",IF(ISNUMBER(--L328),TEXT(--L328,"000000000000.000"),LOWER(L328)))</f>
        <v/>
      </c>
      <c r="U328">
        <f>IF(K328="","",IF(ISNUMBER(--M328),TEXT(--M328,"000000000000.000"),LOWER(M328)))</f>
        <v/>
      </c>
      <c r="V328">
        <f>IF(K328="","",LOWER(N328))</f>
        <v/>
      </c>
      <c r="W328">
        <f>IF(K328="","",B328)</f>
        <v/>
      </c>
      <c r="X328">
        <f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>
      <c r="A329">
        <f>IF(TRIM('List 1'!A329&amp;'List 1'!C329&amp;'List 1'!D329)="","",LOWER(TRIM('List 1'!A329)&amp;"|"&amp;TRIM('List 1'!C329)&amp;"|"&amp;TRIM('List 1'!D329)))</f>
        <v/>
      </c>
      <c r="B329">
        <f>IF(A329="","",SUMPRODUCT(--($A$2:A329=A329)))</f>
        <v/>
      </c>
      <c r="C329">
        <f>IF(A329="","",A329&amp;"#"&amp;B329)</f>
        <v/>
      </c>
      <c r="D329">
        <f>IF(A329="","",IFERROR(--'List 1'!B329,0))</f>
        <v/>
      </c>
      <c r="F329">
        <f>IF(TRIM('List 2'!A329&amp;'List 2'!C329&amp;'List 2'!D329)="","",LOWER(TRIM('List 2'!A329)&amp;"|"&amp;TRIM('List 2'!C329)&amp;"|"&amp;TRIM('List 2'!D329)))</f>
        <v/>
      </c>
      <c r="G329">
        <f>IF(F329="","",SUMPRODUCT(--($F$2:F329=F329)))</f>
        <v/>
      </c>
      <c r="H329">
        <f>IF(F329="","",F329&amp;"#"&amp;G329)</f>
        <v/>
      </c>
      <c r="I329">
        <f>IF(F329="","",IFERROR(--'List 2'!B329,0))</f>
        <v/>
      </c>
      <c r="K329">
        <f>C329</f>
        <v/>
      </c>
      <c r="L329">
        <f>IF(K329="","",IF(ISNUMBER('List 1'!A329),'List 1'!A329,TRIM('List 1'!A329)))</f>
        <v/>
      </c>
      <c r="M329">
        <f>IF(K329="","",IF(ISNUMBER('List 1'!C329),'List 1'!C329,TRIM('List 1'!C329)))</f>
        <v/>
      </c>
      <c r="N329">
        <f>IF(K329="","",IF(ISNUMBER('List 1'!D329),'List 1'!D329,TRIM('List 1'!D329)))</f>
        <v/>
      </c>
      <c r="O329">
        <f>IF(K329="","",D329)</f>
        <v/>
      </c>
      <c r="P329">
        <f>IF(K329="","",IF(R329,SUMPRODUCT(--($H$2:$H$501=K329),$I$2:$I$501),0))</f>
        <v/>
      </c>
      <c r="Q329">
        <f>IF(K329="","",TRUE)</f>
        <v/>
      </c>
      <c r="R329">
        <f>IF(K329="","",SUMPRODUCT(--($H$2:$H$501=K329))&gt;0)</f>
        <v/>
      </c>
      <c r="S329">
        <f>IF(K329="","",IF(AND(Q329,R329),IF(O329=P329,"Match","Qty Different"),IF(Q329,"Only in List 1","Only in List 2")))</f>
        <v/>
      </c>
      <c r="T329">
        <f>IF(K329="","",IF(ISNUMBER(--L329),TEXT(--L329,"000000000000.000"),LOWER(L329)))</f>
        <v/>
      </c>
      <c r="U329">
        <f>IF(K329="","",IF(ISNUMBER(--M329),TEXT(--M329,"000000000000.000"),LOWER(M329)))</f>
        <v/>
      </c>
      <c r="V329">
        <f>IF(K329="","",LOWER(N329))</f>
        <v/>
      </c>
      <c r="W329">
        <f>IF(K329="","",B329)</f>
        <v/>
      </c>
      <c r="X329">
        <f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>
      <c r="A330">
        <f>IF(TRIM('List 1'!A330&amp;'List 1'!C330&amp;'List 1'!D330)="","",LOWER(TRIM('List 1'!A330)&amp;"|"&amp;TRIM('List 1'!C330)&amp;"|"&amp;TRIM('List 1'!D330)))</f>
        <v/>
      </c>
      <c r="B330">
        <f>IF(A330="","",SUMPRODUCT(--($A$2:A330=A330)))</f>
        <v/>
      </c>
      <c r="C330">
        <f>IF(A330="","",A330&amp;"#"&amp;B330)</f>
        <v/>
      </c>
      <c r="D330">
        <f>IF(A330="","",IFERROR(--'List 1'!B330,0))</f>
        <v/>
      </c>
      <c r="F330">
        <f>IF(TRIM('List 2'!A330&amp;'List 2'!C330&amp;'List 2'!D330)="","",LOWER(TRIM('List 2'!A330)&amp;"|"&amp;TRIM('List 2'!C330)&amp;"|"&amp;TRIM('List 2'!D330)))</f>
        <v/>
      </c>
      <c r="G330">
        <f>IF(F330="","",SUMPRODUCT(--($F$2:F330=F330)))</f>
        <v/>
      </c>
      <c r="H330">
        <f>IF(F330="","",F330&amp;"#"&amp;G330)</f>
        <v/>
      </c>
      <c r="I330">
        <f>IF(F330="","",IFERROR(--'List 2'!B330,0))</f>
        <v/>
      </c>
      <c r="K330">
        <f>C330</f>
        <v/>
      </c>
      <c r="L330">
        <f>IF(K330="","",IF(ISNUMBER('List 1'!A330),'List 1'!A330,TRIM('List 1'!A330)))</f>
        <v/>
      </c>
      <c r="M330">
        <f>IF(K330="","",IF(ISNUMBER('List 1'!C330),'List 1'!C330,TRIM('List 1'!C330)))</f>
        <v/>
      </c>
      <c r="N330">
        <f>IF(K330="","",IF(ISNUMBER('List 1'!D330),'List 1'!D330,TRIM('List 1'!D330)))</f>
        <v/>
      </c>
      <c r="O330">
        <f>IF(K330="","",D330)</f>
        <v/>
      </c>
      <c r="P330">
        <f>IF(K330="","",IF(R330,SUMPRODUCT(--($H$2:$H$501=K330),$I$2:$I$501),0))</f>
        <v/>
      </c>
      <c r="Q330">
        <f>IF(K330="","",TRUE)</f>
        <v/>
      </c>
      <c r="R330">
        <f>IF(K330="","",SUMPRODUCT(--($H$2:$H$501=K330))&gt;0)</f>
        <v/>
      </c>
      <c r="S330">
        <f>IF(K330="","",IF(AND(Q330,R330),IF(O330=P330,"Match","Qty Different"),IF(Q330,"Only in List 1","Only in List 2")))</f>
        <v/>
      </c>
      <c r="T330">
        <f>IF(K330="","",IF(ISNUMBER(--L330),TEXT(--L330,"000000000000.000"),LOWER(L330)))</f>
        <v/>
      </c>
      <c r="U330">
        <f>IF(K330="","",IF(ISNUMBER(--M330),TEXT(--M330,"000000000000.000"),LOWER(M330)))</f>
        <v/>
      </c>
      <c r="V330">
        <f>IF(K330="","",LOWER(N330))</f>
        <v/>
      </c>
      <c r="W330">
        <f>IF(K330="","",B330)</f>
        <v/>
      </c>
      <c r="X330">
        <f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>
      <c r="A331">
        <f>IF(TRIM('List 1'!A331&amp;'List 1'!C331&amp;'List 1'!D331)="","",LOWER(TRIM('List 1'!A331)&amp;"|"&amp;TRIM('List 1'!C331)&amp;"|"&amp;TRIM('List 1'!D331)))</f>
        <v/>
      </c>
      <c r="B331">
        <f>IF(A331="","",SUMPRODUCT(--($A$2:A331=A331)))</f>
        <v/>
      </c>
      <c r="C331">
        <f>IF(A331="","",A331&amp;"#"&amp;B331)</f>
        <v/>
      </c>
      <c r="D331">
        <f>IF(A331="","",IFERROR(--'List 1'!B331,0))</f>
        <v/>
      </c>
      <c r="F331">
        <f>IF(TRIM('List 2'!A331&amp;'List 2'!C331&amp;'List 2'!D331)="","",LOWER(TRIM('List 2'!A331)&amp;"|"&amp;TRIM('List 2'!C331)&amp;"|"&amp;TRIM('List 2'!D331)))</f>
        <v/>
      </c>
      <c r="G331">
        <f>IF(F331="","",SUMPRODUCT(--($F$2:F331=F331)))</f>
        <v/>
      </c>
      <c r="H331">
        <f>IF(F331="","",F331&amp;"#"&amp;G331)</f>
        <v/>
      </c>
      <c r="I331">
        <f>IF(F331="","",IFERROR(--'List 2'!B331,0))</f>
        <v/>
      </c>
      <c r="K331">
        <f>C331</f>
        <v/>
      </c>
      <c r="L331">
        <f>IF(K331="","",IF(ISNUMBER('List 1'!A331),'List 1'!A331,TRIM('List 1'!A331)))</f>
        <v/>
      </c>
      <c r="M331">
        <f>IF(K331="","",IF(ISNUMBER('List 1'!C331),'List 1'!C331,TRIM('List 1'!C331)))</f>
        <v/>
      </c>
      <c r="N331">
        <f>IF(K331="","",IF(ISNUMBER('List 1'!D331),'List 1'!D331,TRIM('List 1'!D331)))</f>
        <v/>
      </c>
      <c r="O331">
        <f>IF(K331="","",D331)</f>
        <v/>
      </c>
      <c r="P331">
        <f>IF(K331="","",IF(R331,SUMPRODUCT(--($H$2:$H$501=K331),$I$2:$I$501),0))</f>
        <v/>
      </c>
      <c r="Q331">
        <f>IF(K331="","",TRUE)</f>
        <v/>
      </c>
      <c r="R331">
        <f>IF(K331="","",SUMPRODUCT(--($H$2:$H$501=K331))&gt;0)</f>
        <v/>
      </c>
      <c r="S331">
        <f>IF(K331="","",IF(AND(Q331,R331),IF(O331=P331,"Match","Qty Different"),IF(Q331,"Only in List 1","Only in List 2")))</f>
        <v/>
      </c>
      <c r="T331">
        <f>IF(K331="","",IF(ISNUMBER(--L331),TEXT(--L331,"000000000000.000"),LOWER(L331)))</f>
        <v/>
      </c>
      <c r="U331">
        <f>IF(K331="","",IF(ISNUMBER(--M331),TEXT(--M331,"000000000000.000"),LOWER(M331)))</f>
        <v/>
      </c>
      <c r="V331">
        <f>IF(K331="","",LOWER(N331))</f>
        <v/>
      </c>
      <c r="W331">
        <f>IF(K331="","",B331)</f>
        <v/>
      </c>
      <c r="X331">
        <f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>
      <c r="A332">
        <f>IF(TRIM('List 1'!A332&amp;'List 1'!C332&amp;'List 1'!D332)="","",LOWER(TRIM('List 1'!A332)&amp;"|"&amp;TRIM('List 1'!C332)&amp;"|"&amp;TRIM('List 1'!D332)))</f>
        <v/>
      </c>
      <c r="B332">
        <f>IF(A332="","",SUMPRODUCT(--($A$2:A332=A332)))</f>
        <v/>
      </c>
      <c r="C332">
        <f>IF(A332="","",A332&amp;"#"&amp;B332)</f>
        <v/>
      </c>
      <c r="D332">
        <f>IF(A332="","",IFERROR(--'List 1'!B332,0))</f>
        <v/>
      </c>
      <c r="F332">
        <f>IF(TRIM('List 2'!A332&amp;'List 2'!C332&amp;'List 2'!D332)="","",LOWER(TRIM('List 2'!A332)&amp;"|"&amp;TRIM('List 2'!C332)&amp;"|"&amp;TRIM('List 2'!D332)))</f>
        <v/>
      </c>
      <c r="G332">
        <f>IF(F332="","",SUMPRODUCT(--($F$2:F332=F332)))</f>
        <v/>
      </c>
      <c r="H332">
        <f>IF(F332="","",F332&amp;"#"&amp;G332)</f>
        <v/>
      </c>
      <c r="I332">
        <f>IF(F332="","",IFERROR(--'List 2'!B332,0))</f>
        <v/>
      </c>
      <c r="K332">
        <f>C332</f>
        <v/>
      </c>
      <c r="L332">
        <f>IF(K332="","",IF(ISNUMBER('List 1'!A332),'List 1'!A332,TRIM('List 1'!A332)))</f>
        <v/>
      </c>
      <c r="M332">
        <f>IF(K332="","",IF(ISNUMBER('List 1'!C332),'List 1'!C332,TRIM('List 1'!C332)))</f>
        <v/>
      </c>
      <c r="N332">
        <f>IF(K332="","",IF(ISNUMBER('List 1'!D332),'List 1'!D332,TRIM('List 1'!D332)))</f>
        <v/>
      </c>
      <c r="O332">
        <f>IF(K332="","",D332)</f>
        <v/>
      </c>
      <c r="P332">
        <f>IF(K332="","",IF(R332,SUMPRODUCT(--($H$2:$H$501=K332),$I$2:$I$501),0))</f>
        <v/>
      </c>
      <c r="Q332">
        <f>IF(K332="","",TRUE)</f>
        <v/>
      </c>
      <c r="R332">
        <f>IF(K332="","",SUMPRODUCT(--($H$2:$H$501=K332))&gt;0)</f>
        <v/>
      </c>
      <c r="S332">
        <f>IF(K332="","",IF(AND(Q332,R332),IF(O332=P332,"Match","Qty Different"),IF(Q332,"Only in List 1","Only in List 2")))</f>
        <v/>
      </c>
      <c r="T332">
        <f>IF(K332="","",IF(ISNUMBER(--L332),TEXT(--L332,"000000000000.000"),LOWER(L332)))</f>
        <v/>
      </c>
      <c r="U332">
        <f>IF(K332="","",IF(ISNUMBER(--M332),TEXT(--M332,"000000000000.000"),LOWER(M332)))</f>
        <v/>
      </c>
      <c r="V332">
        <f>IF(K332="","",LOWER(N332))</f>
        <v/>
      </c>
      <c r="W332">
        <f>IF(K332="","",B332)</f>
        <v/>
      </c>
      <c r="X332">
        <f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>
      <c r="A333">
        <f>IF(TRIM('List 1'!A333&amp;'List 1'!C333&amp;'List 1'!D333)="","",LOWER(TRIM('List 1'!A333)&amp;"|"&amp;TRIM('List 1'!C333)&amp;"|"&amp;TRIM('List 1'!D333)))</f>
        <v/>
      </c>
      <c r="B333">
        <f>IF(A333="","",SUMPRODUCT(--($A$2:A333=A333)))</f>
        <v/>
      </c>
      <c r="C333">
        <f>IF(A333="","",A333&amp;"#"&amp;B333)</f>
        <v/>
      </c>
      <c r="D333">
        <f>IF(A333="","",IFERROR(--'List 1'!B333,0))</f>
        <v/>
      </c>
      <c r="F333">
        <f>IF(TRIM('List 2'!A333&amp;'List 2'!C333&amp;'List 2'!D333)="","",LOWER(TRIM('List 2'!A333)&amp;"|"&amp;TRIM('List 2'!C333)&amp;"|"&amp;TRIM('List 2'!D333)))</f>
        <v/>
      </c>
      <c r="G333">
        <f>IF(F333="","",SUMPRODUCT(--($F$2:F333=F333)))</f>
        <v/>
      </c>
      <c r="H333">
        <f>IF(F333="","",F333&amp;"#"&amp;G333)</f>
        <v/>
      </c>
      <c r="I333">
        <f>IF(F333="","",IFERROR(--'List 2'!B333,0))</f>
        <v/>
      </c>
      <c r="K333">
        <f>C333</f>
        <v/>
      </c>
      <c r="L333">
        <f>IF(K333="","",IF(ISNUMBER('List 1'!A333),'List 1'!A333,TRIM('List 1'!A333)))</f>
        <v/>
      </c>
      <c r="M333">
        <f>IF(K333="","",IF(ISNUMBER('List 1'!C333),'List 1'!C333,TRIM('List 1'!C333)))</f>
        <v/>
      </c>
      <c r="N333">
        <f>IF(K333="","",IF(ISNUMBER('List 1'!D333),'List 1'!D333,TRIM('List 1'!D333)))</f>
        <v/>
      </c>
      <c r="O333">
        <f>IF(K333="","",D333)</f>
        <v/>
      </c>
      <c r="P333">
        <f>IF(K333="","",IF(R333,SUMPRODUCT(--($H$2:$H$501=K333),$I$2:$I$501),0))</f>
        <v/>
      </c>
      <c r="Q333">
        <f>IF(K333="","",TRUE)</f>
        <v/>
      </c>
      <c r="R333">
        <f>IF(K333="","",SUMPRODUCT(--($H$2:$H$501=K333))&gt;0)</f>
        <v/>
      </c>
      <c r="S333">
        <f>IF(K333="","",IF(AND(Q333,R333),IF(O333=P333,"Match","Qty Different"),IF(Q333,"Only in List 1","Only in List 2")))</f>
        <v/>
      </c>
      <c r="T333">
        <f>IF(K333="","",IF(ISNUMBER(--L333),TEXT(--L333,"000000000000.000"),LOWER(L333)))</f>
        <v/>
      </c>
      <c r="U333">
        <f>IF(K333="","",IF(ISNUMBER(--M333),TEXT(--M333,"000000000000.000"),LOWER(M333)))</f>
        <v/>
      </c>
      <c r="V333">
        <f>IF(K333="","",LOWER(N333))</f>
        <v/>
      </c>
      <c r="W333">
        <f>IF(K333="","",B333)</f>
        <v/>
      </c>
      <c r="X333">
        <f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>
      <c r="A334">
        <f>IF(TRIM('List 1'!A334&amp;'List 1'!C334&amp;'List 1'!D334)="","",LOWER(TRIM('List 1'!A334)&amp;"|"&amp;TRIM('List 1'!C334)&amp;"|"&amp;TRIM('List 1'!D334)))</f>
        <v/>
      </c>
      <c r="B334">
        <f>IF(A334="","",SUMPRODUCT(--($A$2:A334=A334)))</f>
        <v/>
      </c>
      <c r="C334">
        <f>IF(A334="","",A334&amp;"#"&amp;B334)</f>
        <v/>
      </c>
      <c r="D334">
        <f>IF(A334="","",IFERROR(--'List 1'!B334,0))</f>
        <v/>
      </c>
      <c r="F334">
        <f>IF(TRIM('List 2'!A334&amp;'List 2'!C334&amp;'List 2'!D334)="","",LOWER(TRIM('List 2'!A334)&amp;"|"&amp;TRIM('List 2'!C334)&amp;"|"&amp;TRIM('List 2'!D334)))</f>
        <v/>
      </c>
      <c r="G334">
        <f>IF(F334="","",SUMPRODUCT(--($F$2:F334=F334)))</f>
        <v/>
      </c>
      <c r="H334">
        <f>IF(F334="","",F334&amp;"#"&amp;G334)</f>
        <v/>
      </c>
      <c r="I334">
        <f>IF(F334="","",IFERROR(--'List 2'!B334,0))</f>
        <v/>
      </c>
      <c r="K334">
        <f>C334</f>
        <v/>
      </c>
      <c r="L334">
        <f>IF(K334="","",IF(ISNUMBER('List 1'!A334),'List 1'!A334,TRIM('List 1'!A334)))</f>
        <v/>
      </c>
      <c r="M334">
        <f>IF(K334="","",IF(ISNUMBER('List 1'!C334),'List 1'!C334,TRIM('List 1'!C334)))</f>
        <v/>
      </c>
      <c r="N334">
        <f>IF(K334="","",IF(ISNUMBER('List 1'!D334),'List 1'!D334,TRIM('List 1'!D334)))</f>
        <v/>
      </c>
      <c r="O334">
        <f>IF(K334="","",D334)</f>
        <v/>
      </c>
      <c r="P334">
        <f>IF(K334="","",IF(R334,SUMPRODUCT(--($H$2:$H$501=K334),$I$2:$I$501),0))</f>
        <v/>
      </c>
      <c r="Q334">
        <f>IF(K334="","",TRUE)</f>
        <v/>
      </c>
      <c r="R334">
        <f>IF(K334="","",SUMPRODUCT(--($H$2:$H$501=K334))&gt;0)</f>
        <v/>
      </c>
      <c r="S334">
        <f>IF(K334="","",IF(AND(Q334,R334),IF(O334=P334,"Match","Qty Different"),IF(Q334,"Only in List 1","Only in List 2")))</f>
        <v/>
      </c>
      <c r="T334">
        <f>IF(K334="","",IF(ISNUMBER(--L334),TEXT(--L334,"000000000000.000"),LOWER(L334)))</f>
        <v/>
      </c>
      <c r="U334">
        <f>IF(K334="","",IF(ISNUMBER(--M334),TEXT(--M334,"000000000000.000"),LOWER(M334)))</f>
        <v/>
      </c>
      <c r="V334">
        <f>IF(K334="","",LOWER(N334))</f>
        <v/>
      </c>
      <c r="W334">
        <f>IF(K334="","",B334)</f>
        <v/>
      </c>
      <c r="X334">
        <f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>
      <c r="A335">
        <f>IF(TRIM('List 1'!A335&amp;'List 1'!C335&amp;'List 1'!D335)="","",LOWER(TRIM('List 1'!A335)&amp;"|"&amp;TRIM('List 1'!C335)&amp;"|"&amp;TRIM('List 1'!D335)))</f>
        <v/>
      </c>
      <c r="B335">
        <f>IF(A335="","",SUMPRODUCT(--($A$2:A335=A335)))</f>
        <v/>
      </c>
      <c r="C335">
        <f>IF(A335="","",A335&amp;"#"&amp;B335)</f>
        <v/>
      </c>
      <c r="D335">
        <f>IF(A335="","",IFERROR(--'List 1'!B335,0))</f>
        <v/>
      </c>
      <c r="F335">
        <f>IF(TRIM('List 2'!A335&amp;'List 2'!C335&amp;'List 2'!D335)="","",LOWER(TRIM('List 2'!A335)&amp;"|"&amp;TRIM('List 2'!C335)&amp;"|"&amp;TRIM('List 2'!D335)))</f>
        <v/>
      </c>
      <c r="G335">
        <f>IF(F335="","",SUMPRODUCT(--($F$2:F335=F335)))</f>
        <v/>
      </c>
      <c r="H335">
        <f>IF(F335="","",F335&amp;"#"&amp;G335)</f>
        <v/>
      </c>
      <c r="I335">
        <f>IF(F335="","",IFERROR(--'List 2'!B335,0))</f>
        <v/>
      </c>
      <c r="K335">
        <f>C335</f>
        <v/>
      </c>
      <c r="L335">
        <f>IF(K335="","",IF(ISNUMBER('List 1'!A335),'List 1'!A335,TRIM('List 1'!A335)))</f>
        <v/>
      </c>
      <c r="M335">
        <f>IF(K335="","",IF(ISNUMBER('List 1'!C335),'List 1'!C335,TRIM('List 1'!C335)))</f>
        <v/>
      </c>
      <c r="N335">
        <f>IF(K335="","",IF(ISNUMBER('List 1'!D335),'List 1'!D335,TRIM('List 1'!D335)))</f>
        <v/>
      </c>
      <c r="O335">
        <f>IF(K335="","",D335)</f>
        <v/>
      </c>
      <c r="P335">
        <f>IF(K335="","",IF(R335,SUMPRODUCT(--($H$2:$H$501=K335),$I$2:$I$501),0))</f>
        <v/>
      </c>
      <c r="Q335">
        <f>IF(K335="","",TRUE)</f>
        <v/>
      </c>
      <c r="R335">
        <f>IF(K335="","",SUMPRODUCT(--($H$2:$H$501=K335))&gt;0)</f>
        <v/>
      </c>
      <c r="S335">
        <f>IF(K335="","",IF(AND(Q335,R335),IF(O335=P335,"Match","Qty Different"),IF(Q335,"Only in List 1","Only in List 2")))</f>
        <v/>
      </c>
      <c r="T335">
        <f>IF(K335="","",IF(ISNUMBER(--L335),TEXT(--L335,"000000000000.000"),LOWER(L335)))</f>
        <v/>
      </c>
      <c r="U335">
        <f>IF(K335="","",IF(ISNUMBER(--M335),TEXT(--M335,"000000000000.000"),LOWER(M335)))</f>
        <v/>
      </c>
      <c r="V335">
        <f>IF(K335="","",LOWER(N335))</f>
        <v/>
      </c>
      <c r="W335">
        <f>IF(K335="","",B335)</f>
        <v/>
      </c>
      <c r="X335">
        <f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>
      <c r="A336">
        <f>IF(TRIM('List 1'!A336&amp;'List 1'!C336&amp;'List 1'!D336)="","",LOWER(TRIM('List 1'!A336)&amp;"|"&amp;TRIM('List 1'!C336)&amp;"|"&amp;TRIM('List 1'!D336)))</f>
        <v/>
      </c>
      <c r="B336">
        <f>IF(A336="","",SUMPRODUCT(--($A$2:A336=A336)))</f>
        <v/>
      </c>
      <c r="C336">
        <f>IF(A336="","",A336&amp;"#"&amp;B336)</f>
        <v/>
      </c>
      <c r="D336">
        <f>IF(A336="","",IFERROR(--'List 1'!B336,0))</f>
        <v/>
      </c>
      <c r="F336">
        <f>IF(TRIM('List 2'!A336&amp;'List 2'!C336&amp;'List 2'!D336)="","",LOWER(TRIM('List 2'!A336)&amp;"|"&amp;TRIM('List 2'!C336)&amp;"|"&amp;TRIM('List 2'!D336)))</f>
        <v/>
      </c>
      <c r="G336">
        <f>IF(F336="","",SUMPRODUCT(--($F$2:F336=F336)))</f>
        <v/>
      </c>
      <c r="H336">
        <f>IF(F336="","",F336&amp;"#"&amp;G336)</f>
        <v/>
      </c>
      <c r="I336">
        <f>IF(F336="","",IFERROR(--'List 2'!B336,0))</f>
        <v/>
      </c>
      <c r="K336">
        <f>C336</f>
        <v/>
      </c>
      <c r="L336">
        <f>IF(K336="","",IF(ISNUMBER('List 1'!A336),'List 1'!A336,TRIM('List 1'!A336)))</f>
        <v/>
      </c>
      <c r="M336">
        <f>IF(K336="","",IF(ISNUMBER('List 1'!C336),'List 1'!C336,TRIM('List 1'!C336)))</f>
        <v/>
      </c>
      <c r="N336">
        <f>IF(K336="","",IF(ISNUMBER('List 1'!D336),'List 1'!D336,TRIM('List 1'!D336)))</f>
        <v/>
      </c>
      <c r="O336">
        <f>IF(K336="","",D336)</f>
        <v/>
      </c>
      <c r="P336">
        <f>IF(K336="","",IF(R336,SUMPRODUCT(--($H$2:$H$501=K336),$I$2:$I$501),0))</f>
        <v/>
      </c>
      <c r="Q336">
        <f>IF(K336="","",TRUE)</f>
        <v/>
      </c>
      <c r="R336">
        <f>IF(K336="","",SUMPRODUCT(--($H$2:$H$501=K336))&gt;0)</f>
        <v/>
      </c>
      <c r="S336">
        <f>IF(K336="","",IF(AND(Q336,R336),IF(O336=P336,"Match","Qty Different"),IF(Q336,"Only in List 1","Only in List 2")))</f>
        <v/>
      </c>
      <c r="T336">
        <f>IF(K336="","",IF(ISNUMBER(--L336),TEXT(--L336,"000000000000.000"),LOWER(L336)))</f>
        <v/>
      </c>
      <c r="U336">
        <f>IF(K336="","",IF(ISNUMBER(--M336),TEXT(--M336,"000000000000.000"),LOWER(M336)))</f>
        <v/>
      </c>
      <c r="V336">
        <f>IF(K336="","",LOWER(N336))</f>
        <v/>
      </c>
      <c r="W336">
        <f>IF(K336="","",B336)</f>
        <v/>
      </c>
      <c r="X336">
        <f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>
      <c r="A337">
        <f>IF(TRIM('List 1'!A337&amp;'List 1'!C337&amp;'List 1'!D337)="","",LOWER(TRIM('List 1'!A337)&amp;"|"&amp;TRIM('List 1'!C337)&amp;"|"&amp;TRIM('List 1'!D337)))</f>
        <v/>
      </c>
      <c r="B337">
        <f>IF(A337="","",SUMPRODUCT(--($A$2:A337=A337)))</f>
        <v/>
      </c>
      <c r="C337">
        <f>IF(A337="","",A337&amp;"#"&amp;B337)</f>
        <v/>
      </c>
      <c r="D337">
        <f>IF(A337="","",IFERROR(--'List 1'!B337,0))</f>
        <v/>
      </c>
      <c r="F337">
        <f>IF(TRIM('List 2'!A337&amp;'List 2'!C337&amp;'List 2'!D337)="","",LOWER(TRIM('List 2'!A337)&amp;"|"&amp;TRIM('List 2'!C337)&amp;"|"&amp;TRIM('List 2'!D337)))</f>
        <v/>
      </c>
      <c r="G337">
        <f>IF(F337="","",SUMPRODUCT(--($F$2:F337=F337)))</f>
        <v/>
      </c>
      <c r="H337">
        <f>IF(F337="","",F337&amp;"#"&amp;G337)</f>
        <v/>
      </c>
      <c r="I337">
        <f>IF(F337="","",IFERROR(--'List 2'!B337,0))</f>
        <v/>
      </c>
      <c r="K337">
        <f>C337</f>
        <v/>
      </c>
      <c r="L337">
        <f>IF(K337="","",IF(ISNUMBER('List 1'!A337),'List 1'!A337,TRIM('List 1'!A337)))</f>
        <v/>
      </c>
      <c r="M337">
        <f>IF(K337="","",IF(ISNUMBER('List 1'!C337),'List 1'!C337,TRIM('List 1'!C337)))</f>
        <v/>
      </c>
      <c r="N337">
        <f>IF(K337="","",IF(ISNUMBER('List 1'!D337),'List 1'!D337,TRIM('List 1'!D337)))</f>
        <v/>
      </c>
      <c r="O337">
        <f>IF(K337="","",D337)</f>
        <v/>
      </c>
      <c r="P337">
        <f>IF(K337="","",IF(R337,SUMPRODUCT(--($H$2:$H$501=K337),$I$2:$I$501),0))</f>
        <v/>
      </c>
      <c r="Q337">
        <f>IF(K337="","",TRUE)</f>
        <v/>
      </c>
      <c r="R337">
        <f>IF(K337="","",SUMPRODUCT(--($H$2:$H$501=K337))&gt;0)</f>
        <v/>
      </c>
      <c r="S337">
        <f>IF(K337="","",IF(AND(Q337,R337),IF(O337=P337,"Match","Qty Different"),IF(Q337,"Only in List 1","Only in List 2")))</f>
        <v/>
      </c>
      <c r="T337">
        <f>IF(K337="","",IF(ISNUMBER(--L337),TEXT(--L337,"000000000000.000"),LOWER(L337)))</f>
        <v/>
      </c>
      <c r="U337">
        <f>IF(K337="","",IF(ISNUMBER(--M337),TEXT(--M337,"000000000000.000"),LOWER(M337)))</f>
        <v/>
      </c>
      <c r="V337">
        <f>IF(K337="","",LOWER(N337))</f>
        <v/>
      </c>
      <c r="W337">
        <f>IF(K337="","",B337)</f>
        <v/>
      </c>
      <c r="X337">
        <f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>
      <c r="A338">
        <f>IF(TRIM('List 1'!A338&amp;'List 1'!C338&amp;'List 1'!D338)="","",LOWER(TRIM('List 1'!A338)&amp;"|"&amp;TRIM('List 1'!C338)&amp;"|"&amp;TRIM('List 1'!D338)))</f>
        <v/>
      </c>
      <c r="B338">
        <f>IF(A338="","",SUMPRODUCT(--($A$2:A338=A338)))</f>
        <v/>
      </c>
      <c r="C338">
        <f>IF(A338="","",A338&amp;"#"&amp;B338)</f>
        <v/>
      </c>
      <c r="D338">
        <f>IF(A338="","",IFERROR(--'List 1'!B338,0))</f>
        <v/>
      </c>
      <c r="F338">
        <f>IF(TRIM('List 2'!A338&amp;'List 2'!C338&amp;'List 2'!D338)="","",LOWER(TRIM('List 2'!A338)&amp;"|"&amp;TRIM('List 2'!C338)&amp;"|"&amp;TRIM('List 2'!D338)))</f>
        <v/>
      </c>
      <c r="G338">
        <f>IF(F338="","",SUMPRODUCT(--($F$2:F338=F338)))</f>
        <v/>
      </c>
      <c r="H338">
        <f>IF(F338="","",F338&amp;"#"&amp;G338)</f>
        <v/>
      </c>
      <c r="I338">
        <f>IF(F338="","",IFERROR(--'List 2'!B338,0))</f>
        <v/>
      </c>
      <c r="K338">
        <f>C338</f>
        <v/>
      </c>
      <c r="L338">
        <f>IF(K338="","",IF(ISNUMBER('List 1'!A338),'List 1'!A338,TRIM('List 1'!A338)))</f>
        <v/>
      </c>
      <c r="M338">
        <f>IF(K338="","",IF(ISNUMBER('List 1'!C338),'List 1'!C338,TRIM('List 1'!C338)))</f>
        <v/>
      </c>
      <c r="N338">
        <f>IF(K338="","",IF(ISNUMBER('List 1'!D338),'List 1'!D338,TRIM('List 1'!D338)))</f>
        <v/>
      </c>
      <c r="O338">
        <f>IF(K338="","",D338)</f>
        <v/>
      </c>
      <c r="P338">
        <f>IF(K338="","",IF(R338,SUMPRODUCT(--($H$2:$H$501=K338),$I$2:$I$501),0))</f>
        <v/>
      </c>
      <c r="Q338">
        <f>IF(K338="","",TRUE)</f>
        <v/>
      </c>
      <c r="R338">
        <f>IF(K338="","",SUMPRODUCT(--($H$2:$H$501=K338))&gt;0)</f>
        <v/>
      </c>
      <c r="S338">
        <f>IF(K338="","",IF(AND(Q338,R338),IF(O338=P338,"Match","Qty Different"),IF(Q338,"Only in List 1","Only in List 2")))</f>
        <v/>
      </c>
      <c r="T338">
        <f>IF(K338="","",IF(ISNUMBER(--L338),TEXT(--L338,"000000000000.000"),LOWER(L338)))</f>
        <v/>
      </c>
      <c r="U338">
        <f>IF(K338="","",IF(ISNUMBER(--M338),TEXT(--M338,"000000000000.000"),LOWER(M338)))</f>
        <v/>
      </c>
      <c r="V338">
        <f>IF(K338="","",LOWER(N338))</f>
        <v/>
      </c>
      <c r="W338">
        <f>IF(K338="","",B338)</f>
        <v/>
      </c>
      <c r="X338">
        <f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>
      <c r="A339">
        <f>IF(TRIM('List 1'!A339&amp;'List 1'!C339&amp;'List 1'!D339)="","",LOWER(TRIM('List 1'!A339)&amp;"|"&amp;TRIM('List 1'!C339)&amp;"|"&amp;TRIM('List 1'!D339)))</f>
        <v/>
      </c>
      <c r="B339">
        <f>IF(A339="","",SUMPRODUCT(--($A$2:A339=A339)))</f>
        <v/>
      </c>
      <c r="C339">
        <f>IF(A339="","",A339&amp;"#"&amp;B339)</f>
        <v/>
      </c>
      <c r="D339">
        <f>IF(A339="","",IFERROR(--'List 1'!B339,0))</f>
        <v/>
      </c>
      <c r="F339">
        <f>IF(TRIM('List 2'!A339&amp;'List 2'!C339&amp;'List 2'!D339)="","",LOWER(TRIM('List 2'!A339)&amp;"|"&amp;TRIM('List 2'!C339)&amp;"|"&amp;TRIM('List 2'!D339)))</f>
        <v/>
      </c>
      <c r="G339">
        <f>IF(F339="","",SUMPRODUCT(--($F$2:F339=F339)))</f>
        <v/>
      </c>
      <c r="H339">
        <f>IF(F339="","",F339&amp;"#"&amp;G339)</f>
        <v/>
      </c>
      <c r="I339">
        <f>IF(F339="","",IFERROR(--'List 2'!B339,0))</f>
        <v/>
      </c>
      <c r="K339">
        <f>C339</f>
        <v/>
      </c>
      <c r="L339">
        <f>IF(K339="","",IF(ISNUMBER('List 1'!A339),'List 1'!A339,TRIM('List 1'!A339)))</f>
        <v/>
      </c>
      <c r="M339">
        <f>IF(K339="","",IF(ISNUMBER('List 1'!C339),'List 1'!C339,TRIM('List 1'!C339)))</f>
        <v/>
      </c>
      <c r="N339">
        <f>IF(K339="","",IF(ISNUMBER('List 1'!D339),'List 1'!D339,TRIM('List 1'!D339)))</f>
        <v/>
      </c>
      <c r="O339">
        <f>IF(K339="","",D339)</f>
        <v/>
      </c>
      <c r="P339">
        <f>IF(K339="","",IF(R339,SUMPRODUCT(--($H$2:$H$501=K339),$I$2:$I$501),0))</f>
        <v/>
      </c>
      <c r="Q339">
        <f>IF(K339="","",TRUE)</f>
        <v/>
      </c>
      <c r="R339">
        <f>IF(K339="","",SUMPRODUCT(--($H$2:$H$501=K339))&gt;0)</f>
        <v/>
      </c>
      <c r="S339">
        <f>IF(K339="","",IF(AND(Q339,R339),IF(O339=P339,"Match","Qty Different"),IF(Q339,"Only in List 1","Only in List 2")))</f>
        <v/>
      </c>
      <c r="T339">
        <f>IF(K339="","",IF(ISNUMBER(--L339),TEXT(--L339,"000000000000.000"),LOWER(L339)))</f>
        <v/>
      </c>
      <c r="U339">
        <f>IF(K339="","",IF(ISNUMBER(--M339),TEXT(--M339,"000000000000.000"),LOWER(M339)))</f>
        <v/>
      </c>
      <c r="V339">
        <f>IF(K339="","",LOWER(N339))</f>
        <v/>
      </c>
      <c r="W339">
        <f>IF(K339="","",B339)</f>
        <v/>
      </c>
      <c r="X339">
        <f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>
      <c r="A340">
        <f>IF(TRIM('List 1'!A340&amp;'List 1'!C340&amp;'List 1'!D340)="","",LOWER(TRIM('List 1'!A340)&amp;"|"&amp;TRIM('List 1'!C340)&amp;"|"&amp;TRIM('List 1'!D340)))</f>
        <v/>
      </c>
      <c r="B340">
        <f>IF(A340="","",SUMPRODUCT(--($A$2:A340=A340)))</f>
        <v/>
      </c>
      <c r="C340">
        <f>IF(A340="","",A340&amp;"#"&amp;B340)</f>
        <v/>
      </c>
      <c r="D340">
        <f>IF(A340="","",IFERROR(--'List 1'!B340,0))</f>
        <v/>
      </c>
      <c r="F340">
        <f>IF(TRIM('List 2'!A340&amp;'List 2'!C340&amp;'List 2'!D340)="","",LOWER(TRIM('List 2'!A340)&amp;"|"&amp;TRIM('List 2'!C340)&amp;"|"&amp;TRIM('List 2'!D340)))</f>
        <v/>
      </c>
      <c r="G340">
        <f>IF(F340="","",SUMPRODUCT(--($F$2:F340=F340)))</f>
        <v/>
      </c>
      <c r="H340">
        <f>IF(F340="","",F340&amp;"#"&amp;G340)</f>
        <v/>
      </c>
      <c r="I340">
        <f>IF(F340="","",IFERROR(--'List 2'!B340,0))</f>
        <v/>
      </c>
      <c r="K340">
        <f>C340</f>
        <v/>
      </c>
      <c r="L340">
        <f>IF(K340="","",IF(ISNUMBER('List 1'!A340),'List 1'!A340,TRIM('List 1'!A340)))</f>
        <v/>
      </c>
      <c r="M340">
        <f>IF(K340="","",IF(ISNUMBER('List 1'!C340),'List 1'!C340,TRIM('List 1'!C340)))</f>
        <v/>
      </c>
      <c r="N340">
        <f>IF(K340="","",IF(ISNUMBER('List 1'!D340),'List 1'!D340,TRIM('List 1'!D340)))</f>
        <v/>
      </c>
      <c r="O340">
        <f>IF(K340="","",D340)</f>
        <v/>
      </c>
      <c r="P340">
        <f>IF(K340="","",IF(R340,SUMPRODUCT(--($H$2:$H$501=K340),$I$2:$I$501),0))</f>
        <v/>
      </c>
      <c r="Q340">
        <f>IF(K340="","",TRUE)</f>
        <v/>
      </c>
      <c r="R340">
        <f>IF(K340="","",SUMPRODUCT(--($H$2:$H$501=K340))&gt;0)</f>
        <v/>
      </c>
      <c r="S340">
        <f>IF(K340="","",IF(AND(Q340,R340),IF(O340=P340,"Match","Qty Different"),IF(Q340,"Only in List 1","Only in List 2")))</f>
        <v/>
      </c>
      <c r="T340">
        <f>IF(K340="","",IF(ISNUMBER(--L340),TEXT(--L340,"000000000000.000"),LOWER(L340)))</f>
        <v/>
      </c>
      <c r="U340">
        <f>IF(K340="","",IF(ISNUMBER(--M340),TEXT(--M340,"000000000000.000"),LOWER(M340)))</f>
        <v/>
      </c>
      <c r="V340">
        <f>IF(K340="","",LOWER(N340))</f>
        <v/>
      </c>
      <c r="W340">
        <f>IF(K340="","",B340)</f>
        <v/>
      </c>
      <c r="X340">
        <f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>
      <c r="A341">
        <f>IF(TRIM('List 1'!A341&amp;'List 1'!C341&amp;'List 1'!D341)="","",LOWER(TRIM('List 1'!A341)&amp;"|"&amp;TRIM('List 1'!C341)&amp;"|"&amp;TRIM('List 1'!D341)))</f>
        <v/>
      </c>
      <c r="B341">
        <f>IF(A341="","",SUMPRODUCT(--($A$2:A341=A341)))</f>
        <v/>
      </c>
      <c r="C341">
        <f>IF(A341="","",A341&amp;"#"&amp;B341)</f>
        <v/>
      </c>
      <c r="D341">
        <f>IF(A341="","",IFERROR(--'List 1'!B341,0))</f>
        <v/>
      </c>
      <c r="F341">
        <f>IF(TRIM('List 2'!A341&amp;'List 2'!C341&amp;'List 2'!D341)="","",LOWER(TRIM('List 2'!A341)&amp;"|"&amp;TRIM('List 2'!C341)&amp;"|"&amp;TRIM('List 2'!D341)))</f>
        <v/>
      </c>
      <c r="G341">
        <f>IF(F341="","",SUMPRODUCT(--($F$2:F341=F341)))</f>
        <v/>
      </c>
      <c r="H341">
        <f>IF(F341="","",F341&amp;"#"&amp;G341)</f>
        <v/>
      </c>
      <c r="I341">
        <f>IF(F341="","",IFERROR(--'List 2'!B341,0))</f>
        <v/>
      </c>
      <c r="K341">
        <f>C341</f>
        <v/>
      </c>
      <c r="L341">
        <f>IF(K341="","",IF(ISNUMBER('List 1'!A341),'List 1'!A341,TRIM('List 1'!A341)))</f>
        <v/>
      </c>
      <c r="M341">
        <f>IF(K341="","",IF(ISNUMBER('List 1'!C341),'List 1'!C341,TRIM('List 1'!C341)))</f>
        <v/>
      </c>
      <c r="N341">
        <f>IF(K341="","",IF(ISNUMBER('List 1'!D341),'List 1'!D341,TRIM('List 1'!D341)))</f>
        <v/>
      </c>
      <c r="O341">
        <f>IF(K341="","",D341)</f>
        <v/>
      </c>
      <c r="P341">
        <f>IF(K341="","",IF(R341,SUMPRODUCT(--($H$2:$H$501=K341),$I$2:$I$501),0))</f>
        <v/>
      </c>
      <c r="Q341">
        <f>IF(K341="","",TRUE)</f>
        <v/>
      </c>
      <c r="R341">
        <f>IF(K341="","",SUMPRODUCT(--($H$2:$H$501=K341))&gt;0)</f>
        <v/>
      </c>
      <c r="S341">
        <f>IF(K341="","",IF(AND(Q341,R341),IF(O341=P341,"Match","Qty Different"),IF(Q341,"Only in List 1","Only in List 2")))</f>
        <v/>
      </c>
      <c r="T341">
        <f>IF(K341="","",IF(ISNUMBER(--L341),TEXT(--L341,"000000000000.000"),LOWER(L341)))</f>
        <v/>
      </c>
      <c r="U341">
        <f>IF(K341="","",IF(ISNUMBER(--M341),TEXT(--M341,"000000000000.000"),LOWER(M341)))</f>
        <v/>
      </c>
      <c r="V341">
        <f>IF(K341="","",LOWER(N341))</f>
        <v/>
      </c>
      <c r="W341">
        <f>IF(K341="","",B341)</f>
        <v/>
      </c>
      <c r="X341">
        <f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>
      <c r="A342">
        <f>IF(TRIM('List 1'!A342&amp;'List 1'!C342&amp;'List 1'!D342)="","",LOWER(TRIM('List 1'!A342)&amp;"|"&amp;TRIM('List 1'!C342)&amp;"|"&amp;TRIM('List 1'!D342)))</f>
        <v/>
      </c>
      <c r="B342">
        <f>IF(A342="","",SUMPRODUCT(--($A$2:A342=A342)))</f>
        <v/>
      </c>
      <c r="C342">
        <f>IF(A342="","",A342&amp;"#"&amp;B342)</f>
        <v/>
      </c>
      <c r="D342">
        <f>IF(A342="","",IFERROR(--'List 1'!B342,0))</f>
        <v/>
      </c>
      <c r="F342">
        <f>IF(TRIM('List 2'!A342&amp;'List 2'!C342&amp;'List 2'!D342)="","",LOWER(TRIM('List 2'!A342)&amp;"|"&amp;TRIM('List 2'!C342)&amp;"|"&amp;TRIM('List 2'!D342)))</f>
        <v/>
      </c>
      <c r="G342">
        <f>IF(F342="","",SUMPRODUCT(--($F$2:F342=F342)))</f>
        <v/>
      </c>
      <c r="H342">
        <f>IF(F342="","",F342&amp;"#"&amp;G342)</f>
        <v/>
      </c>
      <c r="I342">
        <f>IF(F342="","",IFERROR(--'List 2'!B342,0))</f>
        <v/>
      </c>
      <c r="K342">
        <f>C342</f>
        <v/>
      </c>
      <c r="L342">
        <f>IF(K342="","",IF(ISNUMBER('List 1'!A342),'List 1'!A342,TRIM('List 1'!A342)))</f>
        <v/>
      </c>
      <c r="M342">
        <f>IF(K342="","",IF(ISNUMBER('List 1'!C342),'List 1'!C342,TRIM('List 1'!C342)))</f>
        <v/>
      </c>
      <c r="N342">
        <f>IF(K342="","",IF(ISNUMBER('List 1'!D342),'List 1'!D342,TRIM('List 1'!D342)))</f>
        <v/>
      </c>
      <c r="O342">
        <f>IF(K342="","",D342)</f>
        <v/>
      </c>
      <c r="P342">
        <f>IF(K342="","",IF(R342,SUMPRODUCT(--($H$2:$H$501=K342),$I$2:$I$501),0))</f>
        <v/>
      </c>
      <c r="Q342">
        <f>IF(K342="","",TRUE)</f>
        <v/>
      </c>
      <c r="R342">
        <f>IF(K342="","",SUMPRODUCT(--($H$2:$H$501=K342))&gt;0)</f>
        <v/>
      </c>
      <c r="S342">
        <f>IF(K342="","",IF(AND(Q342,R342),IF(O342=P342,"Match","Qty Different"),IF(Q342,"Only in List 1","Only in List 2")))</f>
        <v/>
      </c>
      <c r="T342">
        <f>IF(K342="","",IF(ISNUMBER(--L342),TEXT(--L342,"000000000000.000"),LOWER(L342)))</f>
        <v/>
      </c>
      <c r="U342">
        <f>IF(K342="","",IF(ISNUMBER(--M342),TEXT(--M342,"000000000000.000"),LOWER(M342)))</f>
        <v/>
      </c>
      <c r="V342">
        <f>IF(K342="","",LOWER(N342))</f>
        <v/>
      </c>
      <c r="W342">
        <f>IF(K342="","",B342)</f>
        <v/>
      </c>
      <c r="X342">
        <f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>
      <c r="A343">
        <f>IF(TRIM('List 1'!A343&amp;'List 1'!C343&amp;'List 1'!D343)="","",LOWER(TRIM('List 1'!A343)&amp;"|"&amp;TRIM('List 1'!C343)&amp;"|"&amp;TRIM('List 1'!D343)))</f>
        <v/>
      </c>
      <c r="B343">
        <f>IF(A343="","",SUMPRODUCT(--($A$2:A343=A343)))</f>
        <v/>
      </c>
      <c r="C343">
        <f>IF(A343="","",A343&amp;"#"&amp;B343)</f>
        <v/>
      </c>
      <c r="D343">
        <f>IF(A343="","",IFERROR(--'List 1'!B343,0))</f>
        <v/>
      </c>
      <c r="F343">
        <f>IF(TRIM('List 2'!A343&amp;'List 2'!C343&amp;'List 2'!D343)="","",LOWER(TRIM('List 2'!A343)&amp;"|"&amp;TRIM('List 2'!C343)&amp;"|"&amp;TRIM('List 2'!D343)))</f>
        <v/>
      </c>
      <c r="G343">
        <f>IF(F343="","",SUMPRODUCT(--($F$2:F343=F343)))</f>
        <v/>
      </c>
      <c r="H343">
        <f>IF(F343="","",F343&amp;"#"&amp;G343)</f>
        <v/>
      </c>
      <c r="I343">
        <f>IF(F343="","",IFERROR(--'List 2'!B343,0))</f>
        <v/>
      </c>
      <c r="K343">
        <f>C343</f>
        <v/>
      </c>
      <c r="L343">
        <f>IF(K343="","",IF(ISNUMBER('List 1'!A343),'List 1'!A343,TRIM('List 1'!A343)))</f>
        <v/>
      </c>
      <c r="M343">
        <f>IF(K343="","",IF(ISNUMBER('List 1'!C343),'List 1'!C343,TRIM('List 1'!C343)))</f>
        <v/>
      </c>
      <c r="N343">
        <f>IF(K343="","",IF(ISNUMBER('List 1'!D343),'List 1'!D343,TRIM('List 1'!D343)))</f>
        <v/>
      </c>
      <c r="O343">
        <f>IF(K343="","",D343)</f>
        <v/>
      </c>
      <c r="P343">
        <f>IF(K343="","",IF(R343,SUMPRODUCT(--($H$2:$H$501=K343),$I$2:$I$501),0))</f>
        <v/>
      </c>
      <c r="Q343">
        <f>IF(K343="","",TRUE)</f>
        <v/>
      </c>
      <c r="R343">
        <f>IF(K343="","",SUMPRODUCT(--($H$2:$H$501=K343))&gt;0)</f>
        <v/>
      </c>
      <c r="S343">
        <f>IF(K343="","",IF(AND(Q343,R343),IF(O343=P343,"Match","Qty Different"),IF(Q343,"Only in List 1","Only in List 2")))</f>
        <v/>
      </c>
      <c r="T343">
        <f>IF(K343="","",IF(ISNUMBER(--L343),TEXT(--L343,"000000000000.000"),LOWER(L343)))</f>
        <v/>
      </c>
      <c r="U343">
        <f>IF(K343="","",IF(ISNUMBER(--M343),TEXT(--M343,"000000000000.000"),LOWER(M343)))</f>
        <v/>
      </c>
      <c r="V343">
        <f>IF(K343="","",LOWER(N343))</f>
        <v/>
      </c>
      <c r="W343">
        <f>IF(K343="","",B343)</f>
        <v/>
      </c>
      <c r="X343">
        <f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>
      <c r="A344">
        <f>IF(TRIM('List 1'!A344&amp;'List 1'!C344&amp;'List 1'!D344)="","",LOWER(TRIM('List 1'!A344)&amp;"|"&amp;TRIM('List 1'!C344)&amp;"|"&amp;TRIM('List 1'!D344)))</f>
        <v/>
      </c>
      <c r="B344">
        <f>IF(A344="","",SUMPRODUCT(--($A$2:A344=A344)))</f>
        <v/>
      </c>
      <c r="C344">
        <f>IF(A344="","",A344&amp;"#"&amp;B344)</f>
        <v/>
      </c>
      <c r="D344">
        <f>IF(A344="","",IFERROR(--'List 1'!B344,0))</f>
        <v/>
      </c>
      <c r="F344">
        <f>IF(TRIM('List 2'!A344&amp;'List 2'!C344&amp;'List 2'!D344)="","",LOWER(TRIM('List 2'!A344)&amp;"|"&amp;TRIM('List 2'!C344)&amp;"|"&amp;TRIM('List 2'!D344)))</f>
        <v/>
      </c>
      <c r="G344">
        <f>IF(F344="","",SUMPRODUCT(--($F$2:F344=F344)))</f>
        <v/>
      </c>
      <c r="H344">
        <f>IF(F344="","",F344&amp;"#"&amp;G344)</f>
        <v/>
      </c>
      <c r="I344">
        <f>IF(F344="","",IFERROR(--'List 2'!B344,0))</f>
        <v/>
      </c>
      <c r="K344">
        <f>C344</f>
        <v/>
      </c>
      <c r="L344">
        <f>IF(K344="","",IF(ISNUMBER('List 1'!A344),'List 1'!A344,TRIM('List 1'!A344)))</f>
        <v/>
      </c>
      <c r="M344">
        <f>IF(K344="","",IF(ISNUMBER('List 1'!C344),'List 1'!C344,TRIM('List 1'!C344)))</f>
        <v/>
      </c>
      <c r="N344">
        <f>IF(K344="","",IF(ISNUMBER('List 1'!D344),'List 1'!D344,TRIM('List 1'!D344)))</f>
        <v/>
      </c>
      <c r="O344">
        <f>IF(K344="","",D344)</f>
        <v/>
      </c>
      <c r="P344">
        <f>IF(K344="","",IF(R344,SUMPRODUCT(--($H$2:$H$501=K344),$I$2:$I$501),0))</f>
        <v/>
      </c>
      <c r="Q344">
        <f>IF(K344="","",TRUE)</f>
        <v/>
      </c>
      <c r="R344">
        <f>IF(K344="","",SUMPRODUCT(--($H$2:$H$501=K344))&gt;0)</f>
        <v/>
      </c>
      <c r="S344">
        <f>IF(K344="","",IF(AND(Q344,R344),IF(O344=P344,"Match","Qty Different"),IF(Q344,"Only in List 1","Only in List 2")))</f>
        <v/>
      </c>
      <c r="T344">
        <f>IF(K344="","",IF(ISNUMBER(--L344),TEXT(--L344,"000000000000.000"),LOWER(L344)))</f>
        <v/>
      </c>
      <c r="U344">
        <f>IF(K344="","",IF(ISNUMBER(--M344),TEXT(--M344,"000000000000.000"),LOWER(M344)))</f>
        <v/>
      </c>
      <c r="V344">
        <f>IF(K344="","",LOWER(N344))</f>
        <v/>
      </c>
      <c r="W344">
        <f>IF(K344="","",B344)</f>
        <v/>
      </c>
      <c r="X344">
        <f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>
      <c r="A345">
        <f>IF(TRIM('List 1'!A345&amp;'List 1'!C345&amp;'List 1'!D345)="","",LOWER(TRIM('List 1'!A345)&amp;"|"&amp;TRIM('List 1'!C345)&amp;"|"&amp;TRIM('List 1'!D345)))</f>
        <v/>
      </c>
      <c r="B345">
        <f>IF(A345="","",SUMPRODUCT(--($A$2:A345=A345)))</f>
        <v/>
      </c>
      <c r="C345">
        <f>IF(A345="","",A345&amp;"#"&amp;B345)</f>
        <v/>
      </c>
      <c r="D345">
        <f>IF(A345="","",IFERROR(--'List 1'!B345,0))</f>
        <v/>
      </c>
      <c r="F345">
        <f>IF(TRIM('List 2'!A345&amp;'List 2'!C345&amp;'List 2'!D345)="","",LOWER(TRIM('List 2'!A345)&amp;"|"&amp;TRIM('List 2'!C345)&amp;"|"&amp;TRIM('List 2'!D345)))</f>
        <v/>
      </c>
      <c r="G345">
        <f>IF(F345="","",SUMPRODUCT(--($F$2:F345=F345)))</f>
        <v/>
      </c>
      <c r="H345">
        <f>IF(F345="","",F345&amp;"#"&amp;G345)</f>
        <v/>
      </c>
      <c r="I345">
        <f>IF(F345="","",IFERROR(--'List 2'!B345,0))</f>
        <v/>
      </c>
      <c r="K345">
        <f>C345</f>
        <v/>
      </c>
      <c r="L345">
        <f>IF(K345="","",IF(ISNUMBER('List 1'!A345),'List 1'!A345,TRIM('List 1'!A345)))</f>
        <v/>
      </c>
      <c r="M345">
        <f>IF(K345="","",IF(ISNUMBER('List 1'!C345),'List 1'!C345,TRIM('List 1'!C345)))</f>
        <v/>
      </c>
      <c r="N345">
        <f>IF(K345="","",IF(ISNUMBER('List 1'!D345),'List 1'!D345,TRIM('List 1'!D345)))</f>
        <v/>
      </c>
      <c r="O345">
        <f>IF(K345="","",D345)</f>
        <v/>
      </c>
      <c r="P345">
        <f>IF(K345="","",IF(R345,SUMPRODUCT(--($H$2:$H$501=K345),$I$2:$I$501),0))</f>
        <v/>
      </c>
      <c r="Q345">
        <f>IF(K345="","",TRUE)</f>
        <v/>
      </c>
      <c r="R345">
        <f>IF(K345="","",SUMPRODUCT(--($H$2:$H$501=K345))&gt;0)</f>
        <v/>
      </c>
      <c r="S345">
        <f>IF(K345="","",IF(AND(Q345,R345),IF(O345=P345,"Match","Qty Different"),IF(Q345,"Only in List 1","Only in List 2")))</f>
        <v/>
      </c>
      <c r="T345">
        <f>IF(K345="","",IF(ISNUMBER(--L345),TEXT(--L345,"000000000000.000"),LOWER(L345)))</f>
        <v/>
      </c>
      <c r="U345">
        <f>IF(K345="","",IF(ISNUMBER(--M345),TEXT(--M345,"000000000000.000"),LOWER(M345)))</f>
        <v/>
      </c>
      <c r="V345">
        <f>IF(K345="","",LOWER(N345))</f>
        <v/>
      </c>
      <c r="W345">
        <f>IF(K345="","",B345)</f>
        <v/>
      </c>
      <c r="X345">
        <f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>
      <c r="A346">
        <f>IF(TRIM('List 1'!A346&amp;'List 1'!C346&amp;'List 1'!D346)="","",LOWER(TRIM('List 1'!A346)&amp;"|"&amp;TRIM('List 1'!C346)&amp;"|"&amp;TRIM('List 1'!D346)))</f>
        <v/>
      </c>
      <c r="B346">
        <f>IF(A346="","",SUMPRODUCT(--($A$2:A346=A346)))</f>
        <v/>
      </c>
      <c r="C346">
        <f>IF(A346="","",A346&amp;"#"&amp;B346)</f>
        <v/>
      </c>
      <c r="D346">
        <f>IF(A346="","",IFERROR(--'List 1'!B346,0))</f>
        <v/>
      </c>
      <c r="F346">
        <f>IF(TRIM('List 2'!A346&amp;'List 2'!C346&amp;'List 2'!D346)="","",LOWER(TRIM('List 2'!A346)&amp;"|"&amp;TRIM('List 2'!C346)&amp;"|"&amp;TRIM('List 2'!D346)))</f>
        <v/>
      </c>
      <c r="G346">
        <f>IF(F346="","",SUMPRODUCT(--($F$2:F346=F346)))</f>
        <v/>
      </c>
      <c r="H346">
        <f>IF(F346="","",F346&amp;"#"&amp;G346)</f>
        <v/>
      </c>
      <c r="I346">
        <f>IF(F346="","",IFERROR(--'List 2'!B346,0))</f>
        <v/>
      </c>
      <c r="K346">
        <f>C346</f>
        <v/>
      </c>
      <c r="L346">
        <f>IF(K346="","",IF(ISNUMBER('List 1'!A346),'List 1'!A346,TRIM('List 1'!A346)))</f>
        <v/>
      </c>
      <c r="M346">
        <f>IF(K346="","",IF(ISNUMBER('List 1'!C346),'List 1'!C346,TRIM('List 1'!C346)))</f>
        <v/>
      </c>
      <c r="N346">
        <f>IF(K346="","",IF(ISNUMBER('List 1'!D346),'List 1'!D346,TRIM('List 1'!D346)))</f>
        <v/>
      </c>
      <c r="O346">
        <f>IF(K346="","",D346)</f>
        <v/>
      </c>
      <c r="P346">
        <f>IF(K346="","",IF(R346,SUMPRODUCT(--($H$2:$H$501=K346),$I$2:$I$501),0))</f>
        <v/>
      </c>
      <c r="Q346">
        <f>IF(K346="","",TRUE)</f>
        <v/>
      </c>
      <c r="R346">
        <f>IF(K346="","",SUMPRODUCT(--($H$2:$H$501=K346))&gt;0)</f>
        <v/>
      </c>
      <c r="S346">
        <f>IF(K346="","",IF(AND(Q346,R346),IF(O346=P346,"Match","Qty Different"),IF(Q346,"Only in List 1","Only in List 2")))</f>
        <v/>
      </c>
      <c r="T346">
        <f>IF(K346="","",IF(ISNUMBER(--L346),TEXT(--L346,"000000000000.000"),LOWER(L346)))</f>
        <v/>
      </c>
      <c r="U346">
        <f>IF(K346="","",IF(ISNUMBER(--M346),TEXT(--M346,"000000000000.000"),LOWER(M346)))</f>
        <v/>
      </c>
      <c r="V346">
        <f>IF(K346="","",LOWER(N346))</f>
        <v/>
      </c>
      <c r="W346">
        <f>IF(K346="","",B346)</f>
        <v/>
      </c>
      <c r="X346">
        <f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>
      <c r="A347">
        <f>IF(TRIM('List 1'!A347&amp;'List 1'!C347&amp;'List 1'!D347)="","",LOWER(TRIM('List 1'!A347)&amp;"|"&amp;TRIM('List 1'!C347)&amp;"|"&amp;TRIM('List 1'!D347)))</f>
        <v/>
      </c>
      <c r="B347">
        <f>IF(A347="","",SUMPRODUCT(--($A$2:A347=A347)))</f>
        <v/>
      </c>
      <c r="C347">
        <f>IF(A347="","",A347&amp;"#"&amp;B347)</f>
        <v/>
      </c>
      <c r="D347">
        <f>IF(A347="","",IFERROR(--'List 1'!B347,0))</f>
        <v/>
      </c>
      <c r="F347">
        <f>IF(TRIM('List 2'!A347&amp;'List 2'!C347&amp;'List 2'!D347)="","",LOWER(TRIM('List 2'!A347)&amp;"|"&amp;TRIM('List 2'!C347)&amp;"|"&amp;TRIM('List 2'!D347)))</f>
        <v/>
      </c>
      <c r="G347">
        <f>IF(F347="","",SUMPRODUCT(--($F$2:F347=F347)))</f>
        <v/>
      </c>
      <c r="H347">
        <f>IF(F347="","",F347&amp;"#"&amp;G347)</f>
        <v/>
      </c>
      <c r="I347">
        <f>IF(F347="","",IFERROR(--'List 2'!B347,0))</f>
        <v/>
      </c>
      <c r="K347">
        <f>C347</f>
        <v/>
      </c>
      <c r="L347">
        <f>IF(K347="","",IF(ISNUMBER('List 1'!A347),'List 1'!A347,TRIM('List 1'!A347)))</f>
        <v/>
      </c>
      <c r="M347">
        <f>IF(K347="","",IF(ISNUMBER('List 1'!C347),'List 1'!C347,TRIM('List 1'!C347)))</f>
        <v/>
      </c>
      <c r="N347">
        <f>IF(K347="","",IF(ISNUMBER('List 1'!D347),'List 1'!D347,TRIM('List 1'!D347)))</f>
        <v/>
      </c>
      <c r="O347">
        <f>IF(K347="","",D347)</f>
        <v/>
      </c>
      <c r="P347">
        <f>IF(K347="","",IF(R347,SUMPRODUCT(--($H$2:$H$501=K347),$I$2:$I$501),0))</f>
        <v/>
      </c>
      <c r="Q347">
        <f>IF(K347="","",TRUE)</f>
        <v/>
      </c>
      <c r="R347">
        <f>IF(K347="","",SUMPRODUCT(--($H$2:$H$501=K347))&gt;0)</f>
        <v/>
      </c>
      <c r="S347">
        <f>IF(K347="","",IF(AND(Q347,R347),IF(O347=P347,"Match","Qty Different"),IF(Q347,"Only in List 1","Only in List 2")))</f>
        <v/>
      </c>
      <c r="T347">
        <f>IF(K347="","",IF(ISNUMBER(--L347),TEXT(--L347,"000000000000.000"),LOWER(L347)))</f>
        <v/>
      </c>
      <c r="U347">
        <f>IF(K347="","",IF(ISNUMBER(--M347),TEXT(--M347,"000000000000.000"),LOWER(M347)))</f>
        <v/>
      </c>
      <c r="V347">
        <f>IF(K347="","",LOWER(N347))</f>
        <v/>
      </c>
      <c r="W347">
        <f>IF(K347="","",B347)</f>
        <v/>
      </c>
      <c r="X347">
        <f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>
      <c r="A348">
        <f>IF(TRIM('List 1'!A348&amp;'List 1'!C348&amp;'List 1'!D348)="","",LOWER(TRIM('List 1'!A348)&amp;"|"&amp;TRIM('List 1'!C348)&amp;"|"&amp;TRIM('List 1'!D348)))</f>
        <v/>
      </c>
      <c r="B348">
        <f>IF(A348="","",SUMPRODUCT(--($A$2:A348=A348)))</f>
        <v/>
      </c>
      <c r="C348">
        <f>IF(A348="","",A348&amp;"#"&amp;B348)</f>
        <v/>
      </c>
      <c r="D348">
        <f>IF(A348="","",IFERROR(--'List 1'!B348,0))</f>
        <v/>
      </c>
      <c r="F348">
        <f>IF(TRIM('List 2'!A348&amp;'List 2'!C348&amp;'List 2'!D348)="","",LOWER(TRIM('List 2'!A348)&amp;"|"&amp;TRIM('List 2'!C348)&amp;"|"&amp;TRIM('List 2'!D348)))</f>
        <v/>
      </c>
      <c r="G348">
        <f>IF(F348="","",SUMPRODUCT(--($F$2:F348=F348)))</f>
        <v/>
      </c>
      <c r="H348">
        <f>IF(F348="","",F348&amp;"#"&amp;G348)</f>
        <v/>
      </c>
      <c r="I348">
        <f>IF(F348="","",IFERROR(--'List 2'!B348,0))</f>
        <v/>
      </c>
      <c r="K348">
        <f>C348</f>
        <v/>
      </c>
      <c r="L348">
        <f>IF(K348="","",IF(ISNUMBER('List 1'!A348),'List 1'!A348,TRIM('List 1'!A348)))</f>
        <v/>
      </c>
      <c r="M348">
        <f>IF(K348="","",IF(ISNUMBER('List 1'!C348),'List 1'!C348,TRIM('List 1'!C348)))</f>
        <v/>
      </c>
      <c r="N348">
        <f>IF(K348="","",IF(ISNUMBER('List 1'!D348),'List 1'!D348,TRIM('List 1'!D348)))</f>
        <v/>
      </c>
      <c r="O348">
        <f>IF(K348="","",D348)</f>
        <v/>
      </c>
      <c r="P348">
        <f>IF(K348="","",IF(R348,SUMPRODUCT(--($H$2:$H$501=K348),$I$2:$I$501),0))</f>
        <v/>
      </c>
      <c r="Q348">
        <f>IF(K348="","",TRUE)</f>
        <v/>
      </c>
      <c r="R348">
        <f>IF(K348="","",SUMPRODUCT(--($H$2:$H$501=K348))&gt;0)</f>
        <v/>
      </c>
      <c r="S348">
        <f>IF(K348="","",IF(AND(Q348,R348),IF(O348=P348,"Match","Qty Different"),IF(Q348,"Only in List 1","Only in List 2")))</f>
        <v/>
      </c>
      <c r="T348">
        <f>IF(K348="","",IF(ISNUMBER(--L348),TEXT(--L348,"000000000000.000"),LOWER(L348)))</f>
        <v/>
      </c>
      <c r="U348">
        <f>IF(K348="","",IF(ISNUMBER(--M348),TEXT(--M348,"000000000000.000"),LOWER(M348)))</f>
        <v/>
      </c>
      <c r="V348">
        <f>IF(K348="","",LOWER(N348))</f>
        <v/>
      </c>
      <c r="W348">
        <f>IF(K348="","",B348)</f>
        <v/>
      </c>
      <c r="X348">
        <f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>
      <c r="A349">
        <f>IF(TRIM('List 1'!A349&amp;'List 1'!C349&amp;'List 1'!D349)="","",LOWER(TRIM('List 1'!A349)&amp;"|"&amp;TRIM('List 1'!C349)&amp;"|"&amp;TRIM('List 1'!D349)))</f>
        <v/>
      </c>
      <c r="B349">
        <f>IF(A349="","",SUMPRODUCT(--($A$2:A349=A349)))</f>
        <v/>
      </c>
      <c r="C349">
        <f>IF(A349="","",A349&amp;"#"&amp;B349)</f>
        <v/>
      </c>
      <c r="D349">
        <f>IF(A349="","",IFERROR(--'List 1'!B349,0))</f>
        <v/>
      </c>
      <c r="F349">
        <f>IF(TRIM('List 2'!A349&amp;'List 2'!C349&amp;'List 2'!D349)="","",LOWER(TRIM('List 2'!A349)&amp;"|"&amp;TRIM('List 2'!C349)&amp;"|"&amp;TRIM('List 2'!D349)))</f>
        <v/>
      </c>
      <c r="G349">
        <f>IF(F349="","",SUMPRODUCT(--($F$2:F349=F349)))</f>
        <v/>
      </c>
      <c r="H349">
        <f>IF(F349="","",F349&amp;"#"&amp;G349)</f>
        <v/>
      </c>
      <c r="I349">
        <f>IF(F349="","",IFERROR(--'List 2'!B349,0))</f>
        <v/>
      </c>
      <c r="K349">
        <f>C349</f>
        <v/>
      </c>
      <c r="L349">
        <f>IF(K349="","",IF(ISNUMBER('List 1'!A349),'List 1'!A349,TRIM('List 1'!A349)))</f>
        <v/>
      </c>
      <c r="M349">
        <f>IF(K349="","",IF(ISNUMBER('List 1'!C349),'List 1'!C349,TRIM('List 1'!C349)))</f>
        <v/>
      </c>
      <c r="N349">
        <f>IF(K349="","",IF(ISNUMBER('List 1'!D349),'List 1'!D349,TRIM('List 1'!D349)))</f>
        <v/>
      </c>
      <c r="O349">
        <f>IF(K349="","",D349)</f>
        <v/>
      </c>
      <c r="P349">
        <f>IF(K349="","",IF(R349,SUMPRODUCT(--($H$2:$H$501=K349),$I$2:$I$501),0))</f>
        <v/>
      </c>
      <c r="Q349">
        <f>IF(K349="","",TRUE)</f>
        <v/>
      </c>
      <c r="R349">
        <f>IF(K349="","",SUMPRODUCT(--($H$2:$H$501=K349))&gt;0)</f>
        <v/>
      </c>
      <c r="S349">
        <f>IF(K349="","",IF(AND(Q349,R349),IF(O349=P349,"Match","Qty Different"),IF(Q349,"Only in List 1","Only in List 2")))</f>
        <v/>
      </c>
      <c r="T349">
        <f>IF(K349="","",IF(ISNUMBER(--L349),TEXT(--L349,"000000000000.000"),LOWER(L349)))</f>
        <v/>
      </c>
      <c r="U349">
        <f>IF(K349="","",IF(ISNUMBER(--M349),TEXT(--M349,"000000000000.000"),LOWER(M349)))</f>
        <v/>
      </c>
      <c r="V349">
        <f>IF(K349="","",LOWER(N349))</f>
        <v/>
      </c>
      <c r="W349">
        <f>IF(K349="","",B349)</f>
        <v/>
      </c>
      <c r="X349">
        <f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>
      <c r="A350">
        <f>IF(TRIM('List 1'!A350&amp;'List 1'!C350&amp;'List 1'!D350)="","",LOWER(TRIM('List 1'!A350)&amp;"|"&amp;TRIM('List 1'!C350)&amp;"|"&amp;TRIM('List 1'!D350)))</f>
        <v/>
      </c>
      <c r="B350">
        <f>IF(A350="","",SUMPRODUCT(--($A$2:A350=A350)))</f>
        <v/>
      </c>
      <c r="C350">
        <f>IF(A350="","",A350&amp;"#"&amp;B350)</f>
        <v/>
      </c>
      <c r="D350">
        <f>IF(A350="","",IFERROR(--'List 1'!B350,0))</f>
        <v/>
      </c>
      <c r="F350">
        <f>IF(TRIM('List 2'!A350&amp;'List 2'!C350&amp;'List 2'!D350)="","",LOWER(TRIM('List 2'!A350)&amp;"|"&amp;TRIM('List 2'!C350)&amp;"|"&amp;TRIM('List 2'!D350)))</f>
        <v/>
      </c>
      <c r="G350">
        <f>IF(F350="","",SUMPRODUCT(--($F$2:F350=F350)))</f>
        <v/>
      </c>
      <c r="H350">
        <f>IF(F350="","",F350&amp;"#"&amp;G350)</f>
        <v/>
      </c>
      <c r="I350">
        <f>IF(F350="","",IFERROR(--'List 2'!B350,0))</f>
        <v/>
      </c>
      <c r="K350">
        <f>C350</f>
        <v/>
      </c>
      <c r="L350">
        <f>IF(K350="","",IF(ISNUMBER('List 1'!A350),'List 1'!A350,TRIM('List 1'!A350)))</f>
        <v/>
      </c>
      <c r="M350">
        <f>IF(K350="","",IF(ISNUMBER('List 1'!C350),'List 1'!C350,TRIM('List 1'!C350)))</f>
        <v/>
      </c>
      <c r="N350">
        <f>IF(K350="","",IF(ISNUMBER('List 1'!D350),'List 1'!D350,TRIM('List 1'!D350)))</f>
        <v/>
      </c>
      <c r="O350">
        <f>IF(K350="","",D350)</f>
        <v/>
      </c>
      <c r="P350">
        <f>IF(K350="","",IF(R350,SUMPRODUCT(--($H$2:$H$501=K350),$I$2:$I$501),0))</f>
        <v/>
      </c>
      <c r="Q350">
        <f>IF(K350="","",TRUE)</f>
        <v/>
      </c>
      <c r="R350">
        <f>IF(K350="","",SUMPRODUCT(--($H$2:$H$501=K350))&gt;0)</f>
        <v/>
      </c>
      <c r="S350">
        <f>IF(K350="","",IF(AND(Q350,R350),IF(O350=P350,"Match","Qty Different"),IF(Q350,"Only in List 1","Only in List 2")))</f>
        <v/>
      </c>
      <c r="T350">
        <f>IF(K350="","",IF(ISNUMBER(--L350),TEXT(--L350,"000000000000.000"),LOWER(L350)))</f>
        <v/>
      </c>
      <c r="U350">
        <f>IF(K350="","",IF(ISNUMBER(--M350),TEXT(--M350,"000000000000.000"),LOWER(M350)))</f>
        <v/>
      </c>
      <c r="V350">
        <f>IF(K350="","",LOWER(N350))</f>
        <v/>
      </c>
      <c r="W350">
        <f>IF(K350="","",B350)</f>
        <v/>
      </c>
      <c r="X350">
        <f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>
      <c r="A351">
        <f>IF(TRIM('List 1'!A351&amp;'List 1'!C351&amp;'List 1'!D351)="","",LOWER(TRIM('List 1'!A351)&amp;"|"&amp;TRIM('List 1'!C351)&amp;"|"&amp;TRIM('List 1'!D351)))</f>
        <v/>
      </c>
      <c r="B351">
        <f>IF(A351="","",SUMPRODUCT(--($A$2:A351=A351)))</f>
        <v/>
      </c>
      <c r="C351">
        <f>IF(A351="","",A351&amp;"#"&amp;B351)</f>
        <v/>
      </c>
      <c r="D351">
        <f>IF(A351="","",IFERROR(--'List 1'!B351,0))</f>
        <v/>
      </c>
      <c r="F351">
        <f>IF(TRIM('List 2'!A351&amp;'List 2'!C351&amp;'List 2'!D351)="","",LOWER(TRIM('List 2'!A351)&amp;"|"&amp;TRIM('List 2'!C351)&amp;"|"&amp;TRIM('List 2'!D351)))</f>
        <v/>
      </c>
      <c r="G351">
        <f>IF(F351="","",SUMPRODUCT(--($F$2:F351=F351)))</f>
        <v/>
      </c>
      <c r="H351">
        <f>IF(F351="","",F351&amp;"#"&amp;G351)</f>
        <v/>
      </c>
      <c r="I351">
        <f>IF(F351="","",IFERROR(--'List 2'!B351,0))</f>
        <v/>
      </c>
      <c r="K351">
        <f>C351</f>
        <v/>
      </c>
      <c r="L351">
        <f>IF(K351="","",IF(ISNUMBER('List 1'!A351),'List 1'!A351,TRIM('List 1'!A351)))</f>
        <v/>
      </c>
      <c r="M351">
        <f>IF(K351="","",IF(ISNUMBER('List 1'!C351),'List 1'!C351,TRIM('List 1'!C351)))</f>
        <v/>
      </c>
      <c r="N351">
        <f>IF(K351="","",IF(ISNUMBER('List 1'!D351),'List 1'!D351,TRIM('List 1'!D351)))</f>
        <v/>
      </c>
      <c r="O351">
        <f>IF(K351="","",D351)</f>
        <v/>
      </c>
      <c r="P351">
        <f>IF(K351="","",IF(R351,SUMPRODUCT(--($H$2:$H$501=K351),$I$2:$I$501),0))</f>
        <v/>
      </c>
      <c r="Q351">
        <f>IF(K351="","",TRUE)</f>
        <v/>
      </c>
      <c r="R351">
        <f>IF(K351="","",SUMPRODUCT(--($H$2:$H$501=K351))&gt;0)</f>
        <v/>
      </c>
      <c r="S351">
        <f>IF(K351="","",IF(AND(Q351,R351),IF(O351=P351,"Match","Qty Different"),IF(Q351,"Only in List 1","Only in List 2")))</f>
        <v/>
      </c>
      <c r="T351">
        <f>IF(K351="","",IF(ISNUMBER(--L351),TEXT(--L351,"000000000000.000"),LOWER(L351)))</f>
        <v/>
      </c>
      <c r="U351">
        <f>IF(K351="","",IF(ISNUMBER(--M351),TEXT(--M351,"000000000000.000"),LOWER(M351)))</f>
        <v/>
      </c>
      <c r="V351">
        <f>IF(K351="","",LOWER(N351))</f>
        <v/>
      </c>
      <c r="W351">
        <f>IF(K351="","",B351)</f>
        <v/>
      </c>
      <c r="X351">
        <f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>
      <c r="A352">
        <f>IF(TRIM('List 1'!A352&amp;'List 1'!C352&amp;'List 1'!D352)="","",LOWER(TRIM('List 1'!A352)&amp;"|"&amp;TRIM('List 1'!C352)&amp;"|"&amp;TRIM('List 1'!D352)))</f>
        <v/>
      </c>
      <c r="B352">
        <f>IF(A352="","",SUMPRODUCT(--($A$2:A352=A352)))</f>
        <v/>
      </c>
      <c r="C352">
        <f>IF(A352="","",A352&amp;"#"&amp;B352)</f>
        <v/>
      </c>
      <c r="D352">
        <f>IF(A352="","",IFERROR(--'List 1'!B352,0))</f>
        <v/>
      </c>
      <c r="F352">
        <f>IF(TRIM('List 2'!A352&amp;'List 2'!C352&amp;'List 2'!D352)="","",LOWER(TRIM('List 2'!A352)&amp;"|"&amp;TRIM('List 2'!C352)&amp;"|"&amp;TRIM('List 2'!D352)))</f>
        <v/>
      </c>
      <c r="G352">
        <f>IF(F352="","",SUMPRODUCT(--($F$2:F352=F352)))</f>
        <v/>
      </c>
      <c r="H352">
        <f>IF(F352="","",F352&amp;"#"&amp;G352)</f>
        <v/>
      </c>
      <c r="I352">
        <f>IF(F352="","",IFERROR(--'List 2'!B352,0))</f>
        <v/>
      </c>
      <c r="K352">
        <f>C352</f>
        <v/>
      </c>
      <c r="L352">
        <f>IF(K352="","",IF(ISNUMBER('List 1'!A352),'List 1'!A352,TRIM('List 1'!A352)))</f>
        <v/>
      </c>
      <c r="M352">
        <f>IF(K352="","",IF(ISNUMBER('List 1'!C352),'List 1'!C352,TRIM('List 1'!C352)))</f>
        <v/>
      </c>
      <c r="N352">
        <f>IF(K352="","",IF(ISNUMBER('List 1'!D352),'List 1'!D352,TRIM('List 1'!D352)))</f>
        <v/>
      </c>
      <c r="O352">
        <f>IF(K352="","",D352)</f>
        <v/>
      </c>
      <c r="P352">
        <f>IF(K352="","",IF(R352,SUMPRODUCT(--($H$2:$H$501=K352),$I$2:$I$501),0))</f>
        <v/>
      </c>
      <c r="Q352">
        <f>IF(K352="","",TRUE)</f>
        <v/>
      </c>
      <c r="R352">
        <f>IF(K352="","",SUMPRODUCT(--($H$2:$H$501=K352))&gt;0)</f>
        <v/>
      </c>
      <c r="S352">
        <f>IF(K352="","",IF(AND(Q352,R352),IF(O352=P352,"Match","Qty Different"),IF(Q352,"Only in List 1","Only in List 2")))</f>
        <v/>
      </c>
      <c r="T352">
        <f>IF(K352="","",IF(ISNUMBER(--L352),TEXT(--L352,"000000000000.000"),LOWER(L352)))</f>
        <v/>
      </c>
      <c r="U352">
        <f>IF(K352="","",IF(ISNUMBER(--M352),TEXT(--M352,"000000000000.000"),LOWER(M352)))</f>
        <v/>
      </c>
      <c r="V352">
        <f>IF(K352="","",LOWER(N352))</f>
        <v/>
      </c>
      <c r="W352">
        <f>IF(K352="","",B352)</f>
        <v/>
      </c>
      <c r="X352">
        <f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>
      <c r="A353">
        <f>IF(TRIM('List 1'!A353&amp;'List 1'!C353&amp;'List 1'!D353)="","",LOWER(TRIM('List 1'!A353)&amp;"|"&amp;TRIM('List 1'!C353)&amp;"|"&amp;TRIM('List 1'!D353)))</f>
        <v/>
      </c>
      <c r="B353">
        <f>IF(A353="","",SUMPRODUCT(--($A$2:A353=A353)))</f>
        <v/>
      </c>
      <c r="C353">
        <f>IF(A353="","",A353&amp;"#"&amp;B353)</f>
        <v/>
      </c>
      <c r="D353">
        <f>IF(A353="","",IFERROR(--'List 1'!B353,0))</f>
        <v/>
      </c>
      <c r="F353">
        <f>IF(TRIM('List 2'!A353&amp;'List 2'!C353&amp;'List 2'!D353)="","",LOWER(TRIM('List 2'!A353)&amp;"|"&amp;TRIM('List 2'!C353)&amp;"|"&amp;TRIM('List 2'!D353)))</f>
        <v/>
      </c>
      <c r="G353">
        <f>IF(F353="","",SUMPRODUCT(--($F$2:F353=F353)))</f>
        <v/>
      </c>
      <c r="H353">
        <f>IF(F353="","",F353&amp;"#"&amp;G353)</f>
        <v/>
      </c>
      <c r="I353">
        <f>IF(F353="","",IFERROR(--'List 2'!B353,0))</f>
        <v/>
      </c>
      <c r="K353">
        <f>C353</f>
        <v/>
      </c>
      <c r="L353">
        <f>IF(K353="","",IF(ISNUMBER('List 1'!A353),'List 1'!A353,TRIM('List 1'!A353)))</f>
        <v/>
      </c>
      <c r="M353">
        <f>IF(K353="","",IF(ISNUMBER('List 1'!C353),'List 1'!C353,TRIM('List 1'!C353)))</f>
        <v/>
      </c>
      <c r="N353">
        <f>IF(K353="","",IF(ISNUMBER('List 1'!D353),'List 1'!D353,TRIM('List 1'!D353)))</f>
        <v/>
      </c>
      <c r="O353">
        <f>IF(K353="","",D353)</f>
        <v/>
      </c>
      <c r="P353">
        <f>IF(K353="","",IF(R353,SUMPRODUCT(--($H$2:$H$501=K353),$I$2:$I$501),0))</f>
        <v/>
      </c>
      <c r="Q353">
        <f>IF(K353="","",TRUE)</f>
        <v/>
      </c>
      <c r="R353">
        <f>IF(K353="","",SUMPRODUCT(--($H$2:$H$501=K353))&gt;0)</f>
        <v/>
      </c>
      <c r="S353">
        <f>IF(K353="","",IF(AND(Q353,R353),IF(O353=P353,"Match","Qty Different"),IF(Q353,"Only in List 1","Only in List 2")))</f>
        <v/>
      </c>
      <c r="T353">
        <f>IF(K353="","",IF(ISNUMBER(--L353),TEXT(--L353,"000000000000.000"),LOWER(L353)))</f>
        <v/>
      </c>
      <c r="U353">
        <f>IF(K353="","",IF(ISNUMBER(--M353),TEXT(--M353,"000000000000.000"),LOWER(M353)))</f>
        <v/>
      </c>
      <c r="V353">
        <f>IF(K353="","",LOWER(N353))</f>
        <v/>
      </c>
      <c r="W353">
        <f>IF(K353="","",B353)</f>
        <v/>
      </c>
      <c r="X353">
        <f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>
      <c r="A354">
        <f>IF(TRIM('List 1'!A354&amp;'List 1'!C354&amp;'List 1'!D354)="","",LOWER(TRIM('List 1'!A354)&amp;"|"&amp;TRIM('List 1'!C354)&amp;"|"&amp;TRIM('List 1'!D354)))</f>
        <v/>
      </c>
      <c r="B354">
        <f>IF(A354="","",SUMPRODUCT(--($A$2:A354=A354)))</f>
        <v/>
      </c>
      <c r="C354">
        <f>IF(A354="","",A354&amp;"#"&amp;B354)</f>
        <v/>
      </c>
      <c r="D354">
        <f>IF(A354="","",IFERROR(--'List 1'!B354,0))</f>
        <v/>
      </c>
      <c r="F354">
        <f>IF(TRIM('List 2'!A354&amp;'List 2'!C354&amp;'List 2'!D354)="","",LOWER(TRIM('List 2'!A354)&amp;"|"&amp;TRIM('List 2'!C354)&amp;"|"&amp;TRIM('List 2'!D354)))</f>
        <v/>
      </c>
      <c r="G354">
        <f>IF(F354="","",SUMPRODUCT(--($F$2:F354=F354)))</f>
        <v/>
      </c>
      <c r="H354">
        <f>IF(F354="","",F354&amp;"#"&amp;G354)</f>
        <v/>
      </c>
      <c r="I354">
        <f>IF(F354="","",IFERROR(--'List 2'!B354,0))</f>
        <v/>
      </c>
      <c r="K354">
        <f>C354</f>
        <v/>
      </c>
      <c r="L354">
        <f>IF(K354="","",IF(ISNUMBER('List 1'!A354),'List 1'!A354,TRIM('List 1'!A354)))</f>
        <v/>
      </c>
      <c r="M354">
        <f>IF(K354="","",IF(ISNUMBER('List 1'!C354),'List 1'!C354,TRIM('List 1'!C354)))</f>
        <v/>
      </c>
      <c r="N354">
        <f>IF(K354="","",IF(ISNUMBER('List 1'!D354),'List 1'!D354,TRIM('List 1'!D354)))</f>
        <v/>
      </c>
      <c r="O354">
        <f>IF(K354="","",D354)</f>
        <v/>
      </c>
      <c r="P354">
        <f>IF(K354="","",IF(R354,SUMPRODUCT(--($H$2:$H$501=K354),$I$2:$I$501),0))</f>
        <v/>
      </c>
      <c r="Q354">
        <f>IF(K354="","",TRUE)</f>
        <v/>
      </c>
      <c r="R354">
        <f>IF(K354="","",SUMPRODUCT(--($H$2:$H$501=K354))&gt;0)</f>
        <v/>
      </c>
      <c r="S354">
        <f>IF(K354="","",IF(AND(Q354,R354),IF(O354=P354,"Match","Qty Different"),IF(Q354,"Only in List 1","Only in List 2")))</f>
        <v/>
      </c>
      <c r="T354">
        <f>IF(K354="","",IF(ISNUMBER(--L354),TEXT(--L354,"000000000000.000"),LOWER(L354)))</f>
        <v/>
      </c>
      <c r="U354">
        <f>IF(K354="","",IF(ISNUMBER(--M354),TEXT(--M354,"000000000000.000"),LOWER(M354)))</f>
        <v/>
      </c>
      <c r="V354">
        <f>IF(K354="","",LOWER(N354))</f>
        <v/>
      </c>
      <c r="W354">
        <f>IF(K354="","",B354)</f>
        <v/>
      </c>
      <c r="X354">
        <f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>
      <c r="A355">
        <f>IF(TRIM('List 1'!A355&amp;'List 1'!C355&amp;'List 1'!D355)="","",LOWER(TRIM('List 1'!A355)&amp;"|"&amp;TRIM('List 1'!C355)&amp;"|"&amp;TRIM('List 1'!D355)))</f>
        <v/>
      </c>
      <c r="B355">
        <f>IF(A355="","",SUMPRODUCT(--($A$2:A355=A355)))</f>
        <v/>
      </c>
      <c r="C355">
        <f>IF(A355="","",A355&amp;"#"&amp;B355)</f>
        <v/>
      </c>
      <c r="D355">
        <f>IF(A355="","",IFERROR(--'List 1'!B355,0))</f>
        <v/>
      </c>
      <c r="F355">
        <f>IF(TRIM('List 2'!A355&amp;'List 2'!C355&amp;'List 2'!D355)="","",LOWER(TRIM('List 2'!A355)&amp;"|"&amp;TRIM('List 2'!C355)&amp;"|"&amp;TRIM('List 2'!D355)))</f>
        <v/>
      </c>
      <c r="G355">
        <f>IF(F355="","",SUMPRODUCT(--($F$2:F355=F355)))</f>
        <v/>
      </c>
      <c r="H355">
        <f>IF(F355="","",F355&amp;"#"&amp;G355)</f>
        <v/>
      </c>
      <c r="I355">
        <f>IF(F355="","",IFERROR(--'List 2'!B355,0))</f>
        <v/>
      </c>
      <c r="K355">
        <f>C355</f>
        <v/>
      </c>
      <c r="L355">
        <f>IF(K355="","",IF(ISNUMBER('List 1'!A355),'List 1'!A355,TRIM('List 1'!A355)))</f>
        <v/>
      </c>
      <c r="M355">
        <f>IF(K355="","",IF(ISNUMBER('List 1'!C355),'List 1'!C355,TRIM('List 1'!C355)))</f>
        <v/>
      </c>
      <c r="N355">
        <f>IF(K355="","",IF(ISNUMBER('List 1'!D355),'List 1'!D355,TRIM('List 1'!D355)))</f>
        <v/>
      </c>
      <c r="O355">
        <f>IF(K355="","",D355)</f>
        <v/>
      </c>
      <c r="P355">
        <f>IF(K355="","",IF(R355,SUMPRODUCT(--($H$2:$H$501=K355),$I$2:$I$501),0))</f>
        <v/>
      </c>
      <c r="Q355">
        <f>IF(K355="","",TRUE)</f>
        <v/>
      </c>
      <c r="R355">
        <f>IF(K355="","",SUMPRODUCT(--($H$2:$H$501=K355))&gt;0)</f>
        <v/>
      </c>
      <c r="S355">
        <f>IF(K355="","",IF(AND(Q355,R355),IF(O355=P355,"Match","Qty Different"),IF(Q355,"Only in List 1","Only in List 2")))</f>
        <v/>
      </c>
      <c r="T355">
        <f>IF(K355="","",IF(ISNUMBER(--L355),TEXT(--L355,"000000000000.000"),LOWER(L355)))</f>
        <v/>
      </c>
      <c r="U355">
        <f>IF(K355="","",IF(ISNUMBER(--M355),TEXT(--M355,"000000000000.000"),LOWER(M355)))</f>
        <v/>
      </c>
      <c r="V355">
        <f>IF(K355="","",LOWER(N355))</f>
        <v/>
      </c>
      <c r="W355">
        <f>IF(K355="","",B355)</f>
        <v/>
      </c>
      <c r="X355">
        <f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>
      <c r="A356">
        <f>IF(TRIM('List 1'!A356&amp;'List 1'!C356&amp;'List 1'!D356)="","",LOWER(TRIM('List 1'!A356)&amp;"|"&amp;TRIM('List 1'!C356)&amp;"|"&amp;TRIM('List 1'!D356)))</f>
        <v/>
      </c>
      <c r="B356">
        <f>IF(A356="","",SUMPRODUCT(--($A$2:A356=A356)))</f>
        <v/>
      </c>
      <c r="C356">
        <f>IF(A356="","",A356&amp;"#"&amp;B356)</f>
        <v/>
      </c>
      <c r="D356">
        <f>IF(A356="","",IFERROR(--'List 1'!B356,0))</f>
        <v/>
      </c>
      <c r="F356">
        <f>IF(TRIM('List 2'!A356&amp;'List 2'!C356&amp;'List 2'!D356)="","",LOWER(TRIM('List 2'!A356)&amp;"|"&amp;TRIM('List 2'!C356)&amp;"|"&amp;TRIM('List 2'!D356)))</f>
        <v/>
      </c>
      <c r="G356">
        <f>IF(F356="","",SUMPRODUCT(--($F$2:F356=F356)))</f>
        <v/>
      </c>
      <c r="H356">
        <f>IF(F356="","",F356&amp;"#"&amp;G356)</f>
        <v/>
      </c>
      <c r="I356">
        <f>IF(F356="","",IFERROR(--'List 2'!B356,0))</f>
        <v/>
      </c>
      <c r="K356">
        <f>C356</f>
        <v/>
      </c>
      <c r="L356">
        <f>IF(K356="","",IF(ISNUMBER('List 1'!A356),'List 1'!A356,TRIM('List 1'!A356)))</f>
        <v/>
      </c>
      <c r="M356">
        <f>IF(K356="","",IF(ISNUMBER('List 1'!C356),'List 1'!C356,TRIM('List 1'!C356)))</f>
        <v/>
      </c>
      <c r="N356">
        <f>IF(K356="","",IF(ISNUMBER('List 1'!D356),'List 1'!D356,TRIM('List 1'!D356)))</f>
        <v/>
      </c>
      <c r="O356">
        <f>IF(K356="","",D356)</f>
        <v/>
      </c>
      <c r="P356">
        <f>IF(K356="","",IF(R356,SUMPRODUCT(--($H$2:$H$501=K356),$I$2:$I$501),0))</f>
        <v/>
      </c>
      <c r="Q356">
        <f>IF(K356="","",TRUE)</f>
        <v/>
      </c>
      <c r="R356">
        <f>IF(K356="","",SUMPRODUCT(--($H$2:$H$501=K356))&gt;0)</f>
        <v/>
      </c>
      <c r="S356">
        <f>IF(K356="","",IF(AND(Q356,R356),IF(O356=P356,"Match","Qty Different"),IF(Q356,"Only in List 1","Only in List 2")))</f>
        <v/>
      </c>
      <c r="T356">
        <f>IF(K356="","",IF(ISNUMBER(--L356),TEXT(--L356,"000000000000.000"),LOWER(L356)))</f>
        <v/>
      </c>
      <c r="U356">
        <f>IF(K356="","",IF(ISNUMBER(--M356),TEXT(--M356,"000000000000.000"),LOWER(M356)))</f>
        <v/>
      </c>
      <c r="V356">
        <f>IF(K356="","",LOWER(N356))</f>
        <v/>
      </c>
      <c r="W356">
        <f>IF(K356="","",B356)</f>
        <v/>
      </c>
      <c r="X356">
        <f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>
      <c r="A357">
        <f>IF(TRIM('List 1'!A357&amp;'List 1'!C357&amp;'List 1'!D357)="","",LOWER(TRIM('List 1'!A357)&amp;"|"&amp;TRIM('List 1'!C357)&amp;"|"&amp;TRIM('List 1'!D357)))</f>
        <v/>
      </c>
      <c r="B357">
        <f>IF(A357="","",SUMPRODUCT(--($A$2:A357=A357)))</f>
        <v/>
      </c>
      <c r="C357">
        <f>IF(A357="","",A357&amp;"#"&amp;B357)</f>
        <v/>
      </c>
      <c r="D357">
        <f>IF(A357="","",IFERROR(--'List 1'!B357,0))</f>
        <v/>
      </c>
      <c r="F357">
        <f>IF(TRIM('List 2'!A357&amp;'List 2'!C357&amp;'List 2'!D357)="","",LOWER(TRIM('List 2'!A357)&amp;"|"&amp;TRIM('List 2'!C357)&amp;"|"&amp;TRIM('List 2'!D357)))</f>
        <v/>
      </c>
      <c r="G357">
        <f>IF(F357="","",SUMPRODUCT(--($F$2:F357=F357)))</f>
        <v/>
      </c>
      <c r="H357">
        <f>IF(F357="","",F357&amp;"#"&amp;G357)</f>
        <v/>
      </c>
      <c r="I357">
        <f>IF(F357="","",IFERROR(--'List 2'!B357,0))</f>
        <v/>
      </c>
      <c r="K357">
        <f>C357</f>
        <v/>
      </c>
      <c r="L357">
        <f>IF(K357="","",IF(ISNUMBER('List 1'!A357),'List 1'!A357,TRIM('List 1'!A357)))</f>
        <v/>
      </c>
      <c r="M357">
        <f>IF(K357="","",IF(ISNUMBER('List 1'!C357),'List 1'!C357,TRIM('List 1'!C357)))</f>
        <v/>
      </c>
      <c r="N357">
        <f>IF(K357="","",IF(ISNUMBER('List 1'!D357),'List 1'!D357,TRIM('List 1'!D357)))</f>
        <v/>
      </c>
      <c r="O357">
        <f>IF(K357="","",D357)</f>
        <v/>
      </c>
      <c r="P357">
        <f>IF(K357="","",IF(R357,SUMPRODUCT(--($H$2:$H$501=K357),$I$2:$I$501),0))</f>
        <v/>
      </c>
      <c r="Q357">
        <f>IF(K357="","",TRUE)</f>
        <v/>
      </c>
      <c r="R357">
        <f>IF(K357="","",SUMPRODUCT(--($H$2:$H$501=K357))&gt;0)</f>
        <v/>
      </c>
      <c r="S357">
        <f>IF(K357="","",IF(AND(Q357,R357),IF(O357=P357,"Match","Qty Different"),IF(Q357,"Only in List 1","Only in List 2")))</f>
        <v/>
      </c>
      <c r="T357">
        <f>IF(K357="","",IF(ISNUMBER(--L357),TEXT(--L357,"000000000000.000"),LOWER(L357)))</f>
        <v/>
      </c>
      <c r="U357">
        <f>IF(K357="","",IF(ISNUMBER(--M357),TEXT(--M357,"000000000000.000"),LOWER(M357)))</f>
        <v/>
      </c>
      <c r="V357">
        <f>IF(K357="","",LOWER(N357))</f>
        <v/>
      </c>
      <c r="W357">
        <f>IF(K357="","",B357)</f>
        <v/>
      </c>
      <c r="X357">
        <f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>
      <c r="A358">
        <f>IF(TRIM('List 1'!A358&amp;'List 1'!C358&amp;'List 1'!D358)="","",LOWER(TRIM('List 1'!A358)&amp;"|"&amp;TRIM('List 1'!C358)&amp;"|"&amp;TRIM('List 1'!D358)))</f>
        <v/>
      </c>
      <c r="B358">
        <f>IF(A358="","",SUMPRODUCT(--($A$2:A358=A358)))</f>
        <v/>
      </c>
      <c r="C358">
        <f>IF(A358="","",A358&amp;"#"&amp;B358)</f>
        <v/>
      </c>
      <c r="D358">
        <f>IF(A358="","",IFERROR(--'List 1'!B358,0))</f>
        <v/>
      </c>
      <c r="F358">
        <f>IF(TRIM('List 2'!A358&amp;'List 2'!C358&amp;'List 2'!D358)="","",LOWER(TRIM('List 2'!A358)&amp;"|"&amp;TRIM('List 2'!C358)&amp;"|"&amp;TRIM('List 2'!D358)))</f>
        <v/>
      </c>
      <c r="G358">
        <f>IF(F358="","",SUMPRODUCT(--($F$2:F358=F358)))</f>
        <v/>
      </c>
      <c r="H358">
        <f>IF(F358="","",F358&amp;"#"&amp;G358)</f>
        <v/>
      </c>
      <c r="I358">
        <f>IF(F358="","",IFERROR(--'List 2'!B358,0))</f>
        <v/>
      </c>
      <c r="K358">
        <f>C358</f>
        <v/>
      </c>
      <c r="L358">
        <f>IF(K358="","",IF(ISNUMBER('List 1'!A358),'List 1'!A358,TRIM('List 1'!A358)))</f>
        <v/>
      </c>
      <c r="M358">
        <f>IF(K358="","",IF(ISNUMBER('List 1'!C358),'List 1'!C358,TRIM('List 1'!C358)))</f>
        <v/>
      </c>
      <c r="N358">
        <f>IF(K358="","",IF(ISNUMBER('List 1'!D358),'List 1'!D358,TRIM('List 1'!D358)))</f>
        <v/>
      </c>
      <c r="O358">
        <f>IF(K358="","",D358)</f>
        <v/>
      </c>
      <c r="P358">
        <f>IF(K358="","",IF(R358,SUMPRODUCT(--($H$2:$H$501=K358),$I$2:$I$501),0))</f>
        <v/>
      </c>
      <c r="Q358">
        <f>IF(K358="","",TRUE)</f>
        <v/>
      </c>
      <c r="R358">
        <f>IF(K358="","",SUMPRODUCT(--($H$2:$H$501=K358))&gt;0)</f>
        <v/>
      </c>
      <c r="S358">
        <f>IF(K358="","",IF(AND(Q358,R358),IF(O358=P358,"Match","Qty Different"),IF(Q358,"Only in List 1","Only in List 2")))</f>
        <v/>
      </c>
      <c r="T358">
        <f>IF(K358="","",IF(ISNUMBER(--L358),TEXT(--L358,"000000000000.000"),LOWER(L358)))</f>
        <v/>
      </c>
      <c r="U358">
        <f>IF(K358="","",IF(ISNUMBER(--M358),TEXT(--M358,"000000000000.000"),LOWER(M358)))</f>
        <v/>
      </c>
      <c r="V358">
        <f>IF(K358="","",LOWER(N358))</f>
        <v/>
      </c>
      <c r="W358">
        <f>IF(K358="","",B358)</f>
        <v/>
      </c>
      <c r="X358">
        <f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>
      <c r="A359">
        <f>IF(TRIM('List 1'!A359&amp;'List 1'!C359&amp;'List 1'!D359)="","",LOWER(TRIM('List 1'!A359)&amp;"|"&amp;TRIM('List 1'!C359)&amp;"|"&amp;TRIM('List 1'!D359)))</f>
        <v/>
      </c>
      <c r="B359">
        <f>IF(A359="","",SUMPRODUCT(--($A$2:A359=A359)))</f>
        <v/>
      </c>
      <c r="C359">
        <f>IF(A359="","",A359&amp;"#"&amp;B359)</f>
        <v/>
      </c>
      <c r="D359">
        <f>IF(A359="","",IFERROR(--'List 1'!B359,0))</f>
        <v/>
      </c>
      <c r="F359">
        <f>IF(TRIM('List 2'!A359&amp;'List 2'!C359&amp;'List 2'!D359)="","",LOWER(TRIM('List 2'!A359)&amp;"|"&amp;TRIM('List 2'!C359)&amp;"|"&amp;TRIM('List 2'!D359)))</f>
        <v/>
      </c>
      <c r="G359">
        <f>IF(F359="","",SUMPRODUCT(--($F$2:F359=F359)))</f>
        <v/>
      </c>
      <c r="H359">
        <f>IF(F359="","",F359&amp;"#"&amp;G359)</f>
        <v/>
      </c>
      <c r="I359">
        <f>IF(F359="","",IFERROR(--'List 2'!B359,0))</f>
        <v/>
      </c>
      <c r="K359">
        <f>C359</f>
        <v/>
      </c>
      <c r="L359">
        <f>IF(K359="","",IF(ISNUMBER('List 1'!A359),'List 1'!A359,TRIM('List 1'!A359)))</f>
        <v/>
      </c>
      <c r="M359">
        <f>IF(K359="","",IF(ISNUMBER('List 1'!C359),'List 1'!C359,TRIM('List 1'!C359)))</f>
        <v/>
      </c>
      <c r="N359">
        <f>IF(K359="","",IF(ISNUMBER('List 1'!D359),'List 1'!D359,TRIM('List 1'!D359)))</f>
        <v/>
      </c>
      <c r="O359">
        <f>IF(K359="","",D359)</f>
        <v/>
      </c>
      <c r="P359">
        <f>IF(K359="","",IF(R359,SUMPRODUCT(--($H$2:$H$501=K359),$I$2:$I$501),0))</f>
        <v/>
      </c>
      <c r="Q359">
        <f>IF(K359="","",TRUE)</f>
        <v/>
      </c>
      <c r="R359">
        <f>IF(K359="","",SUMPRODUCT(--($H$2:$H$501=K359))&gt;0)</f>
        <v/>
      </c>
      <c r="S359">
        <f>IF(K359="","",IF(AND(Q359,R359),IF(O359=P359,"Match","Qty Different"),IF(Q359,"Only in List 1","Only in List 2")))</f>
        <v/>
      </c>
      <c r="T359">
        <f>IF(K359="","",IF(ISNUMBER(--L359),TEXT(--L359,"000000000000.000"),LOWER(L359)))</f>
        <v/>
      </c>
      <c r="U359">
        <f>IF(K359="","",IF(ISNUMBER(--M359),TEXT(--M359,"000000000000.000"),LOWER(M359)))</f>
        <v/>
      </c>
      <c r="V359">
        <f>IF(K359="","",LOWER(N359))</f>
        <v/>
      </c>
      <c r="W359">
        <f>IF(K359="","",B359)</f>
        <v/>
      </c>
      <c r="X359">
        <f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>
      <c r="A360">
        <f>IF(TRIM('List 1'!A360&amp;'List 1'!C360&amp;'List 1'!D360)="","",LOWER(TRIM('List 1'!A360)&amp;"|"&amp;TRIM('List 1'!C360)&amp;"|"&amp;TRIM('List 1'!D360)))</f>
        <v/>
      </c>
      <c r="B360">
        <f>IF(A360="","",SUMPRODUCT(--($A$2:A360=A360)))</f>
        <v/>
      </c>
      <c r="C360">
        <f>IF(A360="","",A360&amp;"#"&amp;B360)</f>
        <v/>
      </c>
      <c r="D360">
        <f>IF(A360="","",IFERROR(--'List 1'!B360,0))</f>
        <v/>
      </c>
      <c r="F360">
        <f>IF(TRIM('List 2'!A360&amp;'List 2'!C360&amp;'List 2'!D360)="","",LOWER(TRIM('List 2'!A360)&amp;"|"&amp;TRIM('List 2'!C360)&amp;"|"&amp;TRIM('List 2'!D360)))</f>
        <v/>
      </c>
      <c r="G360">
        <f>IF(F360="","",SUMPRODUCT(--($F$2:F360=F360)))</f>
        <v/>
      </c>
      <c r="H360">
        <f>IF(F360="","",F360&amp;"#"&amp;G360)</f>
        <v/>
      </c>
      <c r="I360">
        <f>IF(F360="","",IFERROR(--'List 2'!B360,0))</f>
        <v/>
      </c>
      <c r="K360">
        <f>C360</f>
        <v/>
      </c>
      <c r="L360">
        <f>IF(K360="","",IF(ISNUMBER('List 1'!A360),'List 1'!A360,TRIM('List 1'!A360)))</f>
        <v/>
      </c>
      <c r="M360">
        <f>IF(K360="","",IF(ISNUMBER('List 1'!C360),'List 1'!C360,TRIM('List 1'!C360)))</f>
        <v/>
      </c>
      <c r="N360">
        <f>IF(K360="","",IF(ISNUMBER('List 1'!D360),'List 1'!D360,TRIM('List 1'!D360)))</f>
        <v/>
      </c>
      <c r="O360">
        <f>IF(K360="","",D360)</f>
        <v/>
      </c>
      <c r="P360">
        <f>IF(K360="","",IF(R360,SUMPRODUCT(--($H$2:$H$501=K360),$I$2:$I$501),0))</f>
        <v/>
      </c>
      <c r="Q360">
        <f>IF(K360="","",TRUE)</f>
        <v/>
      </c>
      <c r="R360">
        <f>IF(K360="","",SUMPRODUCT(--($H$2:$H$501=K360))&gt;0)</f>
        <v/>
      </c>
      <c r="S360">
        <f>IF(K360="","",IF(AND(Q360,R360),IF(O360=P360,"Match","Qty Different"),IF(Q360,"Only in List 1","Only in List 2")))</f>
        <v/>
      </c>
      <c r="T360">
        <f>IF(K360="","",IF(ISNUMBER(--L360),TEXT(--L360,"000000000000.000"),LOWER(L360)))</f>
        <v/>
      </c>
      <c r="U360">
        <f>IF(K360="","",IF(ISNUMBER(--M360),TEXT(--M360,"000000000000.000"),LOWER(M360)))</f>
        <v/>
      </c>
      <c r="V360">
        <f>IF(K360="","",LOWER(N360))</f>
        <v/>
      </c>
      <c r="W360">
        <f>IF(K360="","",B360)</f>
        <v/>
      </c>
      <c r="X360">
        <f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>
      <c r="A361">
        <f>IF(TRIM('List 1'!A361&amp;'List 1'!C361&amp;'List 1'!D361)="","",LOWER(TRIM('List 1'!A361)&amp;"|"&amp;TRIM('List 1'!C361)&amp;"|"&amp;TRIM('List 1'!D361)))</f>
        <v/>
      </c>
      <c r="B361">
        <f>IF(A361="","",SUMPRODUCT(--($A$2:A361=A361)))</f>
        <v/>
      </c>
      <c r="C361">
        <f>IF(A361="","",A361&amp;"#"&amp;B361)</f>
        <v/>
      </c>
      <c r="D361">
        <f>IF(A361="","",IFERROR(--'List 1'!B361,0))</f>
        <v/>
      </c>
      <c r="F361">
        <f>IF(TRIM('List 2'!A361&amp;'List 2'!C361&amp;'List 2'!D361)="","",LOWER(TRIM('List 2'!A361)&amp;"|"&amp;TRIM('List 2'!C361)&amp;"|"&amp;TRIM('List 2'!D361)))</f>
        <v/>
      </c>
      <c r="G361">
        <f>IF(F361="","",SUMPRODUCT(--($F$2:F361=F361)))</f>
        <v/>
      </c>
      <c r="H361">
        <f>IF(F361="","",F361&amp;"#"&amp;G361)</f>
        <v/>
      </c>
      <c r="I361">
        <f>IF(F361="","",IFERROR(--'List 2'!B361,0))</f>
        <v/>
      </c>
      <c r="K361">
        <f>C361</f>
        <v/>
      </c>
      <c r="L361">
        <f>IF(K361="","",IF(ISNUMBER('List 1'!A361),'List 1'!A361,TRIM('List 1'!A361)))</f>
        <v/>
      </c>
      <c r="M361">
        <f>IF(K361="","",IF(ISNUMBER('List 1'!C361),'List 1'!C361,TRIM('List 1'!C361)))</f>
        <v/>
      </c>
      <c r="N361">
        <f>IF(K361="","",IF(ISNUMBER('List 1'!D361),'List 1'!D361,TRIM('List 1'!D361)))</f>
        <v/>
      </c>
      <c r="O361">
        <f>IF(K361="","",D361)</f>
        <v/>
      </c>
      <c r="P361">
        <f>IF(K361="","",IF(R361,SUMPRODUCT(--($H$2:$H$501=K361),$I$2:$I$501),0))</f>
        <v/>
      </c>
      <c r="Q361">
        <f>IF(K361="","",TRUE)</f>
        <v/>
      </c>
      <c r="R361">
        <f>IF(K361="","",SUMPRODUCT(--($H$2:$H$501=K361))&gt;0)</f>
        <v/>
      </c>
      <c r="S361">
        <f>IF(K361="","",IF(AND(Q361,R361),IF(O361=P361,"Match","Qty Different"),IF(Q361,"Only in List 1","Only in List 2")))</f>
        <v/>
      </c>
      <c r="T361">
        <f>IF(K361="","",IF(ISNUMBER(--L361),TEXT(--L361,"000000000000.000"),LOWER(L361)))</f>
        <v/>
      </c>
      <c r="U361">
        <f>IF(K361="","",IF(ISNUMBER(--M361),TEXT(--M361,"000000000000.000"),LOWER(M361)))</f>
        <v/>
      </c>
      <c r="V361">
        <f>IF(K361="","",LOWER(N361))</f>
        <v/>
      </c>
      <c r="W361">
        <f>IF(K361="","",B361)</f>
        <v/>
      </c>
      <c r="X361">
        <f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>
      <c r="A362">
        <f>IF(TRIM('List 1'!A362&amp;'List 1'!C362&amp;'List 1'!D362)="","",LOWER(TRIM('List 1'!A362)&amp;"|"&amp;TRIM('List 1'!C362)&amp;"|"&amp;TRIM('List 1'!D362)))</f>
        <v/>
      </c>
      <c r="B362">
        <f>IF(A362="","",SUMPRODUCT(--($A$2:A362=A362)))</f>
        <v/>
      </c>
      <c r="C362">
        <f>IF(A362="","",A362&amp;"#"&amp;B362)</f>
        <v/>
      </c>
      <c r="D362">
        <f>IF(A362="","",IFERROR(--'List 1'!B362,0))</f>
        <v/>
      </c>
      <c r="F362">
        <f>IF(TRIM('List 2'!A362&amp;'List 2'!C362&amp;'List 2'!D362)="","",LOWER(TRIM('List 2'!A362)&amp;"|"&amp;TRIM('List 2'!C362)&amp;"|"&amp;TRIM('List 2'!D362)))</f>
        <v/>
      </c>
      <c r="G362">
        <f>IF(F362="","",SUMPRODUCT(--($F$2:F362=F362)))</f>
        <v/>
      </c>
      <c r="H362">
        <f>IF(F362="","",F362&amp;"#"&amp;G362)</f>
        <v/>
      </c>
      <c r="I362">
        <f>IF(F362="","",IFERROR(--'List 2'!B362,0))</f>
        <v/>
      </c>
      <c r="K362">
        <f>C362</f>
        <v/>
      </c>
      <c r="L362">
        <f>IF(K362="","",IF(ISNUMBER('List 1'!A362),'List 1'!A362,TRIM('List 1'!A362)))</f>
        <v/>
      </c>
      <c r="M362">
        <f>IF(K362="","",IF(ISNUMBER('List 1'!C362),'List 1'!C362,TRIM('List 1'!C362)))</f>
        <v/>
      </c>
      <c r="N362">
        <f>IF(K362="","",IF(ISNUMBER('List 1'!D362),'List 1'!D362,TRIM('List 1'!D362)))</f>
        <v/>
      </c>
      <c r="O362">
        <f>IF(K362="","",D362)</f>
        <v/>
      </c>
      <c r="P362">
        <f>IF(K362="","",IF(R362,SUMPRODUCT(--($H$2:$H$501=K362),$I$2:$I$501),0))</f>
        <v/>
      </c>
      <c r="Q362">
        <f>IF(K362="","",TRUE)</f>
        <v/>
      </c>
      <c r="R362">
        <f>IF(K362="","",SUMPRODUCT(--($H$2:$H$501=K362))&gt;0)</f>
        <v/>
      </c>
      <c r="S362">
        <f>IF(K362="","",IF(AND(Q362,R362),IF(O362=P362,"Match","Qty Different"),IF(Q362,"Only in List 1","Only in List 2")))</f>
        <v/>
      </c>
      <c r="T362">
        <f>IF(K362="","",IF(ISNUMBER(--L362),TEXT(--L362,"000000000000.000"),LOWER(L362)))</f>
        <v/>
      </c>
      <c r="U362">
        <f>IF(K362="","",IF(ISNUMBER(--M362),TEXT(--M362,"000000000000.000"),LOWER(M362)))</f>
        <v/>
      </c>
      <c r="V362">
        <f>IF(K362="","",LOWER(N362))</f>
        <v/>
      </c>
      <c r="W362">
        <f>IF(K362="","",B362)</f>
        <v/>
      </c>
      <c r="X362">
        <f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>
      <c r="A363">
        <f>IF(TRIM('List 1'!A363&amp;'List 1'!C363&amp;'List 1'!D363)="","",LOWER(TRIM('List 1'!A363)&amp;"|"&amp;TRIM('List 1'!C363)&amp;"|"&amp;TRIM('List 1'!D363)))</f>
        <v/>
      </c>
      <c r="B363">
        <f>IF(A363="","",SUMPRODUCT(--($A$2:A363=A363)))</f>
        <v/>
      </c>
      <c r="C363">
        <f>IF(A363="","",A363&amp;"#"&amp;B363)</f>
        <v/>
      </c>
      <c r="D363">
        <f>IF(A363="","",IFERROR(--'List 1'!B363,0))</f>
        <v/>
      </c>
      <c r="F363">
        <f>IF(TRIM('List 2'!A363&amp;'List 2'!C363&amp;'List 2'!D363)="","",LOWER(TRIM('List 2'!A363)&amp;"|"&amp;TRIM('List 2'!C363)&amp;"|"&amp;TRIM('List 2'!D363)))</f>
        <v/>
      </c>
      <c r="G363">
        <f>IF(F363="","",SUMPRODUCT(--($F$2:F363=F363)))</f>
        <v/>
      </c>
      <c r="H363">
        <f>IF(F363="","",F363&amp;"#"&amp;G363)</f>
        <v/>
      </c>
      <c r="I363">
        <f>IF(F363="","",IFERROR(--'List 2'!B363,0))</f>
        <v/>
      </c>
      <c r="K363">
        <f>C363</f>
        <v/>
      </c>
      <c r="L363">
        <f>IF(K363="","",IF(ISNUMBER('List 1'!A363),'List 1'!A363,TRIM('List 1'!A363)))</f>
        <v/>
      </c>
      <c r="M363">
        <f>IF(K363="","",IF(ISNUMBER('List 1'!C363),'List 1'!C363,TRIM('List 1'!C363)))</f>
        <v/>
      </c>
      <c r="N363">
        <f>IF(K363="","",IF(ISNUMBER('List 1'!D363),'List 1'!D363,TRIM('List 1'!D363)))</f>
        <v/>
      </c>
      <c r="O363">
        <f>IF(K363="","",D363)</f>
        <v/>
      </c>
      <c r="P363">
        <f>IF(K363="","",IF(R363,SUMPRODUCT(--($H$2:$H$501=K363),$I$2:$I$501),0))</f>
        <v/>
      </c>
      <c r="Q363">
        <f>IF(K363="","",TRUE)</f>
        <v/>
      </c>
      <c r="R363">
        <f>IF(K363="","",SUMPRODUCT(--($H$2:$H$501=K363))&gt;0)</f>
        <v/>
      </c>
      <c r="S363">
        <f>IF(K363="","",IF(AND(Q363,R363),IF(O363=P363,"Match","Qty Different"),IF(Q363,"Only in List 1","Only in List 2")))</f>
        <v/>
      </c>
      <c r="T363">
        <f>IF(K363="","",IF(ISNUMBER(--L363),TEXT(--L363,"000000000000.000"),LOWER(L363)))</f>
        <v/>
      </c>
      <c r="U363">
        <f>IF(K363="","",IF(ISNUMBER(--M363),TEXT(--M363,"000000000000.000"),LOWER(M363)))</f>
        <v/>
      </c>
      <c r="V363">
        <f>IF(K363="","",LOWER(N363))</f>
        <v/>
      </c>
      <c r="W363">
        <f>IF(K363="","",B363)</f>
        <v/>
      </c>
      <c r="X363">
        <f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>
      <c r="A364">
        <f>IF(TRIM('List 1'!A364&amp;'List 1'!C364&amp;'List 1'!D364)="","",LOWER(TRIM('List 1'!A364)&amp;"|"&amp;TRIM('List 1'!C364)&amp;"|"&amp;TRIM('List 1'!D364)))</f>
        <v/>
      </c>
      <c r="B364">
        <f>IF(A364="","",SUMPRODUCT(--($A$2:A364=A364)))</f>
        <v/>
      </c>
      <c r="C364">
        <f>IF(A364="","",A364&amp;"#"&amp;B364)</f>
        <v/>
      </c>
      <c r="D364">
        <f>IF(A364="","",IFERROR(--'List 1'!B364,0))</f>
        <v/>
      </c>
      <c r="F364">
        <f>IF(TRIM('List 2'!A364&amp;'List 2'!C364&amp;'List 2'!D364)="","",LOWER(TRIM('List 2'!A364)&amp;"|"&amp;TRIM('List 2'!C364)&amp;"|"&amp;TRIM('List 2'!D364)))</f>
        <v/>
      </c>
      <c r="G364">
        <f>IF(F364="","",SUMPRODUCT(--($F$2:F364=F364)))</f>
        <v/>
      </c>
      <c r="H364">
        <f>IF(F364="","",F364&amp;"#"&amp;G364)</f>
        <v/>
      </c>
      <c r="I364">
        <f>IF(F364="","",IFERROR(--'List 2'!B364,0))</f>
        <v/>
      </c>
      <c r="K364">
        <f>C364</f>
        <v/>
      </c>
      <c r="L364">
        <f>IF(K364="","",IF(ISNUMBER('List 1'!A364),'List 1'!A364,TRIM('List 1'!A364)))</f>
        <v/>
      </c>
      <c r="M364">
        <f>IF(K364="","",IF(ISNUMBER('List 1'!C364),'List 1'!C364,TRIM('List 1'!C364)))</f>
        <v/>
      </c>
      <c r="N364">
        <f>IF(K364="","",IF(ISNUMBER('List 1'!D364),'List 1'!D364,TRIM('List 1'!D364)))</f>
        <v/>
      </c>
      <c r="O364">
        <f>IF(K364="","",D364)</f>
        <v/>
      </c>
      <c r="P364">
        <f>IF(K364="","",IF(R364,SUMPRODUCT(--($H$2:$H$501=K364),$I$2:$I$501),0))</f>
        <v/>
      </c>
      <c r="Q364">
        <f>IF(K364="","",TRUE)</f>
        <v/>
      </c>
      <c r="R364">
        <f>IF(K364="","",SUMPRODUCT(--($H$2:$H$501=K364))&gt;0)</f>
        <v/>
      </c>
      <c r="S364">
        <f>IF(K364="","",IF(AND(Q364,R364),IF(O364=P364,"Match","Qty Different"),IF(Q364,"Only in List 1","Only in List 2")))</f>
        <v/>
      </c>
      <c r="T364">
        <f>IF(K364="","",IF(ISNUMBER(--L364),TEXT(--L364,"000000000000.000"),LOWER(L364)))</f>
        <v/>
      </c>
      <c r="U364">
        <f>IF(K364="","",IF(ISNUMBER(--M364),TEXT(--M364,"000000000000.000"),LOWER(M364)))</f>
        <v/>
      </c>
      <c r="V364">
        <f>IF(K364="","",LOWER(N364))</f>
        <v/>
      </c>
      <c r="W364">
        <f>IF(K364="","",B364)</f>
        <v/>
      </c>
      <c r="X364">
        <f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>
      <c r="A365">
        <f>IF(TRIM('List 1'!A365&amp;'List 1'!C365&amp;'List 1'!D365)="","",LOWER(TRIM('List 1'!A365)&amp;"|"&amp;TRIM('List 1'!C365)&amp;"|"&amp;TRIM('List 1'!D365)))</f>
        <v/>
      </c>
      <c r="B365">
        <f>IF(A365="","",SUMPRODUCT(--($A$2:A365=A365)))</f>
        <v/>
      </c>
      <c r="C365">
        <f>IF(A365="","",A365&amp;"#"&amp;B365)</f>
        <v/>
      </c>
      <c r="D365">
        <f>IF(A365="","",IFERROR(--'List 1'!B365,0))</f>
        <v/>
      </c>
      <c r="F365">
        <f>IF(TRIM('List 2'!A365&amp;'List 2'!C365&amp;'List 2'!D365)="","",LOWER(TRIM('List 2'!A365)&amp;"|"&amp;TRIM('List 2'!C365)&amp;"|"&amp;TRIM('List 2'!D365)))</f>
        <v/>
      </c>
      <c r="G365">
        <f>IF(F365="","",SUMPRODUCT(--($F$2:F365=F365)))</f>
        <v/>
      </c>
      <c r="H365">
        <f>IF(F365="","",F365&amp;"#"&amp;G365)</f>
        <v/>
      </c>
      <c r="I365">
        <f>IF(F365="","",IFERROR(--'List 2'!B365,0))</f>
        <v/>
      </c>
      <c r="K365">
        <f>C365</f>
        <v/>
      </c>
      <c r="L365">
        <f>IF(K365="","",IF(ISNUMBER('List 1'!A365),'List 1'!A365,TRIM('List 1'!A365)))</f>
        <v/>
      </c>
      <c r="M365">
        <f>IF(K365="","",IF(ISNUMBER('List 1'!C365),'List 1'!C365,TRIM('List 1'!C365)))</f>
        <v/>
      </c>
      <c r="N365">
        <f>IF(K365="","",IF(ISNUMBER('List 1'!D365),'List 1'!D365,TRIM('List 1'!D365)))</f>
        <v/>
      </c>
      <c r="O365">
        <f>IF(K365="","",D365)</f>
        <v/>
      </c>
      <c r="P365">
        <f>IF(K365="","",IF(R365,SUMPRODUCT(--($H$2:$H$501=K365),$I$2:$I$501),0))</f>
        <v/>
      </c>
      <c r="Q365">
        <f>IF(K365="","",TRUE)</f>
        <v/>
      </c>
      <c r="R365">
        <f>IF(K365="","",SUMPRODUCT(--($H$2:$H$501=K365))&gt;0)</f>
        <v/>
      </c>
      <c r="S365">
        <f>IF(K365="","",IF(AND(Q365,R365),IF(O365=P365,"Match","Qty Different"),IF(Q365,"Only in List 1","Only in List 2")))</f>
        <v/>
      </c>
      <c r="T365">
        <f>IF(K365="","",IF(ISNUMBER(--L365),TEXT(--L365,"000000000000.000"),LOWER(L365)))</f>
        <v/>
      </c>
      <c r="U365">
        <f>IF(K365="","",IF(ISNUMBER(--M365),TEXT(--M365,"000000000000.000"),LOWER(M365)))</f>
        <v/>
      </c>
      <c r="V365">
        <f>IF(K365="","",LOWER(N365))</f>
        <v/>
      </c>
      <c r="W365">
        <f>IF(K365="","",B365)</f>
        <v/>
      </c>
      <c r="X365">
        <f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>
      <c r="A366">
        <f>IF(TRIM('List 1'!A366&amp;'List 1'!C366&amp;'List 1'!D366)="","",LOWER(TRIM('List 1'!A366)&amp;"|"&amp;TRIM('List 1'!C366)&amp;"|"&amp;TRIM('List 1'!D366)))</f>
        <v/>
      </c>
      <c r="B366">
        <f>IF(A366="","",SUMPRODUCT(--($A$2:A366=A366)))</f>
        <v/>
      </c>
      <c r="C366">
        <f>IF(A366="","",A366&amp;"#"&amp;B366)</f>
        <v/>
      </c>
      <c r="D366">
        <f>IF(A366="","",IFERROR(--'List 1'!B366,0))</f>
        <v/>
      </c>
      <c r="F366">
        <f>IF(TRIM('List 2'!A366&amp;'List 2'!C366&amp;'List 2'!D366)="","",LOWER(TRIM('List 2'!A366)&amp;"|"&amp;TRIM('List 2'!C366)&amp;"|"&amp;TRIM('List 2'!D366)))</f>
        <v/>
      </c>
      <c r="G366">
        <f>IF(F366="","",SUMPRODUCT(--($F$2:F366=F366)))</f>
        <v/>
      </c>
      <c r="H366">
        <f>IF(F366="","",F366&amp;"#"&amp;G366)</f>
        <v/>
      </c>
      <c r="I366">
        <f>IF(F366="","",IFERROR(--'List 2'!B366,0))</f>
        <v/>
      </c>
      <c r="K366">
        <f>C366</f>
        <v/>
      </c>
      <c r="L366">
        <f>IF(K366="","",IF(ISNUMBER('List 1'!A366),'List 1'!A366,TRIM('List 1'!A366)))</f>
        <v/>
      </c>
      <c r="M366">
        <f>IF(K366="","",IF(ISNUMBER('List 1'!C366),'List 1'!C366,TRIM('List 1'!C366)))</f>
        <v/>
      </c>
      <c r="N366">
        <f>IF(K366="","",IF(ISNUMBER('List 1'!D366),'List 1'!D366,TRIM('List 1'!D366)))</f>
        <v/>
      </c>
      <c r="O366">
        <f>IF(K366="","",D366)</f>
        <v/>
      </c>
      <c r="P366">
        <f>IF(K366="","",IF(R366,SUMPRODUCT(--($H$2:$H$501=K366),$I$2:$I$501),0))</f>
        <v/>
      </c>
      <c r="Q366">
        <f>IF(K366="","",TRUE)</f>
        <v/>
      </c>
      <c r="R366">
        <f>IF(K366="","",SUMPRODUCT(--($H$2:$H$501=K366))&gt;0)</f>
        <v/>
      </c>
      <c r="S366">
        <f>IF(K366="","",IF(AND(Q366,R366),IF(O366=P366,"Match","Qty Different"),IF(Q366,"Only in List 1","Only in List 2")))</f>
        <v/>
      </c>
      <c r="T366">
        <f>IF(K366="","",IF(ISNUMBER(--L366),TEXT(--L366,"000000000000.000"),LOWER(L366)))</f>
        <v/>
      </c>
      <c r="U366">
        <f>IF(K366="","",IF(ISNUMBER(--M366),TEXT(--M366,"000000000000.000"),LOWER(M366)))</f>
        <v/>
      </c>
      <c r="V366">
        <f>IF(K366="","",LOWER(N366))</f>
        <v/>
      </c>
      <c r="W366">
        <f>IF(K366="","",B366)</f>
        <v/>
      </c>
      <c r="X366">
        <f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>
      <c r="A367">
        <f>IF(TRIM('List 1'!A367&amp;'List 1'!C367&amp;'List 1'!D367)="","",LOWER(TRIM('List 1'!A367)&amp;"|"&amp;TRIM('List 1'!C367)&amp;"|"&amp;TRIM('List 1'!D367)))</f>
        <v/>
      </c>
      <c r="B367">
        <f>IF(A367="","",SUMPRODUCT(--($A$2:A367=A367)))</f>
        <v/>
      </c>
      <c r="C367">
        <f>IF(A367="","",A367&amp;"#"&amp;B367)</f>
        <v/>
      </c>
      <c r="D367">
        <f>IF(A367="","",IFERROR(--'List 1'!B367,0))</f>
        <v/>
      </c>
      <c r="F367">
        <f>IF(TRIM('List 2'!A367&amp;'List 2'!C367&amp;'List 2'!D367)="","",LOWER(TRIM('List 2'!A367)&amp;"|"&amp;TRIM('List 2'!C367)&amp;"|"&amp;TRIM('List 2'!D367)))</f>
        <v/>
      </c>
      <c r="G367">
        <f>IF(F367="","",SUMPRODUCT(--($F$2:F367=F367)))</f>
        <v/>
      </c>
      <c r="H367">
        <f>IF(F367="","",F367&amp;"#"&amp;G367)</f>
        <v/>
      </c>
      <c r="I367">
        <f>IF(F367="","",IFERROR(--'List 2'!B367,0))</f>
        <v/>
      </c>
      <c r="K367">
        <f>C367</f>
        <v/>
      </c>
      <c r="L367">
        <f>IF(K367="","",IF(ISNUMBER('List 1'!A367),'List 1'!A367,TRIM('List 1'!A367)))</f>
        <v/>
      </c>
      <c r="M367">
        <f>IF(K367="","",IF(ISNUMBER('List 1'!C367),'List 1'!C367,TRIM('List 1'!C367)))</f>
        <v/>
      </c>
      <c r="N367">
        <f>IF(K367="","",IF(ISNUMBER('List 1'!D367),'List 1'!D367,TRIM('List 1'!D367)))</f>
        <v/>
      </c>
      <c r="O367">
        <f>IF(K367="","",D367)</f>
        <v/>
      </c>
      <c r="P367">
        <f>IF(K367="","",IF(R367,SUMPRODUCT(--($H$2:$H$501=K367),$I$2:$I$501),0))</f>
        <v/>
      </c>
      <c r="Q367">
        <f>IF(K367="","",TRUE)</f>
        <v/>
      </c>
      <c r="R367">
        <f>IF(K367="","",SUMPRODUCT(--($H$2:$H$501=K367))&gt;0)</f>
        <v/>
      </c>
      <c r="S367">
        <f>IF(K367="","",IF(AND(Q367,R367),IF(O367=P367,"Match","Qty Different"),IF(Q367,"Only in List 1","Only in List 2")))</f>
        <v/>
      </c>
      <c r="T367">
        <f>IF(K367="","",IF(ISNUMBER(--L367),TEXT(--L367,"000000000000.000"),LOWER(L367)))</f>
        <v/>
      </c>
      <c r="U367">
        <f>IF(K367="","",IF(ISNUMBER(--M367),TEXT(--M367,"000000000000.000"),LOWER(M367)))</f>
        <v/>
      </c>
      <c r="V367">
        <f>IF(K367="","",LOWER(N367))</f>
        <v/>
      </c>
      <c r="W367">
        <f>IF(K367="","",B367)</f>
        <v/>
      </c>
      <c r="X367">
        <f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>
      <c r="A368">
        <f>IF(TRIM('List 1'!A368&amp;'List 1'!C368&amp;'List 1'!D368)="","",LOWER(TRIM('List 1'!A368)&amp;"|"&amp;TRIM('List 1'!C368)&amp;"|"&amp;TRIM('List 1'!D368)))</f>
        <v/>
      </c>
      <c r="B368">
        <f>IF(A368="","",SUMPRODUCT(--($A$2:A368=A368)))</f>
        <v/>
      </c>
      <c r="C368">
        <f>IF(A368="","",A368&amp;"#"&amp;B368)</f>
        <v/>
      </c>
      <c r="D368">
        <f>IF(A368="","",IFERROR(--'List 1'!B368,0))</f>
        <v/>
      </c>
      <c r="F368">
        <f>IF(TRIM('List 2'!A368&amp;'List 2'!C368&amp;'List 2'!D368)="","",LOWER(TRIM('List 2'!A368)&amp;"|"&amp;TRIM('List 2'!C368)&amp;"|"&amp;TRIM('List 2'!D368)))</f>
        <v/>
      </c>
      <c r="G368">
        <f>IF(F368="","",SUMPRODUCT(--($F$2:F368=F368)))</f>
        <v/>
      </c>
      <c r="H368">
        <f>IF(F368="","",F368&amp;"#"&amp;G368)</f>
        <v/>
      </c>
      <c r="I368">
        <f>IF(F368="","",IFERROR(--'List 2'!B368,0))</f>
        <v/>
      </c>
      <c r="K368">
        <f>C368</f>
        <v/>
      </c>
      <c r="L368">
        <f>IF(K368="","",IF(ISNUMBER('List 1'!A368),'List 1'!A368,TRIM('List 1'!A368)))</f>
        <v/>
      </c>
      <c r="M368">
        <f>IF(K368="","",IF(ISNUMBER('List 1'!C368),'List 1'!C368,TRIM('List 1'!C368)))</f>
        <v/>
      </c>
      <c r="N368">
        <f>IF(K368="","",IF(ISNUMBER('List 1'!D368),'List 1'!D368,TRIM('List 1'!D368)))</f>
        <v/>
      </c>
      <c r="O368">
        <f>IF(K368="","",D368)</f>
        <v/>
      </c>
      <c r="P368">
        <f>IF(K368="","",IF(R368,SUMPRODUCT(--($H$2:$H$501=K368),$I$2:$I$501),0))</f>
        <v/>
      </c>
      <c r="Q368">
        <f>IF(K368="","",TRUE)</f>
        <v/>
      </c>
      <c r="R368">
        <f>IF(K368="","",SUMPRODUCT(--($H$2:$H$501=K368))&gt;0)</f>
        <v/>
      </c>
      <c r="S368">
        <f>IF(K368="","",IF(AND(Q368,R368),IF(O368=P368,"Match","Qty Different"),IF(Q368,"Only in List 1","Only in List 2")))</f>
        <v/>
      </c>
      <c r="T368">
        <f>IF(K368="","",IF(ISNUMBER(--L368),TEXT(--L368,"000000000000.000"),LOWER(L368)))</f>
        <v/>
      </c>
      <c r="U368">
        <f>IF(K368="","",IF(ISNUMBER(--M368),TEXT(--M368,"000000000000.000"),LOWER(M368)))</f>
        <v/>
      </c>
      <c r="V368">
        <f>IF(K368="","",LOWER(N368))</f>
        <v/>
      </c>
      <c r="W368">
        <f>IF(K368="","",B368)</f>
        <v/>
      </c>
      <c r="X368">
        <f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>
      <c r="A369">
        <f>IF(TRIM('List 1'!A369&amp;'List 1'!C369&amp;'List 1'!D369)="","",LOWER(TRIM('List 1'!A369)&amp;"|"&amp;TRIM('List 1'!C369)&amp;"|"&amp;TRIM('List 1'!D369)))</f>
        <v/>
      </c>
      <c r="B369">
        <f>IF(A369="","",SUMPRODUCT(--($A$2:A369=A369)))</f>
        <v/>
      </c>
      <c r="C369">
        <f>IF(A369="","",A369&amp;"#"&amp;B369)</f>
        <v/>
      </c>
      <c r="D369">
        <f>IF(A369="","",IFERROR(--'List 1'!B369,0))</f>
        <v/>
      </c>
      <c r="F369">
        <f>IF(TRIM('List 2'!A369&amp;'List 2'!C369&amp;'List 2'!D369)="","",LOWER(TRIM('List 2'!A369)&amp;"|"&amp;TRIM('List 2'!C369)&amp;"|"&amp;TRIM('List 2'!D369)))</f>
        <v/>
      </c>
      <c r="G369">
        <f>IF(F369="","",SUMPRODUCT(--($F$2:F369=F369)))</f>
        <v/>
      </c>
      <c r="H369">
        <f>IF(F369="","",F369&amp;"#"&amp;G369)</f>
        <v/>
      </c>
      <c r="I369">
        <f>IF(F369="","",IFERROR(--'List 2'!B369,0))</f>
        <v/>
      </c>
      <c r="K369">
        <f>C369</f>
        <v/>
      </c>
      <c r="L369">
        <f>IF(K369="","",IF(ISNUMBER('List 1'!A369),'List 1'!A369,TRIM('List 1'!A369)))</f>
        <v/>
      </c>
      <c r="M369">
        <f>IF(K369="","",IF(ISNUMBER('List 1'!C369),'List 1'!C369,TRIM('List 1'!C369)))</f>
        <v/>
      </c>
      <c r="N369">
        <f>IF(K369="","",IF(ISNUMBER('List 1'!D369),'List 1'!D369,TRIM('List 1'!D369)))</f>
        <v/>
      </c>
      <c r="O369">
        <f>IF(K369="","",D369)</f>
        <v/>
      </c>
      <c r="P369">
        <f>IF(K369="","",IF(R369,SUMPRODUCT(--($H$2:$H$501=K369),$I$2:$I$501),0))</f>
        <v/>
      </c>
      <c r="Q369">
        <f>IF(K369="","",TRUE)</f>
        <v/>
      </c>
      <c r="R369">
        <f>IF(K369="","",SUMPRODUCT(--($H$2:$H$501=K369))&gt;0)</f>
        <v/>
      </c>
      <c r="S369">
        <f>IF(K369="","",IF(AND(Q369,R369),IF(O369=P369,"Match","Qty Different"),IF(Q369,"Only in List 1","Only in List 2")))</f>
        <v/>
      </c>
      <c r="T369">
        <f>IF(K369="","",IF(ISNUMBER(--L369),TEXT(--L369,"000000000000.000"),LOWER(L369)))</f>
        <v/>
      </c>
      <c r="U369">
        <f>IF(K369="","",IF(ISNUMBER(--M369),TEXT(--M369,"000000000000.000"),LOWER(M369)))</f>
        <v/>
      </c>
      <c r="V369">
        <f>IF(K369="","",LOWER(N369))</f>
        <v/>
      </c>
      <c r="W369">
        <f>IF(K369="","",B369)</f>
        <v/>
      </c>
      <c r="X369">
        <f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>
      <c r="A370">
        <f>IF(TRIM('List 1'!A370&amp;'List 1'!C370&amp;'List 1'!D370)="","",LOWER(TRIM('List 1'!A370)&amp;"|"&amp;TRIM('List 1'!C370)&amp;"|"&amp;TRIM('List 1'!D370)))</f>
        <v/>
      </c>
      <c r="B370">
        <f>IF(A370="","",SUMPRODUCT(--($A$2:A370=A370)))</f>
        <v/>
      </c>
      <c r="C370">
        <f>IF(A370="","",A370&amp;"#"&amp;B370)</f>
        <v/>
      </c>
      <c r="D370">
        <f>IF(A370="","",IFERROR(--'List 1'!B370,0))</f>
        <v/>
      </c>
      <c r="F370">
        <f>IF(TRIM('List 2'!A370&amp;'List 2'!C370&amp;'List 2'!D370)="","",LOWER(TRIM('List 2'!A370)&amp;"|"&amp;TRIM('List 2'!C370)&amp;"|"&amp;TRIM('List 2'!D370)))</f>
        <v/>
      </c>
      <c r="G370">
        <f>IF(F370="","",SUMPRODUCT(--($F$2:F370=F370)))</f>
        <v/>
      </c>
      <c r="H370">
        <f>IF(F370="","",F370&amp;"#"&amp;G370)</f>
        <v/>
      </c>
      <c r="I370">
        <f>IF(F370="","",IFERROR(--'List 2'!B370,0))</f>
        <v/>
      </c>
      <c r="K370">
        <f>C370</f>
        <v/>
      </c>
      <c r="L370">
        <f>IF(K370="","",IF(ISNUMBER('List 1'!A370),'List 1'!A370,TRIM('List 1'!A370)))</f>
        <v/>
      </c>
      <c r="M370">
        <f>IF(K370="","",IF(ISNUMBER('List 1'!C370),'List 1'!C370,TRIM('List 1'!C370)))</f>
        <v/>
      </c>
      <c r="N370">
        <f>IF(K370="","",IF(ISNUMBER('List 1'!D370),'List 1'!D370,TRIM('List 1'!D370)))</f>
        <v/>
      </c>
      <c r="O370">
        <f>IF(K370="","",D370)</f>
        <v/>
      </c>
      <c r="P370">
        <f>IF(K370="","",IF(R370,SUMPRODUCT(--($H$2:$H$501=K370),$I$2:$I$501),0))</f>
        <v/>
      </c>
      <c r="Q370">
        <f>IF(K370="","",TRUE)</f>
        <v/>
      </c>
      <c r="R370">
        <f>IF(K370="","",SUMPRODUCT(--($H$2:$H$501=K370))&gt;0)</f>
        <v/>
      </c>
      <c r="S370">
        <f>IF(K370="","",IF(AND(Q370,R370),IF(O370=P370,"Match","Qty Different"),IF(Q370,"Only in List 1","Only in List 2")))</f>
        <v/>
      </c>
      <c r="T370">
        <f>IF(K370="","",IF(ISNUMBER(--L370),TEXT(--L370,"000000000000.000"),LOWER(L370)))</f>
        <v/>
      </c>
      <c r="U370">
        <f>IF(K370="","",IF(ISNUMBER(--M370),TEXT(--M370,"000000000000.000"),LOWER(M370)))</f>
        <v/>
      </c>
      <c r="V370">
        <f>IF(K370="","",LOWER(N370))</f>
        <v/>
      </c>
      <c r="W370">
        <f>IF(K370="","",B370)</f>
        <v/>
      </c>
      <c r="X370">
        <f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>
      <c r="A371">
        <f>IF(TRIM('List 1'!A371&amp;'List 1'!C371&amp;'List 1'!D371)="","",LOWER(TRIM('List 1'!A371)&amp;"|"&amp;TRIM('List 1'!C371)&amp;"|"&amp;TRIM('List 1'!D371)))</f>
        <v/>
      </c>
      <c r="B371">
        <f>IF(A371="","",SUMPRODUCT(--($A$2:A371=A371)))</f>
        <v/>
      </c>
      <c r="C371">
        <f>IF(A371="","",A371&amp;"#"&amp;B371)</f>
        <v/>
      </c>
      <c r="D371">
        <f>IF(A371="","",IFERROR(--'List 1'!B371,0))</f>
        <v/>
      </c>
      <c r="F371">
        <f>IF(TRIM('List 2'!A371&amp;'List 2'!C371&amp;'List 2'!D371)="","",LOWER(TRIM('List 2'!A371)&amp;"|"&amp;TRIM('List 2'!C371)&amp;"|"&amp;TRIM('List 2'!D371)))</f>
        <v/>
      </c>
      <c r="G371">
        <f>IF(F371="","",SUMPRODUCT(--($F$2:F371=F371)))</f>
        <v/>
      </c>
      <c r="H371">
        <f>IF(F371="","",F371&amp;"#"&amp;G371)</f>
        <v/>
      </c>
      <c r="I371">
        <f>IF(F371="","",IFERROR(--'List 2'!B371,0))</f>
        <v/>
      </c>
      <c r="K371">
        <f>C371</f>
        <v/>
      </c>
      <c r="L371">
        <f>IF(K371="","",IF(ISNUMBER('List 1'!A371),'List 1'!A371,TRIM('List 1'!A371)))</f>
        <v/>
      </c>
      <c r="M371">
        <f>IF(K371="","",IF(ISNUMBER('List 1'!C371),'List 1'!C371,TRIM('List 1'!C371)))</f>
        <v/>
      </c>
      <c r="N371">
        <f>IF(K371="","",IF(ISNUMBER('List 1'!D371),'List 1'!D371,TRIM('List 1'!D371)))</f>
        <v/>
      </c>
      <c r="O371">
        <f>IF(K371="","",D371)</f>
        <v/>
      </c>
      <c r="P371">
        <f>IF(K371="","",IF(R371,SUMPRODUCT(--($H$2:$H$501=K371),$I$2:$I$501),0))</f>
        <v/>
      </c>
      <c r="Q371">
        <f>IF(K371="","",TRUE)</f>
        <v/>
      </c>
      <c r="R371">
        <f>IF(K371="","",SUMPRODUCT(--($H$2:$H$501=K371))&gt;0)</f>
        <v/>
      </c>
      <c r="S371">
        <f>IF(K371="","",IF(AND(Q371,R371),IF(O371=P371,"Match","Qty Different"),IF(Q371,"Only in List 1","Only in List 2")))</f>
        <v/>
      </c>
      <c r="T371">
        <f>IF(K371="","",IF(ISNUMBER(--L371),TEXT(--L371,"000000000000.000"),LOWER(L371)))</f>
        <v/>
      </c>
      <c r="U371">
        <f>IF(K371="","",IF(ISNUMBER(--M371),TEXT(--M371,"000000000000.000"),LOWER(M371)))</f>
        <v/>
      </c>
      <c r="V371">
        <f>IF(K371="","",LOWER(N371))</f>
        <v/>
      </c>
      <c r="W371">
        <f>IF(K371="","",B371)</f>
        <v/>
      </c>
      <c r="X371">
        <f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>
      <c r="A372">
        <f>IF(TRIM('List 1'!A372&amp;'List 1'!C372&amp;'List 1'!D372)="","",LOWER(TRIM('List 1'!A372)&amp;"|"&amp;TRIM('List 1'!C372)&amp;"|"&amp;TRIM('List 1'!D372)))</f>
        <v/>
      </c>
      <c r="B372">
        <f>IF(A372="","",SUMPRODUCT(--($A$2:A372=A372)))</f>
        <v/>
      </c>
      <c r="C372">
        <f>IF(A372="","",A372&amp;"#"&amp;B372)</f>
        <v/>
      </c>
      <c r="D372">
        <f>IF(A372="","",IFERROR(--'List 1'!B372,0))</f>
        <v/>
      </c>
      <c r="F372">
        <f>IF(TRIM('List 2'!A372&amp;'List 2'!C372&amp;'List 2'!D372)="","",LOWER(TRIM('List 2'!A372)&amp;"|"&amp;TRIM('List 2'!C372)&amp;"|"&amp;TRIM('List 2'!D372)))</f>
        <v/>
      </c>
      <c r="G372">
        <f>IF(F372="","",SUMPRODUCT(--($F$2:F372=F372)))</f>
        <v/>
      </c>
      <c r="H372">
        <f>IF(F372="","",F372&amp;"#"&amp;G372)</f>
        <v/>
      </c>
      <c r="I372">
        <f>IF(F372="","",IFERROR(--'List 2'!B372,0))</f>
        <v/>
      </c>
      <c r="K372">
        <f>C372</f>
        <v/>
      </c>
      <c r="L372">
        <f>IF(K372="","",IF(ISNUMBER('List 1'!A372),'List 1'!A372,TRIM('List 1'!A372)))</f>
        <v/>
      </c>
      <c r="M372">
        <f>IF(K372="","",IF(ISNUMBER('List 1'!C372),'List 1'!C372,TRIM('List 1'!C372)))</f>
        <v/>
      </c>
      <c r="N372">
        <f>IF(K372="","",IF(ISNUMBER('List 1'!D372),'List 1'!D372,TRIM('List 1'!D372)))</f>
        <v/>
      </c>
      <c r="O372">
        <f>IF(K372="","",D372)</f>
        <v/>
      </c>
      <c r="P372">
        <f>IF(K372="","",IF(R372,SUMPRODUCT(--($H$2:$H$501=K372),$I$2:$I$501),0))</f>
        <v/>
      </c>
      <c r="Q372">
        <f>IF(K372="","",TRUE)</f>
        <v/>
      </c>
      <c r="R372">
        <f>IF(K372="","",SUMPRODUCT(--($H$2:$H$501=K372))&gt;0)</f>
        <v/>
      </c>
      <c r="S372">
        <f>IF(K372="","",IF(AND(Q372,R372),IF(O372=P372,"Match","Qty Different"),IF(Q372,"Only in List 1","Only in List 2")))</f>
        <v/>
      </c>
      <c r="T372">
        <f>IF(K372="","",IF(ISNUMBER(--L372),TEXT(--L372,"000000000000.000"),LOWER(L372)))</f>
        <v/>
      </c>
      <c r="U372">
        <f>IF(K372="","",IF(ISNUMBER(--M372),TEXT(--M372,"000000000000.000"),LOWER(M372)))</f>
        <v/>
      </c>
      <c r="V372">
        <f>IF(K372="","",LOWER(N372))</f>
        <v/>
      </c>
      <c r="W372">
        <f>IF(K372="","",B372)</f>
        <v/>
      </c>
      <c r="X372">
        <f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>
      <c r="A373">
        <f>IF(TRIM('List 1'!A373&amp;'List 1'!C373&amp;'List 1'!D373)="","",LOWER(TRIM('List 1'!A373)&amp;"|"&amp;TRIM('List 1'!C373)&amp;"|"&amp;TRIM('List 1'!D373)))</f>
        <v/>
      </c>
      <c r="B373">
        <f>IF(A373="","",SUMPRODUCT(--($A$2:A373=A373)))</f>
        <v/>
      </c>
      <c r="C373">
        <f>IF(A373="","",A373&amp;"#"&amp;B373)</f>
        <v/>
      </c>
      <c r="D373">
        <f>IF(A373="","",IFERROR(--'List 1'!B373,0))</f>
        <v/>
      </c>
      <c r="F373">
        <f>IF(TRIM('List 2'!A373&amp;'List 2'!C373&amp;'List 2'!D373)="","",LOWER(TRIM('List 2'!A373)&amp;"|"&amp;TRIM('List 2'!C373)&amp;"|"&amp;TRIM('List 2'!D373)))</f>
        <v/>
      </c>
      <c r="G373">
        <f>IF(F373="","",SUMPRODUCT(--($F$2:F373=F373)))</f>
        <v/>
      </c>
      <c r="H373">
        <f>IF(F373="","",F373&amp;"#"&amp;G373)</f>
        <v/>
      </c>
      <c r="I373">
        <f>IF(F373="","",IFERROR(--'List 2'!B373,0))</f>
        <v/>
      </c>
      <c r="K373">
        <f>C373</f>
        <v/>
      </c>
      <c r="L373">
        <f>IF(K373="","",IF(ISNUMBER('List 1'!A373),'List 1'!A373,TRIM('List 1'!A373)))</f>
        <v/>
      </c>
      <c r="M373">
        <f>IF(K373="","",IF(ISNUMBER('List 1'!C373),'List 1'!C373,TRIM('List 1'!C373)))</f>
        <v/>
      </c>
      <c r="N373">
        <f>IF(K373="","",IF(ISNUMBER('List 1'!D373),'List 1'!D373,TRIM('List 1'!D373)))</f>
        <v/>
      </c>
      <c r="O373">
        <f>IF(K373="","",D373)</f>
        <v/>
      </c>
      <c r="P373">
        <f>IF(K373="","",IF(R373,SUMPRODUCT(--($H$2:$H$501=K373),$I$2:$I$501),0))</f>
        <v/>
      </c>
      <c r="Q373">
        <f>IF(K373="","",TRUE)</f>
        <v/>
      </c>
      <c r="R373">
        <f>IF(K373="","",SUMPRODUCT(--($H$2:$H$501=K373))&gt;0)</f>
        <v/>
      </c>
      <c r="S373">
        <f>IF(K373="","",IF(AND(Q373,R373),IF(O373=P373,"Match","Qty Different"),IF(Q373,"Only in List 1","Only in List 2")))</f>
        <v/>
      </c>
      <c r="T373">
        <f>IF(K373="","",IF(ISNUMBER(--L373),TEXT(--L373,"000000000000.000"),LOWER(L373)))</f>
        <v/>
      </c>
      <c r="U373">
        <f>IF(K373="","",IF(ISNUMBER(--M373),TEXT(--M373,"000000000000.000"),LOWER(M373)))</f>
        <v/>
      </c>
      <c r="V373">
        <f>IF(K373="","",LOWER(N373))</f>
        <v/>
      </c>
      <c r="W373">
        <f>IF(K373="","",B373)</f>
        <v/>
      </c>
      <c r="X373">
        <f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>
      <c r="A374">
        <f>IF(TRIM('List 1'!A374&amp;'List 1'!C374&amp;'List 1'!D374)="","",LOWER(TRIM('List 1'!A374)&amp;"|"&amp;TRIM('List 1'!C374)&amp;"|"&amp;TRIM('List 1'!D374)))</f>
        <v/>
      </c>
      <c r="B374">
        <f>IF(A374="","",SUMPRODUCT(--($A$2:A374=A374)))</f>
        <v/>
      </c>
      <c r="C374">
        <f>IF(A374="","",A374&amp;"#"&amp;B374)</f>
        <v/>
      </c>
      <c r="D374">
        <f>IF(A374="","",IFERROR(--'List 1'!B374,0))</f>
        <v/>
      </c>
      <c r="F374">
        <f>IF(TRIM('List 2'!A374&amp;'List 2'!C374&amp;'List 2'!D374)="","",LOWER(TRIM('List 2'!A374)&amp;"|"&amp;TRIM('List 2'!C374)&amp;"|"&amp;TRIM('List 2'!D374)))</f>
        <v/>
      </c>
      <c r="G374">
        <f>IF(F374="","",SUMPRODUCT(--($F$2:F374=F374)))</f>
        <v/>
      </c>
      <c r="H374">
        <f>IF(F374="","",F374&amp;"#"&amp;G374)</f>
        <v/>
      </c>
      <c r="I374">
        <f>IF(F374="","",IFERROR(--'List 2'!B374,0))</f>
        <v/>
      </c>
      <c r="K374">
        <f>C374</f>
        <v/>
      </c>
      <c r="L374">
        <f>IF(K374="","",IF(ISNUMBER('List 1'!A374),'List 1'!A374,TRIM('List 1'!A374)))</f>
        <v/>
      </c>
      <c r="M374">
        <f>IF(K374="","",IF(ISNUMBER('List 1'!C374),'List 1'!C374,TRIM('List 1'!C374)))</f>
        <v/>
      </c>
      <c r="N374">
        <f>IF(K374="","",IF(ISNUMBER('List 1'!D374),'List 1'!D374,TRIM('List 1'!D374)))</f>
        <v/>
      </c>
      <c r="O374">
        <f>IF(K374="","",D374)</f>
        <v/>
      </c>
      <c r="P374">
        <f>IF(K374="","",IF(R374,SUMPRODUCT(--($H$2:$H$501=K374),$I$2:$I$501),0))</f>
        <v/>
      </c>
      <c r="Q374">
        <f>IF(K374="","",TRUE)</f>
        <v/>
      </c>
      <c r="R374">
        <f>IF(K374="","",SUMPRODUCT(--($H$2:$H$501=K374))&gt;0)</f>
        <v/>
      </c>
      <c r="S374">
        <f>IF(K374="","",IF(AND(Q374,R374),IF(O374=P374,"Match","Qty Different"),IF(Q374,"Only in List 1","Only in List 2")))</f>
        <v/>
      </c>
      <c r="T374">
        <f>IF(K374="","",IF(ISNUMBER(--L374),TEXT(--L374,"000000000000.000"),LOWER(L374)))</f>
        <v/>
      </c>
      <c r="U374">
        <f>IF(K374="","",IF(ISNUMBER(--M374),TEXT(--M374,"000000000000.000"),LOWER(M374)))</f>
        <v/>
      </c>
      <c r="V374">
        <f>IF(K374="","",LOWER(N374))</f>
        <v/>
      </c>
      <c r="W374">
        <f>IF(K374="","",B374)</f>
        <v/>
      </c>
      <c r="X374">
        <f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>
      <c r="A375">
        <f>IF(TRIM('List 1'!A375&amp;'List 1'!C375&amp;'List 1'!D375)="","",LOWER(TRIM('List 1'!A375)&amp;"|"&amp;TRIM('List 1'!C375)&amp;"|"&amp;TRIM('List 1'!D375)))</f>
        <v/>
      </c>
      <c r="B375">
        <f>IF(A375="","",SUMPRODUCT(--($A$2:A375=A375)))</f>
        <v/>
      </c>
      <c r="C375">
        <f>IF(A375="","",A375&amp;"#"&amp;B375)</f>
        <v/>
      </c>
      <c r="D375">
        <f>IF(A375="","",IFERROR(--'List 1'!B375,0))</f>
        <v/>
      </c>
      <c r="F375">
        <f>IF(TRIM('List 2'!A375&amp;'List 2'!C375&amp;'List 2'!D375)="","",LOWER(TRIM('List 2'!A375)&amp;"|"&amp;TRIM('List 2'!C375)&amp;"|"&amp;TRIM('List 2'!D375)))</f>
        <v/>
      </c>
      <c r="G375">
        <f>IF(F375="","",SUMPRODUCT(--($F$2:F375=F375)))</f>
        <v/>
      </c>
      <c r="H375">
        <f>IF(F375="","",F375&amp;"#"&amp;G375)</f>
        <v/>
      </c>
      <c r="I375">
        <f>IF(F375="","",IFERROR(--'List 2'!B375,0))</f>
        <v/>
      </c>
      <c r="K375">
        <f>C375</f>
        <v/>
      </c>
      <c r="L375">
        <f>IF(K375="","",IF(ISNUMBER('List 1'!A375),'List 1'!A375,TRIM('List 1'!A375)))</f>
        <v/>
      </c>
      <c r="M375">
        <f>IF(K375="","",IF(ISNUMBER('List 1'!C375),'List 1'!C375,TRIM('List 1'!C375)))</f>
        <v/>
      </c>
      <c r="N375">
        <f>IF(K375="","",IF(ISNUMBER('List 1'!D375),'List 1'!D375,TRIM('List 1'!D375)))</f>
        <v/>
      </c>
      <c r="O375">
        <f>IF(K375="","",D375)</f>
        <v/>
      </c>
      <c r="P375">
        <f>IF(K375="","",IF(R375,SUMPRODUCT(--($H$2:$H$501=K375),$I$2:$I$501),0))</f>
        <v/>
      </c>
      <c r="Q375">
        <f>IF(K375="","",TRUE)</f>
        <v/>
      </c>
      <c r="R375">
        <f>IF(K375="","",SUMPRODUCT(--($H$2:$H$501=K375))&gt;0)</f>
        <v/>
      </c>
      <c r="S375">
        <f>IF(K375="","",IF(AND(Q375,R375),IF(O375=P375,"Match","Qty Different"),IF(Q375,"Only in List 1","Only in List 2")))</f>
        <v/>
      </c>
      <c r="T375">
        <f>IF(K375="","",IF(ISNUMBER(--L375),TEXT(--L375,"000000000000.000"),LOWER(L375)))</f>
        <v/>
      </c>
      <c r="U375">
        <f>IF(K375="","",IF(ISNUMBER(--M375),TEXT(--M375,"000000000000.000"),LOWER(M375)))</f>
        <v/>
      </c>
      <c r="V375">
        <f>IF(K375="","",LOWER(N375))</f>
        <v/>
      </c>
      <c r="W375">
        <f>IF(K375="","",B375)</f>
        <v/>
      </c>
      <c r="X375">
        <f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>
      <c r="A376">
        <f>IF(TRIM('List 1'!A376&amp;'List 1'!C376&amp;'List 1'!D376)="","",LOWER(TRIM('List 1'!A376)&amp;"|"&amp;TRIM('List 1'!C376)&amp;"|"&amp;TRIM('List 1'!D376)))</f>
        <v/>
      </c>
      <c r="B376">
        <f>IF(A376="","",SUMPRODUCT(--($A$2:A376=A376)))</f>
        <v/>
      </c>
      <c r="C376">
        <f>IF(A376="","",A376&amp;"#"&amp;B376)</f>
        <v/>
      </c>
      <c r="D376">
        <f>IF(A376="","",IFERROR(--'List 1'!B376,0))</f>
        <v/>
      </c>
      <c r="F376">
        <f>IF(TRIM('List 2'!A376&amp;'List 2'!C376&amp;'List 2'!D376)="","",LOWER(TRIM('List 2'!A376)&amp;"|"&amp;TRIM('List 2'!C376)&amp;"|"&amp;TRIM('List 2'!D376)))</f>
        <v/>
      </c>
      <c r="G376">
        <f>IF(F376="","",SUMPRODUCT(--($F$2:F376=F376)))</f>
        <v/>
      </c>
      <c r="H376">
        <f>IF(F376="","",F376&amp;"#"&amp;G376)</f>
        <v/>
      </c>
      <c r="I376">
        <f>IF(F376="","",IFERROR(--'List 2'!B376,0))</f>
        <v/>
      </c>
      <c r="K376">
        <f>C376</f>
        <v/>
      </c>
      <c r="L376">
        <f>IF(K376="","",IF(ISNUMBER('List 1'!A376),'List 1'!A376,TRIM('List 1'!A376)))</f>
        <v/>
      </c>
      <c r="M376">
        <f>IF(K376="","",IF(ISNUMBER('List 1'!C376),'List 1'!C376,TRIM('List 1'!C376)))</f>
        <v/>
      </c>
      <c r="N376">
        <f>IF(K376="","",IF(ISNUMBER('List 1'!D376),'List 1'!D376,TRIM('List 1'!D376)))</f>
        <v/>
      </c>
      <c r="O376">
        <f>IF(K376="","",D376)</f>
        <v/>
      </c>
      <c r="P376">
        <f>IF(K376="","",IF(R376,SUMPRODUCT(--($H$2:$H$501=K376),$I$2:$I$501),0))</f>
        <v/>
      </c>
      <c r="Q376">
        <f>IF(K376="","",TRUE)</f>
        <v/>
      </c>
      <c r="R376">
        <f>IF(K376="","",SUMPRODUCT(--($H$2:$H$501=K376))&gt;0)</f>
        <v/>
      </c>
      <c r="S376">
        <f>IF(K376="","",IF(AND(Q376,R376),IF(O376=P376,"Match","Qty Different"),IF(Q376,"Only in List 1","Only in List 2")))</f>
        <v/>
      </c>
      <c r="T376">
        <f>IF(K376="","",IF(ISNUMBER(--L376),TEXT(--L376,"000000000000.000"),LOWER(L376)))</f>
        <v/>
      </c>
      <c r="U376">
        <f>IF(K376="","",IF(ISNUMBER(--M376),TEXT(--M376,"000000000000.000"),LOWER(M376)))</f>
        <v/>
      </c>
      <c r="V376">
        <f>IF(K376="","",LOWER(N376))</f>
        <v/>
      </c>
      <c r="W376">
        <f>IF(K376="","",B376)</f>
        <v/>
      </c>
      <c r="X376">
        <f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>
      <c r="A377">
        <f>IF(TRIM('List 1'!A377&amp;'List 1'!C377&amp;'List 1'!D377)="","",LOWER(TRIM('List 1'!A377)&amp;"|"&amp;TRIM('List 1'!C377)&amp;"|"&amp;TRIM('List 1'!D377)))</f>
        <v/>
      </c>
      <c r="B377">
        <f>IF(A377="","",SUMPRODUCT(--($A$2:A377=A377)))</f>
        <v/>
      </c>
      <c r="C377">
        <f>IF(A377="","",A377&amp;"#"&amp;B377)</f>
        <v/>
      </c>
      <c r="D377">
        <f>IF(A377="","",IFERROR(--'List 1'!B377,0))</f>
        <v/>
      </c>
      <c r="F377">
        <f>IF(TRIM('List 2'!A377&amp;'List 2'!C377&amp;'List 2'!D377)="","",LOWER(TRIM('List 2'!A377)&amp;"|"&amp;TRIM('List 2'!C377)&amp;"|"&amp;TRIM('List 2'!D377)))</f>
        <v/>
      </c>
      <c r="G377">
        <f>IF(F377="","",SUMPRODUCT(--($F$2:F377=F377)))</f>
        <v/>
      </c>
      <c r="H377">
        <f>IF(F377="","",F377&amp;"#"&amp;G377)</f>
        <v/>
      </c>
      <c r="I377">
        <f>IF(F377="","",IFERROR(--'List 2'!B377,0))</f>
        <v/>
      </c>
      <c r="K377">
        <f>C377</f>
        <v/>
      </c>
      <c r="L377">
        <f>IF(K377="","",IF(ISNUMBER('List 1'!A377),'List 1'!A377,TRIM('List 1'!A377)))</f>
        <v/>
      </c>
      <c r="M377">
        <f>IF(K377="","",IF(ISNUMBER('List 1'!C377),'List 1'!C377,TRIM('List 1'!C377)))</f>
        <v/>
      </c>
      <c r="N377">
        <f>IF(K377="","",IF(ISNUMBER('List 1'!D377),'List 1'!D377,TRIM('List 1'!D377)))</f>
        <v/>
      </c>
      <c r="O377">
        <f>IF(K377="","",D377)</f>
        <v/>
      </c>
      <c r="P377">
        <f>IF(K377="","",IF(R377,SUMPRODUCT(--($H$2:$H$501=K377),$I$2:$I$501),0))</f>
        <v/>
      </c>
      <c r="Q377">
        <f>IF(K377="","",TRUE)</f>
        <v/>
      </c>
      <c r="R377">
        <f>IF(K377="","",SUMPRODUCT(--($H$2:$H$501=K377))&gt;0)</f>
        <v/>
      </c>
      <c r="S377">
        <f>IF(K377="","",IF(AND(Q377,R377),IF(O377=P377,"Match","Qty Different"),IF(Q377,"Only in List 1","Only in List 2")))</f>
        <v/>
      </c>
      <c r="T377">
        <f>IF(K377="","",IF(ISNUMBER(--L377),TEXT(--L377,"000000000000.000"),LOWER(L377)))</f>
        <v/>
      </c>
      <c r="U377">
        <f>IF(K377="","",IF(ISNUMBER(--M377),TEXT(--M377,"000000000000.000"),LOWER(M377)))</f>
        <v/>
      </c>
      <c r="V377">
        <f>IF(K377="","",LOWER(N377))</f>
        <v/>
      </c>
      <c r="W377">
        <f>IF(K377="","",B377)</f>
        <v/>
      </c>
      <c r="X377">
        <f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>
      <c r="A378">
        <f>IF(TRIM('List 1'!A378&amp;'List 1'!C378&amp;'List 1'!D378)="","",LOWER(TRIM('List 1'!A378)&amp;"|"&amp;TRIM('List 1'!C378)&amp;"|"&amp;TRIM('List 1'!D378)))</f>
        <v/>
      </c>
      <c r="B378">
        <f>IF(A378="","",SUMPRODUCT(--($A$2:A378=A378)))</f>
        <v/>
      </c>
      <c r="C378">
        <f>IF(A378="","",A378&amp;"#"&amp;B378)</f>
        <v/>
      </c>
      <c r="D378">
        <f>IF(A378="","",IFERROR(--'List 1'!B378,0))</f>
        <v/>
      </c>
      <c r="F378">
        <f>IF(TRIM('List 2'!A378&amp;'List 2'!C378&amp;'List 2'!D378)="","",LOWER(TRIM('List 2'!A378)&amp;"|"&amp;TRIM('List 2'!C378)&amp;"|"&amp;TRIM('List 2'!D378)))</f>
        <v/>
      </c>
      <c r="G378">
        <f>IF(F378="","",SUMPRODUCT(--($F$2:F378=F378)))</f>
        <v/>
      </c>
      <c r="H378">
        <f>IF(F378="","",F378&amp;"#"&amp;G378)</f>
        <v/>
      </c>
      <c r="I378">
        <f>IF(F378="","",IFERROR(--'List 2'!B378,0))</f>
        <v/>
      </c>
      <c r="K378">
        <f>C378</f>
        <v/>
      </c>
      <c r="L378">
        <f>IF(K378="","",IF(ISNUMBER('List 1'!A378),'List 1'!A378,TRIM('List 1'!A378)))</f>
        <v/>
      </c>
      <c r="M378">
        <f>IF(K378="","",IF(ISNUMBER('List 1'!C378),'List 1'!C378,TRIM('List 1'!C378)))</f>
        <v/>
      </c>
      <c r="N378">
        <f>IF(K378="","",IF(ISNUMBER('List 1'!D378),'List 1'!D378,TRIM('List 1'!D378)))</f>
        <v/>
      </c>
      <c r="O378">
        <f>IF(K378="","",D378)</f>
        <v/>
      </c>
      <c r="P378">
        <f>IF(K378="","",IF(R378,SUMPRODUCT(--($H$2:$H$501=K378),$I$2:$I$501),0))</f>
        <v/>
      </c>
      <c r="Q378">
        <f>IF(K378="","",TRUE)</f>
        <v/>
      </c>
      <c r="R378">
        <f>IF(K378="","",SUMPRODUCT(--($H$2:$H$501=K378))&gt;0)</f>
        <v/>
      </c>
      <c r="S378">
        <f>IF(K378="","",IF(AND(Q378,R378),IF(O378=P378,"Match","Qty Different"),IF(Q378,"Only in List 1","Only in List 2")))</f>
        <v/>
      </c>
      <c r="T378">
        <f>IF(K378="","",IF(ISNUMBER(--L378),TEXT(--L378,"000000000000.000"),LOWER(L378)))</f>
        <v/>
      </c>
      <c r="U378">
        <f>IF(K378="","",IF(ISNUMBER(--M378),TEXT(--M378,"000000000000.000"),LOWER(M378)))</f>
        <v/>
      </c>
      <c r="V378">
        <f>IF(K378="","",LOWER(N378))</f>
        <v/>
      </c>
      <c r="W378">
        <f>IF(K378="","",B378)</f>
        <v/>
      </c>
      <c r="X378">
        <f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>
      <c r="A379">
        <f>IF(TRIM('List 1'!A379&amp;'List 1'!C379&amp;'List 1'!D379)="","",LOWER(TRIM('List 1'!A379)&amp;"|"&amp;TRIM('List 1'!C379)&amp;"|"&amp;TRIM('List 1'!D379)))</f>
        <v/>
      </c>
      <c r="B379">
        <f>IF(A379="","",SUMPRODUCT(--($A$2:A379=A379)))</f>
        <v/>
      </c>
      <c r="C379">
        <f>IF(A379="","",A379&amp;"#"&amp;B379)</f>
        <v/>
      </c>
      <c r="D379">
        <f>IF(A379="","",IFERROR(--'List 1'!B379,0))</f>
        <v/>
      </c>
      <c r="F379">
        <f>IF(TRIM('List 2'!A379&amp;'List 2'!C379&amp;'List 2'!D379)="","",LOWER(TRIM('List 2'!A379)&amp;"|"&amp;TRIM('List 2'!C379)&amp;"|"&amp;TRIM('List 2'!D379)))</f>
        <v/>
      </c>
      <c r="G379">
        <f>IF(F379="","",SUMPRODUCT(--($F$2:F379=F379)))</f>
        <v/>
      </c>
      <c r="H379">
        <f>IF(F379="","",F379&amp;"#"&amp;G379)</f>
        <v/>
      </c>
      <c r="I379">
        <f>IF(F379="","",IFERROR(--'List 2'!B379,0))</f>
        <v/>
      </c>
      <c r="K379">
        <f>C379</f>
        <v/>
      </c>
      <c r="L379">
        <f>IF(K379="","",IF(ISNUMBER('List 1'!A379),'List 1'!A379,TRIM('List 1'!A379)))</f>
        <v/>
      </c>
      <c r="M379">
        <f>IF(K379="","",IF(ISNUMBER('List 1'!C379),'List 1'!C379,TRIM('List 1'!C379)))</f>
        <v/>
      </c>
      <c r="N379">
        <f>IF(K379="","",IF(ISNUMBER('List 1'!D379),'List 1'!D379,TRIM('List 1'!D379)))</f>
        <v/>
      </c>
      <c r="O379">
        <f>IF(K379="","",D379)</f>
        <v/>
      </c>
      <c r="P379">
        <f>IF(K379="","",IF(R379,SUMPRODUCT(--($H$2:$H$501=K379),$I$2:$I$501),0))</f>
        <v/>
      </c>
      <c r="Q379">
        <f>IF(K379="","",TRUE)</f>
        <v/>
      </c>
      <c r="R379">
        <f>IF(K379="","",SUMPRODUCT(--($H$2:$H$501=K379))&gt;0)</f>
        <v/>
      </c>
      <c r="S379">
        <f>IF(K379="","",IF(AND(Q379,R379),IF(O379=P379,"Match","Qty Different"),IF(Q379,"Only in List 1","Only in List 2")))</f>
        <v/>
      </c>
      <c r="T379">
        <f>IF(K379="","",IF(ISNUMBER(--L379),TEXT(--L379,"000000000000.000"),LOWER(L379)))</f>
        <v/>
      </c>
      <c r="U379">
        <f>IF(K379="","",IF(ISNUMBER(--M379),TEXT(--M379,"000000000000.000"),LOWER(M379)))</f>
        <v/>
      </c>
      <c r="V379">
        <f>IF(K379="","",LOWER(N379))</f>
        <v/>
      </c>
      <c r="W379">
        <f>IF(K379="","",B379)</f>
        <v/>
      </c>
      <c r="X379">
        <f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>
      <c r="A380">
        <f>IF(TRIM('List 1'!A380&amp;'List 1'!C380&amp;'List 1'!D380)="","",LOWER(TRIM('List 1'!A380)&amp;"|"&amp;TRIM('List 1'!C380)&amp;"|"&amp;TRIM('List 1'!D380)))</f>
        <v/>
      </c>
      <c r="B380">
        <f>IF(A380="","",SUMPRODUCT(--($A$2:A380=A380)))</f>
        <v/>
      </c>
      <c r="C380">
        <f>IF(A380="","",A380&amp;"#"&amp;B380)</f>
        <v/>
      </c>
      <c r="D380">
        <f>IF(A380="","",IFERROR(--'List 1'!B380,0))</f>
        <v/>
      </c>
      <c r="F380">
        <f>IF(TRIM('List 2'!A380&amp;'List 2'!C380&amp;'List 2'!D380)="","",LOWER(TRIM('List 2'!A380)&amp;"|"&amp;TRIM('List 2'!C380)&amp;"|"&amp;TRIM('List 2'!D380)))</f>
        <v/>
      </c>
      <c r="G380">
        <f>IF(F380="","",SUMPRODUCT(--($F$2:F380=F380)))</f>
        <v/>
      </c>
      <c r="H380">
        <f>IF(F380="","",F380&amp;"#"&amp;G380)</f>
        <v/>
      </c>
      <c r="I380">
        <f>IF(F380="","",IFERROR(--'List 2'!B380,0))</f>
        <v/>
      </c>
      <c r="K380">
        <f>C380</f>
        <v/>
      </c>
      <c r="L380">
        <f>IF(K380="","",IF(ISNUMBER('List 1'!A380),'List 1'!A380,TRIM('List 1'!A380)))</f>
        <v/>
      </c>
      <c r="M380">
        <f>IF(K380="","",IF(ISNUMBER('List 1'!C380),'List 1'!C380,TRIM('List 1'!C380)))</f>
        <v/>
      </c>
      <c r="N380">
        <f>IF(K380="","",IF(ISNUMBER('List 1'!D380),'List 1'!D380,TRIM('List 1'!D380)))</f>
        <v/>
      </c>
      <c r="O380">
        <f>IF(K380="","",D380)</f>
        <v/>
      </c>
      <c r="P380">
        <f>IF(K380="","",IF(R380,SUMPRODUCT(--($H$2:$H$501=K380),$I$2:$I$501),0))</f>
        <v/>
      </c>
      <c r="Q380">
        <f>IF(K380="","",TRUE)</f>
        <v/>
      </c>
      <c r="R380">
        <f>IF(K380="","",SUMPRODUCT(--($H$2:$H$501=K380))&gt;0)</f>
        <v/>
      </c>
      <c r="S380">
        <f>IF(K380="","",IF(AND(Q380,R380),IF(O380=P380,"Match","Qty Different"),IF(Q380,"Only in List 1","Only in List 2")))</f>
        <v/>
      </c>
      <c r="T380">
        <f>IF(K380="","",IF(ISNUMBER(--L380),TEXT(--L380,"000000000000.000"),LOWER(L380)))</f>
        <v/>
      </c>
      <c r="U380">
        <f>IF(K380="","",IF(ISNUMBER(--M380),TEXT(--M380,"000000000000.000"),LOWER(M380)))</f>
        <v/>
      </c>
      <c r="V380">
        <f>IF(K380="","",LOWER(N380))</f>
        <v/>
      </c>
      <c r="W380">
        <f>IF(K380="","",B380)</f>
        <v/>
      </c>
      <c r="X380">
        <f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>
      <c r="A381">
        <f>IF(TRIM('List 1'!A381&amp;'List 1'!C381&amp;'List 1'!D381)="","",LOWER(TRIM('List 1'!A381)&amp;"|"&amp;TRIM('List 1'!C381)&amp;"|"&amp;TRIM('List 1'!D381)))</f>
        <v/>
      </c>
      <c r="B381">
        <f>IF(A381="","",SUMPRODUCT(--($A$2:A381=A381)))</f>
        <v/>
      </c>
      <c r="C381">
        <f>IF(A381="","",A381&amp;"#"&amp;B381)</f>
        <v/>
      </c>
      <c r="D381">
        <f>IF(A381="","",IFERROR(--'List 1'!B381,0))</f>
        <v/>
      </c>
      <c r="F381">
        <f>IF(TRIM('List 2'!A381&amp;'List 2'!C381&amp;'List 2'!D381)="","",LOWER(TRIM('List 2'!A381)&amp;"|"&amp;TRIM('List 2'!C381)&amp;"|"&amp;TRIM('List 2'!D381)))</f>
        <v/>
      </c>
      <c r="G381">
        <f>IF(F381="","",SUMPRODUCT(--($F$2:F381=F381)))</f>
        <v/>
      </c>
      <c r="H381">
        <f>IF(F381="","",F381&amp;"#"&amp;G381)</f>
        <v/>
      </c>
      <c r="I381">
        <f>IF(F381="","",IFERROR(--'List 2'!B381,0))</f>
        <v/>
      </c>
      <c r="K381">
        <f>C381</f>
        <v/>
      </c>
      <c r="L381">
        <f>IF(K381="","",IF(ISNUMBER('List 1'!A381),'List 1'!A381,TRIM('List 1'!A381)))</f>
        <v/>
      </c>
      <c r="M381">
        <f>IF(K381="","",IF(ISNUMBER('List 1'!C381),'List 1'!C381,TRIM('List 1'!C381)))</f>
        <v/>
      </c>
      <c r="N381">
        <f>IF(K381="","",IF(ISNUMBER('List 1'!D381),'List 1'!D381,TRIM('List 1'!D381)))</f>
        <v/>
      </c>
      <c r="O381">
        <f>IF(K381="","",D381)</f>
        <v/>
      </c>
      <c r="P381">
        <f>IF(K381="","",IF(R381,SUMPRODUCT(--($H$2:$H$501=K381),$I$2:$I$501),0))</f>
        <v/>
      </c>
      <c r="Q381">
        <f>IF(K381="","",TRUE)</f>
        <v/>
      </c>
      <c r="R381">
        <f>IF(K381="","",SUMPRODUCT(--($H$2:$H$501=K381))&gt;0)</f>
        <v/>
      </c>
      <c r="S381">
        <f>IF(K381="","",IF(AND(Q381,R381),IF(O381=P381,"Match","Qty Different"),IF(Q381,"Only in List 1","Only in List 2")))</f>
        <v/>
      </c>
      <c r="T381">
        <f>IF(K381="","",IF(ISNUMBER(--L381),TEXT(--L381,"000000000000.000"),LOWER(L381)))</f>
        <v/>
      </c>
      <c r="U381">
        <f>IF(K381="","",IF(ISNUMBER(--M381),TEXT(--M381,"000000000000.000"),LOWER(M381)))</f>
        <v/>
      </c>
      <c r="V381">
        <f>IF(K381="","",LOWER(N381))</f>
        <v/>
      </c>
      <c r="W381">
        <f>IF(K381="","",B381)</f>
        <v/>
      </c>
      <c r="X381">
        <f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>
      <c r="A382">
        <f>IF(TRIM('List 1'!A382&amp;'List 1'!C382&amp;'List 1'!D382)="","",LOWER(TRIM('List 1'!A382)&amp;"|"&amp;TRIM('List 1'!C382)&amp;"|"&amp;TRIM('List 1'!D382)))</f>
        <v/>
      </c>
      <c r="B382">
        <f>IF(A382="","",SUMPRODUCT(--($A$2:A382=A382)))</f>
        <v/>
      </c>
      <c r="C382">
        <f>IF(A382="","",A382&amp;"#"&amp;B382)</f>
        <v/>
      </c>
      <c r="D382">
        <f>IF(A382="","",IFERROR(--'List 1'!B382,0))</f>
        <v/>
      </c>
      <c r="F382">
        <f>IF(TRIM('List 2'!A382&amp;'List 2'!C382&amp;'List 2'!D382)="","",LOWER(TRIM('List 2'!A382)&amp;"|"&amp;TRIM('List 2'!C382)&amp;"|"&amp;TRIM('List 2'!D382)))</f>
        <v/>
      </c>
      <c r="G382">
        <f>IF(F382="","",SUMPRODUCT(--($F$2:F382=F382)))</f>
        <v/>
      </c>
      <c r="H382">
        <f>IF(F382="","",F382&amp;"#"&amp;G382)</f>
        <v/>
      </c>
      <c r="I382">
        <f>IF(F382="","",IFERROR(--'List 2'!B382,0))</f>
        <v/>
      </c>
      <c r="K382">
        <f>C382</f>
        <v/>
      </c>
      <c r="L382">
        <f>IF(K382="","",IF(ISNUMBER('List 1'!A382),'List 1'!A382,TRIM('List 1'!A382)))</f>
        <v/>
      </c>
      <c r="M382">
        <f>IF(K382="","",IF(ISNUMBER('List 1'!C382),'List 1'!C382,TRIM('List 1'!C382)))</f>
        <v/>
      </c>
      <c r="N382">
        <f>IF(K382="","",IF(ISNUMBER('List 1'!D382),'List 1'!D382,TRIM('List 1'!D382)))</f>
        <v/>
      </c>
      <c r="O382">
        <f>IF(K382="","",D382)</f>
        <v/>
      </c>
      <c r="P382">
        <f>IF(K382="","",IF(R382,SUMPRODUCT(--($H$2:$H$501=K382),$I$2:$I$501),0))</f>
        <v/>
      </c>
      <c r="Q382">
        <f>IF(K382="","",TRUE)</f>
        <v/>
      </c>
      <c r="R382">
        <f>IF(K382="","",SUMPRODUCT(--($H$2:$H$501=K382))&gt;0)</f>
        <v/>
      </c>
      <c r="S382">
        <f>IF(K382="","",IF(AND(Q382,R382),IF(O382=P382,"Match","Qty Different"),IF(Q382,"Only in List 1","Only in List 2")))</f>
        <v/>
      </c>
      <c r="T382">
        <f>IF(K382="","",IF(ISNUMBER(--L382),TEXT(--L382,"000000000000.000"),LOWER(L382)))</f>
        <v/>
      </c>
      <c r="U382">
        <f>IF(K382="","",IF(ISNUMBER(--M382),TEXT(--M382,"000000000000.000"),LOWER(M382)))</f>
        <v/>
      </c>
      <c r="V382">
        <f>IF(K382="","",LOWER(N382))</f>
        <v/>
      </c>
      <c r="W382">
        <f>IF(K382="","",B382)</f>
        <v/>
      </c>
      <c r="X382">
        <f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>
      <c r="A383">
        <f>IF(TRIM('List 1'!A383&amp;'List 1'!C383&amp;'List 1'!D383)="","",LOWER(TRIM('List 1'!A383)&amp;"|"&amp;TRIM('List 1'!C383)&amp;"|"&amp;TRIM('List 1'!D383)))</f>
        <v/>
      </c>
      <c r="B383">
        <f>IF(A383="","",SUMPRODUCT(--($A$2:A383=A383)))</f>
        <v/>
      </c>
      <c r="C383">
        <f>IF(A383="","",A383&amp;"#"&amp;B383)</f>
        <v/>
      </c>
      <c r="D383">
        <f>IF(A383="","",IFERROR(--'List 1'!B383,0))</f>
        <v/>
      </c>
      <c r="F383">
        <f>IF(TRIM('List 2'!A383&amp;'List 2'!C383&amp;'List 2'!D383)="","",LOWER(TRIM('List 2'!A383)&amp;"|"&amp;TRIM('List 2'!C383)&amp;"|"&amp;TRIM('List 2'!D383)))</f>
        <v/>
      </c>
      <c r="G383">
        <f>IF(F383="","",SUMPRODUCT(--($F$2:F383=F383)))</f>
        <v/>
      </c>
      <c r="H383">
        <f>IF(F383="","",F383&amp;"#"&amp;G383)</f>
        <v/>
      </c>
      <c r="I383">
        <f>IF(F383="","",IFERROR(--'List 2'!B383,0))</f>
        <v/>
      </c>
      <c r="K383">
        <f>C383</f>
        <v/>
      </c>
      <c r="L383">
        <f>IF(K383="","",IF(ISNUMBER('List 1'!A383),'List 1'!A383,TRIM('List 1'!A383)))</f>
        <v/>
      </c>
      <c r="M383">
        <f>IF(K383="","",IF(ISNUMBER('List 1'!C383),'List 1'!C383,TRIM('List 1'!C383)))</f>
        <v/>
      </c>
      <c r="N383">
        <f>IF(K383="","",IF(ISNUMBER('List 1'!D383),'List 1'!D383,TRIM('List 1'!D383)))</f>
        <v/>
      </c>
      <c r="O383">
        <f>IF(K383="","",D383)</f>
        <v/>
      </c>
      <c r="P383">
        <f>IF(K383="","",IF(R383,SUMPRODUCT(--($H$2:$H$501=K383),$I$2:$I$501),0))</f>
        <v/>
      </c>
      <c r="Q383">
        <f>IF(K383="","",TRUE)</f>
        <v/>
      </c>
      <c r="R383">
        <f>IF(K383="","",SUMPRODUCT(--($H$2:$H$501=K383))&gt;0)</f>
        <v/>
      </c>
      <c r="S383">
        <f>IF(K383="","",IF(AND(Q383,R383),IF(O383=P383,"Match","Qty Different"),IF(Q383,"Only in List 1","Only in List 2")))</f>
        <v/>
      </c>
      <c r="T383">
        <f>IF(K383="","",IF(ISNUMBER(--L383),TEXT(--L383,"000000000000.000"),LOWER(L383)))</f>
        <v/>
      </c>
      <c r="U383">
        <f>IF(K383="","",IF(ISNUMBER(--M383),TEXT(--M383,"000000000000.000"),LOWER(M383)))</f>
        <v/>
      </c>
      <c r="V383">
        <f>IF(K383="","",LOWER(N383))</f>
        <v/>
      </c>
      <c r="W383">
        <f>IF(K383="","",B383)</f>
        <v/>
      </c>
      <c r="X383">
        <f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>
      <c r="A384">
        <f>IF(TRIM('List 1'!A384&amp;'List 1'!C384&amp;'List 1'!D384)="","",LOWER(TRIM('List 1'!A384)&amp;"|"&amp;TRIM('List 1'!C384)&amp;"|"&amp;TRIM('List 1'!D384)))</f>
        <v/>
      </c>
      <c r="B384">
        <f>IF(A384="","",SUMPRODUCT(--($A$2:A384=A384)))</f>
        <v/>
      </c>
      <c r="C384">
        <f>IF(A384="","",A384&amp;"#"&amp;B384)</f>
        <v/>
      </c>
      <c r="D384">
        <f>IF(A384="","",IFERROR(--'List 1'!B384,0))</f>
        <v/>
      </c>
      <c r="F384">
        <f>IF(TRIM('List 2'!A384&amp;'List 2'!C384&amp;'List 2'!D384)="","",LOWER(TRIM('List 2'!A384)&amp;"|"&amp;TRIM('List 2'!C384)&amp;"|"&amp;TRIM('List 2'!D384)))</f>
        <v/>
      </c>
      <c r="G384">
        <f>IF(F384="","",SUMPRODUCT(--($F$2:F384=F384)))</f>
        <v/>
      </c>
      <c r="H384">
        <f>IF(F384="","",F384&amp;"#"&amp;G384)</f>
        <v/>
      </c>
      <c r="I384">
        <f>IF(F384="","",IFERROR(--'List 2'!B384,0))</f>
        <v/>
      </c>
      <c r="K384">
        <f>C384</f>
        <v/>
      </c>
      <c r="L384">
        <f>IF(K384="","",IF(ISNUMBER('List 1'!A384),'List 1'!A384,TRIM('List 1'!A384)))</f>
        <v/>
      </c>
      <c r="M384">
        <f>IF(K384="","",IF(ISNUMBER('List 1'!C384),'List 1'!C384,TRIM('List 1'!C384)))</f>
        <v/>
      </c>
      <c r="N384">
        <f>IF(K384="","",IF(ISNUMBER('List 1'!D384),'List 1'!D384,TRIM('List 1'!D384)))</f>
        <v/>
      </c>
      <c r="O384">
        <f>IF(K384="","",D384)</f>
        <v/>
      </c>
      <c r="P384">
        <f>IF(K384="","",IF(R384,SUMPRODUCT(--($H$2:$H$501=K384),$I$2:$I$501),0))</f>
        <v/>
      </c>
      <c r="Q384">
        <f>IF(K384="","",TRUE)</f>
        <v/>
      </c>
      <c r="R384">
        <f>IF(K384="","",SUMPRODUCT(--($H$2:$H$501=K384))&gt;0)</f>
        <v/>
      </c>
      <c r="S384">
        <f>IF(K384="","",IF(AND(Q384,R384),IF(O384=P384,"Match","Qty Different"),IF(Q384,"Only in List 1","Only in List 2")))</f>
        <v/>
      </c>
      <c r="T384">
        <f>IF(K384="","",IF(ISNUMBER(--L384),TEXT(--L384,"000000000000.000"),LOWER(L384)))</f>
        <v/>
      </c>
      <c r="U384">
        <f>IF(K384="","",IF(ISNUMBER(--M384),TEXT(--M384,"000000000000.000"),LOWER(M384)))</f>
        <v/>
      </c>
      <c r="V384">
        <f>IF(K384="","",LOWER(N384))</f>
        <v/>
      </c>
      <c r="W384">
        <f>IF(K384="","",B384)</f>
        <v/>
      </c>
      <c r="X384">
        <f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>
      <c r="A385">
        <f>IF(TRIM('List 1'!A385&amp;'List 1'!C385&amp;'List 1'!D385)="","",LOWER(TRIM('List 1'!A385)&amp;"|"&amp;TRIM('List 1'!C385)&amp;"|"&amp;TRIM('List 1'!D385)))</f>
        <v/>
      </c>
      <c r="B385">
        <f>IF(A385="","",SUMPRODUCT(--($A$2:A385=A385)))</f>
        <v/>
      </c>
      <c r="C385">
        <f>IF(A385="","",A385&amp;"#"&amp;B385)</f>
        <v/>
      </c>
      <c r="D385">
        <f>IF(A385="","",IFERROR(--'List 1'!B385,0))</f>
        <v/>
      </c>
      <c r="F385">
        <f>IF(TRIM('List 2'!A385&amp;'List 2'!C385&amp;'List 2'!D385)="","",LOWER(TRIM('List 2'!A385)&amp;"|"&amp;TRIM('List 2'!C385)&amp;"|"&amp;TRIM('List 2'!D385)))</f>
        <v/>
      </c>
      <c r="G385">
        <f>IF(F385="","",SUMPRODUCT(--($F$2:F385=F385)))</f>
        <v/>
      </c>
      <c r="H385">
        <f>IF(F385="","",F385&amp;"#"&amp;G385)</f>
        <v/>
      </c>
      <c r="I385">
        <f>IF(F385="","",IFERROR(--'List 2'!B385,0))</f>
        <v/>
      </c>
      <c r="K385">
        <f>C385</f>
        <v/>
      </c>
      <c r="L385">
        <f>IF(K385="","",IF(ISNUMBER('List 1'!A385),'List 1'!A385,TRIM('List 1'!A385)))</f>
        <v/>
      </c>
      <c r="M385">
        <f>IF(K385="","",IF(ISNUMBER('List 1'!C385),'List 1'!C385,TRIM('List 1'!C385)))</f>
        <v/>
      </c>
      <c r="N385">
        <f>IF(K385="","",IF(ISNUMBER('List 1'!D385),'List 1'!D385,TRIM('List 1'!D385)))</f>
        <v/>
      </c>
      <c r="O385">
        <f>IF(K385="","",D385)</f>
        <v/>
      </c>
      <c r="P385">
        <f>IF(K385="","",IF(R385,SUMPRODUCT(--($H$2:$H$501=K385),$I$2:$I$501),0))</f>
        <v/>
      </c>
      <c r="Q385">
        <f>IF(K385="","",TRUE)</f>
        <v/>
      </c>
      <c r="R385">
        <f>IF(K385="","",SUMPRODUCT(--($H$2:$H$501=K385))&gt;0)</f>
        <v/>
      </c>
      <c r="S385">
        <f>IF(K385="","",IF(AND(Q385,R385),IF(O385=P385,"Match","Qty Different"),IF(Q385,"Only in List 1","Only in List 2")))</f>
        <v/>
      </c>
      <c r="T385">
        <f>IF(K385="","",IF(ISNUMBER(--L385),TEXT(--L385,"000000000000.000"),LOWER(L385)))</f>
        <v/>
      </c>
      <c r="U385">
        <f>IF(K385="","",IF(ISNUMBER(--M385),TEXT(--M385,"000000000000.000"),LOWER(M385)))</f>
        <v/>
      </c>
      <c r="V385">
        <f>IF(K385="","",LOWER(N385))</f>
        <v/>
      </c>
      <c r="W385">
        <f>IF(K385="","",B385)</f>
        <v/>
      </c>
      <c r="X385">
        <f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>
      <c r="A386">
        <f>IF(TRIM('List 1'!A386&amp;'List 1'!C386&amp;'List 1'!D386)="","",LOWER(TRIM('List 1'!A386)&amp;"|"&amp;TRIM('List 1'!C386)&amp;"|"&amp;TRIM('List 1'!D386)))</f>
        <v/>
      </c>
      <c r="B386">
        <f>IF(A386="","",SUMPRODUCT(--($A$2:A386=A386)))</f>
        <v/>
      </c>
      <c r="C386">
        <f>IF(A386="","",A386&amp;"#"&amp;B386)</f>
        <v/>
      </c>
      <c r="D386">
        <f>IF(A386="","",IFERROR(--'List 1'!B386,0))</f>
        <v/>
      </c>
      <c r="F386">
        <f>IF(TRIM('List 2'!A386&amp;'List 2'!C386&amp;'List 2'!D386)="","",LOWER(TRIM('List 2'!A386)&amp;"|"&amp;TRIM('List 2'!C386)&amp;"|"&amp;TRIM('List 2'!D386)))</f>
        <v/>
      </c>
      <c r="G386">
        <f>IF(F386="","",SUMPRODUCT(--($F$2:F386=F386)))</f>
        <v/>
      </c>
      <c r="H386">
        <f>IF(F386="","",F386&amp;"#"&amp;G386)</f>
        <v/>
      </c>
      <c r="I386">
        <f>IF(F386="","",IFERROR(--'List 2'!B386,0))</f>
        <v/>
      </c>
      <c r="K386">
        <f>C386</f>
        <v/>
      </c>
      <c r="L386">
        <f>IF(K386="","",IF(ISNUMBER('List 1'!A386),'List 1'!A386,TRIM('List 1'!A386)))</f>
        <v/>
      </c>
      <c r="M386">
        <f>IF(K386="","",IF(ISNUMBER('List 1'!C386),'List 1'!C386,TRIM('List 1'!C386)))</f>
        <v/>
      </c>
      <c r="N386">
        <f>IF(K386="","",IF(ISNUMBER('List 1'!D386),'List 1'!D386,TRIM('List 1'!D386)))</f>
        <v/>
      </c>
      <c r="O386">
        <f>IF(K386="","",D386)</f>
        <v/>
      </c>
      <c r="P386">
        <f>IF(K386="","",IF(R386,SUMPRODUCT(--($H$2:$H$501=K386),$I$2:$I$501),0))</f>
        <v/>
      </c>
      <c r="Q386">
        <f>IF(K386="","",TRUE)</f>
        <v/>
      </c>
      <c r="R386">
        <f>IF(K386="","",SUMPRODUCT(--($H$2:$H$501=K386))&gt;0)</f>
        <v/>
      </c>
      <c r="S386">
        <f>IF(K386="","",IF(AND(Q386,R386),IF(O386=P386,"Match","Qty Different"),IF(Q386,"Only in List 1","Only in List 2")))</f>
        <v/>
      </c>
      <c r="T386">
        <f>IF(K386="","",IF(ISNUMBER(--L386),TEXT(--L386,"000000000000.000"),LOWER(L386)))</f>
        <v/>
      </c>
      <c r="U386">
        <f>IF(K386="","",IF(ISNUMBER(--M386),TEXT(--M386,"000000000000.000"),LOWER(M386)))</f>
        <v/>
      </c>
      <c r="V386">
        <f>IF(K386="","",LOWER(N386))</f>
        <v/>
      </c>
      <c r="W386">
        <f>IF(K386="","",B386)</f>
        <v/>
      </c>
      <c r="X386">
        <f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>
      <c r="A387">
        <f>IF(TRIM('List 1'!A387&amp;'List 1'!C387&amp;'List 1'!D387)="","",LOWER(TRIM('List 1'!A387)&amp;"|"&amp;TRIM('List 1'!C387)&amp;"|"&amp;TRIM('List 1'!D387)))</f>
        <v/>
      </c>
      <c r="B387">
        <f>IF(A387="","",SUMPRODUCT(--($A$2:A387=A387)))</f>
        <v/>
      </c>
      <c r="C387">
        <f>IF(A387="","",A387&amp;"#"&amp;B387)</f>
        <v/>
      </c>
      <c r="D387">
        <f>IF(A387="","",IFERROR(--'List 1'!B387,0))</f>
        <v/>
      </c>
      <c r="F387">
        <f>IF(TRIM('List 2'!A387&amp;'List 2'!C387&amp;'List 2'!D387)="","",LOWER(TRIM('List 2'!A387)&amp;"|"&amp;TRIM('List 2'!C387)&amp;"|"&amp;TRIM('List 2'!D387)))</f>
        <v/>
      </c>
      <c r="G387">
        <f>IF(F387="","",SUMPRODUCT(--($F$2:F387=F387)))</f>
        <v/>
      </c>
      <c r="H387">
        <f>IF(F387="","",F387&amp;"#"&amp;G387)</f>
        <v/>
      </c>
      <c r="I387">
        <f>IF(F387="","",IFERROR(--'List 2'!B387,0))</f>
        <v/>
      </c>
      <c r="K387">
        <f>C387</f>
        <v/>
      </c>
      <c r="L387">
        <f>IF(K387="","",IF(ISNUMBER('List 1'!A387),'List 1'!A387,TRIM('List 1'!A387)))</f>
        <v/>
      </c>
      <c r="M387">
        <f>IF(K387="","",IF(ISNUMBER('List 1'!C387),'List 1'!C387,TRIM('List 1'!C387)))</f>
        <v/>
      </c>
      <c r="N387">
        <f>IF(K387="","",IF(ISNUMBER('List 1'!D387),'List 1'!D387,TRIM('List 1'!D387)))</f>
        <v/>
      </c>
      <c r="O387">
        <f>IF(K387="","",D387)</f>
        <v/>
      </c>
      <c r="P387">
        <f>IF(K387="","",IF(R387,SUMPRODUCT(--($H$2:$H$501=K387),$I$2:$I$501),0))</f>
        <v/>
      </c>
      <c r="Q387">
        <f>IF(K387="","",TRUE)</f>
        <v/>
      </c>
      <c r="R387">
        <f>IF(K387="","",SUMPRODUCT(--($H$2:$H$501=K387))&gt;0)</f>
        <v/>
      </c>
      <c r="S387">
        <f>IF(K387="","",IF(AND(Q387,R387),IF(O387=P387,"Match","Qty Different"),IF(Q387,"Only in List 1","Only in List 2")))</f>
        <v/>
      </c>
      <c r="T387">
        <f>IF(K387="","",IF(ISNUMBER(--L387),TEXT(--L387,"000000000000.000"),LOWER(L387)))</f>
        <v/>
      </c>
      <c r="U387">
        <f>IF(K387="","",IF(ISNUMBER(--M387),TEXT(--M387,"000000000000.000"),LOWER(M387)))</f>
        <v/>
      </c>
      <c r="V387">
        <f>IF(K387="","",LOWER(N387))</f>
        <v/>
      </c>
      <c r="W387">
        <f>IF(K387="","",B387)</f>
        <v/>
      </c>
      <c r="X387">
        <f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>
      <c r="A388">
        <f>IF(TRIM('List 1'!A388&amp;'List 1'!C388&amp;'List 1'!D388)="","",LOWER(TRIM('List 1'!A388)&amp;"|"&amp;TRIM('List 1'!C388)&amp;"|"&amp;TRIM('List 1'!D388)))</f>
        <v/>
      </c>
      <c r="B388">
        <f>IF(A388="","",SUMPRODUCT(--($A$2:A388=A388)))</f>
        <v/>
      </c>
      <c r="C388">
        <f>IF(A388="","",A388&amp;"#"&amp;B388)</f>
        <v/>
      </c>
      <c r="D388">
        <f>IF(A388="","",IFERROR(--'List 1'!B388,0))</f>
        <v/>
      </c>
      <c r="F388">
        <f>IF(TRIM('List 2'!A388&amp;'List 2'!C388&amp;'List 2'!D388)="","",LOWER(TRIM('List 2'!A388)&amp;"|"&amp;TRIM('List 2'!C388)&amp;"|"&amp;TRIM('List 2'!D388)))</f>
        <v/>
      </c>
      <c r="G388">
        <f>IF(F388="","",SUMPRODUCT(--($F$2:F388=F388)))</f>
        <v/>
      </c>
      <c r="H388">
        <f>IF(F388="","",F388&amp;"#"&amp;G388)</f>
        <v/>
      </c>
      <c r="I388">
        <f>IF(F388="","",IFERROR(--'List 2'!B388,0))</f>
        <v/>
      </c>
      <c r="K388">
        <f>C388</f>
        <v/>
      </c>
      <c r="L388">
        <f>IF(K388="","",IF(ISNUMBER('List 1'!A388),'List 1'!A388,TRIM('List 1'!A388)))</f>
        <v/>
      </c>
      <c r="M388">
        <f>IF(K388="","",IF(ISNUMBER('List 1'!C388),'List 1'!C388,TRIM('List 1'!C388)))</f>
        <v/>
      </c>
      <c r="N388">
        <f>IF(K388="","",IF(ISNUMBER('List 1'!D388),'List 1'!D388,TRIM('List 1'!D388)))</f>
        <v/>
      </c>
      <c r="O388">
        <f>IF(K388="","",D388)</f>
        <v/>
      </c>
      <c r="P388">
        <f>IF(K388="","",IF(R388,SUMPRODUCT(--($H$2:$H$501=K388),$I$2:$I$501),0))</f>
        <v/>
      </c>
      <c r="Q388">
        <f>IF(K388="","",TRUE)</f>
        <v/>
      </c>
      <c r="R388">
        <f>IF(K388="","",SUMPRODUCT(--($H$2:$H$501=K388))&gt;0)</f>
        <v/>
      </c>
      <c r="S388">
        <f>IF(K388="","",IF(AND(Q388,R388),IF(O388=P388,"Match","Qty Different"),IF(Q388,"Only in List 1","Only in List 2")))</f>
        <v/>
      </c>
      <c r="T388">
        <f>IF(K388="","",IF(ISNUMBER(--L388),TEXT(--L388,"000000000000.000"),LOWER(L388)))</f>
        <v/>
      </c>
      <c r="U388">
        <f>IF(K388="","",IF(ISNUMBER(--M388),TEXT(--M388,"000000000000.000"),LOWER(M388)))</f>
        <v/>
      </c>
      <c r="V388">
        <f>IF(K388="","",LOWER(N388))</f>
        <v/>
      </c>
      <c r="W388">
        <f>IF(K388="","",B388)</f>
        <v/>
      </c>
      <c r="X388">
        <f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>
      <c r="A389">
        <f>IF(TRIM('List 1'!A389&amp;'List 1'!C389&amp;'List 1'!D389)="","",LOWER(TRIM('List 1'!A389)&amp;"|"&amp;TRIM('List 1'!C389)&amp;"|"&amp;TRIM('List 1'!D389)))</f>
        <v/>
      </c>
      <c r="B389">
        <f>IF(A389="","",SUMPRODUCT(--($A$2:A389=A389)))</f>
        <v/>
      </c>
      <c r="C389">
        <f>IF(A389="","",A389&amp;"#"&amp;B389)</f>
        <v/>
      </c>
      <c r="D389">
        <f>IF(A389="","",IFERROR(--'List 1'!B389,0))</f>
        <v/>
      </c>
      <c r="F389">
        <f>IF(TRIM('List 2'!A389&amp;'List 2'!C389&amp;'List 2'!D389)="","",LOWER(TRIM('List 2'!A389)&amp;"|"&amp;TRIM('List 2'!C389)&amp;"|"&amp;TRIM('List 2'!D389)))</f>
        <v/>
      </c>
      <c r="G389">
        <f>IF(F389="","",SUMPRODUCT(--($F$2:F389=F389)))</f>
        <v/>
      </c>
      <c r="H389">
        <f>IF(F389="","",F389&amp;"#"&amp;G389)</f>
        <v/>
      </c>
      <c r="I389">
        <f>IF(F389="","",IFERROR(--'List 2'!B389,0))</f>
        <v/>
      </c>
      <c r="K389">
        <f>C389</f>
        <v/>
      </c>
      <c r="L389">
        <f>IF(K389="","",IF(ISNUMBER('List 1'!A389),'List 1'!A389,TRIM('List 1'!A389)))</f>
        <v/>
      </c>
      <c r="M389">
        <f>IF(K389="","",IF(ISNUMBER('List 1'!C389),'List 1'!C389,TRIM('List 1'!C389)))</f>
        <v/>
      </c>
      <c r="N389">
        <f>IF(K389="","",IF(ISNUMBER('List 1'!D389),'List 1'!D389,TRIM('List 1'!D389)))</f>
        <v/>
      </c>
      <c r="O389">
        <f>IF(K389="","",D389)</f>
        <v/>
      </c>
      <c r="P389">
        <f>IF(K389="","",IF(R389,SUMPRODUCT(--($H$2:$H$501=K389),$I$2:$I$501),0))</f>
        <v/>
      </c>
      <c r="Q389">
        <f>IF(K389="","",TRUE)</f>
        <v/>
      </c>
      <c r="R389">
        <f>IF(K389="","",SUMPRODUCT(--($H$2:$H$501=K389))&gt;0)</f>
        <v/>
      </c>
      <c r="S389">
        <f>IF(K389="","",IF(AND(Q389,R389),IF(O389=P389,"Match","Qty Different"),IF(Q389,"Only in List 1","Only in List 2")))</f>
        <v/>
      </c>
      <c r="T389">
        <f>IF(K389="","",IF(ISNUMBER(--L389),TEXT(--L389,"000000000000.000"),LOWER(L389)))</f>
        <v/>
      </c>
      <c r="U389">
        <f>IF(K389="","",IF(ISNUMBER(--M389),TEXT(--M389,"000000000000.000"),LOWER(M389)))</f>
        <v/>
      </c>
      <c r="V389">
        <f>IF(K389="","",LOWER(N389))</f>
        <v/>
      </c>
      <c r="W389">
        <f>IF(K389="","",B389)</f>
        <v/>
      </c>
      <c r="X389">
        <f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>
      <c r="A390">
        <f>IF(TRIM('List 1'!A390&amp;'List 1'!C390&amp;'List 1'!D390)="","",LOWER(TRIM('List 1'!A390)&amp;"|"&amp;TRIM('List 1'!C390)&amp;"|"&amp;TRIM('List 1'!D390)))</f>
        <v/>
      </c>
      <c r="B390">
        <f>IF(A390="","",SUMPRODUCT(--($A$2:A390=A390)))</f>
        <v/>
      </c>
      <c r="C390">
        <f>IF(A390="","",A390&amp;"#"&amp;B390)</f>
        <v/>
      </c>
      <c r="D390">
        <f>IF(A390="","",IFERROR(--'List 1'!B390,0))</f>
        <v/>
      </c>
      <c r="F390">
        <f>IF(TRIM('List 2'!A390&amp;'List 2'!C390&amp;'List 2'!D390)="","",LOWER(TRIM('List 2'!A390)&amp;"|"&amp;TRIM('List 2'!C390)&amp;"|"&amp;TRIM('List 2'!D390)))</f>
        <v/>
      </c>
      <c r="G390">
        <f>IF(F390="","",SUMPRODUCT(--($F$2:F390=F390)))</f>
        <v/>
      </c>
      <c r="H390">
        <f>IF(F390="","",F390&amp;"#"&amp;G390)</f>
        <v/>
      </c>
      <c r="I390">
        <f>IF(F390="","",IFERROR(--'List 2'!B390,0))</f>
        <v/>
      </c>
      <c r="K390">
        <f>C390</f>
        <v/>
      </c>
      <c r="L390">
        <f>IF(K390="","",IF(ISNUMBER('List 1'!A390),'List 1'!A390,TRIM('List 1'!A390)))</f>
        <v/>
      </c>
      <c r="M390">
        <f>IF(K390="","",IF(ISNUMBER('List 1'!C390),'List 1'!C390,TRIM('List 1'!C390)))</f>
        <v/>
      </c>
      <c r="N390">
        <f>IF(K390="","",IF(ISNUMBER('List 1'!D390),'List 1'!D390,TRIM('List 1'!D390)))</f>
        <v/>
      </c>
      <c r="O390">
        <f>IF(K390="","",D390)</f>
        <v/>
      </c>
      <c r="P390">
        <f>IF(K390="","",IF(R390,SUMPRODUCT(--($H$2:$H$501=K390),$I$2:$I$501),0))</f>
        <v/>
      </c>
      <c r="Q390">
        <f>IF(K390="","",TRUE)</f>
        <v/>
      </c>
      <c r="R390">
        <f>IF(K390="","",SUMPRODUCT(--($H$2:$H$501=K390))&gt;0)</f>
        <v/>
      </c>
      <c r="S390">
        <f>IF(K390="","",IF(AND(Q390,R390),IF(O390=P390,"Match","Qty Different"),IF(Q390,"Only in List 1","Only in List 2")))</f>
        <v/>
      </c>
      <c r="T390">
        <f>IF(K390="","",IF(ISNUMBER(--L390),TEXT(--L390,"000000000000.000"),LOWER(L390)))</f>
        <v/>
      </c>
      <c r="U390">
        <f>IF(K390="","",IF(ISNUMBER(--M390),TEXT(--M390,"000000000000.000"),LOWER(M390)))</f>
        <v/>
      </c>
      <c r="V390">
        <f>IF(K390="","",LOWER(N390))</f>
        <v/>
      </c>
      <c r="W390">
        <f>IF(K390="","",B390)</f>
        <v/>
      </c>
      <c r="X390">
        <f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>
      <c r="A391">
        <f>IF(TRIM('List 1'!A391&amp;'List 1'!C391&amp;'List 1'!D391)="","",LOWER(TRIM('List 1'!A391)&amp;"|"&amp;TRIM('List 1'!C391)&amp;"|"&amp;TRIM('List 1'!D391)))</f>
        <v/>
      </c>
      <c r="B391">
        <f>IF(A391="","",SUMPRODUCT(--($A$2:A391=A391)))</f>
        <v/>
      </c>
      <c r="C391">
        <f>IF(A391="","",A391&amp;"#"&amp;B391)</f>
        <v/>
      </c>
      <c r="D391">
        <f>IF(A391="","",IFERROR(--'List 1'!B391,0))</f>
        <v/>
      </c>
      <c r="F391">
        <f>IF(TRIM('List 2'!A391&amp;'List 2'!C391&amp;'List 2'!D391)="","",LOWER(TRIM('List 2'!A391)&amp;"|"&amp;TRIM('List 2'!C391)&amp;"|"&amp;TRIM('List 2'!D391)))</f>
        <v/>
      </c>
      <c r="G391">
        <f>IF(F391="","",SUMPRODUCT(--($F$2:F391=F391)))</f>
        <v/>
      </c>
      <c r="H391">
        <f>IF(F391="","",F391&amp;"#"&amp;G391)</f>
        <v/>
      </c>
      <c r="I391">
        <f>IF(F391="","",IFERROR(--'List 2'!B391,0))</f>
        <v/>
      </c>
      <c r="K391">
        <f>C391</f>
        <v/>
      </c>
      <c r="L391">
        <f>IF(K391="","",IF(ISNUMBER('List 1'!A391),'List 1'!A391,TRIM('List 1'!A391)))</f>
        <v/>
      </c>
      <c r="M391">
        <f>IF(K391="","",IF(ISNUMBER('List 1'!C391),'List 1'!C391,TRIM('List 1'!C391)))</f>
        <v/>
      </c>
      <c r="N391">
        <f>IF(K391="","",IF(ISNUMBER('List 1'!D391),'List 1'!D391,TRIM('List 1'!D391)))</f>
        <v/>
      </c>
      <c r="O391">
        <f>IF(K391="","",D391)</f>
        <v/>
      </c>
      <c r="P391">
        <f>IF(K391="","",IF(R391,SUMPRODUCT(--($H$2:$H$501=K391),$I$2:$I$501),0))</f>
        <v/>
      </c>
      <c r="Q391">
        <f>IF(K391="","",TRUE)</f>
        <v/>
      </c>
      <c r="R391">
        <f>IF(K391="","",SUMPRODUCT(--($H$2:$H$501=K391))&gt;0)</f>
        <v/>
      </c>
      <c r="S391">
        <f>IF(K391="","",IF(AND(Q391,R391),IF(O391=P391,"Match","Qty Different"),IF(Q391,"Only in List 1","Only in List 2")))</f>
        <v/>
      </c>
      <c r="T391">
        <f>IF(K391="","",IF(ISNUMBER(--L391),TEXT(--L391,"000000000000.000"),LOWER(L391)))</f>
        <v/>
      </c>
      <c r="U391">
        <f>IF(K391="","",IF(ISNUMBER(--M391),TEXT(--M391,"000000000000.000"),LOWER(M391)))</f>
        <v/>
      </c>
      <c r="V391">
        <f>IF(K391="","",LOWER(N391))</f>
        <v/>
      </c>
      <c r="W391">
        <f>IF(K391="","",B391)</f>
        <v/>
      </c>
      <c r="X391">
        <f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>
      <c r="A392">
        <f>IF(TRIM('List 1'!A392&amp;'List 1'!C392&amp;'List 1'!D392)="","",LOWER(TRIM('List 1'!A392)&amp;"|"&amp;TRIM('List 1'!C392)&amp;"|"&amp;TRIM('List 1'!D392)))</f>
        <v/>
      </c>
      <c r="B392">
        <f>IF(A392="","",SUMPRODUCT(--($A$2:A392=A392)))</f>
        <v/>
      </c>
      <c r="C392">
        <f>IF(A392="","",A392&amp;"#"&amp;B392)</f>
        <v/>
      </c>
      <c r="D392">
        <f>IF(A392="","",IFERROR(--'List 1'!B392,0))</f>
        <v/>
      </c>
      <c r="F392">
        <f>IF(TRIM('List 2'!A392&amp;'List 2'!C392&amp;'List 2'!D392)="","",LOWER(TRIM('List 2'!A392)&amp;"|"&amp;TRIM('List 2'!C392)&amp;"|"&amp;TRIM('List 2'!D392)))</f>
        <v/>
      </c>
      <c r="G392">
        <f>IF(F392="","",SUMPRODUCT(--($F$2:F392=F392)))</f>
        <v/>
      </c>
      <c r="H392">
        <f>IF(F392="","",F392&amp;"#"&amp;G392)</f>
        <v/>
      </c>
      <c r="I392">
        <f>IF(F392="","",IFERROR(--'List 2'!B392,0))</f>
        <v/>
      </c>
      <c r="K392">
        <f>C392</f>
        <v/>
      </c>
      <c r="L392">
        <f>IF(K392="","",IF(ISNUMBER('List 1'!A392),'List 1'!A392,TRIM('List 1'!A392)))</f>
        <v/>
      </c>
      <c r="M392">
        <f>IF(K392="","",IF(ISNUMBER('List 1'!C392),'List 1'!C392,TRIM('List 1'!C392)))</f>
        <v/>
      </c>
      <c r="N392">
        <f>IF(K392="","",IF(ISNUMBER('List 1'!D392),'List 1'!D392,TRIM('List 1'!D392)))</f>
        <v/>
      </c>
      <c r="O392">
        <f>IF(K392="","",D392)</f>
        <v/>
      </c>
      <c r="P392">
        <f>IF(K392="","",IF(R392,SUMPRODUCT(--($H$2:$H$501=K392),$I$2:$I$501),0))</f>
        <v/>
      </c>
      <c r="Q392">
        <f>IF(K392="","",TRUE)</f>
        <v/>
      </c>
      <c r="R392">
        <f>IF(K392="","",SUMPRODUCT(--($H$2:$H$501=K392))&gt;0)</f>
        <v/>
      </c>
      <c r="S392">
        <f>IF(K392="","",IF(AND(Q392,R392),IF(O392=P392,"Match","Qty Different"),IF(Q392,"Only in List 1","Only in List 2")))</f>
        <v/>
      </c>
      <c r="T392">
        <f>IF(K392="","",IF(ISNUMBER(--L392),TEXT(--L392,"000000000000.000"),LOWER(L392)))</f>
        <v/>
      </c>
      <c r="U392">
        <f>IF(K392="","",IF(ISNUMBER(--M392),TEXT(--M392,"000000000000.000"),LOWER(M392)))</f>
        <v/>
      </c>
      <c r="V392">
        <f>IF(K392="","",LOWER(N392))</f>
        <v/>
      </c>
      <c r="W392">
        <f>IF(K392="","",B392)</f>
        <v/>
      </c>
      <c r="X392">
        <f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>
      <c r="A393">
        <f>IF(TRIM('List 1'!A393&amp;'List 1'!C393&amp;'List 1'!D393)="","",LOWER(TRIM('List 1'!A393)&amp;"|"&amp;TRIM('List 1'!C393)&amp;"|"&amp;TRIM('List 1'!D393)))</f>
        <v/>
      </c>
      <c r="B393">
        <f>IF(A393="","",SUMPRODUCT(--($A$2:A393=A393)))</f>
        <v/>
      </c>
      <c r="C393">
        <f>IF(A393="","",A393&amp;"#"&amp;B393)</f>
        <v/>
      </c>
      <c r="D393">
        <f>IF(A393="","",IFERROR(--'List 1'!B393,0))</f>
        <v/>
      </c>
      <c r="F393">
        <f>IF(TRIM('List 2'!A393&amp;'List 2'!C393&amp;'List 2'!D393)="","",LOWER(TRIM('List 2'!A393)&amp;"|"&amp;TRIM('List 2'!C393)&amp;"|"&amp;TRIM('List 2'!D393)))</f>
        <v/>
      </c>
      <c r="G393">
        <f>IF(F393="","",SUMPRODUCT(--($F$2:F393=F393)))</f>
        <v/>
      </c>
      <c r="H393">
        <f>IF(F393="","",F393&amp;"#"&amp;G393)</f>
        <v/>
      </c>
      <c r="I393">
        <f>IF(F393="","",IFERROR(--'List 2'!B393,0))</f>
        <v/>
      </c>
      <c r="K393">
        <f>C393</f>
        <v/>
      </c>
      <c r="L393">
        <f>IF(K393="","",IF(ISNUMBER('List 1'!A393),'List 1'!A393,TRIM('List 1'!A393)))</f>
        <v/>
      </c>
      <c r="M393">
        <f>IF(K393="","",IF(ISNUMBER('List 1'!C393),'List 1'!C393,TRIM('List 1'!C393)))</f>
        <v/>
      </c>
      <c r="N393">
        <f>IF(K393="","",IF(ISNUMBER('List 1'!D393),'List 1'!D393,TRIM('List 1'!D393)))</f>
        <v/>
      </c>
      <c r="O393">
        <f>IF(K393="","",D393)</f>
        <v/>
      </c>
      <c r="P393">
        <f>IF(K393="","",IF(R393,SUMPRODUCT(--($H$2:$H$501=K393),$I$2:$I$501),0))</f>
        <v/>
      </c>
      <c r="Q393">
        <f>IF(K393="","",TRUE)</f>
        <v/>
      </c>
      <c r="R393">
        <f>IF(K393="","",SUMPRODUCT(--($H$2:$H$501=K393))&gt;0)</f>
        <v/>
      </c>
      <c r="S393">
        <f>IF(K393="","",IF(AND(Q393,R393),IF(O393=P393,"Match","Qty Different"),IF(Q393,"Only in List 1","Only in List 2")))</f>
        <v/>
      </c>
      <c r="T393">
        <f>IF(K393="","",IF(ISNUMBER(--L393),TEXT(--L393,"000000000000.000"),LOWER(L393)))</f>
        <v/>
      </c>
      <c r="U393">
        <f>IF(K393="","",IF(ISNUMBER(--M393),TEXT(--M393,"000000000000.000"),LOWER(M393)))</f>
        <v/>
      </c>
      <c r="V393">
        <f>IF(K393="","",LOWER(N393))</f>
        <v/>
      </c>
      <c r="W393">
        <f>IF(K393="","",B393)</f>
        <v/>
      </c>
      <c r="X393">
        <f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>
      <c r="A394">
        <f>IF(TRIM('List 1'!A394&amp;'List 1'!C394&amp;'List 1'!D394)="","",LOWER(TRIM('List 1'!A394)&amp;"|"&amp;TRIM('List 1'!C394)&amp;"|"&amp;TRIM('List 1'!D394)))</f>
        <v/>
      </c>
      <c r="B394">
        <f>IF(A394="","",SUMPRODUCT(--($A$2:A394=A394)))</f>
        <v/>
      </c>
      <c r="C394">
        <f>IF(A394="","",A394&amp;"#"&amp;B394)</f>
        <v/>
      </c>
      <c r="D394">
        <f>IF(A394="","",IFERROR(--'List 1'!B394,0))</f>
        <v/>
      </c>
      <c r="F394">
        <f>IF(TRIM('List 2'!A394&amp;'List 2'!C394&amp;'List 2'!D394)="","",LOWER(TRIM('List 2'!A394)&amp;"|"&amp;TRIM('List 2'!C394)&amp;"|"&amp;TRIM('List 2'!D394)))</f>
        <v/>
      </c>
      <c r="G394">
        <f>IF(F394="","",SUMPRODUCT(--($F$2:F394=F394)))</f>
        <v/>
      </c>
      <c r="H394">
        <f>IF(F394="","",F394&amp;"#"&amp;G394)</f>
        <v/>
      </c>
      <c r="I394">
        <f>IF(F394="","",IFERROR(--'List 2'!B394,0))</f>
        <v/>
      </c>
      <c r="K394">
        <f>C394</f>
        <v/>
      </c>
      <c r="L394">
        <f>IF(K394="","",IF(ISNUMBER('List 1'!A394),'List 1'!A394,TRIM('List 1'!A394)))</f>
        <v/>
      </c>
      <c r="M394">
        <f>IF(K394="","",IF(ISNUMBER('List 1'!C394),'List 1'!C394,TRIM('List 1'!C394)))</f>
        <v/>
      </c>
      <c r="N394">
        <f>IF(K394="","",IF(ISNUMBER('List 1'!D394),'List 1'!D394,TRIM('List 1'!D394)))</f>
        <v/>
      </c>
      <c r="O394">
        <f>IF(K394="","",D394)</f>
        <v/>
      </c>
      <c r="P394">
        <f>IF(K394="","",IF(R394,SUMPRODUCT(--($H$2:$H$501=K394),$I$2:$I$501),0))</f>
        <v/>
      </c>
      <c r="Q394">
        <f>IF(K394="","",TRUE)</f>
        <v/>
      </c>
      <c r="R394">
        <f>IF(K394="","",SUMPRODUCT(--($H$2:$H$501=K394))&gt;0)</f>
        <v/>
      </c>
      <c r="S394">
        <f>IF(K394="","",IF(AND(Q394,R394),IF(O394=P394,"Match","Qty Different"),IF(Q394,"Only in List 1","Only in List 2")))</f>
        <v/>
      </c>
      <c r="T394">
        <f>IF(K394="","",IF(ISNUMBER(--L394),TEXT(--L394,"000000000000.000"),LOWER(L394)))</f>
        <v/>
      </c>
      <c r="U394">
        <f>IF(K394="","",IF(ISNUMBER(--M394),TEXT(--M394,"000000000000.000"),LOWER(M394)))</f>
        <v/>
      </c>
      <c r="V394">
        <f>IF(K394="","",LOWER(N394))</f>
        <v/>
      </c>
      <c r="W394">
        <f>IF(K394="","",B394)</f>
        <v/>
      </c>
      <c r="X394">
        <f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>
      <c r="A395">
        <f>IF(TRIM('List 1'!A395&amp;'List 1'!C395&amp;'List 1'!D395)="","",LOWER(TRIM('List 1'!A395)&amp;"|"&amp;TRIM('List 1'!C395)&amp;"|"&amp;TRIM('List 1'!D395)))</f>
        <v/>
      </c>
      <c r="B395">
        <f>IF(A395="","",SUMPRODUCT(--($A$2:A395=A395)))</f>
        <v/>
      </c>
      <c r="C395">
        <f>IF(A395="","",A395&amp;"#"&amp;B395)</f>
        <v/>
      </c>
      <c r="D395">
        <f>IF(A395="","",IFERROR(--'List 1'!B395,0))</f>
        <v/>
      </c>
      <c r="F395">
        <f>IF(TRIM('List 2'!A395&amp;'List 2'!C395&amp;'List 2'!D395)="","",LOWER(TRIM('List 2'!A395)&amp;"|"&amp;TRIM('List 2'!C395)&amp;"|"&amp;TRIM('List 2'!D395)))</f>
        <v/>
      </c>
      <c r="G395">
        <f>IF(F395="","",SUMPRODUCT(--($F$2:F395=F395)))</f>
        <v/>
      </c>
      <c r="H395">
        <f>IF(F395="","",F395&amp;"#"&amp;G395)</f>
        <v/>
      </c>
      <c r="I395">
        <f>IF(F395="","",IFERROR(--'List 2'!B395,0))</f>
        <v/>
      </c>
      <c r="K395">
        <f>C395</f>
        <v/>
      </c>
      <c r="L395">
        <f>IF(K395="","",IF(ISNUMBER('List 1'!A395),'List 1'!A395,TRIM('List 1'!A395)))</f>
        <v/>
      </c>
      <c r="M395">
        <f>IF(K395="","",IF(ISNUMBER('List 1'!C395),'List 1'!C395,TRIM('List 1'!C395)))</f>
        <v/>
      </c>
      <c r="N395">
        <f>IF(K395="","",IF(ISNUMBER('List 1'!D395),'List 1'!D395,TRIM('List 1'!D395)))</f>
        <v/>
      </c>
      <c r="O395">
        <f>IF(K395="","",D395)</f>
        <v/>
      </c>
      <c r="P395">
        <f>IF(K395="","",IF(R395,SUMPRODUCT(--($H$2:$H$501=K395),$I$2:$I$501),0))</f>
        <v/>
      </c>
      <c r="Q395">
        <f>IF(K395="","",TRUE)</f>
        <v/>
      </c>
      <c r="R395">
        <f>IF(K395="","",SUMPRODUCT(--($H$2:$H$501=K395))&gt;0)</f>
        <v/>
      </c>
      <c r="S395">
        <f>IF(K395="","",IF(AND(Q395,R395),IF(O395=P395,"Match","Qty Different"),IF(Q395,"Only in List 1","Only in List 2")))</f>
        <v/>
      </c>
      <c r="T395">
        <f>IF(K395="","",IF(ISNUMBER(--L395),TEXT(--L395,"000000000000.000"),LOWER(L395)))</f>
        <v/>
      </c>
      <c r="U395">
        <f>IF(K395="","",IF(ISNUMBER(--M395),TEXT(--M395,"000000000000.000"),LOWER(M395)))</f>
        <v/>
      </c>
      <c r="V395">
        <f>IF(K395="","",LOWER(N395))</f>
        <v/>
      </c>
      <c r="W395">
        <f>IF(K395="","",B395)</f>
        <v/>
      </c>
      <c r="X395">
        <f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>
      <c r="A396">
        <f>IF(TRIM('List 1'!A396&amp;'List 1'!C396&amp;'List 1'!D396)="","",LOWER(TRIM('List 1'!A396)&amp;"|"&amp;TRIM('List 1'!C396)&amp;"|"&amp;TRIM('List 1'!D396)))</f>
        <v/>
      </c>
      <c r="B396">
        <f>IF(A396="","",SUMPRODUCT(--($A$2:A396=A396)))</f>
        <v/>
      </c>
      <c r="C396">
        <f>IF(A396="","",A396&amp;"#"&amp;B396)</f>
        <v/>
      </c>
      <c r="D396">
        <f>IF(A396="","",IFERROR(--'List 1'!B396,0))</f>
        <v/>
      </c>
      <c r="F396">
        <f>IF(TRIM('List 2'!A396&amp;'List 2'!C396&amp;'List 2'!D396)="","",LOWER(TRIM('List 2'!A396)&amp;"|"&amp;TRIM('List 2'!C396)&amp;"|"&amp;TRIM('List 2'!D396)))</f>
        <v/>
      </c>
      <c r="G396">
        <f>IF(F396="","",SUMPRODUCT(--($F$2:F396=F396)))</f>
        <v/>
      </c>
      <c r="H396">
        <f>IF(F396="","",F396&amp;"#"&amp;G396)</f>
        <v/>
      </c>
      <c r="I396">
        <f>IF(F396="","",IFERROR(--'List 2'!B396,0))</f>
        <v/>
      </c>
      <c r="K396">
        <f>C396</f>
        <v/>
      </c>
      <c r="L396">
        <f>IF(K396="","",IF(ISNUMBER('List 1'!A396),'List 1'!A396,TRIM('List 1'!A396)))</f>
        <v/>
      </c>
      <c r="M396">
        <f>IF(K396="","",IF(ISNUMBER('List 1'!C396),'List 1'!C396,TRIM('List 1'!C396)))</f>
        <v/>
      </c>
      <c r="N396">
        <f>IF(K396="","",IF(ISNUMBER('List 1'!D396),'List 1'!D396,TRIM('List 1'!D396)))</f>
        <v/>
      </c>
      <c r="O396">
        <f>IF(K396="","",D396)</f>
        <v/>
      </c>
      <c r="P396">
        <f>IF(K396="","",IF(R396,SUMPRODUCT(--($H$2:$H$501=K396),$I$2:$I$501),0))</f>
        <v/>
      </c>
      <c r="Q396">
        <f>IF(K396="","",TRUE)</f>
        <v/>
      </c>
      <c r="R396">
        <f>IF(K396="","",SUMPRODUCT(--($H$2:$H$501=K396))&gt;0)</f>
        <v/>
      </c>
      <c r="S396">
        <f>IF(K396="","",IF(AND(Q396,R396),IF(O396=P396,"Match","Qty Different"),IF(Q396,"Only in List 1","Only in List 2")))</f>
        <v/>
      </c>
      <c r="T396">
        <f>IF(K396="","",IF(ISNUMBER(--L396),TEXT(--L396,"000000000000.000"),LOWER(L396)))</f>
        <v/>
      </c>
      <c r="U396">
        <f>IF(K396="","",IF(ISNUMBER(--M396),TEXT(--M396,"000000000000.000"),LOWER(M396)))</f>
        <v/>
      </c>
      <c r="V396">
        <f>IF(K396="","",LOWER(N396))</f>
        <v/>
      </c>
      <c r="W396">
        <f>IF(K396="","",B396)</f>
        <v/>
      </c>
      <c r="X396">
        <f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>
      <c r="A397">
        <f>IF(TRIM('List 1'!A397&amp;'List 1'!C397&amp;'List 1'!D397)="","",LOWER(TRIM('List 1'!A397)&amp;"|"&amp;TRIM('List 1'!C397)&amp;"|"&amp;TRIM('List 1'!D397)))</f>
        <v/>
      </c>
      <c r="B397">
        <f>IF(A397="","",SUMPRODUCT(--($A$2:A397=A397)))</f>
        <v/>
      </c>
      <c r="C397">
        <f>IF(A397="","",A397&amp;"#"&amp;B397)</f>
        <v/>
      </c>
      <c r="D397">
        <f>IF(A397="","",IFERROR(--'List 1'!B397,0))</f>
        <v/>
      </c>
      <c r="F397">
        <f>IF(TRIM('List 2'!A397&amp;'List 2'!C397&amp;'List 2'!D397)="","",LOWER(TRIM('List 2'!A397)&amp;"|"&amp;TRIM('List 2'!C397)&amp;"|"&amp;TRIM('List 2'!D397)))</f>
        <v/>
      </c>
      <c r="G397">
        <f>IF(F397="","",SUMPRODUCT(--($F$2:F397=F397)))</f>
        <v/>
      </c>
      <c r="H397">
        <f>IF(F397="","",F397&amp;"#"&amp;G397)</f>
        <v/>
      </c>
      <c r="I397">
        <f>IF(F397="","",IFERROR(--'List 2'!B397,0))</f>
        <v/>
      </c>
      <c r="K397">
        <f>C397</f>
        <v/>
      </c>
      <c r="L397">
        <f>IF(K397="","",IF(ISNUMBER('List 1'!A397),'List 1'!A397,TRIM('List 1'!A397)))</f>
        <v/>
      </c>
      <c r="M397">
        <f>IF(K397="","",IF(ISNUMBER('List 1'!C397),'List 1'!C397,TRIM('List 1'!C397)))</f>
        <v/>
      </c>
      <c r="N397">
        <f>IF(K397="","",IF(ISNUMBER('List 1'!D397),'List 1'!D397,TRIM('List 1'!D397)))</f>
        <v/>
      </c>
      <c r="O397">
        <f>IF(K397="","",D397)</f>
        <v/>
      </c>
      <c r="P397">
        <f>IF(K397="","",IF(R397,SUMPRODUCT(--($H$2:$H$501=K397),$I$2:$I$501),0))</f>
        <v/>
      </c>
      <c r="Q397">
        <f>IF(K397="","",TRUE)</f>
        <v/>
      </c>
      <c r="R397">
        <f>IF(K397="","",SUMPRODUCT(--($H$2:$H$501=K397))&gt;0)</f>
        <v/>
      </c>
      <c r="S397">
        <f>IF(K397="","",IF(AND(Q397,R397),IF(O397=P397,"Match","Qty Different"),IF(Q397,"Only in List 1","Only in List 2")))</f>
        <v/>
      </c>
      <c r="T397">
        <f>IF(K397="","",IF(ISNUMBER(--L397),TEXT(--L397,"000000000000.000"),LOWER(L397)))</f>
        <v/>
      </c>
      <c r="U397">
        <f>IF(K397="","",IF(ISNUMBER(--M397),TEXT(--M397,"000000000000.000"),LOWER(M397)))</f>
        <v/>
      </c>
      <c r="V397">
        <f>IF(K397="","",LOWER(N397))</f>
        <v/>
      </c>
      <c r="W397">
        <f>IF(K397="","",B397)</f>
        <v/>
      </c>
      <c r="X397">
        <f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>
      <c r="A398">
        <f>IF(TRIM('List 1'!A398&amp;'List 1'!C398&amp;'List 1'!D398)="","",LOWER(TRIM('List 1'!A398)&amp;"|"&amp;TRIM('List 1'!C398)&amp;"|"&amp;TRIM('List 1'!D398)))</f>
        <v/>
      </c>
      <c r="B398">
        <f>IF(A398="","",SUMPRODUCT(--($A$2:A398=A398)))</f>
        <v/>
      </c>
      <c r="C398">
        <f>IF(A398="","",A398&amp;"#"&amp;B398)</f>
        <v/>
      </c>
      <c r="D398">
        <f>IF(A398="","",IFERROR(--'List 1'!B398,0))</f>
        <v/>
      </c>
      <c r="F398">
        <f>IF(TRIM('List 2'!A398&amp;'List 2'!C398&amp;'List 2'!D398)="","",LOWER(TRIM('List 2'!A398)&amp;"|"&amp;TRIM('List 2'!C398)&amp;"|"&amp;TRIM('List 2'!D398)))</f>
        <v/>
      </c>
      <c r="G398">
        <f>IF(F398="","",SUMPRODUCT(--($F$2:F398=F398)))</f>
        <v/>
      </c>
      <c r="H398">
        <f>IF(F398="","",F398&amp;"#"&amp;G398)</f>
        <v/>
      </c>
      <c r="I398">
        <f>IF(F398="","",IFERROR(--'List 2'!B398,0))</f>
        <v/>
      </c>
      <c r="K398">
        <f>C398</f>
        <v/>
      </c>
      <c r="L398">
        <f>IF(K398="","",IF(ISNUMBER('List 1'!A398),'List 1'!A398,TRIM('List 1'!A398)))</f>
        <v/>
      </c>
      <c r="M398">
        <f>IF(K398="","",IF(ISNUMBER('List 1'!C398),'List 1'!C398,TRIM('List 1'!C398)))</f>
        <v/>
      </c>
      <c r="N398">
        <f>IF(K398="","",IF(ISNUMBER('List 1'!D398),'List 1'!D398,TRIM('List 1'!D398)))</f>
        <v/>
      </c>
      <c r="O398">
        <f>IF(K398="","",D398)</f>
        <v/>
      </c>
      <c r="P398">
        <f>IF(K398="","",IF(R398,SUMPRODUCT(--($H$2:$H$501=K398),$I$2:$I$501),0))</f>
        <v/>
      </c>
      <c r="Q398">
        <f>IF(K398="","",TRUE)</f>
        <v/>
      </c>
      <c r="R398">
        <f>IF(K398="","",SUMPRODUCT(--($H$2:$H$501=K398))&gt;0)</f>
        <v/>
      </c>
      <c r="S398">
        <f>IF(K398="","",IF(AND(Q398,R398),IF(O398=P398,"Match","Qty Different"),IF(Q398,"Only in List 1","Only in List 2")))</f>
        <v/>
      </c>
      <c r="T398">
        <f>IF(K398="","",IF(ISNUMBER(--L398),TEXT(--L398,"000000000000.000"),LOWER(L398)))</f>
        <v/>
      </c>
      <c r="U398">
        <f>IF(K398="","",IF(ISNUMBER(--M398),TEXT(--M398,"000000000000.000"),LOWER(M398)))</f>
        <v/>
      </c>
      <c r="V398">
        <f>IF(K398="","",LOWER(N398))</f>
        <v/>
      </c>
      <c r="W398">
        <f>IF(K398="","",B398)</f>
        <v/>
      </c>
      <c r="X398">
        <f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>
      <c r="A399">
        <f>IF(TRIM('List 1'!A399&amp;'List 1'!C399&amp;'List 1'!D399)="","",LOWER(TRIM('List 1'!A399)&amp;"|"&amp;TRIM('List 1'!C399)&amp;"|"&amp;TRIM('List 1'!D399)))</f>
        <v/>
      </c>
      <c r="B399">
        <f>IF(A399="","",SUMPRODUCT(--($A$2:A399=A399)))</f>
        <v/>
      </c>
      <c r="C399">
        <f>IF(A399="","",A399&amp;"#"&amp;B399)</f>
        <v/>
      </c>
      <c r="D399">
        <f>IF(A399="","",IFERROR(--'List 1'!B399,0))</f>
        <v/>
      </c>
      <c r="F399">
        <f>IF(TRIM('List 2'!A399&amp;'List 2'!C399&amp;'List 2'!D399)="","",LOWER(TRIM('List 2'!A399)&amp;"|"&amp;TRIM('List 2'!C399)&amp;"|"&amp;TRIM('List 2'!D399)))</f>
        <v/>
      </c>
      <c r="G399">
        <f>IF(F399="","",SUMPRODUCT(--($F$2:F399=F399)))</f>
        <v/>
      </c>
      <c r="H399">
        <f>IF(F399="","",F399&amp;"#"&amp;G399)</f>
        <v/>
      </c>
      <c r="I399">
        <f>IF(F399="","",IFERROR(--'List 2'!B399,0))</f>
        <v/>
      </c>
      <c r="K399">
        <f>C399</f>
        <v/>
      </c>
      <c r="L399">
        <f>IF(K399="","",IF(ISNUMBER('List 1'!A399),'List 1'!A399,TRIM('List 1'!A399)))</f>
        <v/>
      </c>
      <c r="M399">
        <f>IF(K399="","",IF(ISNUMBER('List 1'!C399),'List 1'!C399,TRIM('List 1'!C399)))</f>
        <v/>
      </c>
      <c r="N399">
        <f>IF(K399="","",IF(ISNUMBER('List 1'!D399),'List 1'!D399,TRIM('List 1'!D399)))</f>
        <v/>
      </c>
      <c r="O399">
        <f>IF(K399="","",D399)</f>
        <v/>
      </c>
      <c r="P399">
        <f>IF(K399="","",IF(R399,SUMPRODUCT(--($H$2:$H$501=K399),$I$2:$I$501),0))</f>
        <v/>
      </c>
      <c r="Q399">
        <f>IF(K399="","",TRUE)</f>
        <v/>
      </c>
      <c r="R399">
        <f>IF(K399="","",SUMPRODUCT(--($H$2:$H$501=K399))&gt;0)</f>
        <v/>
      </c>
      <c r="S399">
        <f>IF(K399="","",IF(AND(Q399,R399),IF(O399=P399,"Match","Qty Different"),IF(Q399,"Only in List 1","Only in List 2")))</f>
        <v/>
      </c>
      <c r="T399">
        <f>IF(K399="","",IF(ISNUMBER(--L399),TEXT(--L399,"000000000000.000"),LOWER(L399)))</f>
        <v/>
      </c>
      <c r="U399">
        <f>IF(K399="","",IF(ISNUMBER(--M399),TEXT(--M399,"000000000000.000"),LOWER(M399)))</f>
        <v/>
      </c>
      <c r="V399">
        <f>IF(K399="","",LOWER(N399))</f>
        <v/>
      </c>
      <c r="W399">
        <f>IF(K399="","",B399)</f>
        <v/>
      </c>
      <c r="X399">
        <f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>
      <c r="A400">
        <f>IF(TRIM('List 1'!A400&amp;'List 1'!C400&amp;'List 1'!D400)="","",LOWER(TRIM('List 1'!A400)&amp;"|"&amp;TRIM('List 1'!C400)&amp;"|"&amp;TRIM('List 1'!D400)))</f>
        <v/>
      </c>
      <c r="B400">
        <f>IF(A400="","",SUMPRODUCT(--($A$2:A400=A400)))</f>
        <v/>
      </c>
      <c r="C400">
        <f>IF(A400="","",A400&amp;"#"&amp;B400)</f>
        <v/>
      </c>
      <c r="D400">
        <f>IF(A400="","",IFERROR(--'List 1'!B400,0))</f>
        <v/>
      </c>
      <c r="F400">
        <f>IF(TRIM('List 2'!A400&amp;'List 2'!C400&amp;'List 2'!D400)="","",LOWER(TRIM('List 2'!A400)&amp;"|"&amp;TRIM('List 2'!C400)&amp;"|"&amp;TRIM('List 2'!D400)))</f>
        <v/>
      </c>
      <c r="G400">
        <f>IF(F400="","",SUMPRODUCT(--($F$2:F400=F400)))</f>
        <v/>
      </c>
      <c r="H400">
        <f>IF(F400="","",F400&amp;"#"&amp;G400)</f>
        <v/>
      </c>
      <c r="I400">
        <f>IF(F400="","",IFERROR(--'List 2'!B400,0))</f>
        <v/>
      </c>
      <c r="K400">
        <f>C400</f>
        <v/>
      </c>
      <c r="L400">
        <f>IF(K400="","",IF(ISNUMBER('List 1'!A400),'List 1'!A400,TRIM('List 1'!A400)))</f>
        <v/>
      </c>
      <c r="M400">
        <f>IF(K400="","",IF(ISNUMBER('List 1'!C400),'List 1'!C400,TRIM('List 1'!C400)))</f>
        <v/>
      </c>
      <c r="N400">
        <f>IF(K400="","",IF(ISNUMBER('List 1'!D400),'List 1'!D400,TRIM('List 1'!D400)))</f>
        <v/>
      </c>
      <c r="O400">
        <f>IF(K400="","",D400)</f>
        <v/>
      </c>
      <c r="P400">
        <f>IF(K400="","",IF(R400,SUMPRODUCT(--($H$2:$H$501=K400),$I$2:$I$501),0))</f>
        <v/>
      </c>
      <c r="Q400">
        <f>IF(K400="","",TRUE)</f>
        <v/>
      </c>
      <c r="R400">
        <f>IF(K400="","",SUMPRODUCT(--($H$2:$H$501=K400))&gt;0)</f>
        <v/>
      </c>
      <c r="S400">
        <f>IF(K400="","",IF(AND(Q400,R400),IF(O400=P400,"Match","Qty Different"),IF(Q400,"Only in List 1","Only in List 2")))</f>
        <v/>
      </c>
      <c r="T400">
        <f>IF(K400="","",IF(ISNUMBER(--L400),TEXT(--L400,"000000000000.000"),LOWER(L400)))</f>
        <v/>
      </c>
      <c r="U400">
        <f>IF(K400="","",IF(ISNUMBER(--M400),TEXT(--M400,"000000000000.000"),LOWER(M400)))</f>
        <v/>
      </c>
      <c r="V400">
        <f>IF(K400="","",LOWER(N400))</f>
        <v/>
      </c>
      <c r="W400">
        <f>IF(K400="","",B400)</f>
        <v/>
      </c>
      <c r="X400">
        <f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>
      <c r="A401">
        <f>IF(TRIM('List 1'!A401&amp;'List 1'!C401&amp;'List 1'!D401)="","",LOWER(TRIM('List 1'!A401)&amp;"|"&amp;TRIM('List 1'!C401)&amp;"|"&amp;TRIM('List 1'!D401)))</f>
        <v/>
      </c>
      <c r="B401">
        <f>IF(A401="","",SUMPRODUCT(--($A$2:A401=A401)))</f>
        <v/>
      </c>
      <c r="C401">
        <f>IF(A401="","",A401&amp;"#"&amp;B401)</f>
        <v/>
      </c>
      <c r="D401">
        <f>IF(A401="","",IFERROR(--'List 1'!B401,0))</f>
        <v/>
      </c>
      <c r="F401">
        <f>IF(TRIM('List 2'!A401&amp;'List 2'!C401&amp;'List 2'!D401)="","",LOWER(TRIM('List 2'!A401)&amp;"|"&amp;TRIM('List 2'!C401)&amp;"|"&amp;TRIM('List 2'!D401)))</f>
        <v/>
      </c>
      <c r="G401">
        <f>IF(F401="","",SUMPRODUCT(--($F$2:F401=F401)))</f>
        <v/>
      </c>
      <c r="H401">
        <f>IF(F401="","",F401&amp;"#"&amp;G401)</f>
        <v/>
      </c>
      <c r="I401">
        <f>IF(F401="","",IFERROR(--'List 2'!B401,0))</f>
        <v/>
      </c>
      <c r="K401">
        <f>C401</f>
        <v/>
      </c>
      <c r="L401">
        <f>IF(K401="","",IF(ISNUMBER('List 1'!A401),'List 1'!A401,TRIM('List 1'!A401)))</f>
        <v/>
      </c>
      <c r="M401">
        <f>IF(K401="","",IF(ISNUMBER('List 1'!C401),'List 1'!C401,TRIM('List 1'!C401)))</f>
        <v/>
      </c>
      <c r="N401">
        <f>IF(K401="","",IF(ISNUMBER('List 1'!D401),'List 1'!D401,TRIM('List 1'!D401)))</f>
        <v/>
      </c>
      <c r="O401">
        <f>IF(K401="","",D401)</f>
        <v/>
      </c>
      <c r="P401">
        <f>IF(K401="","",IF(R401,SUMPRODUCT(--($H$2:$H$501=K401),$I$2:$I$501),0))</f>
        <v/>
      </c>
      <c r="Q401">
        <f>IF(K401="","",TRUE)</f>
        <v/>
      </c>
      <c r="R401">
        <f>IF(K401="","",SUMPRODUCT(--($H$2:$H$501=K401))&gt;0)</f>
        <v/>
      </c>
      <c r="S401">
        <f>IF(K401="","",IF(AND(Q401,R401),IF(O401=P401,"Match","Qty Different"),IF(Q401,"Only in List 1","Only in List 2")))</f>
        <v/>
      </c>
      <c r="T401">
        <f>IF(K401="","",IF(ISNUMBER(--L401),TEXT(--L401,"000000000000.000"),LOWER(L401)))</f>
        <v/>
      </c>
      <c r="U401">
        <f>IF(K401="","",IF(ISNUMBER(--M401),TEXT(--M401,"000000000000.000"),LOWER(M401)))</f>
        <v/>
      </c>
      <c r="V401">
        <f>IF(K401="","",LOWER(N401))</f>
        <v/>
      </c>
      <c r="W401">
        <f>IF(K401="","",B401)</f>
        <v/>
      </c>
      <c r="X401">
        <f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>
      <c r="A402">
        <f>IF(TRIM('List 1'!A402&amp;'List 1'!C402&amp;'List 1'!D402)="","",LOWER(TRIM('List 1'!A402)&amp;"|"&amp;TRIM('List 1'!C402)&amp;"|"&amp;TRIM('List 1'!D402)))</f>
        <v/>
      </c>
      <c r="B402">
        <f>IF(A402="","",SUMPRODUCT(--($A$2:A402=A402)))</f>
        <v/>
      </c>
      <c r="C402">
        <f>IF(A402="","",A402&amp;"#"&amp;B402)</f>
        <v/>
      </c>
      <c r="D402">
        <f>IF(A402="","",IFERROR(--'List 1'!B402,0))</f>
        <v/>
      </c>
      <c r="F402">
        <f>IF(TRIM('List 2'!A402&amp;'List 2'!C402&amp;'List 2'!D402)="","",LOWER(TRIM('List 2'!A402)&amp;"|"&amp;TRIM('List 2'!C402)&amp;"|"&amp;TRIM('List 2'!D402)))</f>
        <v/>
      </c>
      <c r="G402">
        <f>IF(F402="","",SUMPRODUCT(--($F$2:F402=F402)))</f>
        <v/>
      </c>
      <c r="H402">
        <f>IF(F402="","",F402&amp;"#"&amp;G402)</f>
        <v/>
      </c>
      <c r="I402">
        <f>IF(F402="","",IFERROR(--'List 2'!B402,0))</f>
        <v/>
      </c>
      <c r="K402">
        <f>C402</f>
        <v/>
      </c>
      <c r="L402">
        <f>IF(K402="","",IF(ISNUMBER('List 1'!A402),'List 1'!A402,TRIM('List 1'!A402)))</f>
        <v/>
      </c>
      <c r="M402">
        <f>IF(K402="","",IF(ISNUMBER('List 1'!C402),'List 1'!C402,TRIM('List 1'!C402)))</f>
        <v/>
      </c>
      <c r="N402">
        <f>IF(K402="","",IF(ISNUMBER('List 1'!D402),'List 1'!D402,TRIM('List 1'!D402)))</f>
        <v/>
      </c>
      <c r="O402">
        <f>IF(K402="","",D402)</f>
        <v/>
      </c>
      <c r="P402">
        <f>IF(K402="","",IF(R402,SUMPRODUCT(--($H$2:$H$501=K402),$I$2:$I$501),0))</f>
        <v/>
      </c>
      <c r="Q402">
        <f>IF(K402="","",TRUE)</f>
        <v/>
      </c>
      <c r="R402">
        <f>IF(K402="","",SUMPRODUCT(--($H$2:$H$501=K402))&gt;0)</f>
        <v/>
      </c>
      <c r="S402">
        <f>IF(K402="","",IF(AND(Q402,R402),IF(O402=P402,"Match","Qty Different"),IF(Q402,"Only in List 1","Only in List 2")))</f>
        <v/>
      </c>
      <c r="T402">
        <f>IF(K402="","",IF(ISNUMBER(--L402),TEXT(--L402,"000000000000.000"),LOWER(L402)))</f>
        <v/>
      </c>
      <c r="U402">
        <f>IF(K402="","",IF(ISNUMBER(--M402),TEXT(--M402,"000000000000.000"),LOWER(M402)))</f>
        <v/>
      </c>
      <c r="V402">
        <f>IF(K402="","",LOWER(N402))</f>
        <v/>
      </c>
      <c r="W402">
        <f>IF(K402="","",B402)</f>
        <v/>
      </c>
      <c r="X402">
        <f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>
      <c r="A403">
        <f>IF(TRIM('List 1'!A403&amp;'List 1'!C403&amp;'List 1'!D403)="","",LOWER(TRIM('List 1'!A403)&amp;"|"&amp;TRIM('List 1'!C403)&amp;"|"&amp;TRIM('List 1'!D403)))</f>
        <v/>
      </c>
      <c r="B403">
        <f>IF(A403="","",SUMPRODUCT(--($A$2:A403=A403)))</f>
        <v/>
      </c>
      <c r="C403">
        <f>IF(A403="","",A403&amp;"#"&amp;B403)</f>
        <v/>
      </c>
      <c r="D403">
        <f>IF(A403="","",IFERROR(--'List 1'!B403,0))</f>
        <v/>
      </c>
      <c r="F403">
        <f>IF(TRIM('List 2'!A403&amp;'List 2'!C403&amp;'List 2'!D403)="","",LOWER(TRIM('List 2'!A403)&amp;"|"&amp;TRIM('List 2'!C403)&amp;"|"&amp;TRIM('List 2'!D403)))</f>
        <v/>
      </c>
      <c r="G403">
        <f>IF(F403="","",SUMPRODUCT(--($F$2:F403=F403)))</f>
        <v/>
      </c>
      <c r="H403">
        <f>IF(F403="","",F403&amp;"#"&amp;G403)</f>
        <v/>
      </c>
      <c r="I403">
        <f>IF(F403="","",IFERROR(--'List 2'!B403,0))</f>
        <v/>
      </c>
      <c r="K403">
        <f>C403</f>
        <v/>
      </c>
      <c r="L403">
        <f>IF(K403="","",IF(ISNUMBER('List 1'!A403),'List 1'!A403,TRIM('List 1'!A403)))</f>
        <v/>
      </c>
      <c r="M403">
        <f>IF(K403="","",IF(ISNUMBER('List 1'!C403),'List 1'!C403,TRIM('List 1'!C403)))</f>
        <v/>
      </c>
      <c r="N403">
        <f>IF(K403="","",IF(ISNUMBER('List 1'!D403),'List 1'!D403,TRIM('List 1'!D403)))</f>
        <v/>
      </c>
      <c r="O403">
        <f>IF(K403="","",D403)</f>
        <v/>
      </c>
      <c r="P403">
        <f>IF(K403="","",IF(R403,SUMPRODUCT(--($H$2:$H$501=K403),$I$2:$I$501),0))</f>
        <v/>
      </c>
      <c r="Q403">
        <f>IF(K403="","",TRUE)</f>
        <v/>
      </c>
      <c r="R403">
        <f>IF(K403="","",SUMPRODUCT(--($H$2:$H$501=K403))&gt;0)</f>
        <v/>
      </c>
      <c r="S403">
        <f>IF(K403="","",IF(AND(Q403,R403),IF(O403=P403,"Match","Qty Different"),IF(Q403,"Only in List 1","Only in List 2")))</f>
        <v/>
      </c>
      <c r="T403">
        <f>IF(K403="","",IF(ISNUMBER(--L403),TEXT(--L403,"000000000000.000"),LOWER(L403)))</f>
        <v/>
      </c>
      <c r="U403">
        <f>IF(K403="","",IF(ISNUMBER(--M403),TEXT(--M403,"000000000000.000"),LOWER(M403)))</f>
        <v/>
      </c>
      <c r="V403">
        <f>IF(K403="","",LOWER(N403))</f>
        <v/>
      </c>
      <c r="W403">
        <f>IF(K403="","",B403)</f>
        <v/>
      </c>
      <c r="X403">
        <f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>
      <c r="A404">
        <f>IF(TRIM('List 1'!A404&amp;'List 1'!C404&amp;'List 1'!D404)="","",LOWER(TRIM('List 1'!A404)&amp;"|"&amp;TRIM('List 1'!C404)&amp;"|"&amp;TRIM('List 1'!D404)))</f>
        <v/>
      </c>
      <c r="B404">
        <f>IF(A404="","",SUMPRODUCT(--($A$2:A404=A404)))</f>
        <v/>
      </c>
      <c r="C404">
        <f>IF(A404="","",A404&amp;"#"&amp;B404)</f>
        <v/>
      </c>
      <c r="D404">
        <f>IF(A404="","",IFERROR(--'List 1'!B404,0))</f>
        <v/>
      </c>
      <c r="F404">
        <f>IF(TRIM('List 2'!A404&amp;'List 2'!C404&amp;'List 2'!D404)="","",LOWER(TRIM('List 2'!A404)&amp;"|"&amp;TRIM('List 2'!C404)&amp;"|"&amp;TRIM('List 2'!D404)))</f>
        <v/>
      </c>
      <c r="G404">
        <f>IF(F404="","",SUMPRODUCT(--($F$2:F404=F404)))</f>
        <v/>
      </c>
      <c r="H404">
        <f>IF(F404="","",F404&amp;"#"&amp;G404)</f>
        <v/>
      </c>
      <c r="I404">
        <f>IF(F404="","",IFERROR(--'List 2'!B404,0))</f>
        <v/>
      </c>
      <c r="K404">
        <f>C404</f>
        <v/>
      </c>
      <c r="L404">
        <f>IF(K404="","",IF(ISNUMBER('List 1'!A404),'List 1'!A404,TRIM('List 1'!A404)))</f>
        <v/>
      </c>
      <c r="M404">
        <f>IF(K404="","",IF(ISNUMBER('List 1'!C404),'List 1'!C404,TRIM('List 1'!C404)))</f>
        <v/>
      </c>
      <c r="N404">
        <f>IF(K404="","",IF(ISNUMBER('List 1'!D404),'List 1'!D404,TRIM('List 1'!D404)))</f>
        <v/>
      </c>
      <c r="O404">
        <f>IF(K404="","",D404)</f>
        <v/>
      </c>
      <c r="P404">
        <f>IF(K404="","",IF(R404,SUMPRODUCT(--($H$2:$H$501=K404),$I$2:$I$501),0))</f>
        <v/>
      </c>
      <c r="Q404">
        <f>IF(K404="","",TRUE)</f>
        <v/>
      </c>
      <c r="R404">
        <f>IF(K404="","",SUMPRODUCT(--($H$2:$H$501=K404))&gt;0)</f>
        <v/>
      </c>
      <c r="S404">
        <f>IF(K404="","",IF(AND(Q404,R404),IF(O404=P404,"Match","Qty Different"),IF(Q404,"Only in List 1","Only in List 2")))</f>
        <v/>
      </c>
      <c r="T404">
        <f>IF(K404="","",IF(ISNUMBER(--L404),TEXT(--L404,"000000000000.000"),LOWER(L404)))</f>
        <v/>
      </c>
      <c r="U404">
        <f>IF(K404="","",IF(ISNUMBER(--M404),TEXT(--M404,"000000000000.000"),LOWER(M404)))</f>
        <v/>
      </c>
      <c r="V404">
        <f>IF(K404="","",LOWER(N404))</f>
        <v/>
      </c>
      <c r="W404">
        <f>IF(K404="","",B404)</f>
        <v/>
      </c>
      <c r="X404">
        <f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>
      <c r="A405">
        <f>IF(TRIM('List 1'!A405&amp;'List 1'!C405&amp;'List 1'!D405)="","",LOWER(TRIM('List 1'!A405)&amp;"|"&amp;TRIM('List 1'!C405)&amp;"|"&amp;TRIM('List 1'!D405)))</f>
        <v/>
      </c>
      <c r="B405">
        <f>IF(A405="","",SUMPRODUCT(--($A$2:A405=A405)))</f>
        <v/>
      </c>
      <c r="C405">
        <f>IF(A405="","",A405&amp;"#"&amp;B405)</f>
        <v/>
      </c>
      <c r="D405">
        <f>IF(A405="","",IFERROR(--'List 1'!B405,0))</f>
        <v/>
      </c>
      <c r="F405">
        <f>IF(TRIM('List 2'!A405&amp;'List 2'!C405&amp;'List 2'!D405)="","",LOWER(TRIM('List 2'!A405)&amp;"|"&amp;TRIM('List 2'!C405)&amp;"|"&amp;TRIM('List 2'!D405)))</f>
        <v/>
      </c>
      <c r="G405">
        <f>IF(F405="","",SUMPRODUCT(--($F$2:F405=F405)))</f>
        <v/>
      </c>
      <c r="H405">
        <f>IF(F405="","",F405&amp;"#"&amp;G405)</f>
        <v/>
      </c>
      <c r="I405">
        <f>IF(F405="","",IFERROR(--'List 2'!B405,0))</f>
        <v/>
      </c>
      <c r="K405">
        <f>C405</f>
        <v/>
      </c>
      <c r="L405">
        <f>IF(K405="","",IF(ISNUMBER('List 1'!A405),'List 1'!A405,TRIM('List 1'!A405)))</f>
        <v/>
      </c>
      <c r="M405">
        <f>IF(K405="","",IF(ISNUMBER('List 1'!C405),'List 1'!C405,TRIM('List 1'!C405)))</f>
        <v/>
      </c>
      <c r="N405">
        <f>IF(K405="","",IF(ISNUMBER('List 1'!D405),'List 1'!D405,TRIM('List 1'!D405)))</f>
        <v/>
      </c>
      <c r="O405">
        <f>IF(K405="","",D405)</f>
        <v/>
      </c>
      <c r="P405">
        <f>IF(K405="","",IF(R405,SUMPRODUCT(--($H$2:$H$501=K405),$I$2:$I$501),0))</f>
        <v/>
      </c>
      <c r="Q405">
        <f>IF(K405="","",TRUE)</f>
        <v/>
      </c>
      <c r="R405">
        <f>IF(K405="","",SUMPRODUCT(--($H$2:$H$501=K405))&gt;0)</f>
        <v/>
      </c>
      <c r="S405">
        <f>IF(K405="","",IF(AND(Q405,R405),IF(O405=P405,"Match","Qty Different"),IF(Q405,"Only in List 1","Only in List 2")))</f>
        <v/>
      </c>
      <c r="T405">
        <f>IF(K405="","",IF(ISNUMBER(--L405),TEXT(--L405,"000000000000.000"),LOWER(L405)))</f>
        <v/>
      </c>
      <c r="U405">
        <f>IF(K405="","",IF(ISNUMBER(--M405),TEXT(--M405,"000000000000.000"),LOWER(M405)))</f>
        <v/>
      </c>
      <c r="V405">
        <f>IF(K405="","",LOWER(N405))</f>
        <v/>
      </c>
      <c r="W405">
        <f>IF(K405="","",B405)</f>
        <v/>
      </c>
      <c r="X405">
        <f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>
      <c r="A406">
        <f>IF(TRIM('List 1'!A406&amp;'List 1'!C406&amp;'List 1'!D406)="","",LOWER(TRIM('List 1'!A406)&amp;"|"&amp;TRIM('List 1'!C406)&amp;"|"&amp;TRIM('List 1'!D406)))</f>
        <v/>
      </c>
      <c r="B406">
        <f>IF(A406="","",SUMPRODUCT(--($A$2:A406=A406)))</f>
        <v/>
      </c>
      <c r="C406">
        <f>IF(A406="","",A406&amp;"#"&amp;B406)</f>
        <v/>
      </c>
      <c r="D406">
        <f>IF(A406="","",IFERROR(--'List 1'!B406,0))</f>
        <v/>
      </c>
      <c r="F406">
        <f>IF(TRIM('List 2'!A406&amp;'List 2'!C406&amp;'List 2'!D406)="","",LOWER(TRIM('List 2'!A406)&amp;"|"&amp;TRIM('List 2'!C406)&amp;"|"&amp;TRIM('List 2'!D406)))</f>
        <v/>
      </c>
      <c r="G406">
        <f>IF(F406="","",SUMPRODUCT(--($F$2:F406=F406)))</f>
        <v/>
      </c>
      <c r="H406">
        <f>IF(F406="","",F406&amp;"#"&amp;G406)</f>
        <v/>
      </c>
      <c r="I406">
        <f>IF(F406="","",IFERROR(--'List 2'!B406,0))</f>
        <v/>
      </c>
      <c r="K406">
        <f>C406</f>
        <v/>
      </c>
      <c r="L406">
        <f>IF(K406="","",IF(ISNUMBER('List 1'!A406),'List 1'!A406,TRIM('List 1'!A406)))</f>
        <v/>
      </c>
      <c r="M406">
        <f>IF(K406="","",IF(ISNUMBER('List 1'!C406),'List 1'!C406,TRIM('List 1'!C406)))</f>
        <v/>
      </c>
      <c r="N406">
        <f>IF(K406="","",IF(ISNUMBER('List 1'!D406),'List 1'!D406,TRIM('List 1'!D406)))</f>
        <v/>
      </c>
      <c r="O406">
        <f>IF(K406="","",D406)</f>
        <v/>
      </c>
      <c r="P406">
        <f>IF(K406="","",IF(R406,SUMPRODUCT(--($H$2:$H$501=K406),$I$2:$I$501),0))</f>
        <v/>
      </c>
      <c r="Q406">
        <f>IF(K406="","",TRUE)</f>
        <v/>
      </c>
      <c r="R406">
        <f>IF(K406="","",SUMPRODUCT(--($H$2:$H$501=K406))&gt;0)</f>
        <v/>
      </c>
      <c r="S406">
        <f>IF(K406="","",IF(AND(Q406,R406),IF(O406=P406,"Match","Qty Different"),IF(Q406,"Only in List 1","Only in List 2")))</f>
        <v/>
      </c>
      <c r="T406">
        <f>IF(K406="","",IF(ISNUMBER(--L406),TEXT(--L406,"000000000000.000"),LOWER(L406)))</f>
        <v/>
      </c>
      <c r="U406">
        <f>IF(K406="","",IF(ISNUMBER(--M406),TEXT(--M406,"000000000000.000"),LOWER(M406)))</f>
        <v/>
      </c>
      <c r="V406">
        <f>IF(K406="","",LOWER(N406))</f>
        <v/>
      </c>
      <c r="W406">
        <f>IF(K406="","",B406)</f>
        <v/>
      </c>
      <c r="X406">
        <f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>
      <c r="A407">
        <f>IF(TRIM('List 1'!A407&amp;'List 1'!C407&amp;'List 1'!D407)="","",LOWER(TRIM('List 1'!A407)&amp;"|"&amp;TRIM('List 1'!C407)&amp;"|"&amp;TRIM('List 1'!D407)))</f>
        <v/>
      </c>
      <c r="B407">
        <f>IF(A407="","",SUMPRODUCT(--($A$2:A407=A407)))</f>
        <v/>
      </c>
      <c r="C407">
        <f>IF(A407="","",A407&amp;"#"&amp;B407)</f>
        <v/>
      </c>
      <c r="D407">
        <f>IF(A407="","",IFERROR(--'List 1'!B407,0))</f>
        <v/>
      </c>
      <c r="F407">
        <f>IF(TRIM('List 2'!A407&amp;'List 2'!C407&amp;'List 2'!D407)="","",LOWER(TRIM('List 2'!A407)&amp;"|"&amp;TRIM('List 2'!C407)&amp;"|"&amp;TRIM('List 2'!D407)))</f>
        <v/>
      </c>
      <c r="G407">
        <f>IF(F407="","",SUMPRODUCT(--($F$2:F407=F407)))</f>
        <v/>
      </c>
      <c r="H407">
        <f>IF(F407="","",F407&amp;"#"&amp;G407)</f>
        <v/>
      </c>
      <c r="I407">
        <f>IF(F407="","",IFERROR(--'List 2'!B407,0))</f>
        <v/>
      </c>
      <c r="K407">
        <f>C407</f>
        <v/>
      </c>
      <c r="L407">
        <f>IF(K407="","",IF(ISNUMBER('List 1'!A407),'List 1'!A407,TRIM('List 1'!A407)))</f>
        <v/>
      </c>
      <c r="M407">
        <f>IF(K407="","",IF(ISNUMBER('List 1'!C407),'List 1'!C407,TRIM('List 1'!C407)))</f>
        <v/>
      </c>
      <c r="N407">
        <f>IF(K407="","",IF(ISNUMBER('List 1'!D407),'List 1'!D407,TRIM('List 1'!D407)))</f>
        <v/>
      </c>
      <c r="O407">
        <f>IF(K407="","",D407)</f>
        <v/>
      </c>
      <c r="P407">
        <f>IF(K407="","",IF(R407,SUMPRODUCT(--($H$2:$H$501=K407),$I$2:$I$501),0))</f>
        <v/>
      </c>
      <c r="Q407">
        <f>IF(K407="","",TRUE)</f>
        <v/>
      </c>
      <c r="R407">
        <f>IF(K407="","",SUMPRODUCT(--($H$2:$H$501=K407))&gt;0)</f>
        <v/>
      </c>
      <c r="S407">
        <f>IF(K407="","",IF(AND(Q407,R407),IF(O407=P407,"Match","Qty Different"),IF(Q407,"Only in List 1","Only in List 2")))</f>
        <v/>
      </c>
      <c r="T407">
        <f>IF(K407="","",IF(ISNUMBER(--L407),TEXT(--L407,"000000000000.000"),LOWER(L407)))</f>
        <v/>
      </c>
      <c r="U407">
        <f>IF(K407="","",IF(ISNUMBER(--M407),TEXT(--M407,"000000000000.000"),LOWER(M407)))</f>
        <v/>
      </c>
      <c r="V407">
        <f>IF(K407="","",LOWER(N407))</f>
        <v/>
      </c>
      <c r="W407">
        <f>IF(K407="","",B407)</f>
        <v/>
      </c>
      <c r="X407">
        <f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>
      <c r="A408">
        <f>IF(TRIM('List 1'!A408&amp;'List 1'!C408&amp;'List 1'!D408)="","",LOWER(TRIM('List 1'!A408)&amp;"|"&amp;TRIM('List 1'!C408)&amp;"|"&amp;TRIM('List 1'!D408)))</f>
        <v/>
      </c>
      <c r="B408">
        <f>IF(A408="","",SUMPRODUCT(--($A$2:A408=A408)))</f>
        <v/>
      </c>
      <c r="C408">
        <f>IF(A408="","",A408&amp;"#"&amp;B408)</f>
        <v/>
      </c>
      <c r="D408">
        <f>IF(A408="","",IFERROR(--'List 1'!B408,0))</f>
        <v/>
      </c>
      <c r="F408">
        <f>IF(TRIM('List 2'!A408&amp;'List 2'!C408&amp;'List 2'!D408)="","",LOWER(TRIM('List 2'!A408)&amp;"|"&amp;TRIM('List 2'!C408)&amp;"|"&amp;TRIM('List 2'!D408)))</f>
        <v/>
      </c>
      <c r="G408">
        <f>IF(F408="","",SUMPRODUCT(--($F$2:F408=F408)))</f>
        <v/>
      </c>
      <c r="H408">
        <f>IF(F408="","",F408&amp;"#"&amp;G408)</f>
        <v/>
      </c>
      <c r="I408">
        <f>IF(F408="","",IFERROR(--'List 2'!B408,0))</f>
        <v/>
      </c>
      <c r="K408">
        <f>C408</f>
        <v/>
      </c>
      <c r="L408">
        <f>IF(K408="","",IF(ISNUMBER('List 1'!A408),'List 1'!A408,TRIM('List 1'!A408)))</f>
        <v/>
      </c>
      <c r="M408">
        <f>IF(K408="","",IF(ISNUMBER('List 1'!C408),'List 1'!C408,TRIM('List 1'!C408)))</f>
        <v/>
      </c>
      <c r="N408">
        <f>IF(K408="","",IF(ISNUMBER('List 1'!D408),'List 1'!D408,TRIM('List 1'!D408)))</f>
        <v/>
      </c>
      <c r="O408">
        <f>IF(K408="","",D408)</f>
        <v/>
      </c>
      <c r="P408">
        <f>IF(K408="","",IF(R408,SUMPRODUCT(--($H$2:$H$501=K408),$I$2:$I$501),0))</f>
        <v/>
      </c>
      <c r="Q408">
        <f>IF(K408="","",TRUE)</f>
        <v/>
      </c>
      <c r="R408">
        <f>IF(K408="","",SUMPRODUCT(--($H$2:$H$501=K408))&gt;0)</f>
        <v/>
      </c>
      <c r="S408">
        <f>IF(K408="","",IF(AND(Q408,R408),IF(O408=P408,"Match","Qty Different"),IF(Q408,"Only in List 1","Only in List 2")))</f>
        <v/>
      </c>
      <c r="T408">
        <f>IF(K408="","",IF(ISNUMBER(--L408),TEXT(--L408,"000000000000.000"),LOWER(L408)))</f>
        <v/>
      </c>
      <c r="U408">
        <f>IF(K408="","",IF(ISNUMBER(--M408),TEXT(--M408,"000000000000.000"),LOWER(M408)))</f>
        <v/>
      </c>
      <c r="V408">
        <f>IF(K408="","",LOWER(N408))</f>
        <v/>
      </c>
      <c r="W408">
        <f>IF(K408="","",B408)</f>
        <v/>
      </c>
      <c r="X408">
        <f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>
      <c r="A409">
        <f>IF(TRIM('List 1'!A409&amp;'List 1'!C409&amp;'List 1'!D409)="","",LOWER(TRIM('List 1'!A409)&amp;"|"&amp;TRIM('List 1'!C409)&amp;"|"&amp;TRIM('List 1'!D409)))</f>
        <v/>
      </c>
      <c r="B409">
        <f>IF(A409="","",SUMPRODUCT(--($A$2:A409=A409)))</f>
        <v/>
      </c>
      <c r="C409">
        <f>IF(A409="","",A409&amp;"#"&amp;B409)</f>
        <v/>
      </c>
      <c r="D409">
        <f>IF(A409="","",IFERROR(--'List 1'!B409,0))</f>
        <v/>
      </c>
      <c r="F409">
        <f>IF(TRIM('List 2'!A409&amp;'List 2'!C409&amp;'List 2'!D409)="","",LOWER(TRIM('List 2'!A409)&amp;"|"&amp;TRIM('List 2'!C409)&amp;"|"&amp;TRIM('List 2'!D409)))</f>
        <v/>
      </c>
      <c r="G409">
        <f>IF(F409="","",SUMPRODUCT(--($F$2:F409=F409)))</f>
        <v/>
      </c>
      <c r="H409">
        <f>IF(F409="","",F409&amp;"#"&amp;G409)</f>
        <v/>
      </c>
      <c r="I409">
        <f>IF(F409="","",IFERROR(--'List 2'!B409,0))</f>
        <v/>
      </c>
      <c r="K409">
        <f>C409</f>
        <v/>
      </c>
      <c r="L409">
        <f>IF(K409="","",IF(ISNUMBER('List 1'!A409),'List 1'!A409,TRIM('List 1'!A409)))</f>
        <v/>
      </c>
      <c r="M409">
        <f>IF(K409="","",IF(ISNUMBER('List 1'!C409),'List 1'!C409,TRIM('List 1'!C409)))</f>
        <v/>
      </c>
      <c r="N409">
        <f>IF(K409="","",IF(ISNUMBER('List 1'!D409),'List 1'!D409,TRIM('List 1'!D409)))</f>
        <v/>
      </c>
      <c r="O409">
        <f>IF(K409="","",D409)</f>
        <v/>
      </c>
      <c r="P409">
        <f>IF(K409="","",IF(R409,SUMPRODUCT(--($H$2:$H$501=K409),$I$2:$I$501),0))</f>
        <v/>
      </c>
      <c r="Q409">
        <f>IF(K409="","",TRUE)</f>
        <v/>
      </c>
      <c r="R409">
        <f>IF(K409="","",SUMPRODUCT(--($H$2:$H$501=K409))&gt;0)</f>
        <v/>
      </c>
      <c r="S409">
        <f>IF(K409="","",IF(AND(Q409,R409),IF(O409=P409,"Match","Qty Different"),IF(Q409,"Only in List 1","Only in List 2")))</f>
        <v/>
      </c>
      <c r="T409">
        <f>IF(K409="","",IF(ISNUMBER(--L409),TEXT(--L409,"000000000000.000"),LOWER(L409)))</f>
        <v/>
      </c>
      <c r="U409">
        <f>IF(K409="","",IF(ISNUMBER(--M409),TEXT(--M409,"000000000000.000"),LOWER(M409)))</f>
        <v/>
      </c>
      <c r="V409">
        <f>IF(K409="","",LOWER(N409))</f>
        <v/>
      </c>
      <c r="W409">
        <f>IF(K409="","",B409)</f>
        <v/>
      </c>
      <c r="X409">
        <f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>
      <c r="A410">
        <f>IF(TRIM('List 1'!A410&amp;'List 1'!C410&amp;'List 1'!D410)="","",LOWER(TRIM('List 1'!A410)&amp;"|"&amp;TRIM('List 1'!C410)&amp;"|"&amp;TRIM('List 1'!D410)))</f>
        <v/>
      </c>
      <c r="B410">
        <f>IF(A410="","",SUMPRODUCT(--($A$2:A410=A410)))</f>
        <v/>
      </c>
      <c r="C410">
        <f>IF(A410="","",A410&amp;"#"&amp;B410)</f>
        <v/>
      </c>
      <c r="D410">
        <f>IF(A410="","",IFERROR(--'List 1'!B410,0))</f>
        <v/>
      </c>
      <c r="F410">
        <f>IF(TRIM('List 2'!A410&amp;'List 2'!C410&amp;'List 2'!D410)="","",LOWER(TRIM('List 2'!A410)&amp;"|"&amp;TRIM('List 2'!C410)&amp;"|"&amp;TRIM('List 2'!D410)))</f>
        <v/>
      </c>
      <c r="G410">
        <f>IF(F410="","",SUMPRODUCT(--($F$2:F410=F410)))</f>
        <v/>
      </c>
      <c r="H410">
        <f>IF(F410="","",F410&amp;"#"&amp;G410)</f>
        <v/>
      </c>
      <c r="I410">
        <f>IF(F410="","",IFERROR(--'List 2'!B410,0))</f>
        <v/>
      </c>
      <c r="K410">
        <f>C410</f>
        <v/>
      </c>
      <c r="L410">
        <f>IF(K410="","",IF(ISNUMBER('List 1'!A410),'List 1'!A410,TRIM('List 1'!A410)))</f>
        <v/>
      </c>
      <c r="M410">
        <f>IF(K410="","",IF(ISNUMBER('List 1'!C410),'List 1'!C410,TRIM('List 1'!C410)))</f>
        <v/>
      </c>
      <c r="N410">
        <f>IF(K410="","",IF(ISNUMBER('List 1'!D410),'List 1'!D410,TRIM('List 1'!D410)))</f>
        <v/>
      </c>
      <c r="O410">
        <f>IF(K410="","",D410)</f>
        <v/>
      </c>
      <c r="P410">
        <f>IF(K410="","",IF(R410,SUMPRODUCT(--($H$2:$H$501=K410),$I$2:$I$501),0))</f>
        <v/>
      </c>
      <c r="Q410">
        <f>IF(K410="","",TRUE)</f>
        <v/>
      </c>
      <c r="R410">
        <f>IF(K410="","",SUMPRODUCT(--($H$2:$H$501=K410))&gt;0)</f>
        <v/>
      </c>
      <c r="S410">
        <f>IF(K410="","",IF(AND(Q410,R410),IF(O410=P410,"Match","Qty Different"),IF(Q410,"Only in List 1","Only in List 2")))</f>
        <v/>
      </c>
      <c r="T410">
        <f>IF(K410="","",IF(ISNUMBER(--L410),TEXT(--L410,"000000000000.000"),LOWER(L410)))</f>
        <v/>
      </c>
      <c r="U410">
        <f>IF(K410="","",IF(ISNUMBER(--M410),TEXT(--M410,"000000000000.000"),LOWER(M410)))</f>
        <v/>
      </c>
      <c r="V410">
        <f>IF(K410="","",LOWER(N410))</f>
        <v/>
      </c>
      <c r="W410">
        <f>IF(K410="","",B410)</f>
        <v/>
      </c>
      <c r="X410">
        <f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>
      <c r="A411">
        <f>IF(TRIM('List 1'!A411&amp;'List 1'!C411&amp;'List 1'!D411)="","",LOWER(TRIM('List 1'!A411)&amp;"|"&amp;TRIM('List 1'!C411)&amp;"|"&amp;TRIM('List 1'!D411)))</f>
        <v/>
      </c>
      <c r="B411">
        <f>IF(A411="","",SUMPRODUCT(--($A$2:A411=A411)))</f>
        <v/>
      </c>
      <c r="C411">
        <f>IF(A411="","",A411&amp;"#"&amp;B411)</f>
        <v/>
      </c>
      <c r="D411">
        <f>IF(A411="","",IFERROR(--'List 1'!B411,0))</f>
        <v/>
      </c>
      <c r="F411">
        <f>IF(TRIM('List 2'!A411&amp;'List 2'!C411&amp;'List 2'!D411)="","",LOWER(TRIM('List 2'!A411)&amp;"|"&amp;TRIM('List 2'!C411)&amp;"|"&amp;TRIM('List 2'!D411)))</f>
        <v/>
      </c>
      <c r="G411">
        <f>IF(F411="","",SUMPRODUCT(--($F$2:F411=F411)))</f>
        <v/>
      </c>
      <c r="H411">
        <f>IF(F411="","",F411&amp;"#"&amp;G411)</f>
        <v/>
      </c>
      <c r="I411">
        <f>IF(F411="","",IFERROR(--'List 2'!B411,0))</f>
        <v/>
      </c>
      <c r="K411">
        <f>C411</f>
        <v/>
      </c>
      <c r="L411">
        <f>IF(K411="","",IF(ISNUMBER('List 1'!A411),'List 1'!A411,TRIM('List 1'!A411)))</f>
        <v/>
      </c>
      <c r="M411">
        <f>IF(K411="","",IF(ISNUMBER('List 1'!C411),'List 1'!C411,TRIM('List 1'!C411)))</f>
        <v/>
      </c>
      <c r="N411">
        <f>IF(K411="","",IF(ISNUMBER('List 1'!D411),'List 1'!D411,TRIM('List 1'!D411)))</f>
        <v/>
      </c>
      <c r="O411">
        <f>IF(K411="","",D411)</f>
        <v/>
      </c>
      <c r="P411">
        <f>IF(K411="","",IF(R411,SUMPRODUCT(--($H$2:$H$501=K411),$I$2:$I$501),0))</f>
        <v/>
      </c>
      <c r="Q411">
        <f>IF(K411="","",TRUE)</f>
        <v/>
      </c>
      <c r="R411">
        <f>IF(K411="","",SUMPRODUCT(--($H$2:$H$501=K411))&gt;0)</f>
        <v/>
      </c>
      <c r="S411">
        <f>IF(K411="","",IF(AND(Q411,R411),IF(O411=P411,"Match","Qty Different"),IF(Q411,"Only in List 1","Only in List 2")))</f>
        <v/>
      </c>
      <c r="T411">
        <f>IF(K411="","",IF(ISNUMBER(--L411),TEXT(--L411,"000000000000.000"),LOWER(L411)))</f>
        <v/>
      </c>
      <c r="U411">
        <f>IF(K411="","",IF(ISNUMBER(--M411),TEXT(--M411,"000000000000.000"),LOWER(M411)))</f>
        <v/>
      </c>
      <c r="V411">
        <f>IF(K411="","",LOWER(N411))</f>
        <v/>
      </c>
      <c r="W411">
        <f>IF(K411="","",B411)</f>
        <v/>
      </c>
      <c r="X411">
        <f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>
      <c r="A412">
        <f>IF(TRIM('List 1'!A412&amp;'List 1'!C412&amp;'List 1'!D412)="","",LOWER(TRIM('List 1'!A412)&amp;"|"&amp;TRIM('List 1'!C412)&amp;"|"&amp;TRIM('List 1'!D412)))</f>
        <v/>
      </c>
      <c r="B412">
        <f>IF(A412="","",SUMPRODUCT(--($A$2:A412=A412)))</f>
        <v/>
      </c>
      <c r="C412">
        <f>IF(A412="","",A412&amp;"#"&amp;B412)</f>
        <v/>
      </c>
      <c r="D412">
        <f>IF(A412="","",IFERROR(--'List 1'!B412,0))</f>
        <v/>
      </c>
      <c r="F412">
        <f>IF(TRIM('List 2'!A412&amp;'List 2'!C412&amp;'List 2'!D412)="","",LOWER(TRIM('List 2'!A412)&amp;"|"&amp;TRIM('List 2'!C412)&amp;"|"&amp;TRIM('List 2'!D412)))</f>
        <v/>
      </c>
      <c r="G412">
        <f>IF(F412="","",SUMPRODUCT(--($F$2:F412=F412)))</f>
        <v/>
      </c>
      <c r="H412">
        <f>IF(F412="","",F412&amp;"#"&amp;G412)</f>
        <v/>
      </c>
      <c r="I412">
        <f>IF(F412="","",IFERROR(--'List 2'!B412,0))</f>
        <v/>
      </c>
      <c r="K412">
        <f>C412</f>
        <v/>
      </c>
      <c r="L412">
        <f>IF(K412="","",IF(ISNUMBER('List 1'!A412),'List 1'!A412,TRIM('List 1'!A412)))</f>
        <v/>
      </c>
      <c r="M412">
        <f>IF(K412="","",IF(ISNUMBER('List 1'!C412),'List 1'!C412,TRIM('List 1'!C412)))</f>
        <v/>
      </c>
      <c r="N412">
        <f>IF(K412="","",IF(ISNUMBER('List 1'!D412),'List 1'!D412,TRIM('List 1'!D412)))</f>
        <v/>
      </c>
      <c r="O412">
        <f>IF(K412="","",D412)</f>
        <v/>
      </c>
      <c r="P412">
        <f>IF(K412="","",IF(R412,SUMPRODUCT(--($H$2:$H$501=K412),$I$2:$I$501),0))</f>
        <v/>
      </c>
      <c r="Q412">
        <f>IF(K412="","",TRUE)</f>
        <v/>
      </c>
      <c r="R412">
        <f>IF(K412="","",SUMPRODUCT(--($H$2:$H$501=K412))&gt;0)</f>
        <v/>
      </c>
      <c r="S412">
        <f>IF(K412="","",IF(AND(Q412,R412),IF(O412=P412,"Match","Qty Different"),IF(Q412,"Only in List 1","Only in List 2")))</f>
        <v/>
      </c>
      <c r="T412">
        <f>IF(K412="","",IF(ISNUMBER(--L412),TEXT(--L412,"000000000000.000"),LOWER(L412)))</f>
        <v/>
      </c>
      <c r="U412">
        <f>IF(K412="","",IF(ISNUMBER(--M412),TEXT(--M412,"000000000000.000"),LOWER(M412)))</f>
        <v/>
      </c>
      <c r="V412">
        <f>IF(K412="","",LOWER(N412))</f>
        <v/>
      </c>
      <c r="W412">
        <f>IF(K412="","",B412)</f>
        <v/>
      </c>
      <c r="X412">
        <f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>
      <c r="A413">
        <f>IF(TRIM('List 1'!A413&amp;'List 1'!C413&amp;'List 1'!D413)="","",LOWER(TRIM('List 1'!A413)&amp;"|"&amp;TRIM('List 1'!C413)&amp;"|"&amp;TRIM('List 1'!D413)))</f>
        <v/>
      </c>
      <c r="B413">
        <f>IF(A413="","",SUMPRODUCT(--($A$2:A413=A413)))</f>
        <v/>
      </c>
      <c r="C413">
        <f>IF(A413="","",A413&amp;"#"&amp;B413)</f>
        <v/>
      </c>
      <c r="D413">
        <f>IF(A413="","",IFERROR(--'List 1'!B413,0))</f>
        <v/>
      </c>
      <c r="F413">
        <f>IF(TRIM('List 2'!A413&amp;'List 2'!C413&amp;'List 2'!D413)="","",LOWER(TRIM('List 2'!A413)&amp;"|"&amp;TRIM('List 2'!C413)&amp;"|"&amp;TRIM('List 2'!D413)))</f>
        <v/>
      </c>
      <c r="G413">
        <f>IF(F413="","",SUMPRODUCT(--($F$2:F413=F413)))</f>
        <v/>
      </c>
      <c r="H413">
        <f>IF(F413="","",F413&amp;"#"&amp;G413)</f>
        <v/>
      </c>
      <c r="I413">
        <f>IF(F413="","",IFERROR(--'List 2'!B413,0))</f>
        <v/>
      </c>
      <c r="K413">
        <f>C413</f>
        <v/>
      </c>
      <c r="L413">
        <f>IF(K413="","",IF(ISNUMBER('List 1'!A413),'List 1'!A413,TRIM('List 1'!A413)))</f>
        <v/>
      </c>
      <c r="M413">
        <f>IF(K413="","",IF(ISNUMBER('List 1'!C413),'List 1'!C413,TRIM('List 1'!C413)))</f>
        <v/>
      </c>
      <c r="N413">
        <f>IF(K413="","",IF(ISNUMBER('List 1'!D413),'List 1'!D413,TRIM('List 1'!D413)))</f>
        <v/>
      </c>
      <c r="O413">
        <f>IF(K413="","",D413)</f>
        <v/>
      </c>
      <c r="P413">
        <f>IF(K413="","",IF(R413,SUMPRODUCT(--($H$2:$H$501=K413),$I$2:$I$501),0))</f>
        <v/>
      </c>
      <c r="Q413">
        <f>IF(K413="","",TRUE)</f>
        <v/>
      </c>
      <c r="R413">
        <f>IF(K413="","",SUMPRODUCT(--($H$2:$H$501=K413))&gt;0)</f>
        <v/>
      </c>
      <c r="S413">
        <f>IF(K413="","",IF(AND(Q413,R413),IF(O413=P413,"Match","Qty Different"),IF(Q413,"Only in List 1","Only in List 2")))</f>
        <v/>
      </c>
      <c r="T413">
        <f>IF(K413="","",IF(ISNUMBER(--L413),TEXT(--L413,"000000000000.000"),LOWER(L413)))</f>
        <v/>
      </c>
      <c r="U413">
        <f>IF(K413="","",IF(ISNUMBER(--M413),TEXT(--M413,"000000000000.000"),LOWER(M413)))</f>
        <v/>
      </c>
      <c r="V413">
        <f>IF(K413="","",LOWER(N413))</f>
        <v/>
      </c>
      <c r="W413">
        <f>IF(K413="","",B413)</f>
        <v/>
      </c>
      <c r="X413">
        <f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>
      <c r="A414">
        <f>IF(TRIM('List 1'!A414&amp;'List 1'!C414&amp;'List 1'!D414)="","",LOWER(TRIM('List 1'!A414)&amp;"|"&amp;TRIM('List 1'!C414)&amp;"|"&amp;TRIM('List 1'!D414)))</f>
        <v/>
      </c>
      <c r="B414">
        <f>IF(A414="","",SUMPRODUCT(--($A$2:A414=A414)))</f>
        <v/>
      </c>
      <c r="C414">
        <f>IF(A414="","",A414&amp;"#"&amp;B414)</f>
        <v/>
      </c>
      <c r="D414">
        <f>IF(A414="","",IFERROR(--'List 1'!B414,0))</f>
        <v/>
      </c>
      <c r="F414">
        <f>IF(TRIM('List 2'!A414&amp;'List 2'!C414&amp;'List 2'!D414)="","",LOWER(TRIM('List 2'!A414)&amp;"|"&amp;TRIM('List 2'!C414)&amp;"|"&amp;TRIM('List 2'!D414)))</f>
        <v/>
      </c>
      <c r="G414">
        <f>IF(F414="","",SUMPRODUCT(--($F$2:F414=F414)))</f>
        <v/>
      </c>
      <c r="H414">
        <f>IF(F414="","",F414&amp;"#"&amp;G414)</f>
        <v/>
      </c>
      <c r="I414">
        <f>IF(F414="","",IFERROR(--'List 2'!B414,0))</f>
        <v/>
      </c>
      <c r="K414">
        <f>C414</f>
        <v/>
      </c>
      <c r="L414">
        <f>IF(K414="","",IF(ISNUMBER('List 1'!A414),'List 1'!A414,TRIM('List 1'!A414)))</f>
        <v/>
      </c>
      <c r="M414">
        <f>IF(K414="","",IF(ISNUMBER('List 1'!C414),'List 1'!C414,TRIM('List 1'!C414)))</f>
        <v/>
      </c>
      <c r="N414">
        <f>IF(K414="","",IF(ISNUMBER('List 1'!D414),'List 1'!D414,TRIM('List 1'!D414)))</f>
        <v/>
      </c>
      <c r="O414">
        <f>IF(K414="","",D414)</f>
        <v/>
      </c>
      <c r="P414">
        <f>IF(K414="","",IF(R414,SUMPRODUCT(--($H$2:$H$501=K414),$I$2:$I$501),0))</f>
        <v/>
      </c>
      <c r="Q414">
        <f>IF(K414="","",TRUE)</f>
        <v/>
      </c>
      <c r="R414">
        <f>IF(K414="","",SUMPRODUCT(--($H$2:$H$501=K414))&gt;0)</f>
        <v/>
      </c>
      <c r="S414">
        <f>IF(K414="","",IF(AND(Q414,R414),IF(O414=P414,"Match","Qty Different"),IF(Q414,"Only in List 1","Only in List 2")))</f>
        <v/>
      </c>
      <c r="T414">
        <f>IF(K414="","",IF(ISNUMBER(--L414),TEXT(--L414,"000000000000.000"),LOWER(L414)))</f>
        <v/>
      </c>
      <c r="U414">
        <f>IF(K414="","",IF(ISNUMBER(--M414),TEXT(--M414,"000000000000.000"),LOWER(M414)))</f>
        <v/>
      </c>
      <c r="V414">
        <f>IF(K414="","",LOWER(N414))</f>
        <v/>
      </c>
      <c r="W414">
        <f>IF(K414="","",B414)</f>
        <v/>
      </c>
      <c r="X414">
        <f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>
      <c r="A415">
        <f>IF(TRIM('List 1'!A415&amp;'List 1'!C415&amp;'List 1'!D415)="","",LOWER(TRIM('List 1'!A415)&amp;"|"&amp;TRIM('List 1'!C415)&amp;"|"&amp;TRIM('List 1'!D415)))</f>
        <v/>
      </c>
      <c r="B415">
        <f>IF(A415="","",SUMPRODUCT(--($A$2:A415=A415)))</f>
        <v/>
      </c>
      <c r="C415">
        <f>IF(A415="","",A415&amp;"#"&amp;B415)</f>
        <v/>
      </c>
      <c r="D415">
        <f>IF(A415="","",IFERROR(--'List 1'!B415,0))</f>
        <v/>
      </c>
      <c r="F415">
        <f>IF(TRIM('List 2'!A415&amp;'List 2'!C415&amp;'List 2'!D415)="","",LOWER(TRIM('List 2'!A415)&amp;"|"&amp;TRIM('List 2'!C415)&amp;"|"&amp;TRIM('List 2'!D415)))</f>
        <v/>
      </c>
      <c r="G415">
        <f>IF(F415="","",SUMPRODUCT(--($F$2:F415=F415)))</f>
        <v/>
      </c>
      <c r="H415">
        <f>IF(F415="","",F415&amp;"#"&amp;G415)</f>
        <v/>
      </c>
      <c r="I415">
        <f>IF(F415="","",IFERROR(--'List 2'!B415,0))</f>
        <v/>
      </c>
      <c r="K415">
        <f>C415</f>
        <v/>
      </c>
      <c r="L415">
        <f>IF(K415="","",IF(ISNUMBER('List 1'!A415),'List 1'!A415,TRIM('List 1'!A415)))</f>
        <v/>
      </c>
      <c r="M415">
        <f>IF(K415="","",IF(ISNUMBER('List 1'!C415),'List 1'!C415,TRIM('List 1'!C415)))</f>
        <v/>
      </c>
      <c r="N415">
        <f>IF(K415="","",IF(ISNUMBER('List 1'!D415),'List 1'!D415,TRIM('List 1'!D415)))</f>
        <v/>
      </c>
      <c r="O415">
        <f>IF(K415="","",D415)</f>
        <v/>
      </c>
      <c r="P415">
        <f>IF(K415="","",IF(R415,SUMPRODUCT(--($H$2:$H$501=K415),$I$2:$I$501),0))</f>
        <v/>
      </c>
      <c r="Q415">
        <f>IF(K415="","",TRUE)</f>
        <v/>
      </c>
      <c r="R415">
        <f>IF(K415="","",SUMPRODUCT(--($H$2:$H$501=K415))&gt;0)</f>
        <v/>
      </c>
      <c r="S415">
        <f>IF(K415="","",IF(AND(Q415,R415),IF(O415=P415,"Match","Qty Different"),IF(Q415,"Only in List 1","Only in List 2")))</f>
        <v/>
      </c>
      <c r="T415">
        <f>IF(K415="","",IF(ISNUMBER(--L415),TEXT(--L415,"000000000000.000"),LOWER(L415)))</f>
        <v/>
      </c>
      <c r="U415">
        <f>IF(K415="","",IF(ISNUMBER(--M415),TEXT(--M415,"000000000000.000"),LOWER(M415)))</f>
        <v/>
      </c>
      <c r="V415">
        <f>IF(K415="","",LOWER(N415))</f>
        <v/>
      </c>
      <c r="W415">
        <f>IF(K415="","",B415)</f>
        <v/>
      </c>
      <c r="X415">
        <f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>
      <c r="A416">
        <f>IF(TRIM('List 1'!A416&amp;'List 1'!C416&amp;'List 1'!D416)="","",LOWER(TRIM('List 1'!A416)&amp;"|"&amp;TRIM('List 1'!C416)&amp;"|"&amp;TRIM('List 1'!D416)))</f>
        <v/>
      </c>
      <c r="B416">
        <f>IF(A416="","",SUMPRODUCT(--($A$2:A416=A416)))</f>
        <v/>
      </c>
      <c r="C416">
        <f>IF(A416="","",A416&amp;"#"&amp;B416)</f>
        <v/>
      </c>
      <c r="D416">
        <f>IF(A416="","",IFERROR(--'List 1'!B416,0))</f>
        <v/>
      </c>
      <c r="F416">
        <f>IF(TRIM('List 2'!A416&amp;'List 2'!C416&amp;'List 2'!D416)="","",LOWER(TRIM('List 2'!A416)&amp;"|"&amp;TRIM('List 2'!C416)&amp;"|"&amp;TRIM('List 2'!D416)))</f>
        <v/>
      </c>
      <c r="G416">
        <f>IF(F416="","",SUMPRODUCT(--($F$2:F416=F416)))</f>
        <v/>
      </c>
      <c r="H416">
        <f>IF(F416="","",F416&amp;"#"&amp;G416)</f>
        <v/>
      </c>
      <c r="I416">
        <f>IF(F416="","",IFERROR(--'List 2'!B416,0))</f>
        <v/>
      </c>
      <c r="K416">
        <f>C416</f>
        <v/>
      </c>
      <c r="L416">
        <f>IF(K416="","",IF(ISNUMBER('List 1'!A416),'List 1'!A416,TRIM('List 1'!A416)))</f>
        <v/>
      </c>
      <c r="M416">
        <f>IF(K416="","",IF(ISNUMBER('List 1'!C416),'List 1'!C416,TRIM('List 1'!C416)))</f>
        <v/>
      </c>
      <c r="N416">
        <f>IF(K416="","",IF(ISNUMBER('List 1'!D416),'List 1'!D416,TRIM('List 1'!D416)))</f>
        <v/>
      </c>
      <c r="O416">
        <f>IF(K416="","",D416)</f>
        <v/>
      </c>
      <c r="P416">
        <f>IF(K416="","",IF(R416,SUMPRODUCT(--($H$2:$H$501=K416),$I$2:$I$501),0))</f>
        <v/>
      </c>
      <c r="Q416">
        <f>IF(K416="","",TRUE)</f>
        <v/>
      </c>
      <c r="R416">
        <f>IF(K416="","",SUMPRODUCT(--($H$2:$H$501=K416))&gt;0)</f>
        <v/>
      </c>
      <c r="S416">
        <f>IF(K416="","",IF(AND(Q416,R416),IF(O416=P416,"Match","Qty Different"),IF(Q416,"Only in List 1","Only in List 2")))</f>
        <v/>
      </c>
      <c r="T416">
        <f>IF(K416="","",IF(ISNUMBER(--L416),TEXT(--L416,"000000000000.000"),LOWER(L416)))</f>
        <v/>
      </c>
      <c r="U416">
        <f>IF(K416="","",IF(ISNUMBER(--M416),TEXT(--M416,"000000000000.000"),LOWER(M416)))</f>
        <v/>
      </c>
      <c r="V416">
        <f>IF(K416="","",LOWER(N416))</f>
        <v/>
      </c>
      <c r="W416">
        <f>IF(K416="","",B416)</f>
        <v/>
      </c>
      <c r="X416">
        <f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>
      <c r="A417">
        <f>IF(TRIM('List 1'!A417&amp;'List 1'!C417&amp;'List 1'!D417)="","",LOWER(TRIM('List 1'!A417)&amp;"|"&amp;TRIM('List 1'!C417)&amp;"|"&amp;TRIM('List 1'!D417)))</f>
        <v/>
      </c>
      <c r="B417">
        <f>IF(A417="","",SUMPRODUCT(--($A$2:A417=A417)))</f>
        <v/>
      </c>
      <c r="C417">
        <f>IF(A417="","",A417&amp;"#"&amp;B417)</f>
        <v/>
      </c>
      <c r="D417">
        <f>IF(A417="","",IFERROR(--'List 1'!B417,0))</f>
        <v/>
      </c>
      <c r="F417">
        <f>IF(TRIM('List 2'!A417&amp;'List 2'!C417&amp;'List 2'!D417)="","",LOWER(TRIM('List 2'!A417)&amp;"|"&amp;TRIM('List 2'!C417)&amp;"|"&amp;TRIM('List 2'!D417)))</f>
        <v/>
      </c>
      <c r="G417">
        <f>IF(F417="","",SUMPRODUCT(--($F$2:F417=F417)))</f>
        <v/>
      </c>
      <c r="H417">
        <f>IF(F417="","",F417&amp;"#"&amp;G417)</f>
        <v/>
      </c>
      <c r="I417">
        <f>IF(F417="","",IFERROR(--'List 2'!B417,0))</f>
        <v/>
      </c>
      <c r="K417">
        <f>C417</f>
        <v/>
      </c>
      <c r="L417">
        <f>IF(K417="","",IF(ISNUMBER('List 1'!A417),'List 1'!A417,TRIM('List 1'!A417)))</f>
        <v/>
      </c>
      <c r="M417">
        <f>IF(K417="","",IF(ISNUMBER('List 1'!C417),'List 1'!C417,TRIM('List 1'!C417)))</f>
        <v/>
      </c>
      <c r="N417">
        <f>IF(K417="","",IF(ISNUMBER('List 1'!D417),'List 1'!D417,TRIM('List 1'!D417)))</f>
        <v/>
      </c>
      <c r="O417">
        <f>IF(K417="","",D417)</f>
        <v/>
      </c>
      <c r="P417">
        <f>IF(K417="","",IF(R417,SUMPRODUCT(--($H$2:$H$501=K417),$I$2:$I$501),0))</f>
        <v/>
      </c>
      <c r="Q417">
        <f>IF(K417="","",TRUE)</f>
        <v/>
      </c>
      <c r="R417">
        <f>IF(K417="","",SUMPRODUCT(--($H$2:$H$501=K417))&gt;0)</f>
        <v/>
      </c>
      <c r="S417">
        <f>IF(K417="","",IF(AND(Q417,R417),IF(O417=P417,"Match","Qty Different"),IF(Q417,"Only in List 1","Only in List 2")))</f>
        <v/>
      </c>
      <c r="T417">
        <f>IF(K417="","",IF(ISNUMBER(--L417),TEXT(--L417,"000000000000.000"),LOWER(L417)))</f>
        <v/>
      </c>
      <c r="U417">
        <f>IF(K417="","",IF(ISNUMBER(--M417),TEXT(--M417,"000000000000.000"),LOWER(M417)))</f>
        <v/>
      </c>
      <c r="V417">
        <f>IF(K417="","",LOWER(N417))</f>
        <v/>
      </c>
      <c r="W417">
        <f>IF(K417="","",B417)</f>
        <v/>
      </c>
      <c r="X417">
        <f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>
      <c r="A418">
        <f>IF(TRIM('List 1'!A418&amp;'List 1'!C418&amp;'List 1'!D418)="","",LOWER(TRIM('List 1'!A418)&amp;"|"&amp;TRIM('List 1'!C418)&amp;"|"&amp;TRIM('List 1'!D418)))</f>
        <v/>
      </c>
      <c r="B418">
        <f>IF(A418="","",SUMPRODUCT(--($A$2:A418=A418)))</f>
        <v/>
      </c>
      <c r="C418">
        <f>IF(A418="","",A418&amp;"#"&amp;B418)</f>
        <v/>
      </c>
      <c r="D418">
        <f>IF(A418="","",IFERROR(--'List 1'!B418,0))</f>
        <v/>
      </c>
      <c r="F418">
        <f>IF(TRIM('List 2'!A418&amp;'List 2'!C418&amp;'List 2'!D418)="","",LOWER(TRIM('List 2'!A418)&amp;"|"&amp;TRIM('List 2'!C418)&amp;"|"&amp;TRIM('List 2'!D418)))</f>
        <v/>
      </c>
      <c r="G418">
        <f>IF(F418="","",SUMPRODUCT(--($F$2:F418=F418)))</f>
        <v/>
      </c>
      <c r="H418">
        <f>IF(F418="","",F418&amp;"#"&amp;G418)</f>
        <v/>
      </c>
      <c r="I418">
        <f>IF(F418="","",IFERROR(--'List 2'!B418,0))</f>
        <v/>
      </c>
      <c r="K418">
        <f>C418</f>
        <v/>
      </c>
      <c r="L418">
        <f>IF(K418="","",IF(ISNUMBER('List 1'!A418),'List 1'!A418,TRIM('List 1'!A418)))</f>
        <v/>
      </c>
      <c r="M418">
        <f>IF(K418="","",IF(ISNUMBER('List 1'!C418),'List 1'!C418,TRIM('List 1'!C418)))</f>
        <v/>
      </c>
      <c r="N418">
        <f>IF(K418="","",IF(ISNUMBER('List 1'!D418),'List 1'!D418,TRIM('List 1'!D418)))</f>
        <v/>
      </c>
      <c r="O418">
        <f>IF(K418="","",D418)</f>
        <v/>
      </c>
      <c r="P418">
        <f>IF(K418="","",IF(R418,SUMPRODUCT(--($H$2:$H$501=K418),$I$2:$I$501),0))</f>
        <v/>
      </c>
      <c r="Q418">
        <f>IF(K418="","",TRUE)</f>
        <v/>
      </c>
      <c r="R418">
        <f>IF(K418="","",SUMPRODUCT(--($H$2:$H$501=K418))&gt;0)</f>
        <v/>
      </c>
      <c r="S418">
        <f>IF(K418="","",IF(AND(Q418,R418),IF(O418=P418,"Match","Qty Different"),IF(Q418,"Only in List 1","Only in List 2")))</f>
        <v/>
      </c>
      <c r="T418">
        <f>IF(K418="","",IF(ISNUMBER(--L418),TEXT(--L418,"000000000000.000"),LOWER(L418)))</f>
        <v/>
      </c>
      <c r="U418">
        <f>IF(K418="","",IF(ISNUMBER(--M418),TEXT(--M418,"000000000000.000"),LOWER(M418)))</f>
        <v/>
      </c>
      <c r="V418">
        <f>IF(K418="","",LOWER(N418))</f>
        <v/>
      </c>
      <c r="W418">
        <f>IF(K418="","",B418)</f>
        <v/>
      </c>
      <c r="X418">
        <f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>
      <c r="A419">
        <f>IF(TRIM('List 1'!A419&amp;'List 1'!C419&amp;'List 1'!D419)="","",LOWER(TRIM('List 1'!A419)&amp;"|"&amp;TRIM('List 1'!C419)&amp;"|"&amp;TRIM('List 1'!D419)))</f>
        <v/>
      </c>
      <c r="B419">
        <f>IF(A419="","",SUMPRODUCT(--($A$2:A419=A419)))</f>
        <v/>
      </c>
      <c r="C419">
        <f>IF(A419="","",A419&amp;"#"&amp;B419)</f>
        <v/>
      </c>
      <c r="D419">
        <f>IF(A419="","",IFERROR(--'List 1'!B419,0))</f>
        <v/>
      </c>
      <c r="F419">
        <f>IF(TRIM('List 2'!A419&amp;'List 2'!C419&amp;'List 2'!D419)="","",LOWER(TRIM('List 2'!A419)&amp;"|"&amp;TRIM('List 2'!C419)&amp;"|"&amp;TRIM('List 2'!D419)))</f>
        <v/>
      </c>
      <c r="G419">
        <f>IF(F419="","",SUMPRODUCT(--($F$2:F419=F419)))</f>
        <v/>
      </c>
      <c r="H419">
        <f>IF(F419="","",F419&amp;"#"&amp;G419)</f>
        <v/>
      </c>
      <c r="I419">
        <f>IF(F419="","",IFERROR(--'List 2'!B419,0))</f>
        <v/>
      </c>
      <c r="K419">
        <f>C419</f>
        <v/>
      </c>
      <c r="L419">
        <f>IF(K419="","",IF(ISNUMBER('List 1'!A419),'List 1'!A419,TRIM('List 1'!A419)))</f>
        <v/>
      </c>
      <c r="M419">
        <f>IF(K419="","",IF(ISNUMBER('List 1'!C419),'List 1'!C419,TRIM('List 1'!C419)))</f>
        <v/>
      </c>
      <c r="N419">
        <f>IF(K419="","",IF(ISNUMBER('List 1'!D419),'List 1'!D419,TRIM('List 1'!D419)))</f>
        <v/>
      </c>
      <c r="O419">
        <f>IF(K419="","",D419)</f>
        <v/>
      </c>
      <c r="P419">
        <f>IF(K419="","",IF(R419,SUMPRODUCT(--($H$2:$H$501=K419),$I$2:$I$501),0))</f>
        <v/>
      </c>
      <c r="Q419">
        <f>IF(K419="","",TRUE)</f>
        <v/>
      </c>
      <c r="R419">
        <f>IF(K419="","",SUMPRODUCT(--($H$2:$H$501=K419))&gt;0)</f>
        <v/>
      </c>
      <c r="S419">
        <f>IF(K419="","",IF(AND(Q419,R419),IF(O419=P419,"Match","Qty Different"),IF(Q419,"Only in List 1","Only in List 2")))</f>
        <v/>
      </c>
      <c r="T419">
        <f>IF(K419="","",IF(ISNUMBER(--L419),TEXT(--L419,"000000000000.000"),LOWER(L419)))</f>
        <v/>
      </c>
      <c r="U419">
        <f>IF(K419="","",IF(ISNUMBER(--M419),TEXT(--M419,"000000000000.000"),LOWER(M419)))</f>
        <v/>
      </c>
      <c r="V419">
        <f>IF(K419="","",LOWER(N419))</f>
        <v/>
      </c>
      <c r="W419">
        <f>IF(K419="","",B419)</f>
        <v/>
      </c>
      <c r="X419">
        <f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>
      <c r="A420">
        <f>IF(TRIM('List 1'!A420&amp;'List 1'!C420&amp;'List 1'!D420)="","",LOWER(TRIM('List 1'!A420)&amp;"|"&amp;TRIM('List 1'!C420)&amp;"|"&amp;TRIM('List 1'!D420)))</f>
        <v/>
      </c>
      <c r="B420">
        <f>IF(A420="","",SUMPRODUCT(--($A$2:A420=A420)))</f>
        <v/>
      </c>
      <c r="C420">
        <f>IF(A420="","",A420&amp;"#"&amp;B420)</f>
        <v/>
      </c>
      <c r="D420">
        <f>IF(A420="","",IFERROR(--'List 1'!B420,0))</f>
        <v/>
      </c>
      <c r="F420">
        <f>IF(TRIM('List 2'!A420&amp;'List 2'!C420&amp;'List 2'!D420)="","",LOWER(TRIM('List 2'!A420)&amp;"|"&amp;TRIM('List 2'!C420)&amp;"|"&amp;TRIM('List 2'!D420)))</f>
        <v/>
      </c>
      <c r="G420">
        <f>IF(F420="","",SUMPRODUCT(--($F$2:F420=F420)))</f>
        <v/>
      </c>
      <c r="H420">
        <f>IF(F420="","",F420&amp;"#"&amp;G420)</f>
        <v/>
      </c>
      <c r="I420">
        <f>IF(F420="","",IFERROR(--'List 2'!B420,0))</f>
        <v/>
      </c>
      <c r="K420">
        <f>C420</f>
        <v/>
      </c>
      <c r="L420">
        <f>IF(K420="","",IF(ISNUMBER('List 1'!A420),'List 1'!A420,TRIM('List 1'!A420)))</f>
        <v/>
      </c>
      <c r="M420">
        <f>IF(K420="","",IF(ISNUMBER('List 1'!C420),'List 1'!C420,TRIM('List 1'!C420)))</f>
        <v/>
      </c>
      <c r="N420">
        <f>IF(K420="","",IF(ISNUMBER('List 1'!D420),'List 1'!D420,TRIM('List 1'!D420)))</f>
        <v/>
      </c>
      <c r="O420">
        <f>IF(K420="","",D420)</f>
        <v/>
      </c>
      <c r="P420">
        <f>IF(K420="","",IF(R420,SUMPRODUCT(--($H$2:$H$501=K420),$I$2:$I$501),0))</f>
        <v/>
      </c>
      <c r="Q420">
        <f>IF(K420="","",TRUE)</f>
        <v/>
      </c>
      <c r="R420">
        <f>IF(K420="","",SUMPRODUCT(--($H$2:$H$501=K420))&gt;0)</f>
        <v/>
      </c>
      <c r="S420">
        <f>IF(K420="","",IF(AND(Q420,R420),IF(O420=P420,"Match","Qty Different"),IF(Q420,"Only in List 1","Only in List 2")))</f>
        <v/>
      </c>
      <c r="T420">
        <f>IF(K420="","",IF(ISNUMBER(--L420),TEXT(--L420,"000000000000.000"),LOWER(L420)))</f>
        <v/>
      </c>
      <c r="U420">
        <f>IF(K420="","",IF(ISNUMBER(--M420),TEXT(--M420,"000000000000.000"),LOWER(M420)))</f>
        <v/>
      </c>
      <c r="V420">
        <f>IF(K420="","",LOWER(N420))</f>
        <v/>
      </c>
      <c r="W420">
        <f>IF(K420="","",B420)</f>
        <v/>
      </c>
      <c r="X420">
        <f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>
      <c r="A421">
        <f>IF(TRIM('List 1'!A421&amp;'List 1'!C421&amp;'List 1'!D421)="","",LOWER(TRIM('List 1'!A421)&amp;"|"&amp;TRIM('List 1'!C421)&amp;"|"&amp;TRIM('List 1'!D421)))</f>
        <v/>
      </c>
      <c r="B421">
        <f>IF(A421="","",SUMPRODUCT(--($A$2:A421=A421)))</f>
        <v/>
      </c>
      <c r="C421">
        <f>IF(A421="","",A421&amp;"#"&amp;B421)</f>
        <v/>
      </c>
      <c r="D421">
        <f>IF(A421="","",IFERROR(--'List 1'!B421,0))</f>
        <v/>
      </c>
      <c r="F421">
        <f>IF(TRIM('List 2'!A421&amp;'List 2'!C421&amp;'List 2'!D421)="","",LOWER(TRIM('List 2'!A421)&amp;"|"&amp;TRIM('List 2'!C421)&amp;"|"&amp;TRIM('List 2'!D421)))</f>
        <v/>
      </c>
      <c r="G421">
        <f>IF(F421="","",SUMPRODUCT(--($F$2:F421=F421)))</f>
        <v/>
      </c>
      <c r="H421">
        <f>IF(F421="","",F421&amp;"#"&amp;G421)</f>
        <v/>
      </c>
      <c r="I421">
        <f>IF(F421="","",IFERROR(--'List 2'!B421,0))</f>
        <v/>
      </c>
      <c r="K421">
        <f>C421</f>
        <v/>
      </c>
      <c r="L421">
        <f>IF(K421="","",IF(ISNUMBER('List 1'!A421),'List 1'!A421,TRIM('List 1'!A421)))</f>
        <v/>
      </c>
      <c r="M421">
        <f>IF(K421="","",IF(ISNUMBER('List 1'!C421),'List 1'!C421,TRIM('List 1'!C421)))</f>
        <v/>
      </c>
      <c r="N421">
        <f>IF(K421="","",IF(ISNUMBER('List 1'!D421),'List 1'!D421,TRIM('List 1'!D421)))</f>
        <v/>
      </c>
      <c r="O421">
        <f>IF(K421="","",D421)</f>
        <v/>
      </c>
      <c r="P421">
        <f>IF(K421="","",IF(R421,SUMPRODUCT(--($H$2:$H$501=K421),$I$2:$I$501),0))</f>
        <v/>
      </c>
      <c r="Q421">
        <f>IF(K421="","",TRUE)</f>
        <v/>
      </c>
      <c r="R421">
        <f>IF(K421="","",SUMPRODUCT(--($H$2:$H$501=K421))&gt;0)</f>
        <v/>
      </c>
      <c r="S421">
        <f>IF(K421="","",IF(AND(Q421,R421),IF(O421=P421,"Match","Qty Different"),IF(Q421,"Only in List 1","Only in List 2")))</f>
        <v/>
      </c>
      <c r="T421">
        <f>IF(K421="","",IF(ISNUMBER(--L421),TEXT(--L421,"000000000000.000"),LOWER(L421)))</f>
        <v/>
      </c>
      <c r="U421">
        <f>IF(K421="","",IF(ISNUMBER(--M421),TEXT(--M421,"000000000000.000"),LOWER(M421)))</f>
        <v/>
      </c>
      <c r="V421">
        <f>IF(K421="","",LOWER(N421))</f>
        <v/>
      </c>
      <c r="W421">
        <f>IF(K421="","",B421)</f>
        <v/>
      </c>
      <c r="X421">
        <f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>
      <c r="A422">
        <f>IF(TRIM('List 1'!A422&amp;'List 1'!C422&amp;'List 1'!D422)="","",LOWER(TRIM('List 1'!A422)&amp;"|"&amp;TRIM('List 1'!C422)&amp;"|"&amp;TRIM('List 1'!D422)))</f>
        <v/>
      </c>
      <c r="B422">
        <f>IF(A422="","",SUMPRODUCT(--($A$2:A422=A422)))</f>
        <v/>
      </c>
      <c r="C422">
        <f>IF(A422="","",A422&amp;"#"&amp;B422)</f>
        <v/>
      </c>
      <c r="D422">
        <f>IF(A422="","",IFERROR(--'List 1'!B422,0))</f>
        <v/>
      </c>
      <c r="F422">
        <f>IF(TRIM('List 2'!A422&amp;'List 2'!C422&amp;'List 2'!D422)="","",LOWER(TRIM('List 2'!A422)&amp;"|"&amp;TRIM('List 2'!C422)&amp;"|"&amp;TRIM('List 2'!D422)))</f>
        <v/>
      </c>
      <c r="G422">
        <f>IF(F422="","",SUMPRODUCT(--($F$2:F422=F422)))</f>
        <v/>
      </c>
      <c r="H422">
        <f>IF(F422="","",F422&amp;"#"&amp;G422)</f>
        <v/>
      </c>
      <c r="I422">
        <f>IF(F422="","",IFERROR(--'List 2'!B422,0))</f>
        <v/>
      </c>
      <c r="K422">
        <f>C422</f>
        <v/>
      </c>
      <c r="L422">
        <f>IF(K422="","",IF(ISNUMBER('List 1'!A422),'List 1'!A422,TRIM('List 1'!A422)))</f>
        <v/>
      </c>
      <c r="M422">
        <f>IF(K422="","",IF(ISNUMBER('List 1'!C422),'List 1'!C422,TRIM('List 1'!C422)))</f>
        <v/>
      </c>
      <c r="N422">
        <f>IF(K422="","",IF(ISNUMBER('List 1'!D422),'List 1'!D422,TRIM('List 1'!D422)))</f>
        <v/>
      </c>
      <c r="O422">
        <f>IF(K422="","",D422)</f>
        <v/>
      </c>
      <c r="P422">
        <f>IF(K422="","",IF(R422,SUMPRODUCT(--($H$2:$H$501=K422),$I$2:$I$501),0))</f>
        <v/>
      </c>
      <c r="Q422">
        <f>IF(K422="","",TRUE)</f>
        <v/>
      </c>
      <c r="R422">
        <f>IF(K422="","",SUMPRODUCT(--($H$2:$H$501=K422))&gt;0)</f>
        <v/>
      </c>
      <c r="S422">
        <f>IF(K422="","",IF(AND(Q422,R422),IF(O422=P422,"Match","Qty Different"),IF(Q422,"Only in List 1","Only in List 2")))</f>
        <v/>
      </c>
      <c r="T422">
        <f>IF(K422="","",IF(ISNUMBER(--L422),TEXT(--L422,"000000000000.000"),LOWER(L422)))</f>
        <v/>
      </c>
      <c r="U422">
        <f>IF(K422="","",IF(ISNUMBER(--M422),TEXT(--M422,"000000000000.000"),LOWER(M422)))</f>
        <v/>
      </c>
      <c r="V422">
        <f>IF(K422="","",LOWER(N422))</f>
        <v/>
      </c>
      <c r="W422">
        <f>IF(K422="","",B422)</f>
        <v/>
      </c>
      <c r="X422">
        <f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>
      <c r="A423">
        <f>IF(TRIM('List 1'!A423&amp;'List 1'!C423&amp;'List 1'!D423)="","",LOWER(TRIM('List 1'!A423)&amp;"|"&amp;TRIM('List 1'!C423)&amp;"|"&amp;TRIM('List 1'!D423)))</f>
        <v/>
      </c>
      <c r="B423">
        <f>IF(A423="","",SUMPRODUCT(--($A$2:A423=A423)))</f>
        <v/>
      </c>
      <c r="C423">
        <f>IF(A423="","",A423&amp;"#"&amp;B423)</f>
        <v/>
      </c>
      <c r="D423">
        <f>IF(A423="","",IFERROR(--'List 1'!B423,0))</f>
        <v/>
      </c>
      <c r="F423">
        <f>IF(TRIM('List 2'!A423&amp;'List 2'!C423&amp;'List 2'!D423)="","",LOWER(TRIM('List 2'!A423)&amp;"|"&amp;TRIM('List 2'!C423)&amp;"|"&amp;TRIM('List 2'!D423)))</f>
        <v/>
      </c>
      <c r="G423">
        <f>IF(F423="","",SUMPRODUCT(--($F$2:F423=F423)))</f>
        <v/>
      </c>
      <c r="H423">
        <f>IF(F423="","",F423&amp;"#"&amp;G423)</f>
        <v/>
      </c>
      <c r="I423">
        <f>IF(F423="","",IFERROR(--'List 2'!B423,0))</f>
        <v/>
      </c>
      <c r="K423">
        <f>C423</f>
        <v/>
      </c>
      <c r="L423">
        <f>IF(K423="","",IF(ISNUMBER('List 1'!A423),'List 1'!A423,TRIM('List 1'!A423)))</f>
        <v/>
      </c>
      <c r="M423">
        <f>IF(K423="","",IF(ISNUMBER('List 1'!C423),'List 1'!C423,TRIM('List 1'!C423)))</f>
        <v/>
      </c>
      <c r="N423">
        <f>IF(K423="","",IF(ISNUMBER('List 1'!D423),'List 1'!D423,TRIM('List 1'!D423)))</f>
        <v/>
      </c>
      <c r="O423">
        <f>IF(K423="","",D423)</f>
        <v/>
      </c>
      <c r="P423">
        <f>IF(K423="","",IF(R423,SUMPRODUCT(--($H$2:$H$501=K423),$I$2:$I$501),0))</f>
        <v/>
      </c>
      <c r="Q423">
        <f>IF(K423="","",TRUE)</f>
        <v/>
      </c>
      <c r="R423">
        <f>IF(K423="","",SUMPRODUCT(--($H$2:$H$501=K423))&gt;0)</f>
        <v/>
      </c>
      <c r="S423">
        <f>IF(K423="","",IF(AND(Q423,R423),IF(O423=P423,"Match","Qty Different"),IF(Q423,"Only in List 1","Only in List 2")))</f>
        <v/>
      </c>
      <c r="T423">
        <f>IF(K423="","",IF(ISNUMBER(--L423),TEXT(--L423,"000000000000.000"),LOWER(L423)))</f>
        <v/>
      </c>
      <c r="U423">
        <f>IF(K423="","",IF(ISNUMBER(--M423),TEXT(--M423,"000000000000.000"),LOWER(M423)))</f>
        <v/>
      </c>
      <c r="V423">
        <f>IF(K423="","",LOWER(N423))</f>
        <v/>
      </c>
      <c r="W423">
        <f>IF(K423="","",B423)</f>
        <v/>
      </c>
      <c r="X423">
        <f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>
      <c r="A424">
        <f>IF(TRIM('List 1'!A424&amp;'List 1'!C424&amp;'List 1'!D424)="","",LOWER(TRIM('List 1'!A424)&amp;"|"&amp;TRIM('List 1'!C424)&amp;"|"&amp;TRIM('List 1'!D424)))</f>
        <v/>
      </c>
      <c r="B424">
        <f>IF(A424="","",SUMPRODUCT(--($A$2:A424=A424)))</f>
        <v/>
      </c>
      <c r="C424">
        <f>IF(A424="","",A424&amp;"#"&amp;B424)</f>
        <v/>
      </c>
      <c r="D424">
        <f>IF(A424="","",IFERROR(--'List 1'!B424,0))</f>
        <v/>
      </c>
      <c r="F424">
        <f>IF(TRIM('List 2'!A424&amp;'List 2'!C424&amp;'List 2'!D424)="","",LOWER(TRIM('List 2'!A424)&amp;"|"&amp;TRIM('List 2'!C424)&amp;"|"&amp;TRIM('List 2'!D424)))</f>
        <v/>
      </c>
      <c r="G424">
        <f>IF(F424="","",SUMPRODUCT(--($F$2:F424=F424)))</f>
        <v/>
      </c>
      <c r="H424">
        <f>IF(F424="","",F424&amp;"#"&amp;G424)</f>
        <v/>
      </c>
      <c r="I424">
        <f>IF(F424="","",IFERROR(--'List 2'!B424,0))</f>
        <v/>
      </c>
      <c r="K424">
        <f>C424</f>
        <v/>
      </c>
      <c r="L424">
        <f>IF(K424="","",IF(ISNUMBER('List 1'!A424),'List 1'!A424,TRIM('List 1'!A424)))</f>
        <v/>
      </c>
      <c r="M424">
        <f>IF(K424="","",IF(ISNUMBER('List 1'!C424),'List 1'!C424,TRIM('List 1'!C424)))</f>
        <v/>
      </c>
      <c r="N424">
        <f>IF(K424="","",IF(ISNUMBER('List 1'!D424),'List 1'!D424,TRIM('List 1'!D424)))</f>
        <v/>
      </c>
      <c r="O424">
        <f>IF(K424="","",D424)</f>
        <v/>
      </c>
      <c r="P424">
        <f>IF(K424="","",IF(R424,SUMPRODUCT(--($H$2:$H$501=K424),$I$2:$I$501),0))</f>
        <v/>
      </c>
      <c r="Q424">
        <f>IF(K424="","",TRUE)</f>
        <v/>
      </c>
      <c r="R424">
        <f>IF(K424="","",SUMPRODUCT(--($H$2:$H$501=K424))&gt;0)</f>
        <v/>
      </c>
      <c r="S424">
        <f>IF(K424="","",IF(AND(Q424,R424),IF(O424=P424,"Match","Qty Different"),IF(Q424,"Only in List 1","Only in List 2")))</f>
        <v/>
      </c>
      <c r="T424">
        <f>IF(K424="","",IF(ISNUMBER(--L424),TEXT(--L424,"000000000000.000"),LOWER(L424)))</f>
        <v/>
      </c>
      <c r="U424">
        <f>IF(K424="","",IF(ISNUMBER(--M424),TEXT(--M424,"000000000000.000"),LOWER(M424)))</f>
        <v/>
      </c>
      <c r="V424">
        <f>IF(K424="","",LOWER(N424))</f>
        <v/>
      </c>
      <c r="W424">
        <f>IF(K424="","",B424)</f>
        <v/>
      </c>
      <c r="X424">
        <f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>
      <c r="A425">
        <f>IF(TRIM('List 1'!A425&amp;'List 1'!C425&amp;'List 1'!D425)="","",LOWER(TRIM('List 1'!A425)&amp;"|"&amp;TRIM('List 1'!C425)&amp;"|"&amp;TRIM('List 1'!D425)))</f>
        <v/>
      </c>
      <c r="B425">
        <f>IF(A425="","",SUMPRODUCT(--($A$2:A425=A425)))</f>
        <v/>
      </c>
      <c r="C425">
        <f>IF(A425="","",A425&amp;"#"&amp;B425)</f>
        <v/>
      </c>
      <c r="D425">
        <f>IF(A425="","",IFERROR(--'List 1'!B425,0))</f>
        <v/>
      </c>
      <c r="F425">
        <f>IF(TRIM('List 2'!A425&amp;'List 2'!C425&amp;'List 2'!D425)="","",LOWER(TRIM('List 2'!A425)&amp;"|"&amp;TRIM('List 2'!C425)&amp;"|"&amp;TRIM('List 2'!D425)))</f>
        <v/>
      </c>
      <c r="G425">
        <f>IF(F425="","",SUMPRODUCT(--($F$2:F425=F425)))</f>
        <v/>
      </c>
      <c r="H425">
        <f>IF(F425="","",F425&amp;"#"&amp;G425)</f>
        <v/>
      </c>
      <c r="I425">
        <f>IF(F425="","",IFERROR(--'List 2'!B425,0))</f>
        <v/>
      </c>
      <c r="K425">
        <f>C425</f>
        <v/>
      </c>
      <c r="L425">
        <f>IF(K425="","",IF(ISNUMBER('List 1'!A425),'List 1'!A425,TRIM('List 1'!A425)))</f>
        <v/>
      </c>
      <c r="M425">
        <f>IF(K425="","",IF(ISNUMBER('List 1'!C425),'List 1'!C425,TRIM('List 1'!C425)))</f>
        <v/>
      </c>
      <c r="N425">
        <f>IF(K425="","",IF(ISNUMBER('List 1'!D425),'List 1'!D425,TRIM('List 1'!D425)))</f>
        <v/>
      </c>
      <c r="O425">
        <f>IF(K425="","",D425)</f>
        <v/>
      </c>
      <c r="P425">
        <f>IF(K425="","",IF(R425,SUMPRODUCT(--($H$2:$H$501=K425),$I$2:$I$501),0))</f>
        <v/>
      </c>
      <c r="Q425">
        <f>IF(K425="","",TRUE)</f>
        <v/>
      </c>
      <c r="R425">
        <f>IF(K425="","",SUMPRODUCT(--($H$2:$H$501=K425))&gt;0)</f>
        <v/>
      </c>
      <c r="S425">
        <f>IF(K425="","",IF(AND(Q425,R425),IF(O425=P425,"Match","Qty Different"),IF(Q425,"Only in List 1","Only in List 2")))</f>
        <v/>
      </c>
      <c r="T425">
        <f>IF(K425="","",IF(ISNUMBER(--L425),TEXT(--L425,"000000000000.000"),LOWER(L425)))</f>
        <v/>
      </c>
      <c r="U425">
        <f>IF(K425="","",IF(ISNUMBER(--M425),TEXT(--M425,"000000000000.000"),LOWER(M425)))</f>
        <v/>
      </c>
      <c r="V425">
        <f>IF(K425="","",LOWER(N425))</f>
        <v/>
      </c>
      <c r="W425">
        <f>IF(K425="","",B425)</f>
        <v/>
      </c>
      <c r="X425">
        <f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>
      <c r="A426">
        <f>IF(TRIM('List 1'!A426&amp;'List 1'!C426&amp;'List 1'!D426)="","",LOWER(TRIM('List 1'!A426)&amp;"|"&amp;TRIM('List 1'!C426)&amp;"|"&amp;TRIM('List 1'!D426)))</f>
        <v/>
      </c>
      <c r="B426">
        <f>IF(A426="","",SUMPRODUCT(--($A$2:A426=A426)))</f>
        <v/>
      </c>
      <c r="C426">
        <f>IF(A426="","",A426&amp;"#"&amp;B426)</f>
        <v/>
      </c>
      <c r="D426">
        <f>IF(A426="","",IFERROR(--'List 1'!B426,0))</f>
        <v/>
      </c>
      <c r="F426">
        <f>IF(TRIM('List 2'!A426&amp;'List 2'!C426&amp;'List 2'!D426)="","",LOWER(TRIM('List 2'!A426)&amp;"|"&amp;TRIM('List 2'!C426)&amp;"|"&amp;TRIM('List 2'!D426)))</f>
        <v/>
      </c>
      <c r="G426">
        <f>IF(F426="","",SUMPRODUCT(--($F$2:F426=F426)))</f>
        <v/>
      </c>
      <c r="H426">
        <f>IF(F426="","",F426&amp;"#"&amp;G426)</f>
        <v/>
      </c>
      <c r="I426">
        <f>IF(F426="","",IFERROR(--'List 2'!B426,0))</f>
        <v/>
      </c>
      <c r="K426">
        <f>C426</f>
        <v/>
      </c>
      <c r="L426">
        <f>IF(K426="","",IF(ISNUMBER('List 1'!A426),'List 1'!A426,TRIM('List 1'!A426)))</f>
        <v/>
      </c>
      <c r="M426">
        <f>IF(K426="","",IF(ISNUMBER('List 1'!C426),'List 1'!C426,TRIM('List 1'!C426)))</f>
        <v/>
      </c>
      <c r="N426">
        <f>IF(K426="","",IF(ISNUMBER('List 1'!D426),'List 1'!D426,TRIM('List 1'!D426)))</f>
        <v/>
      </c>
      <c r="O426">
        <f>IF(K426="","",D426)</f>
        <v/>
      </c>
      <c r="P426">
        <f>IF(K426="","",IF(R426,SUMPRODUCT(--($H$2:$H$501=K426),$I$2:$I$501),0))</f>
        <v/>
      </c>
      <c r="Q426">
        <f>IF(K426="","",TRUE)</f>
        <v/>
      </c>
      <c r="R426">
        <f>IF(K426="","",SUMPRODUCT(--($H$2:$H$501=K426))&gt;0)</f>
        <v/>
      </c>
      <c r="S426">
        <f>IF(K426="","",IF(AND(Q426,R426),IF(O426=P426,"Match","Qty Different"),IF(Q426,"Only in List 1","Only in List 2")))</f>
        <v/>
      </c>
      <c r="T426">
        <f>IF(K426="","",IF(ISNUMBER(--L426),TEXT(--L426,"000000000000.000"),LOWER(L426)))</f>
        <v/>
      </c>
      <c r="U426">
        <f>IF(K426="","",IF(ISNUMBER(--M426),TEXT(--M426,"000000000000.000"),LOWER(M426)))</f>
        <v/>
      </c>
      <c r="V426">
        <f>IF(K426="","",LOWER(N426))</f>
        <v/>
      </c>
      <c r="W426">
        <f>IF(K426="","",B426)</f>
        <v/>
      </c>
      <c r="X426">
        <f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>
      <c r="A427">
        <f>IF(TRIM('List 1'!A427&amp;'List 1'!C427&amp;'List 1'!D427)="","",LOWER(TRIM('List 1'!A427)&amp;"|"&amp;TRIM('List 1'!C427)&amp;"|"&amp;TRIM('List 1'!D427)))</f>
        <v/>
      </c>
      <c r="B427">
        <f>IF(A427="","",SUMPRODUCT(--($A$2:A427=A427)))</f>
        <v/>
      </c>
      <c r="C427">
        <f>IF(A427="","",A427&amp;"#"&amp;B427)</f>
        <v/>
      </c>
      <c r="D427">
        <f>IF(A427="","",IFERROR(--'List 1'!B427,0))</f>
        <v/>
      </c>
      <c r="F427">
        <f>IF(TRIM('List 2'!A427&amp;'List 2'!C427&amp;'List 2'!D427)="","",LOWER(TRIM('List 2'!A427)&amp;"|"&amp;TRIM('List 2'!C427)&amp;"|"&amp;TRIM('List 2'!D427)))</f>
        <v/>
      </c>
      <c r="G427">
        <f>IF(F427="","",SUMPRODUCT(--($F$2:F427=F427)))</f>
        <v/>
      </c>
      <c r="H427">
        <f>IF(F427="","",F427&amp;"#"&amp;G427)</f>
        <v/>
      </c>
      <c r="I427">
        <f>IF(F427="","",IFERROR(--'List 2'!B427,0))</f>
        <v/>
      </c>
      <c r="K427">
        <f>C427</f>
        <v/>
      </c>
      <c r="L427">
        <f>IF(K427="","",IF(ISNUMBER('List 1'!A427),'List 1'!A427,TRIM('List 1'!A427)))</f>
        <v/>
      </c>
      <c r="M427">
        <f>IF(K427="","",IF(ISNUMBER('List 1'!C427),'List 1'!C427,TRIM('List 1'!C427)))</f>
        <v/>
      </c>
      <c r="N427">
        <f>IF(K427="","",IF(ISNUMBER('List 1'!D427),'List 1'!D427,TRIM('List 1'!D427)))</f>
        <v/>
      </c>
      <c r="O427">
        <f>IF(K427="","",D427)</f>
        <v/>
      </c>
      <c r="P427">
        <f>IF(K427="","",IF(R427,SUMPRODUCT(--($H$2:$H$501=K427),$I$2:$I$501),0))</f>
        <v/>
      </c>
      <c r="Q427">
        <f>IF(K427="","",TRUE)</f>
        <v/>
      </c>
      <c r="R427">
        <f>IF(K427="","",SUMPRODUCT(--($H$2:$H$501=K427))&gt;0)</f>
        <v/>
      </c>
      <c r="S427">
        <f>IF(K427="","",IF(AND(Q427,R427),IF(O427=P427,"Match","Qty Different"),IF(Q427,"Only in List 1","Only in List 2")))</f>
        <v/>
      </c>
      <c r="T427">
        <f>IF(K427="","",IF(ISNUMBER(--L427),TEXT(--L427,"000000000000.000"),LOWER(L427)))</f>
        <v/>
      </c>
      <c r="U427">
        <f>IF(K427="","",IF(ISNUMBER(--M427),TEXT(--M427,"000000000000.000"),LOWER(M427)))</f>
        <v/>
      </c>
      <c r="V427">
        <f>IF(K427="","",LOWER(N427))</f>
        <v/>
      </c>
      <c r="W427">
        <f>IF(K427="","",B427)</f>
        <v/>
      </c>
      <c r="X427">
        <f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>
      <c r="A428">
        <f>IF(TRIM('List 1'!A428&amp;'List 1'!C428&amp;'List 1'!D428)="","",LOWER(TRIM('List 1'!A428)&amp;"|"&amp;TRIM('List 1'!C428)&amp;"|"&amp;TRIM('List 1'!D428)))</f>
        <v/>
      </c>
      <c r="B428">
        <f>IF(A428="","",SUMPRODUCT(--($A$2:A428=A428)))</f>
        <v/>
      </c>
      <c r="C428">
        <f>IF(A428="","",A428&amp;"#"&amp;B428)</f>
        <v/>
      </c>
      <c r="D428">
        <f>IF(A428="","",IFERROR(--'List 1'!B428,0))</f>
        <v/>
      </c>
      <c r="F428">
        <f>IF(TRIM('List 2'!A428&amp;'List 2'!C428&amp;'List 2'!D428)="","",LOWER(TRIM('List 2'!A428)&amp;"|"&amp;TRIM('List 2'!C428)&amp;"|"&amp;TRIM('List 2'!D428)))</f>
        <v/>
      </c>
      <c r="G428">
        <f>IF(F428="","",SUMPRODUCT(--($F$2:F428=F428)))</f>
        <v/>
      </c>
      <c r="H428">
        <f>IF(F428="","",F428&amp;"#"&amp;G428)</f>
        <v/>
      </c>
      <c r="I428">
        <f>IF(F428="","",IFERROR(--'List 2'!B428,0))</f>
        <v/>
      </c>
      <c r="K428">
        <f>C428</f>
        <v/>
      </c>
      <c r="L428">
        <f>IF(K428="","",IF(ISNUMBER('List 1'!A428),'List 1'!A428,TRIM('List 1'!A428)))</f>
        <v/>
      </c>
      <c r="M428">
        <f>IF(K428="","",IF(ISNUMBER('List 1'!C428),'List 1'!C428,TRIM('List 1'!C428)))</f>
        <v/>
      </c>
      <c r="N428">
        <f>IF(K428="","",IF(ISNUMBER('List 1'!D428),'List 1'!D428,TRIM('List 1'!D428)))</f>
        <v/>
      </c>
      <c r="O428">
        <f>IF(K428="","",D428)</f>
        <v/>
      </c>
      <c r="P428">
        <f>IF(K428="","",IF(R428,SUMPRODUCT(--($H$2:$H$501=K428),$I$2:$I$501),0))</f>
        <v/>
      </c>
      <c r="Q428">
        <f>IF(K428="","",TRUE)</f>
        <v/>
      </c>
      <c r="R428">
        <f>IF(K428="","",SUMPRODUCT(--($H$2:$H$501=K428))&gt;0)</f>
        <v/>
      </c>
      <c r="S428">
        <f>IF(K428="","",IF(AND(Q428,R428),IF(O428=P428,"Match","Qty Different"),IF(Q428,"Only in List 1","Only in List 2")))</f>
        <v/>
      </c>
      <c r="T428">
        <f>IF(K428="","",IF(ISNUMBER(--L428),TEXT(--L428,"000000000000.000"),LOWER(L428)))</f>
        <v/>
      </c>
      <c r="U428">
        <f>IF(K428="","",IF(ISNUMBER(--M428),TEXT(--M428,"000000000000.000"),LOWER(M428)))</f>
        <v/>
      </c>
      <c r="V428">
        <f>IF(K428="","",LOWER(N428))</f>
        <v/>
      </c>
      <c r="W428">
        <f>IF(K428="","",B428)</f>
        <v/>
      </c>
      <c r="X428">
        <f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>
      <c r="A429">
        <f>IF(TRIM('List 1'!A429&amp;'List 1'!C429&amp;'List 1'!D429)="","",LOWER(TRIM('List 1'!A429)&amp;"|"&amp;TRIM('List 1'!C429)&amp;"|"&amp;TRIM('List 1'!D429)))</f>
        <v/>
      </c>
      <c r="B429">
        <f>IF(A429="","",SUMPRODUCT(--($A$2:A429=A429)))</f>
        <v/>
      </c>
      <c r="C429">
        <f>IF(A429="","",A429&amp;"#"&amp;B429)</f>
        <v/>
      </c>
      <c r="D429">
        <f>IF(A429="","",IFERROR(--'List 1'!B429,0))</f>
        <v/>
      </c>
      <c r="F429">
        <f>IF(TRIM('List 2'!A429&amp;'List 2'!C429&amp;'List 2'!D429)="","",LOWER(TRIM('List 2'!A429)&amp;"|"&amp;TRIM('List 2'!C429)&amp;"|"&amp;TRIM('List 2'!D429)))</f>
        <v/>
      </c>
      <c r="G429">
        <f>IF(F429="","",SUMPRODUCT(--($F$2:F429=F429)))</f>
        <v/>
      </c>
      <c r="H429">
        <f>IF(F429="","",F429&amp;"#"&amp;G429)</f>
        <v/>
      </c>
      <c r="I429">
        <f>IF(F429="","",IFERROR(--'List 2'!B429,0))</f>
        <v/>
      </c>
      <c r="K429">
        <f>C429</f>
        <v/>
      </c>
      <c r="L429">
        <f>IF(K429="","",IF(ISNUMBER('List 1'!A429),'List 1'!A429,TRIM('List 1'!A429)))</f>
        <v/>
      </c>
      <c r="M429">
        <f>IF(K429="","",IF(ISNUMBER('List 1'!C429),'List 1'!C429,TRIM('List 1'!C429)))</f>
        <v/>
      </c>
      <c r="N429">
        <f>IF(K429="","",IF(ISNUMBER('List 1'!D429),'List 1'!D429,TRIM('List 1'!D429)))</f>
        <v/>
      </c>
      <c r="O429">
        <f>IF(K429="","",D429)</f>
        <v/>
      </c>
      <c r="P429">
        <f>IF(K429="","",IF(R429,SUMPRODUCT(--($H$2:$H$501=K429),$I$2:$I$501),0))</f>
        <v/>
      </c>
      <c r="Q429">
        <f>IF(K429="","",TRUE)</f>
        <v/>
      </c>
      <c r="R429">
        <f>IF(K429="","",SUMPRODUCT(--($H$2:$H$501=K429))&gt;0)</f>
        <v/>
      </c>
      <c r="S429">
        <f>IF(K429="","",IF(AND(Q429,R429),IF(O429=P429,"Match","Qty Different"),IF(Q429,"Only in List 1","Only in List 2")))</f>
        <v/>
      </c>
      <c r="T429">
        <f>IF(K429="","",IF(ISNUMBER(--L429),TEXT(--L429,"000000000000.000"),LOWER(L429)))</f>
        <v/>
      </c>
      <c r="U429">
        <f>IF(K429="","",IF(ISNUMBER(--M429),TEXT(--M429,"000000000000.000"),LOWER(M429)))</f>
        <v/>
      </c>
      <c r="V429">
        <f>IF(K429="","",LOWER(N429))</f>
        <v/>
      </c>
      <c r="W429">
        <f>IF(K429="","",B429)</f>
        <v/>
      </c>
      <c r="X429">
        <f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>
      <c r="A430">
        <f>IF(TRIM('List 1'!A430&amp;'List 1'!C430&amp;'List 1'!D430)="","",LOWER(TRIM('List 1'!A430)&amp;"|"&amp;TRIM('List 1'!C430)&amp;"|"&amp;TRIM('List 1'!D430)))</f>
        <v/>
      </c>
      <c r="B430">
        <f>IF(A430="","",SUMPRODUCT(--($A$2:A430=A430)))</f>
        <v/>
      </c>
      <c r="C430">
        <f>IF(A430="","",A430&amp;"#"&amp;B430)</f>
        <v/>
      </c>
      <c r="D430">
        <f>IF(A430="","",IFERROR(--'List 1'!B430,0))</f>
        <v/>
      </c>
      <c r="F430">
        <f>IF(TRIM('List 2'!A430&amp;'List 2'!C430&amp;'List 2'!D430)="","",LOWER(TRIM('List 2'!A430)&amp;"|"&amp;TRIM('List 2'!C430)&amp;"|"&amp;TRIM('List 2'!D430)))</f>
        <v/>
      </c>
      <c r="G430">
        <f>IF(F430="","",SUMPRODUCT(--($F$2:F430=F430)))</f>
        <v/>
      </c>
      <c r="H430">
        <f>IF(F430="","",F430&amp;"#"&amp;G430)</f>
        <v/>
      </c>
      <c r="I430">
        <f>IF(F430="","",IFERROR(--'List 2'!B430,0))</f>
        <v/>
      </c>
      <c r="K430">
        <f>C430</f>
        <v/>
      </c>
      <c r="L430">
        <f>IF(K430="","",IF(ISNUMBER('List 1'!A430),'List 1'!A430,TRIM('List 1'!A430)))</f>
        <v/>
      </c>
      <c r="M430">
        <f>IF(K430="","",IF(ISNUMBER('List 1'!C430),'List 1'!C430,TRIM('List 1'!C430)))</f>
        <v/>
      </c>
      <c r="N430">
        <f>IF(K430="","",IF(ISNUMBER('List 1'!D430),'List 1'!D430,TRIM('List 1'!D430)))</f>
        <v/>
      </c>
      <c r="O430">
        <f>IF(K430="","",D430)</f>
        <v/>
      </c>
      <c r="P430">
        <f>IF(K430="","",IF(R430,SUMPRODUCT(--($H$2:$H$501=K430),$I$2:$I$501),0))</f>
        <v/>
      </c>
      <c r="Q430">
        <f>IF(K430="","",TRUE)</f>
        <v/>
      </c>
      <c r="R430">
        <f>IF(K430="","",SUMPRODUCT(--($H$2:$H$501=K430))&gt;0)</f>
        <v/>
      </c>
      <c r="S430">
        <f>IF(K430="","",IF(AND(Q430,R430),IF(O430=P430,"Match","Qty Different"),IF(Q430,"Only in List 1","Only in List 2")))</f>
        <v/>
      </c>
      <c r="T430">
        <f>IF(K430="","",IF(ISNUMBER(--L430),TEXT(--L430,"000000000000.000"),LOWER(L430)))</f>
        <v/>
      </c>
      <c r="U430">
        <f>IF(K430="","",IF(ISNUMBER(--M430),TEXT(--M430,"000000000000.000"),LOWER(M430)))</f>
        <v/>
      </c>
      <c r="V430">
        <f>IF(K430="","",LOWER(N430))</f>
        <v/>
      </c>
      <c r="W430">
        <f>IF(K430="","",B430)</f>
        <v/>
      </c>
      <c r="X430">
        <f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>
      <c r="A431">
        <f>IF(TRIM('List 1'!A431&amp;'List 1'!C431&amp;'List 1'!D431)="","",LOWER(TRIM('List 1'!A431)&amp;"|"&amp;TRIM('List 1'!C431)&amp;"|"&amp;TRIM('List 1'!D431)))</f>
        <v/>
      </c>
      <c r="B431">
        <f>IF(A431="","",SUMPRODUCT(--($A$2:A431=A431)))</f>
        <v/>
      </c>
      <c r="C431">
        <f>IF(A431="","",A431&amp;"#"&amp;B431)</f>
        <v/>
      </c>
      <c r="D431">
        <f>IF(A431="","",IFERROR(--'List 1'!B431,0))</f>
        <v/>
      </c>
      <c r="F431">
        <f>IF(TRIM('List 2'!A431&amp;'List 2'!C431&amp;'List 2'!D431)="","",LOWER(TRIM('List 2'!A431)&amp;"|"&amp;TRIM('List 2'!C431)&amp;"|"&amp;TRIM('List 2'!D431)))</f>
        <v/>
      </c>
      <c r="G431">
        <f>IF(F431="","",SUMPRODUCT(--($F$2:F431=F431)))</f>
        <v/>
      </c>
      <c r="H431">
        <f>IF(F431="","",F431&amp;"#"&amp;G431)</f>
        <v/>
      </c>
      <c r="I431">
        <f>IF(F431="","",IFERROR(--'List 2'!B431,0))</f>
        <v/>
      </c>
      <c r="K431">
        <f>C431</f>
        <v/>
      </c>
      <c r="L431">
        <f>IF(K431="","",IF(ISNUMBER('List 1'!A431),'List 1'!A431,TRIM('List 1'!A431)))</f>
        <v/>
      </c>
      <c r="M431">
        <f>IF(K431="","",IF(ISNUMBER('List 1'!C431),'List 1'!C431,TRIM('List 1'!C431)))</f>
        <v/>
      </c>
      <c r="N431">
        <f>IF(K431="","",IF(ISNUMBER('List 1'!D431),'List 1'!D431,TRIM('List 1'!D431)))</f>
        <v/>
      </c>
      <c r="O431">
        <f>IF(K431="","",D431)</f>
        <v/>
      </c>
      <c r="P431">
        <f>IF(K431="","",IF(R431,SUMPRODUCT(--($H$2:$H$501=K431),$I$2:$I$501),0))</f>
        <v/>
      </c>
      <c r="Q431">
        <f>IF(K431="","",TRUE)</f>
        <v/>
      </c>
      <c r="R431">
        <f>IF(K431="","",SUMPRODUCT(--($H$2:$H$501=K431))&gt;0)</f>
        <v/>
      </c>
      <c r="S431">
        <f>IF(K431="","",IF(AND(Q431,R431),IF(O431=P431,"Match","Qty Different"),IF(Q431,"Only in List 1","Only in List 2")))</f>
        <v/>
      </c>
      <c r="T431">
        <f>IF(K431="","",IF(ISNUMBER(--L431),TEXT(--L431,"000000000000.000"),LOWER(L431)))</f>
        <v/>
      </c>
      <c r="U431">
        <f>IF(K431="","",IF(ISNUMBER(--M431),TEXT(--M431,"000000000000.000"),LOWER(M431)))</f>
        <v/>
      </c>
      <c r="V431">
        <f>IF(K431="","",LOWER(N431))</f>
        <v/>
      </c>
      <c r="W431">
        <f>IF(K431="","",B431)</f>
        <v/>
      </c>
      <c r="X431">
        <f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>
      <c r="A432">
        <f>IF(TRIM('List 1'!A432&amp;'List 1'!C432&amp;'List 1'!D432)="","",LOWER(TRIM('List 1'!A432)&amp;"|"&amp;TRIM('List 1'!C432)&amp;"|"&amp;TRIM('List 1'!D432)))</f>
        <v/>
      </c>
      <c r="B432">
        <f>IF(A432="","",SUMPRODUCT(--($A$2:A432=A432)))</f>
        <v/>
      </c>
      <c r="C432">
        <f>IF(A432="","",A432&amp;"#"&amp;B432)</f>
        <v/>
      </c>
      <c r="D432">
        <f>IF(A432="","",IFERROR(--'List 1'!B432,0))</f>
        <v/>
      </c>
      <c r="F432">
        <f>IF(TRIM('List 2'!A432&amp;'List 2'!C432&amp;'List 2'!D432)="","",LOWER(TRIM('List 2'!A432)&amp;"|"&amp;TRIM('List 2'!C432)&amp;"|"&amp;TRIM('List 2'!D432)))</f>
        <v/>
      </c>
      <c r="G432">
        <f>IF(F432="","",SUMPRODUCT(--($F$2:F432=F432)))</f>
        <v/>
      </c>
      <c r="H432">
        <f>IF(F432="","",F432&amp;"#"&amp;G432)</f>
        <v/>
      </c>
      <c r="I432">
        <f>IF(F432="","",IFERROR(--'List 2'!B432,0))</f>
        <v/>
      </c>
      <c r="K432">
        <f>C432</f>
        <v/>
      </c>
      <c r="L432">
        <f>IF(K432="","",IF(ISNUMBER('List 1'!A432),'List 1'!A432,TRIM('List 1'!A432)))</f>
        <v/>
      </c>
      <c r="M432">
        <f>IF(K432="","",IF(ISNUMBER('List 1'!C432),'List 1'!C432,TRIM('List 1'!C432)))</f>
        <v/>
      </c>
      <c r="N432">
        <f>IF(K432="","",IF(ISNUMBER('List 1'!D432),'List 1'!D432,TRIM('List 1'!D432)))</f>
        <v/>
      </c>
      <c r="O432">
        <f>IF(K432="","",D432)</f>
        <v/>
      </c>
      <c r="P432">
        <f>IF(K432="","",IF(R432,SUMPRODUCT(--($H$2:$H$501=K432),$I$2:$I$501),0))</f>
        <v/>
      </c>
      <c r="Q432">
        <f>IF(K432="","",TRUE)</f>
        <v/>
      </c>
      <c r="R432">
        <f>IF(K432="","",SUMPRODUCT(--($H$2:$H$501=K432))&gt;0)</f>
        <v/>
      </c>
      <c r="S432">
        <f>IF(K432="","",IF(AND(Q432,R432),IF(O432=P432,"Match","Qty Different"),IF(Q432,"Only in List 1","Only in List 2")))</f>
        <v/>
      </c>
      <c r="T432">
        <f>IF(K432="","",IF(ISNUMBER(--L432),TEXT(--L432,"000000000000.000"),LOWER(L432)))</f>
        <v/>
      </c>
      <c r="U432">
        <f>IF(K432="","",IF(ISNUMBER(--M432),TEXT(--M432,"000000000000.000"),LOWER(M432)))</f>
        <v/>
      </c>
      <c r="V432">
        <f>IF(K432="","",LOWER(N432))</f>
        <v/>
      </c>
      <c r="W432">
        <f>IF(K432="","",B432)</f>
        <v/>
      </c>
      <c r="X432">
        <f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>
      <c r="A433">
        <f>IF(TRIM('List 1'!A433&amp;'List 1'!C433&amp;'List 1'!D433)="","",LOWER(TRIM('List 1'!A433)&amp;"|"&amp;TRIM('List 1'!C433)&amp;"|"&amp;TRIM('List 1'!D433)))</f>
        <v/>
      </c>
      <c r="B433">
        <f>IF(A433="","",SUMPRODUCT(--($A$2:A433=A433)))</f>
        <v/>
      </c>
      <c r="C433">
        <f>IF(A433="","",A433&amp;"#"&amp;B433)</f>
        <v/>
      </c>
      <c r="D433">
        <f>IF(A433="","",IFERROR(--'List 1'!B433,0))</f>
        <v/>
      </c>
      <c r="F433">
        <f>IF(TRIM('List 2'!A433&amp;'List 2'!C433&amp;'List 2'!D433)="","",LOWER(TRIM('List 2'!A433)&amp;"|"&amp;TRIM('List 2'!C433)&amp;"|"&amp;TRIM('List 2'!D433)))</f>
        <v/>
      </c>
      <c r="G433">
        <f>IF(F433="","",SUMPRODUCT(--($F$2:F433=F433)))</f>
        <v/>
      </c>
      <c r="H433">
        <f>IF(F433="","",F433&amp;"#"&amp;G433)</f>
        <v/>
      </c>
      <c r="I433">
        <f>IF(F433="","",IFERROR(--'List 2'!B433,0))</f>
        <v/>
      </c>
      <c r="K433">
        <f>C433</f>
        <v/>
      </c>
      <c r="L433">
        <f>IF(K433="","",IF(ISNUMBER('List 1'!A433),'List 1'!A433,TRIM('List 1'!A433)))</f>
        <v/>
      </c>
      <c r="M433">
        <f>IF(K433="","",IF(ISNUMBER('List 1'!C433),'List 1'!C433,TRIM('List 1'!C433)))</f>
        <v/>
      </c>
      <c r="N433">
        <f>IF(K433="","",IF(ISNUMBER('List 1'!D433),'List 1'!D433,TRIM('List 1'!D433)))</f>
        <v/>
      </c>
      <c r="O433">
        <f>IF(K433="","",D433)</f>
        <v/>
      </c>
      <c r="P433">
        <f>IF(K433="","",IF(R433,SUMPRODUCT(--($H$2:$H$501=K433),$I$2:$I$501),0))</f>
        <v/>
      </c>
      <c r="Q433">
        <f>IF(K433="","",TRUE)</f>
        <v/>
      </c>
      <c r="R433">
        <f>IF(K433="","",SUMPRODUCT(--($H$2:$H$501=K433))&gt;0)</f>
        <v/>
      </c>
      <c r="S433">
        <f>IF(K433="","",IF(AND(Q433,R433),IF(O433=P433,"Match","Qty Different"),IF(Q433,"Only in List 1","Only in List 2")))</f>
        <v/>
      </c>
      <c r="T433">
        <f>IF(K433="","",IF(ISNUMBER(--L433),TEXT(--L433,"000000000000.000"),LOWER(L433)))</f>
        <v/>
      </c>
      <c r="U433">
        <f>IF(K433="","",IF(ISNUMBER(--M433),TEXT(--M433,"000000000000.000"),LOWER(M433)))</f>
        <v/>
      </c>
      <c r="V433">
        <f>IF(K433="","",LOWER(N433))</f>
        <v/>
      </c>
      <c r="W433">
        <f>IF(K433="","",B433)</f>
        <v/>
      </c>
      <c r="X433">
        <f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>
      <c r="A434">
        <f>IF(TRIM('List 1'!A434&amp;'List 1'!C434&amp;'List 1'!D434)="","",LOWER(TRIM('List 1'!A434)&amp;"|"&amp;TRIM('List 1'!C434)&amp;"|"&amp;TRIM('List 1'!D434)))</f>
        <v/>
      </c>
      <c r="B434">
        <f>IF(A434="","",SUMPRODUCT(--($A$2:A434=A434)))</f>
        <v/>
      </c>
      <c r="C434">
        <f>IF(A434="","",A434&amp;"#"&amp;B434)</f>
        <v/>
      </c>
      <c r="D434">
        <f>IF(A434="","",IFERROR(--'List 1'!B434,0))</f>
        <v/>
      </c>
      <c r="F434">
        <f>IF(TRIM('List 2'!A434&amp;'List 2'!C434&amp;'List 2'!D434)="","",LOWER(TRIM('List 2'!A434)&amp;"|"&amp;TRIM('List 2'!C434)&amp;"|"&amp;TRIM('List 2'!D434)))</f>
        <v/>
      </c>
      <c r="G434">
        <f>IF(F434="","",SUMPRODUCT(--($F$2:F434=F434)))</f>
        <v/>
      </c>
      <c r="H434">
        <f>IF(F434="","",F434&amp;"#"&amp;G434)</f>
        <v/>
      </c>
      <c r="I434">
        <f>IF(F434="","",IFERROR(--'List 2'!B434,0))</f>
        <v/>
      </c>
      <c r="K434">
        <f>C434</f>
        <v/>
      </c>
      <c r="L434">
        <f>IF(K434="","",IF(ISNUMBER('List 1'!A434),'List 1'!A434,TRIM('List 1'!A434)))</f>
        <v/>
      </c>
      <c r="M434">
        <f>IF(K434="","",IF(ISNUMBER('List 1'!C434),'List 1'!C434,TRIM('List 1'!C434)))</f>
        <v/>
      </c>
      <c r="N434">
        <f>IF(K434="","",IF(ISNUMBER('List 1'!D434),'List 1'!D434,TRIM('List 1'!D434)))</f>
        <v/>
      </c>
      <c r="O434">
        <f>IF(K434="","",D434)</f>
        <v/>
      </c>
      <c r="P434">
        <f>IF(K434="","",IF(R434,SUMPRODUCT(--($H$2:$H$501=K434),$I$2:$I$501),0))</f>
        <v/>
      </c>
      <c r="Q434">
        <f>IF(K434="","",TRUE)</f>
        <v/>
      </c>
      <c r="R434">
        <f>IF(K434="","",SUMPRODUCT(--($H$2:$H$501=K434))&gt;0)</f>
        <v/>
      </c>
      <c r="S434">
        <f>IF(K434="","",IF(AND(Q434,R434),IF(O434=P434,"Match","Qty Different"),IF(Q434,"Only in List 1","Only in List 2")))</f>
        <v/>
      </c>
      <c r="T434">
        <f>IF(K434="","",IF(ISNUMBER(--L434),TEXT(--L434,"000000000000.000"),LOWER(L434)))</f>
        <v/>
      </c>
      <c r="U434">
        <f>IF(K434="","",IF(ISNUMBER(--M434),TEXT(--M434,"000000000000.000"),LOWER(M434)))</f>
        <v/>
      </c>
      <c r="V434">
        <f>IF(K434="","",LOWER(N434))</f>
        <v/>
      </c>
      <c r="W434">
        <f>IF(K434="","",B434)</f>
        <v/>
      </c>
      <c r="X434">
        <f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>
      <c r="A435">
        <f>IF(TRIM('List 1'!A435&amp;'List 1'!C435&amp;'List 1'!D435)="","",LOWER(TRIM('List 1'!A435)&amp;"|"&amp;TRIM('List 1'!C435)&amp;"|"&amp;TRIM('List 1'!D435)))</f>
        <v/>
      </c>
      <c r="B435">
        <f>IF(A435="","",SUMPRODUCT(--($A$2:A435=A435)))</f>
        <v/>
      </c>
      <c r="C435">
        <f>IF(A435="","",A435&amp;"#"&amp;B435)</f>
        <v/>
      </c>
      <c r="D435">
        <f>IF(A435="","",IFERROR(--'List 1'!B435,0))</f>
        <v/>
      </c>
      <c r="F435">
        <f>IF(TRIM('List 2'!A435&amp;'List 2'!C435&amp;'List 2'!D435)="","",LOWER(TRIM('List 2'!A435)&amp;"|"&amp;TRIM('List 2'!C435)&amp;"|"&amp;TRIM('List 2'!D435)))</f>
        <v/>
      </c>
      <c r="G435">
        <f>IF(F435="","",SUMPRODUCT(--($F$2:F435=F435)))</f>
        <v/>
      </c>
      <c r="H435">
        <f>IF(F435="","",F435&amp;"#"&amp;G435)</f>
        <v/>
      </c>
      <c r="I435">
        <f>IF(F435="","",IFERROR(--'List 2'!B435,0))</f>
        <v/>
      </c>
      <c r="K435">
        <f>C435</f>
        <v/>
      </c>
      <c r="L435">
        <f>IF(K435="","",IF(ISNUMBER('List 1'!A435),'List 1'!A435,TRIM('List 1'!A435)))</f>
        <v/>
      </c>
      <c r="M435">
        <f>IF(K435="","",IF(ISNUMBER('List 1'!C435),'List 1'!C435,TRIM('List 1'!C435)))</f>
        <v/>
      </c>
      <c r="N435">
        <f>IF(K435="","",IF(ISNUMBER('List 1'!D435),'List 1'!D435,TRIM('List 1'!D435)))</f>
        <v/>
      </c>
      <c r="O435">
        <f>IF(K435="","",D435)</f>
        <v/>
      </c>
      <c r="P435">
        <f>IF(K435="","",IF(R435,SUMPRODUCT(--($H$2:$H$501=K435),$I$2:$I$501),0))</f>
        <v/>
      </c>
      <c r="Q435">
        <f>IF(K435="","",TRUE)</f>
        <v/>
      </c>
      <c r="R435">
        <f>IF(K435="","",SUMPRODUCT(--($H$2:$H$501=K435))&gt;0)</f>
        <v/>
      </c>
      <c r="S435">
        <f>IF(K435="","",IF(AND(Q435,R435),IF(O435=P435,"Match","Qty Different"),IF(Q435,"Only in List 1","Only in List 2")))</f>
        <v/>
      </c>
      <c r="T435">
        <f>IF(K435="","",IF(ISNUMBER(--L435),TEXT(--L435,"000000000000.000"),LOWER(L435)))</f>
        <v/>
      </c>
      <c r="U435">
        <f>IF(K435="","",IF(ISNUMBER(--M435),TEXT(--M435,"000000000000.000"),LOWER(M435)))</f>
        <v/>
      </c>
      <c r="V435">
        <f>IF(K435="","",LOWER(N435))</f>
        <v/>
      </c>
      <c r="W435">
        <f>IF(K435="","",B435)</f>
        <v/>
      </c>
      <c r="X435">
        <f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>
      <c r="A436">
        <f>IF(TRIM('List 1'!A436&amp;'List 1'!C436&amp;'List 1'!D436)="","",LOWER(TRIM('List 1'!A436)&amp;"|"&amp;TRIM('List 1'!C436)&amp;"|"&amp;TRIM('List 1'!D436)))</f>
        <v/>
      </c>
      <c r="B436">
        <f>IF(A436="","",SUMPRODUCT(--($A$2:A436=A436)))</f>
        <v/>
      </c>
      <c r="C436">
        <f>IF(A436="","",A436&amp;"#"&amp;B436)</f>
        <v/>
      </c>
      <c r="D436">
        <f>IF(A436="","",IFERROR(--'List 1'!B436,0))</f>
        <v/>
      </c>
      <c r="F436">
        <f>IF(TRIM('List 2'!A436&amp;'List 2'!C436&amp;'List 2'!D436)="","",LOWER(TRIM('List 2'!A436)&amp;"|"&amp;TRIM('List 2'!C436)&amp;"|"&amp;TRIM('List 2'!D436)))</f>
        <v/>
      </c>
      <c r="G436">
        <f>IF(F436="","",SUMPRODUCT(--($F$2:F436=F436)))</f>
        <v/>
      </c>
      <c r="H436">
        <f>IF(F436="","",F436&amp;"#"&amp;G436)</f>
        <v/>
      </c>
      <c r="I436">
        <f>IF(F436="","",IFERROR(--'List 2'!B436,0))</f>
        <v/>
      </c>
      <c r="K436">
        <f>C436</f>
        <v/>
      </c>
      <c r="L436">
        <f>IF(K436="","",IF(ISNUMBER('List 1'!A436),'List 1'!A436,TRIM('List 1'!A436)))</f>
        <v/>
      </c>
      <c r="M436">
        <f>IF(K436="","",IF(ISNUMBER('List 1'!C436),'List 1'!C436,TRIM('List 1'!C436)))</f>
        <v/>
      </c>
      <c r="N436">
        <f>IF(K436="","",IF(ISNUMBER('List 1'!D436),'List 1'!D436,TRIM('List 1'!D436)))</f>
        <v/>
      </c>
      <c r="O436">
        <f>IF(K436="","",D436)</f>
        <v/>
      </c>
      <c r="P436">
        <f>IF(K436="","",IF(R436,SUMPRODUCT(--($H$2:$H$501=K436),$I$2:$I$501),0))</f>
        <v/>
      </c>
      <c r="Q436">
        <f>IF(K436="","",TRUE)</f>
        <v/>
      </c>
      <c r="R436">
        <f>IF(K436="","",SUMPRODUCT(--($H$2:$H$501=K436))&gt;0)</f>
        <v/>
      </c>
      <c r="S436">
        <f>IF(K436="","",IF(AND(Q436,R436),IF(O436=P436,"Match","Qty Different"),IF(Q436,"Only in List 1","Only in List 2")))</f>
        <v/>
      </c>
      <c r="T436">
        <f>IF(K436="","",IF(ISNUMBER(--L436),TEXT(--L436,"000000000000.000"),LOWER(L436)))</f>
        <v/>
      </c>
      <c r="U436">
        <f>IF(K436="","",IF(ISNUMBER(--M436),TEXT(--M436,"000000000000.000"),LOWER(M436)))</f>
        <v/>
      </c>
      <c r="V436">
        <f>IF(K436="","",LOWER(N436))</f>
        <v/>
      </c>
      <c r="W436">
        <f>IF(K436="","",B436)</f>
        <v/>
      </c>
      <c r="X436">
        <f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>
      <c r="A437">
        <f>IF(TRIM('List 1'!A437&amp;'List 1'!C437&amp;'List 1'!D437)="","",LOWER(TRIM('List 1'!A437)&amp;"|"&amp;TRIM('List 1'!C437)&amp;"|"&amp;TRIM('List 1'!D437)))</f>
        <v/>
      </c>
      <c r="B437">
        <f>IF(A437="","",SUMPRODUCT(--($A$2:A437=A437)))</f>
        <v/>
      </c>
      <c r="C437">
        <f>IF(A437="","",A437&amp;"#"&amp;B437)</f>
        <v/>
      </c>
      <c r="D437">
        <f>IF(A437="","",IFERROR(--'List 1'!B437,0))</f>
        <v/>
      </c>
      <c r="F437">
        <f>IF(TRIM('List 2'!A437&amp;'List 2'!C437&amp;'List 2'!D437)="","",LOWER(TRIM('List 2'!A437)&amp;"|"&amp;TRIM('List 2'!C437)&amp;"|"&amp;TRIM('List 2'!D437)))</f>
        <v/>
      </c>
      <c r="G437">
        <f>IF(F437="","",SUMPRODUCT(--($F$2:F437=F437)))</f>
        <v/>
      </c>
      <c r="H437">
        <f>IF(F437="","",F437&amp;"#"&amp;G437)</f>
        <v/>
      </c>
      <c r="I437">
        <f>IF(F437="","",IFERROR(--'List 2'!B437,0))</f>
        <v/>
      </c>
      <c r="K437">
        <f>C437</f>
        <v/>
      </c>
      <c r="L437">
        <f>IF(K437="","",IF(ISNUMBER('List 1'!A437),'List 1'!A437,TRIM('List 1'!A437)))</f>
        <v/>
      </c>
      <c r="M437">
        <f>IF(K437="","",IF(ISNUMBER('List 1'!C437),'List 1'!C437,TRIM('List 1'!C437)))</f>
        <v/>
      </c>
      <c r="N437">
        <f>IF(K437="","",IF(ISNUMBER('List 1'!D437),'List 1'!D437,TRIM('List 1'!D437)))</f>
        <v/>
      </c>
      <c r="O437">
        <f>IF(K437="","",D437)</f>
        <v/>
      </c>
      <c r="P437">
        <f>IF(K437="","",IF(R437,SUMPRODUCT(--($H$2:$H$501=K437),$I$2:$I$501),0))</f>
        <v/>
      </c>
      <c r="Q437">
        <f>IF(K437="","",TRUE)</f>
        <v/>
      </c>
      <c r="R437">
        <f>IF(K437="","",SUMPRODUCT(--($H$2:$H$501=K437))&gt;0)</f>
        <v/>
      </c>
      <c r="S437">
        <f>IF(K437="","",IF(AND(Q437,R437),IF(O437=P437,"Match","Qty Different"),IF(Q437,"Only in List 1","Only in List 2")))</f>
        <v/>
      </c>
      <c r="T437">
        <f>IF(K437="","",IF(ISNUMBER(--L437),TEXT(--L437,"000000000000.000"),LOWER(L437)))</f>
        <v/>
      </c>
      <c r="U437">
        <f>IF(K437="","",IF(ISNUMBER(--M437),TEXT(--M437,"000000000000.000"),LOWER(M437)))</f>
        <v/>
      </c>
      <c r="V437">
        <f>IF(K437="","",LOWER(N437))</f>
        <v/>
      </c>
      <c r="W437">
        <f>IF(K437="","",B437)</f>
        <v/>
      </c>
      <c r="X437">
        <f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>
      <c r="A438">
        <f>IF(TRIM('List 1'!A438&amp;'List 1'!C438&amp;'List 1'!D438)="","",LOWER(TRIM('List 1'!A438)&amp;"|"&amp;TRIM('List 1'!C438)&amp;"|"&amp;TRIM('List 1'!D438)))</f>
        <v/>
      </c>
      <c r="B438">
        <f>IF(A438="","",SUMPRODUCT(--($A$2:A438=A438)))</f>
        <v/>
      </c>
      <c r="C438">
        <f>IF(A438="","",A438&amp;"#"&amp;B438)</f>
        <v/>
      </c>
      <c r="D438">
        <f>IF(A438="","",IFERROR(--'List 1'!B438,0))</f>
        <v/>
      </c>
      <c r="F438">
        <f>IF(TRIM('List 2'!A438&amp;'List 2'!C438&amp;'List 2'!D438)="","",LOWER(TRIM('List 2'!A438)&amp;"|"&amp;TRIM('List 2'!C438)&amp;"|"&amp;TRIM('List 2'!D438)))</f>
        <v/>
      </c>
      <c r="G438">
        <f>IF(F438="","",SUMPRODUCT(--($F$2:F438=F438)))</f>
        <v/>
      </c>
      <c r="H438">
        <f>IF(F438="","",F438&amp;"#"&amp;G438)</f>
        <v/>
      </c>
      <c r="I438">
        <f>IF(F438="","",IFERROR(--'List 2'!B438,0))</f>
        <v/>
      </c>
      <c r="K438">
        <f>C438</f>
        <v/>
      </c>
      <c r="L438">
        <f>IF(K438="","",IF(ISNUMBER('List 1'!A438),'List 1'!A438,TRIM('List 1'!A438)))</f>
        <v/>
      </c>
      <c r="M438">
        <f>IF(K438="","",IF(ISNUMBER('List 1'!C438),'List 1'!C438,TRIM('List 1'!C438)))</f>
        <v/>
      </c>
      <c r="N438">
        <f>IF(K438="","",IF(ISNUMBER('List 1'!D438),'List 1'!D438,TRIM('List 1'!D438)))</f>
        <v/>
      </c>
      <c r="O438">
        <f>IF(K438="","",D438)</f>
        <v/>
      </c>
      <c r="P438">
        <f>IF(K438="","",IF(R438,SUMPRODUCT(--($H$2:$H$501=K438),$I$2:$I$501),0))</f>
        <v/>
      </c>
      <c r="Q438">
        <f>IF(K438="","",TRUE)</f>
        <v/>
      </c>
      <c r="R438">
        <f>IF(K438="","",SUMPRODUCT(--($H$2:$H$501=K438))&gt;0)</f>
        <v/>
      </c>
      <c r="S438">
        <f>IF(K438="","",IF(AND(Q438,R438),IF(O438=P438,"Match","Qty Different"),IF(Q438,"Only in List 1","Only in List 2")))</f>
        <v/>
      </c>
      <c r="T438">
        <f>IF(K438="","",IF(ISNUMBER(--L438),TEXT(--L438,"000000000000.000"),LOWER(L438)))</f>
        <v/>
      </c>
      <c r="U438">
        <f>IF(K438="","",IF(ISNUMBER(--M438),TEXT(--M438,"000000000000.000"),LOWER(M438)))</f>
        <v/>
      </c>
      <c r="V438">
        <f>IF(K438="","",LOWER(N438))</f>
        <v/>
      </c>
      <c r="W438">
        <f>IF(K438="","",B438)</f>
        <v/>
      </c>
      <c r="X438">
        <f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>
      <c r="A439">
        <f>IF(TRIM('List 1'!A439&amp;'List 1'!C439&amp;'List 1'!D439)="","",LOWER(TRIM('List 1'!A439)&amp;"|"&amp;TRIM('List 1'!C439)&amp;"|"&amp;TRIM('List 1'!D439)))</f>
        <v/>
      </c>
      <c r="B439">
        <f>IF(A439="","",SUMPRODUCT(--($A$2:A439=A439)))</f>
        <v/>
      </c>
      <c r="C439">
        <f>IF(A439="","",A439&amp;"#"&amp;B439)</f>
        <v/>
      </c>
      <c r="D439">
        <f>IF(A439="","",IFERROR(--'List 1'!B439,0))</f>
        <v/>
      </c>
      <c r="F439">
        <f>IF(TRIM('List 2'!A439&amp;'List 2'!C439&amp;'List 2'!D439)="","",LOWER(TRIM('List 2'!A439)&amp;"|"&amp;TRIM('List 2'!C439)&amp;"|"&amp;TRIM('List 2'!D439)))</f>
        <v/>
      </c>
      <c r="G439">
        <f>IF(F439="","",SUMPRODUCT(--($F$2:F439=F439)))</f>
        <v/>
      </c>
      <c r="H439">
        <f>IF(F439="","",F439&amp;"#"&amp;G439)</f>
        <v/>
      </c>
      <c r="I439">
        <f>IF(F439="","",IFERROR(--'List 2'!B439,0))</f>
        <v/>
      </c>
      <c r="K439">
        <f>C439</f>
        <v/>
      </c>
      <c r="L439">
        <f>IF(K439="","",IF(ISNUMBER('List 1'!A439),'List 1'!A439,TRIM('List 1'!A439)))</f>
        <v/>
      </c>
      <c r="M439">
        <f>IF(K439="","",IF(ISNUMBER('List 1'!C439),'List 1'!C439,TRIM('List 1'!C439)))</f>
        <v/>
      </c>
      <c r="N439">
        <f>IF(K439="","",IF(ISNUMBER('List 1'!D439),'List 1'!D439,TRIM('List 1'!D439)))</f>
        <v/>
      </c>
      <c r="O439">
        <f>IF(K439="","",D439)</f>
        <v/>
      </c>
      <c r="P439">
        <f>IF(K439="","",IF(R439,SUMPRODUCT(--($H$2:$H$501=K439),$I$2:$I$501),0))</f>
        <v/>
      </c>
      <c r="Q439">
        <f>IF(K439="","",TRUE)</f>
        <v/>
      </c>
      <c r="R439">
        <f>IF(K439="","",SUMPRODUCT(--($H$2:$H$501=K439))&gt;0)</f>
        <v/>
      </c>
      <c r="S439">
        <f>IF(K439="","",IF(AND(Q439,R439),IF(O439=P439,"Match","Qty Different"),IF(Q439,"Only in List 1","Only in List 2")))</f>
        <v/>
      </c>
      <c r="T439">
        <f>IF(K439="","",IF(ISNUMBER(--L439),TEXT(--L439,"000000000000.000"),LOWER(L439)))</f>
        <v/>
      </c>
      <c r="U439">
        <f>IF(K439="","",IF(ISNUMBER(--M439),TEXT(--M439,"000000000000.000"),LOWER(M439)))</f>
        <v/>
      </c>
      <c r="V439">
        <f>IF(K439="","",LOWER(N439))</f>
        <v/>
      </c>
      <c r="W439">
        <f>IF(K439="","",B439)</f>
        <v/>
      </c>
      <c r="X439">
        <f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>
      <c r="A440">
        <f>IF(TRIM('List 1'!A440&amp;'List 1'!C440&amp;'List 1'!D440)="","",LOWER(TRIM('List 1'!A440)&amp;"|"&amp;TRIM('List 1'!C440)&amp;"|"&amp;TRIM('List 1'!D440)))</f>
        <v/>
      </c>
      <c r="B440">
        <f>IF(A440="","",SUMPRODUCT(--($A$2:A440=A440)))</f>
        <v/>
      </c>
      <c r="C440">
        <f>IF(A440="","",A440&amp;"#"&amp;B440)</f>
        <v/>
      </c>
      <c r="D440">
        <f>IF(A440="","",IFERROR(--'List 1'!B440,0))</f>
        <v/>
      </c>
      <c r="F440">
        <f>IF(TRIM('List 2'!A440&amp;'List 2'!C440&amp;'List 2'!D440)="","",LOWER(TRIM('List 2'!A440)&amp;"|"&amp;TRIM('List 2'!C440)&amp;"|"&amp;TRIM('List 2'!D440)))</f>
        <v/>
      </c>
      <c r="G440">
        <f>IF(F440="","",SUMPRODUCT(--($F$2:F440=F440)))</f>
        <v/>
      </c>
      <c r="H440">
        <f>IF(F440="","",F440&amp;"#"&amp;G440)</f>
        <v/>
      </c>
      <c r="I440">
        <f>IF(F440="","",IFERROR(--'List 2'!B440,0))</f>
        <v/>
      </c>
      <c r="K440">
        <f>C440</f>
        <v/>
      </c>
      <c r="L440">
        <f>IF(K440="","",IF(ISNUMBER('List 1'!A440),'List 1'!A440,TRIM('List 1'!A440)))</f>
        <v/>
      </c>
      <c r="M440">
        <f>IF(K440="","",IF(ISNUMBER('List 1'!C440),'List 1'!C440,TRIM('List 1'!C440)))</f>
        <v/>
      </c>
      <c r="N440">
        <f>IF(K440="","",IF(ISNUMBER('List 1'!D440),'List 1'!D440,TRIM('List 1'!D440)))</f>
        <v/>
      </c>
      <c r="O440">
        <f>IF(K440="","",D440)</f>
        <v/>
      </c>
      <c r="P440">
        <f>IF(K440="","",IF(R440,SUMPRODUCT(--($H$2:$H$501=K440),$I$2:$I$501),0))</f>
        <v/>
      </c>
      <c r="Q440">
        <f>IF(K440="","",TRUE)</f>
        <v/>
      </c>
      <c r="R440">
        <f>IF(K440="","",SUMPRODUCT(--($H$2:$H$501=K440))&gt;0)</f>
        <v/>
      </c>
      <c r="S440">
        <f>IF(K440="","",IF(AND(Q440,R440),IF(O440=P440,"Match","Qty Different"),IF(Q440,"Only in List 1","Only in List 2")))</f>
        <v/>
      </c>
      <c r="T440">
        <f>IF(K440="","",IF(ISNUMBER(--L440),TEXT(--L440,"000000000000.000"),LOWER(L440)))</f>
        <v/>
      </c>
      <c r="U440">
        <f>IF(K440="","",IF(ISNUMBER(--M440),TEXT(--M440,"000000000000.000"),LOWER(M440)))</f>
        <v/>
      </c>
      <c r="V440">
        <f>IF(K440="","",LOWER(N440))</f>
        <v/>
      </c>
      <c r="W440">
        <f>IF(K440="","",B440)</f>
        <v/>
      </c>
      <c r="X440">
        <f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>
      <c r="A441">
        <f>IF(TRIM('List 1'!A441&amp;'List 1'!C441&amp;'List 1'!D441)="","",LOWER(TRIM('List 1'!A441)&amp;"|"&amp;TRIM('List 1'!C441)&amp;"|"&amp;TRIM('List 1'!D441)))</f>
        <v/>
      </c>
      <c r="B441">
        <f>IF(A441="","",SUMPRODUCT(--($A$2:A441=A441)))</f>
        <v/>
      </c>
      <c r="C441">
        <f>IF(A441="","",A441&amp;"#"&amp;B441)</f>
        <v/>
      </c>
      <c r="D441">
        <f>IF(A441="","",IFERROR(--'List 1'!B441,0))</f>
        <v/>
      </c>
      <c r="F441">
        <f>IF(TRIM('List 2'!A441&amp;'List 2'!C441&amp;'List 2'!D441)="","",LOWER(TRIM('List 2'!A441)&amp;"|"&amp;TRIM('List 2'!C441)&amp;"|"&amp;TRIM('List 2'!D441)))</f>
        <v/>
      </c>
      <c r="G441">
        <f>IF(F441="","",SUMPRODUCT(--($F$2:F441=F441)))</f>
        <v/>
      </c>
      <c r="H441">
        <f>IF(F441="","",F441&amp;"#"&amp;G441)</f>
        <v/>
      </c>
      <c r="I441">
        <f>IF(F441="","",IFERROR(--'List 2'!B441,0))</f>
        <v/>
      </c>
      <c r="K441">
        <f>C441</f>
        <v/>
      </c>
      <c r="L441">
        <f>IF(K441="","",IF(ISNUMBER('List 1'!A441),'List 1'!A441,TRIM('List 1'!A441)))</f>
        <v/>
      </c>
      <c r="M441">
        <f>IF(K441="","",IF(ISNUMBER('List 1'!C441),'List 1'!C441,TRIM('List 1'!C441)))</f>
        <v/>
      </c>
      <c r="N441">
        <f>IF(K441="","",IF(ISNUMBER('List 1'!D441),'List 1'!D441,TRIM('List 1'!D441)))</f>
        <v/>
      </c>
      <c r="O441">
        <f>IF(K441="","",D441)</f>
        <v/>
      </c>
      <c r="P441">
        <f>IF(K441="","",IF(R441,SUMPRODUCT(--($H$2:$H$501=K441),$I$2:$I$501),0))</f>
        <v/>
      </c>
      <c r="Q441">
        <f>IF(K441="","",TRUE)</f>
        <v/>
      </c>
      <c r="R441">
        <f>IF(K441="","",SUMPRODUCT(--($H$2:$H$501=K441))&gt;0)</f>
        <v/>
      </c>
      <c r="S441">
        <f>IF(K441="","",IF(AND(Q441,R441),IF(O441=P441,"Match","Qty Different"),IF(Q441,"Only in List 1","Only in List 2")))</f>
        <v/>
      </c>
      <c r="T441">
        <f>IF(K441="","",IF(ISNUMBER(--L441),TEXT(--L441,"000000000000.000"),LOWER(L441)))</f>
        <v/>
      </c>
      <c r="U441">
        <f>IF(K441="","",IF(ISNUMBER(--M441),TEXT(--M441,"000000000000.000"),LOWER(M441)))</f>
        <v/>
      </c>
      <c r="V441">
        <f>IF(K441="","",LOWER(N441))</f>
        <v/>
      </c>
      <c r="W441">
        <f>IF(K441="","",B441)</f>
        <v/>
      </c>
      <c r="X441">
        <f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>
      <c r="A442">
        <f>IF(TRIM('List 1'!A442&amp;'List 1'!C442&amp;'List 1'!D442)="","",LOWER(TRIM('List 1'!A442)&amp;"|"&amp;TRIM('List 1'!C442)&amp;"|"&amp;TRIM('List 1'!D442)))</f>
        <v/>
      </c>
      <c r="B442">
        <f>IF(A442="","",SUMPRODUCT(--($A$2:A442=A442)))</f>
        <v/>
      </c>
      <c r="C442">
        <f>IF(A442="","",A442&amp;"#"&amp;B442)</f>
        <v/>
      </c>
      <c r="D442">
        <f>IF(A442="","",IFERROR(--'List 1'!B442,0))</f>
        <v/>
      </c>
      <c r="F442">
        <f>IF(TRIM('List 2'!A442&amp;'List 2'!C442&amp;'List 2'!D442)="","",LOWER(TRIM('List 2'!A442)&amp;"|"&amp;TRIM('List 2'!C442)&amp;"|"&amp;TRIM('List 2'!D442)))</f>
        <v/>
      </c>
      <c r="G442">
        <f>IF(F442="","",SUMPRODUCT(--($F$2:F442=F442)))</f>
        <v/>
      </c>
      <c r="H442">
        <f>IF(F442="","",F442&amp;"#"&amp;G442)</f>
        <v/>
      </c>
      <c r="I442">
        <f>IF(F442="","",IFERROR(--'List 2'!B442,0))</f>
        <v/>
      </c>
      <c r="K442">
        <f>C442</f>
        <v/>
      </c>
      <c r="L442">
        <f>IF(K442="","",IF(ISNUMBER('List 1'!A442),'List 1'!A442,TRIM('List 1'!A442)))</f>
        <v/>
      </c>
      <c r="M442">
        <f>IF(K442="","",IF(ISNUMBER('List 1'!C442),'List 1'!C442,TRIM('List 1'!C442)))</f>
        <v/>
      </c>
      <c r="N442">
        <f>IF(K442="","",IF(ISNUMBER('List 1'!D442),'List 1'!D442,TRIM('List 1'!D442)))</f>
        <v/>
      </c>
      <c r="O442">
        <f>IF(K442="","",D442)</f>
        <v/>
      </c>
      <c r="P442">
        <f>IF(K442="","",IF(R442,SUMPRODUCT(--($H$2:$H$501=K442),$I$2:$I$501),0))</f>
        <v/>
      </c>
      <c r="Q442">
        <f>IF(K442="","",TRUE)</f>
        <v/>
      </c>
      <c r="R442">
        <f>IF(K442="","",SUMPRODUCT(--($H$2:$H$501=K442))&gt;0)</f>
        <v/>
      </c>
      <c r="S442">
        <f>IF(K442="","",IF(AND(Q442,R442),IF(O442=P442,"Match","Qty Different"),IF(Q442,"Only in List 1","Only in List 2")))</f>
        <v/>
      </c>
      <c r="T442">
        <f>IF(K442="","",IF(ISNUMBER(--L442),TEXT(--L442,"000000000000.000"),LOWER(L442)))</f>
        <v/>
      </c>
      <c r="U442">
        <f>IF(K442="","",IF(ISNUMBER(--M442),TEXT(--M442,"000000000000.000"),LOWER(M442)))</f>
        <v/>
      </c>
      <c r="V442">
        <f>IF(K442="","",LOWER(N442))</f>
        <v/>
      </c>
      <c r="W442">
        <f>IF(K442="","",B442)</f>
        <v/>
      </c>
      <c r="X442">
        <f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>
      <c r="A443">
        <f>IF(TRIM('List 1'!A443&amp;'List 1'!C443&amp;'List 1'!D443)="","",LOWER(TRIM('List 1'!A443)&amp;"|"&amp;TRIM('List 1'!C443)&amp;"|"&amp;TRIM('List 1'!D443)))</f>
        <v/>
      </c>
      <c r="B443">
        <f>IF(A443="","",SUMPRODUCT(--($A$2:A443=A443)))</f>
        <v/>
      </c>
      <c r="C443">
        <f>IF(A443="","",A443&amp;"#"&amp;B443)</f>
        <v/>
      </c>
      <c r="D443">
        <f>IF(A443="","",IFERROR(--'List 1'!B443,0))</f>
        <v/>
      </c>
      <c r="F443">
        <f>IF(TRIM('List 2'!A443&amp;'List 2'!C443&amp;'List 2'!D443)="","",LOWER(TRIM('List 2'!A443)&amp;"|"&amp;TRIM('List 2'!C443)&amp;"|"&amp;TRIM('List 2'!D443)))</f>
        <v/>
      </c>
      <c r="G443">
        <f>IF(F443="","",SUMPRODUCT(--($F$2:F443=F443)))</f>
        <v/>
      </c>
      <c r="H443">
        <f>IF(F443="","",F443&amp;"#"&amp;G443)</f>
        <v/>
      </c>
      <c r="I443">
        <f>IF(F443="","",IFERROR(--'List 2'!B443,0))</f>
        <v/>
      </c>
      <c r="K443">
        <f>C443</f>
        <v/>
      </c>
      <c r="L443">
        <f>IF(K443="","",IF(ISNUMBER('List 1'!A443),'List 1'!A443,TRIM('List 1'!A443)))</f>
        <v/>
      </c>
      <c r="M443">
        <f>IF(K443="","",IF(ISNUMBER('List 1'!C443),'List 1'!C443,TRIM('List 1'!C443)))</f>
        <v/>
      </c>
      <c r="N443">
        <f>IF(K443="","",IF(ISNUMBER('List 1'!D443),'List 1'!D443,TRIM('List 1'!D443)))</f>
        <v/>
      </c>
      <c r="O443">
        <f>IF(K443="","",D443)</f>
        <v/>
      </c>
      <c r="P443">
        <f>IF(K443="","",IF(R443,SUMPRODUCT(--($H$2:$H$501=K443),$I$2:$I$501),0))</f>
        <v/>
      </c>
      <c r="Q443">
        <f>IF(K443="","",TRUE)</f>
        <v/>
      </c>
      <c r="R443">
        <f>IF(K443="","",SUMPRODUCT(--($H$2:$H$501=K443))&gt;0)</f>
        <v/>
      </c>
      <c r="S443">
        <f>IF(K443="","",IF(AND(Q443,R443),IF(O443=P443,"Match","Qty Different"),IF(Q443,"Only in List 1","Only in List 2")))</f>
        <v/>
      </c>
      <c r="T443">
        <f>IF(K443="","",IF(ISNUMBER(--L443),TEXT(--L443,"000000000000.000"),LOWER(L443)))</f>
        <v/>
      </c>
      <c r="U443">
        <f>IF(K443="","",IF(ISNUMBER(--M443),TEXT(--M443,"000000000000.000"),LOWER(M443)))</f>
        <v/>
      </c>
      <c r="V443">
        <f>IF(K443="","",LOWER(N443))</f>
        <v/>
      </c>
      <c r="W443">
        <f>IF(K443="","",B443)</f>
        <v/>
      </c>
      <c r="X443">
        <f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>
      <c r="A444">
        <f>IF(TRIM('List 1'!A444&amp;'List 1'!C444&amp;'List 1'!D444)="","",LOWER(TRIM('List 1'!A444)&amp;"|"&amp;TRIM('List 1'!C444)&amp;"|"&amp;TRIM('List 1'!D444)))</f>
        <v/>
      </c>
      <c r="B444">
        <f>IF(A444="","",SUMPRODUCT(--($A$2:A444=A444)))</f>
        <v/>
      </c>
      <c r="C444">
        <f>IF(A444="","",A444&amp;"#"&amp;B444)</f>
        <v/>
      </c>
      <c r="D444">
        <f>IF(A444="","",IFERROR(--'List 1'!B444,0))</f>
        <v/>
      </c>
      <c r="F444">
        <f>IF(TRIM('List 2'!A444&amp;'List 2'!C444&amp;'List 2'!D444)="","",LOWER(TRIM('List 2'!A444)&amp;"|"&amp;TRIM('List 2'!C444)&amp;"|"&amp;TRIM('List 2'!D444)))</f>
        <v/>
      </c>
      <c r="G444">
        <f>IF(F444="","",SUMPRODUCT(--($F$2:F444=F444)))</f>
        <v/>
      </c>
      <c r="H444">
        <f>IF(F444="","",F444&amp;"#"&amp;G444)</f>
        <v/>
      </c>
      <c r="I444">
        <f>IF(F444="","",IFERROR(--'List 2'!B444,0))</f>
        <v/>
      </c>
      <c r="K444">
        <f>C444</f>
        <v/>
      </c>
      <c r="L444">
        <f>IF(K444="","",IF(ISNUMBER('List 1'!A444),'List 1'!A444,TRIM('List 1'!A444)))</f>
        <v/>
      </c>
      <c r="M444">
        <f>IF(K444="","",IF(ISNUMBER('List 1'!C444),'List 1'!C444,TRIM('List 1'!C444)))</f>
        <v/>
      </c>
      <c r="N444">
        <f>IF(K444="","",IF(ISNUMBER('List 1'!D444),'List 1'!D444,TRIM('List 1'!D444)))</f>
        <v/>
      </c>
      <c r="O444">
        <f>IF(K444="","",D444)</f>
        <v/>
      </c>
      <c r="P444">
        <f>IF(K444="","",IF(R444,SUMPRODUCT(--($H$2:$H$501=K444),$I$2:$I$501),0))</f>
        <v/>
      </c>
      <c r="Q444">
        <f>IF(K444="","",TRUE)</f>
        <v/>
      </c>
      <c r="R444">
        <f>IF(K444="","",SUMPRODUCT(--($H$2:$H$501=K444))&gt;0)</f>
        <v/>
      </c>
      <c r="S444">
        <f>IF(K444="","",IF(AND(Q444,R444),IF(O444=P444,"Match","Qty Different"),IF(Q444,"Only in List 1","Only in List 2")))</f>
        <v/>
      </c>
      <c r="T444">
        <f>IF(K444="","",IF(ISNUMBER(--L444),TEXT(--L444,"000000000000.000"),LOWER(L444)))</f>
        <v/>
      </c>
      <c r="U444">
        <f>IF(K444="","",IF(ISNUMBER(--M444),TEXT(--M444,"000000000000.000"),LOWER(M444)))</f>
        <v/>
      </c>
      <c r="V444">
        <f>IF(K444="","",LOWER(N444))</f>
        <v/>
      </c>
      <c r="W444">
        <f>IF(K444="","",B444)</f>
        <v/>
      </c>
      <c r="X444">
        <f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>
      <c r="A445">
        <f>IF(TRIM('List 1'!A445&amp;'List 1'!C445&amp;'List 1'!D445)="","",LOWER(TRIM('List 1'!A445)&amp;"|"&amp;TRIM('List 1'!C445)&amp;"|"&amp;TRIM('List 1'!D445)))</f>
        <v/>
      </c>
      <c r="B445">
        <f>IF(A445="","",SUMPRODUCT(--($A$2:A445=A445)))</f>
        <v/>
      </c>
      <c r="C445">
        <f>IF(A445="","",A445&amp;"#"&amp;B445)</f>
        <v/>
      </c>
      <c r="D445">
        <f>IF(A445="","",IFERROR(--'List 1'!B445,0))</f>
        <v/>
      </c>
      <c r="F445">
        <f>IF(TRIM('List 2'!A445&amp;'List 2'!C445&amp;'List 2'!D445)="","",LOWER(TRIM('List 2'!A445)&amp;"|"&amp;TRIM('List 2'!C445)&amp;"|"&amp;TRIM('List 2'!D445)))</f>
        <v/>
      </c>
      <c r="G445">
        <f>IF(F445="","",SUMPRODUCT(--($F$2:F445=F445)))</f>
        <v/>
      </c>
      <c r="H445">
        <f>IF(F445="","",F445&amp;"#"&amp;G445)</f>
        <v/>
      </c>
      <c r="I445">
        <f>IF(F445="","",IFERROR(--'List 2'!B445,0))</f>
        <v/>
      </c>
      <c r="K445">
        <f>C445</f>
        <v/>
      </c>
      <c r="L445">
        <f>IF(K445="","",IF(ISNUMBER('List 1'!A445),'List 1'!A445,TRIM('List 1'!A445)))</f>
        <v/>
      </c>
      <c r="M445">
        <f>IF(K445="","",IF(ISNUMBER('List 1'!C445),'List 1'!C445,TRIM('List 1'!C445)))</f>
        <v/>
      </c>
      <c r="N445">
        <f>IF(K445="","",IF(ISNUMBER('List 1'!D445),'List 1'!D445,TRIM('List 1'!D445)))</f>
        <v/>
      </c>
      <c r="O445">
        <f>IF(K445="","",D445)</f>
        <v/>
      </c>
      <c r="P445">
        <f>IF(K445="","",IF(R445,SUMPRODUCT(--($H$2:$H$501=K445),$I$2:$I$501),0))</f>
        <v/>
      </c>
      <c r="Q445">
        <f>IF(K445="","",TRUE)</f>
        <v/>
      </c>
      <c r="R445">
        <f>IF(K445="","",SUMPRODUCT(--($H$2:$H$501=K445))&gt;0)</f>
        <v/>
      </c>
      <c r="S445">
        <f>IF(K445="","",IF(AND(Q445,R445),IF(O445=P445,"Match","Qty Different"),IF(Q445,"Only in List 1","Only in List 2")))</f>
        <v/>
      </c>
      <c r="T445">
        <f>IF(K445="","",IF(ISNUMBER(--L445),TEXT(--L445,"000000000000.000"),LOWER(L445)))</f>
        <v/>
      </c>
      <c r="U445">
        <f>IF(K445="","",IF(ISNUMBER(--M445),TEXT(--M445,"000000000000.000"),LOWER(M445)))</f>
        <v/>
      </c>
      <c r="V445">
        <f>IF(K445="","",LOWER(N445))</f>
        <v/>
      </c>
      <c r="W445">
        <f>IF(K445="","",B445)</f>
        <v/>
      </c>
      <c r="X445">
        <f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>
      <c r="A446">
        <f>IF(TRIM('List 1'!A446&amp;'List 1'!C446&amp;'List 1'!D446)="","",LOWER(TRIM('List 1'!A446)&amp;"|"&amp;TRIM('List 1'!C446)&amp;"|"&amp;TRIM('List 1'!D446)))</f>
        <v/>
      </c>
      <c r="B446">
        <f>IF(A446="","",SUMPRODUCT(--($A$2:A446=A446)))</f>
        <v/>
      </c>
      <c r="C446">
        <f>IF(A446="","",A446&amp;"#"&amp;B446)</f>
        <v/>
      </c>
      <c r="D446">
        <f>IF(A446="","",IFERROR(--'List 1'!B446,0))</f>
        <v/>
      </c>
      <c r="F446">
        <f>IF(TRIM('List 2'!A446&amp;'List 2'!C446&amp;'List 2'!D446)="","",LOWER(TRIM('List 2'!A446)&amp;"|"&amp;TRIM('List 2'!C446)&amp;"|"&amp;TRIM('List 2'!D446)))</f>
        <v/>
      </c>
      <c r="G446">
        <f>IF(F446="","",SUMPRODUCT(--($F$2:F446=F446)))</f>
        <v/>
      </c>
      <c r="H446">
        <f>IF(F446="","",F446&amp;"#"&amp;G446)</f>
        <v/>
      </c>
      <c r="I446">
        <f>IF(F446="","",IFERROR(--'List 2'!B446,0))</f>
        <v/>
      </c>
      <c r="K446">
        <f>C446</f>
        <v/>
      </c>
      <c r="L446">
        <f>IF(K446="","",IF(ISNUMBER('List 1'!A446),'List 1'!A446,TRIM('List 1'!A446)))</f>
        <v/>
      </c>
      <c r="M446">
        <f>IF(K446="","",IF(ISNUMBER('List 1'!C446),'List 1'!C446,TRIM('List 1'!C446)))</f>
        <v/>
      </c>
      <c r="N446">
        <f>IF(K446="","",IF(ISNUMBER('List 1'!D446),'List 1'!D446,TRIM('List 1'!D446)))</f>
        <v/>
      </c>
      <c r="O446">
        <f>IF(K446="","",D446)</f>
        <v/>
      </c>
      <c r="P446">
        <f>IF(K446="","",IF(R446,SUMPRODUCT(--($H$2:$H$501=K446),$I$2:$I$501),0))</f>
        <v/>
      </c>
      <c r="Q446">
        <f>IF(K446="","",TRUE)</f>
        <v/>
      </c>
      <c r="R446">
        <f>IF(K446="","",SUMPRODUCT(--($H$2:$H$501=K446))&gt;0)</f>
        <v/>
      </c>
      <c r="S446">
        <f>IF(K446="","",IF(AND(Q446,R446),IF(O446=P446,"Match","Qty Different"),IF(Q446,"Only in List 1","Only in List 2")))</f>
        <v/>
      </c>
      <c r="T446">
        <f>IF(K446="","",IF(ISNUMBER(--L446),TEXT(--L446,"000000000000.000"),LOWER(L446)))</f>
        <v/>
      </c>
      <c r="U446">
        <f>IF(K446="","",IF(ISNUMBER(--M446),TEXT(--M446,"000000000000.000"),LOWER(M446)))</f>
        <v/>
      </c>
      <c r="V446">
        <f>IF(K446="","",LOWER(N446))</f>
        <v/>
      </c>
      <c r="W446">
        <f>IF(K446="","",B446)</f>
        <v/>
      </c>
      <c r="X446">
        <f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>
      <c r="A447">
        <f>IF(TRIM('List 1'!A447&amp;'List 1'!C447&amp;'List 1'!D447)="","",LOWER(TRIM('List 1'!A447)&amp;"|"&amp;TRIM('List 1'!C447)&amp;"|"&amp;TRIM('List 1'!D447)))</f>
        <v/>
      </c>
      <c r="B447">
        <f>IF(A447="","",SUMPRODUCT(--($A$2:A447=A447)))</f>
        <v/>
      </c>
      <c r="C447">
        <f>IF(A447="","",A447&amp;"#"&amp;B447)</f>
        <v/>
      </c>
      <c r="D447">
        <f>IF(A447="","",IFERROR(--'List 1'!B447,0))</f>
        <v/>
      </c>
      <c r="F447">
        <f>IF(TRIM('List 2'!A447&amp;'List 2'!C447&amp;'List 2'!D447)="","",LOWER(TRIM('List 2'!A447)&amp;"|"&amp;TRIM('List 2'!C447)&amp;"|"&amp;TRIM('List 2'!D447)))</f>
        <v/>
      </c>
      <c r="G447">
        <f>IF(F447="","",SUMPRODUCT(--($F$2:F447=F447)))</f>
        <v/>
      </c>
      <c r="H447">
        <f>IF(F447="","",F447&amp;"#"&amp;G447)</f>
        <v/>
      </c>
      <c r="I447">
        <f>IF(F447="","",IFERROR(--'List 2'!B447,0))</f>
        <v/>
      </c>
      <c r="K447">
        <f>C447</f>
        <v/>
      </c>
      <c r="L447">
        <f>IF(K447="","",IF(ISNUMBER('List 1'!A447),'List 1'!A447,TRIM('List 1'!A447)))</f>
        <v/>
      </c>
      <c r="M447">
        <f>IF(K447="","",IF(ISNUMBER('List 1'!C447),'List 1'!C447,TRIM('List 1'!C447)))</f>
        <v/>
      </c>
      <c r="N447">
        <f>IF(K447="","",IF(ISNUMBER('List 1'!D447),'List 1'!D447,TRIM('List 1'!D447)))</f>
        <v/>
      </c>
      <c r="O447">
        <f>IF(K447="","",D447)</f>
        <v/>
      </c>
      <c r="P447">
        <f>IF(K447="","",IF(R447,SUMPRODUCT(--($H$2:$H$501=K447),$I$2:$I$501),0))</f>
        <v/>
      </c>
      <c r="Q447">
        <f>IF(K447="","",TRUE)</f>
        <v/>
      </c>
      <c r="R447">
        <f>IF(K447="","",SUMPRODUCT(--($H$2:$H$501=K447))&gt;0)</f>
        <v/>
      </c>
      <c r="S447">
        <f>IF(K447="","",IF(AND(Q447,R447),IF(O447=P447,"Match","Qty Different"),IF(Q447,"Only in List 1","Only in List 2")))</f>
        <v/>
      </c>
      <c r="T447">
        <f>IF(K447="","",IF(ISNUMBER(--L447),TEXT(--L447,"000000000000.000"),LOWER(L447)))</f>
        <v/>
      </c>
      <c r="U447">
        <f>IF(K447="","",IF(ISNUMBER(--M447),TEXT(--M447,"000000000000.000"),LOWER(M447)))</f>
        <v/>
      </c>
      <c r="V447">
        <f>IF(K447="","",LOWER(N447))</f>
        <v/>
      </c>
      <c r="W447">
        <f>IF(K447="","",B447)</f>
        <v/>
      </c>
      <c r="X447">
        <f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>
      <c r="A448">
        <f>IF(TRIM('List 1'!A448&amp;'List 1'!C448&amp;'List 1'!D448)="","",LOWER(TRIM('List 1'!A448)&amp;"|"&amp;TRIM('List 1'!C448)&amp;"|"&amp;TRIM('List 1'!D448)))</f>
        <v/>
      </c>
      <c r="B448">
        <f>IF(A448="","",SUMPRODUCT(--($A$2:A448=A448)))</f>
        <v/>
      </c>
      <c r="C448">
        <f>IF(A448="","",A448&amp;"#"&amp;B448)</f>
        <v/>
      </c>
      <c r="D448">
        <f>IF(A448="","",IFERROR(--'List 1'!B448,0))</f>
        <v/>
      </c>
      <c r="F448">
        <f>IF(TRIM('List 2'!A448&amp;'List 2'!C448&amp;'List 2'!D448)="","",LOWER(TRIM('List 2'!A448)&amp;"|"&amp;TRIM('List 2'!C448)&amp;"|"&amp;TRIM('List 2'!D448)))</f>
        <v/>
      </c>
      <c r="G448">
        <f>IF(F448="","",SUMPRODUCT(--($F$2:F448=F448)))</f>
        <v/>
      </c>
      <c r="H448">
        <f>IF(F448="","",F448&amp;"#"&amp;G448)</f>
        <v/>
      </c>
      <c r="I448">
        <f>IF(F448="","",IFERROR(--'List 2'!B448,0))</f>
        <v/>
      </c>
      <c r="K448">
        <f>C448</f>
        <v/>
      </c>
      <c r="L448">
        <f>IF(K448="","",IF(ISNUMBER('List 1'!A448),'List 1'!A448,TRIM('List 1'!A448)))</f>
        <v/>
      </c>
      <c r="M448">
        <f>IF(K448="","",IF(ISNUMBER('List 1'!C448),'List 1'!C448,TRIM('List 1'!C448)))</f>
        <v/>
      </c>
      <c r="N448">
        <f>IF(K448="","",IF(ISNUMBER('List 1'!D448),'List 1'!D448,TRIM('List 1'!D448)))</f>
        <v/>
      </c>
      <c r="O448">
        <f>IF(K448="","",D448)</f>
        <v/>
      </c>
      <c r="P448">
        <f>IF(K448="","",IF(R448,SUMPRODUCT(--($H$2:$H$501=K448),$I$2:$I$501),0))</f>
        <v/>
      </c>
      <c r="Q448">
        <f>IF(K448="","",TRUE)</f>
        <v/>
      </c>
      <c r="R448">
        <f>IF(K448="","",SUMPRODUCT(--($H$2:$H$501=K448))&gt;0)</f>
        <v/>
      </c>
      <c r="S448">
        <f>IF(K448="","",IF(AND(Q448,R448),IF(O448=P448,"Match","Qty Different"),IF(Q448,"Only in List 1","Only in List 2")))</f>
        <v/>
      </c>
      <c r="T448">
        <f>IF(K448="","",IF(ISNUMBER(--L448),TEXT(--L448,"000000000000.000"),LOWER(L448)))</f>
        <v/>
      </c>
      <c r="U448">
        <f>IF(K448="","",IF(ISNUMBER(--M448),TEXT(--M448,"000000000000.000"),LOWER(M448)))</f>
        <v/>
      </c>
      <c r="V448">
        <f>IF(K448="","",LOWER(N448))</f>
        <v/>
      </c>
      <c r="W448">
        <f>IF(K448="","",B448)</f>
        <v/>
      </c>
      <c r="X448">
        <f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>
      <c r="A449">
        <f>IF(TRIM('List 1'!A449&amp;'List 1'!C449&amp;'List 1'!D449)="","",LOWER(TRIM('List 1'!A449)&amp;"|"&amp;TRIM('List 1'!C449)&amp;"|"&amp;TRIM('List 1'!D449)))</f>
        <v/>
      </c>
      <c r="B449">
        <f>IF(A449="","",SUMPRODUCT(--($A$2:A449=A449)))</f>
        <v/>
      </c>
      <c r="C449">
        <f>IF(A449="","",A449&amp;"#"&amp;B449)</f>
        <v/>
      </c>
      <c r="D449">
        <f>IF(A449="","",IFERROR(--'List 1'!B449,0))</f>
        <v/>
      </c>
      <c r="F449">
        <f>IF(TRIM('List 2'!A449&amp;'List 2'!C449&amp;'List 2'!D449)="","",LOWER(TRIM('List 2'!A449)&amp;"|"&amp;TRIM('List 2'!C449)&amp;"|"&amp;TRIM('List 2'!D449)))</f>
        <v/>
      </c>
      <c r="G449">
        <f>IF(F449="","",SUMPRODUCT(--($F$2:F449=F449)))</f>
        <v/>
      </c>
      <c r="H449">
        <f>IF(F449="","",F449&amp;"#"&amp;G449)</f>
        <v/>
      </c>
      <c r="I449">
        <f>IF(F449="","",IFERROR(--'List 2'!B449,0))</f>
        <v/>
      </c>
      <c r="K449">
        <f>C449</f>
        <v/>
      </c>
      <c r="L449">
        <f>IF(K449="","",IF(ISNUMBER('List 1'!A449),'List 1'!A449,TRIM('List 1'!A449)))</f>
        <v/>
      </c>
      <c r="M449">
        <f>IF(K449="","",IF(ISNUMBER('List 1'!C449),'List 1'!C449,TRIM('List 1'!C449)))</f>
        <v/>
      </c>
      <c r="N449">
        <f>IF(K449="","",IF(ISNUMBER('List 1'!D449),'List 1'!D449,TRIM('List 1'!D449)))</f>
        <v/>
      </c>
      <c r="O449">
        <f>IF(K449="","",D449)</f>
        <v/>
      </c>
      <c r="P449">
        <f>IF(K449="","",IF(R449,SUMPRODUCT(--($H$2:$H$501=K449),$I$2:$I$501),0))</f>
        <v/>
      </c>
      <c r="Q449">
        <f>IF(K449="","",TRUE)</f>
        <v/>
      </c>
      <c r="R449">
        <f>IF(K449="","",SUMPRODUCT(--($H$2:$H$501=K449))&gt;0)</f>
        <v/>
      </c>
      <c r="S449">
        <f>IF(K449="","",IF(AND(Q449,R449),IF(O449=P449,"Match","Qty Different"),IF(Q449,"Only in List 1","Only in List 2")))</f>
        <v/>
      </c>
      <c r="T449">
        <f>IF(K449="","",IF(ISNUMBER(--L449),TEXT(--L449,"000000000000.000"),LOWER(L449)))</f>
        <v/>
      </c>
      <c r="U449">
        <f>IF(K449="","",IF(ISNUMBER(--M449),TEXT(--M449,"000000000000.000"),LOWER(M449)))</f>
        <v/>
      </c>
      <c r="V449">
        <f>IF(K449="","",LOWER(N449))</f>
        <v/>
      </c>
      <c r="W449">
        <f>IF(K449="","",B449)</f>
        <v/>
      </c>
      <c r="X449">
        <f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>
      <c r="A450">
        <f>IF(TRIM('List 1'!A450&amp;'List 1'!C450&amp;'List 1'!D450)="","",LOWER(TRIM('List 1'!A450)&amp;"|"&amp;TRIM('List 1'!C450)&amp;"|"&amp;TRIM('List 1'!D450)))</f>
        <v/>
      </c>
      <c r="B450">
        <f>IF(A450="","",SUMPRODUCT(--($A$2:A450=A450)))</f>
        <v/>
      </c>
      <c r="C450">
        <f>IF(A450="","",A450&amp;"#"&amp;B450)</f>
        <v/>
      </c>
      <c r="D450">
        <f>IF(A450="","",IFERROR(--'List 1'!B450,0))</f>
        <v/>
      </c>
      <c r="F450">
        <f>IF(TRIM('List 2'!A450&amp;'List 2'!C450&amp;'List 2'!D450)="","",LOWER(TRIM('List 2'!A450)&amp;"|"&amp;TRIM('List 2'!C450)&amp;"|"&amp;TRIM('List 2'!D450)))</f>
        <v/>
      </c>
      <c r="G450">
        <f>IF(F450="","",SUMPRODUCT(--($F$2:F450=F450)))</f>
        <v/>
      </c>
      <c r="H450">
        <f>IF(F450="","",F450&amp;"#"&amp;G450)</f>
        <v/>
      </c>
      <c r="I450">
        <f>IF(F450="","",IFERROR(--'List 2'!B450,0))</f>
        <v/>
      </c>
      <c r="K450">
        <f>C450</f>
        <v/>
      </c>
      <c r="L450">
        <f>IF(K450="","",IF(ISNUMBER('List 1'!A450),'List 1'!A450,TRIM('List 1'!A450)))</f>
        <v/>
      </c>
      <c r="M450">
        <f>IF(K450="","",IF(ISNUMBER('List 1'!C450),'List 1'!C450,TRIM('List 1'!C450)))</f>
        <v/>
      </c>
      <c r="N450">
        <f>IF(K450="","",IF(ISNUMBER('List 1'!D450),'List 1'!D450,TRIM('List 1'!D450)))</f>
        <v/>
      </c>
      <c r="O450">
        <f>IF(K450="","",D450)</f>
        <v/>
      </c>
      <c r="P450">
        <f>IF(K450="","",IF(R450,SUMPRODUCT(--($H$2:$H$501=K450),$I$2:$I$501),0))</f>
        <v/>
      </c>
      <c r="Q450">
        <f>IF(K450="","",TRUE)</f>
        <v/>
      </c>
      <c r="R450">
        <f>IF(K450="","",SUMPRODUCT(--($H$2:$H$501=K450))&gt;0)</f>
        <v/>
      </c>
      <c r="S450">
        <f>IF(K450="","",IF(AND(Q450,R450),IF(O450=P450,"Match","Qty Different"),IF(Q450,"Only in List 1","Only in List 2")))</f>
        <v/>
      </c>
      <c r="T450">
        <f>IF(K450="","",IF(ISNUMBER(--L450),TEXT(--L450,"000000000000.000"),LOWER(L450)))</f>
        <v/>
      </c>
      <c r="U450">
        <f>IF(K450="","",IF(ISNUMBER(--M450),TEXT(--M450,"000000000000.000"),LOWER(M450)))</f>
        <v/>
      </c>
      <c r="V450">
        <f>IF(K450="","",LOWER(N450))</f>
        <v/>
      </c>
      <c r="W450">
        <f>IF(K450="","",B450)</f>
        <v/>
      </c>
      <c r="X450">
        <f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>
      <c r="A451">
        <f>IF(TRIM('List 1'!A451&amp;'List 1'!C451&amp;'List 1'!D451)="","",LOWER(TRIM('List 1'!A451)&amp;"|"&amp;TRIM('List 1'!C451)&amp;"|"&amp;TRIM('List 1'!D451)))</f>
        <v/>
      </c>
      <c r="B451">
        <f>IF(A451="","",SUMPRODUCT(--($A$2:A451=A451)))</f>
        <v/>
      </c>
      <c r="C451">
        <f>IF(A451="","",A451&amp;"#"&amp;B451)</f>
        <v/>
      </c>
      <c r="D451">
        <f>IF(A451="","",IFERROR(--'List 1'!B451,0))</f>
        <v/>
      </c>
      <c r="F451">
        <f>IF(TRIM('List 2'!A451&amp;'List 2'!C451&amp;'List 2'!D451)="","",LOWER(TRIM('List 2'!A451)&amp;"|"&amp;TRIM('List 2'!C451)&amp;"|"&amp;TRIM('List 2'!D451)))</f>
        <v/>
      </c>
      <c r="G451">
        <f>IF(F451="","",SUMPRODUCT(--($F$2:F451=F451)))</f>
        <v/>
      </c>
      <c r="H451">
        <f>IF(F451="","",F451&amp;"#"&amp;G451)</f>
        <v/>
      </c>
      <c r="I451">
        <f>IF(F451="","",IFERROR(--'List 2'!B451,0))</f>
        <v/>
      </c>
      <c r="K451">
        <f>C451</f>
        <v/>
      </c>
      <c r="L451">
        <f>IF(K451="","",IF(ISNUMBER('List 1'!A451),'List 1'!A451,TRIM('List 1'!A451)))</f>
        <v/>
      </c>
      <c r="M451">
        <f>IF(K451="","",IF(ISNUMBER('List 1'!C451),'List 1'!C451,TRIM('List 1'!C451)))</f>
        <v/>
      </c>
      <c r="N451">
        <f>IF(K451="","",IF(ISNUMBER('List 1'!D451),'List 1'!D451,TRIM('List 1'!D451)))</f>
        <v/>
      </c>
      <c r="O451">
        <f>IF(K451="","",D451)</f>
        <v/>
      </c>
      <c r="P451">
        <f>IF(K451="","",IF(R451,SUMPRODUCT(--($H$2:$H$501=K451),$I$2:$I$501),0))</f>
        <v/>
      </c>
      <c r="Q451">
        <f>IF(K451="","",TRUE)</f>
        <v/>
      </c>
      <c r="R451">
        <f>IF(K451="","",SUMPRODUCT(--($H$2:$H$501=K451))&gt;0)</f>
        <v/>
      </c>
      <c r="S451">
        <f>IF(K451="","",IF(AND(Q451,R451),IF(O451=P451,"Match","Qty Different"),IF(Q451,"Only in List 1","Only in List 2")))</f>
        <v/>
      </c>
      <c r="T451">
        <f>IF(K451="","",IF(ISNUMBER(--L451),TEXT(--L451,"000000000000.000"),LOWER(L451)))</f>
        <v/>
      </c>
      <c r="U451">
        <f>IF(K451="","",IF(ISNUMBER(--M451),TEXT(--M451,"000000000000.000"),LOWER(M451)))</f>
        <v/>
      </c>
      <c r="V451">
        <f>IF(K451="","",LOWER(N451))</f>
        <v/>
      </c>
      <c r="W451">
        <f>IF(K451="","",B451)</f>
        <v/>
      </c>
      <c r="X451">
        <f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>
      <c r="A452">
        <f>IF(TRIM('List 1'!A452&amp;'List 1'!C452&amp;'List 1'!D452)="","",LOWER(TRIM('List 1'!A452)&amp;"|"&amp;TRIM('List 1'!C452)&amp;"|"&amp;TRIM('List 1'!D452)))</f>
        <v/>
      </c>
      <c r="B452">
        <f>IF(A452="","",SUMPRODUCT(--($A$2:A452=A452)))</f>
        <v/>
      </c>
      <c r="C452">
        <f>IF(A452="","",A452&amp;"#"&amp;B452)</f>
        <v/>
      </c>
      <c r="D452">
        <f>IF(A452="","",IFERROR(--'List 1'!B452,0))</f>
        <v/>
      </c>
      <c r="F452">
        <f>IF(TRIM('List 2'!A452&amp;'List 2'!C452&amp;'List 2'!D452)="","",LOWER(TRIM('List 2'!A452)&amp;"|"&amp;TRIM('List 2'!C452)&amp;"|"&amp;TRIM('List 2'!D452)))</f>
        <v/>
      </c>
      <c r="G452">
        <f>IF(F452="","",SUMPRODUCT(--($F$2:F452=F452)))</f>
        <v/>
      </c>
      <c r="H452">
        <f>IF(F452="","",F452&amp;"#"&amp;G452)</f>
        <v/>
      </c>
      <c r="I452">
        <f>IF(F452="","",IFERROR(--'List 2'!B452,0))</f>
        <v/>
      </c>
      <c r="K452">
        <f>C452</f>
        <v/>
      </c>
      <c r="L452">
        <f>IF(K452="","",IF(ISNUMBER('List 1'!A452),'List 1'!A452,TRIM('List 1'!A452)))</f>
        <v/>
      </c>
      <c r="M452">
        <f>IF(K452="","",IF(ISNUMBER('List 1'!C452),'List 1'!C452,TRIM('List 1'!C452)))</f>
        <v/>
      </c>
      <c r="N452">
        <f>IF(K452="","",IF(ISNUMBER('List 1'!D452),'List 1'!D452,TRIM('List 1'!D452)))</f>
        <v/>
      </c>
      <c r="O452">
        <f>IF(K452="","",D452)</f>
        <v/>
      </c>
      <c r="P452">
        <f>IF(K452="","",IF(R452,SUMPRODUCT(--($H$2:$H$501=K452),$I$2:$I$501),0))</f>
        <v/>
      </c>
      <c r="Q452">
        <f>IF(K452="","",TRUE)</f>
        <v/>
      </c>
      <c r="R452">
        <f>IF(K452="","",SUMPRODUCT(--($H$2:$H$501=K452))&gt;0)</f>
        <v/>
      </c>
      <c r="S452">
        <f>IF(K452="","",IF(AND(Q452,R452),IF(O452=P452,"Match","Qty Different"),IF(Q452,"Only in List 1","Only in List 2")))</f>
        <v/>
      </c>
      <c r="T452">
        <f>IF(K452="","",IF(ISNUMBER(--L452),TEXT(--L452,"000000000000.000"),LOWER(L452)))</f>
        <v/>
      </c>
      <c r="U452">
        <f>IF(K452="","",IF(ISNUMBER(--M452),TEXT(--M452,"000000000000.000"),LOWER(M452)))</f>
        <v/>
      </c>
      <c r="V452">
        <f>IF(K452="","",LOWER(N452))</f>
        <v/>
      </c>
      <c r="W452">
        <f>IF(K452="","",B452)</f>
        <v/>
      </c>
      <c r="X452">
        <f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>
      <c r="A453">
        <f>IF(TRIM('List 1'!A453&amp;'List 1'!C453&amp;'List 1'!D453)="","",LOWER(TRIM('List 1'!A453)&amp;"|"&amp;TRIM('List 1'!C453)&amp;"|"&amp;TRIM('List 1'!D453)))</f>
        <v/>
      </c>
      <c r="B453">
        <f>IF(A453="","",SUMPRODUCT(--($A$2:A453=A453)))</f>
        <v/>
      </c>
      <c r="C453">
        <f>IF(A453="","",A453&amp;"#"&amp;B453)</f>
        <v/>
      </c>
      <c r="D453">
        <f>IF(A453="","",IFERROR(--'List 1'!B453,0))</f>
        <v/>
      </c>
      <c r="F453">
        <f>IF(TRIM('List 2'!A453&amp;'List 2'!C453&amp;'List 2'!D453)="","",LOWER(TRIM('List 2'!A453)&amp;"|"&amp;TRIM('List 2'!C453)&amp;"|"&amp;TRIM('List 2'!D453)))</f>
        <v/>
      </c>
      <c r="G453">
        <f>IF(F453="","",SUMPRODUCT(--($F$2:F453=F453)))</f>
        <v/>
      </c>
      <c r="H453">
        <f>IF(F453="","",F453&amp;"#"&amp;G453)</f>
        <v/>
      </c>
      <c r="I453">
        <f>IF(F453="","",IFERROR(--'List 2'!B453,0))</f>
        <v/>
      </c>
      <c r="K453">
        <f>C453</f>
        <v/>
      </c>
      <c r="L453">
        <f>IF(K453="","",IF(ISNUMBER('List 1'!A453),'List 1'!A453,TRIM('List 1'!A453)))</f>
        <v/>
      </c>
      <c r="M453">
        <f>IF(K453="","",IF(ISNUMBER('List 1'!C453),'List 1'!C453,TRIM('List 1'!C453)))</f>
        <v/>
      </c>
      <c r="N453">
        <f>IF(K453="","",IF(ISNUMBER('List 1'!D453),'List 1'!D453,TRIM('List 1'!D453)))</f>
        <v/>
      </c>
      <c r="O453">
        <f>IF(K453="","",D453)</f>
        <v/>
      </c>
      <c r="P453">
        <f>IF(K453="","",IF(R453,SUMPRODUCT(--($H$2:$H$501=K453),$I$2:$I$501),0))</f>
        <v/>
      </c>
      <c r="Q453">
        <f>IF(K453="","",TRUE)</f>
        <v/>
      </c>
      <c r="R453">
        <f>IF(K453="","",SUMPRODUCT(--($H$2:$H$501=K453))&gt;0)</f>
        <v/>
      </c>
      <c r="S453">
        <f>IF(K453="","",IF(AND(Q453,R453),IF(O453=P453,"Match","Qty Different"),IF(Q453,"Only in List 1","Only in List 2")))</f>
        <v/>
      </c>
      <c r="T453">
        <f>IF(K453="","",IF(ISNUMBER(--L453),TEXT(--L453,"000000000000.000"),LOWER(L453)))</f>
        <v/>
      </c>
      <c r="U453">
        <f>IF(K453="","",IF(ISNUMBER(--M453),TEXT(--M453,"000000000000.000"),LOWER(M453)))</f>
        <v/>
      </c>
      <c r="V453">
        <f>IF(K453="","",LOWER(N453))</f>
        <v/>
      </c>
      <c r="W453">
        <f>IF(K453="","",B453)</f>
        <v/>
      </c>
      <c r="X453">
        <f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>
      <c r="A454">
        <f>IF(TRIM('List 1'!A454&amp;'List 1'!C454&amp;'List 1'!D454)="","",LOWER(TRIM('List 1'!A454)&amp;"|"&amp;TRIM('List 1'!C454)&amp;"|"&amp;TRIM('List 1'!D454)))</f>
        <v/>
      </c>
      <c r="B454">
        <f>IF(A454="","",SUMPRODUCT(--($A$2:A454=A454)))</f>
        <v/>
      </c>
      <c r="C454">
        <f>IF(A454="","",A454&amp;"#"&amp;B454)</f>
        <v/>
      </c>
      <c r="D454">
        <f>IF(A454="","",IFERROR(--'List 1'!B454,0))</f>
        <v/>
      </c>
      <c r="F454">
        <f>IF(TRIM('List 2'!A454&amp;'List 2'!C454&amp;'List 2'!D454)="","",LOWER(TRIM('List 2'!A454)&amp;"|"&amp;TRIM('List 2'!C454)&amp;"|"&amp;TRIM('List 2'!D454)))</f>
        <v/>
      </c>
      <c r="G454">
        <f>IF(F454="","",SUMPRODUCT(--($F$2:F454=F454)))</f>
        <v/>
      </c>
      <c r="H454">
        <f>IF(F454="","",F454&amp;"#"&amp;G454)</f>
        <v/>
      </c>
      <c r="I454">
        <f>IF(F454="","",IFERROR(--'List 2'!B454,0))</f>
        <v/>
      </c>
      <c r="K454">
        <f>C454</f>
        <v/>
      </c>
      <c r="L454">
        <f>IF(K454="","",IF(ISNUMBER('List 1'!A454),'List 1'!A454,TRIM('List 1'!A454)))</f>
        <v/>
      </c>
      <c r="M454">
        <f>IF(K454="","",IF(ISNUMBER('List 1'!C454),'List 1'!C454,TRIM('List 1'!C454)))</f>
        <v/>
      </c>
      <c r="N454">
        <f>IF(K454="","",IF(ISNUMBER('List 1'!D454),'List 1'!D454,TRIM('List 1'!D454)))</f>
        <v/>
      </c>
      <c r="O454">
        <f>IF(K454="","",D454)</f>
        <v/>
      </c>
      <c r="P454">
        <f>IF(K454="","",IF(R454,SUMPRODUCT(--($H$2:$H$501=K454),$I$2:$I$501),0))</f>
        <v/>
      </c>
      <c r="Q454">
        <f>IF(K454="","",TRUE)</f>
        <v/>
      </c>
      <c r="R454">
        <f>IF(K454="","",SUMPRODUCT(--($H$2:$H$501=K454))&gt;0)</f>
        <v/>
      </c>
      <c r="S454">
        <f>IF(K454="","",IF(AND(Q454,R454),IF(O454=P454,"Match","Qty Different"),IF(Q454,"Only in List 1","Only in List 2")))</f>
        <v/>
      </c>
      <c r="T454">
        <f>IF(K454="","",IF(ISNUMBER(--L454),TEXT(--L454,"000000000000.000"),LOWER(L454)))</f>
        <v/>
      </c>
      <c r="U454">
        <f>IF(K454="","",IF(ISNUMBER(--M454),TEXT(--M454,"000000000000.000"),LOWER(M454)))</f>
        <v/>
      </c>
      <c r="V454">
        <f>IF(K454="","",LOWER(N454))</f>
        <v/>
      </c>
      <c r="W454">
        <f>IF(K454="","",B454)</f>
        <v/>
      </c>
      <c r="X454">
        <f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>
      <c r="A455">
        <f>IF(TRIM('List 1'!A455&amp;'List 1'!C455&amp;'List 1'!D455)="","",LOWER(TRIM('List 1'!A455)&amp;"|"&amp;TRIM('List 1'!C455)&amp;"|"&amp;TRIM('List 1'!D455)))</f>
        <v/>
      </c>
      <c r="B455">
        <f>IF(A455="","",SUMPRODUCT(--($A$2:A455=A455)))</f>
        <v/>
      </c>
      <c r="C455">
        <f>IF(A455="","",A455&amp;"#"&amp;B455)</f>
        <v/>
      </c>
      <c r="D455">
        <f>IF(A455="","",IFERROR(--'List 1'!B455,0))</f>
        <v/>
      </c>
      <c r="F455">
        <f>IF(TRIM('List 2'!A455&amp;'List 2'!C455&amp;'List 2'!D455)="","",LOWER(TRIM('List 2'!A455)&amp;"|"&amp;TRIM('List 2'!C455)&amp;"|"&amp;TRIM('List 2'!D455)))</f>
        <v/>
      </c>
      <c r="G455">
        <f>IF(F455="","",SUMPRODUCT(--($F$2:F455=F455)))</f>
        <v/>
      </c>
      <c r="H455">
        <f>IF(F455="","",F455&amp;"#"&amp;G455)</f>
        <v/>
      </c>
      <c r="I455">
        <f>IF(F455="","",IFERROR(--'List 2'!B455,0))</f>
        <v/>
      </c>
      <c r="K455">
        <f>C455</f>
        <v/>
      </c>
      <c r="L455">
        <f>IF(K455="","",IF(ISNUMBER('List 1'!A455),'List 1'!A455,TRIM('List 1'!A455)))</f>
        <v/>
      </c>
      <c r="M455">
        <f>IF(K455="","",IF(ISNUMBER('List 1'!C455),'List 1'!C455,TRIM('List 1'!C455)))</f>
        <v/>
      </c>
      <c r="N455">
        <f>IF(K455="","",IF(ISNUMBER('List 1'!D455),'List 1'!D455,TRIM('List 1'!D455)))</f>
        <v/>
      </c>
      <c r="O455">
        <f>IF(K455="","",D455)</f>
        <v/>
      </c>
      <c r="P455">
        <f>IF(K455="","",IF(R455,SUMPRODUCT(--($H$2:$H$501=K455),$I$2:$I$501),0))</f>
        <v/>
      </c>
      <c r="Q455">
        <f>IF(K455="","",TRUE)</f>
        <v/>
      </c>
      <c r="R455">
        <f>IF(K455="","",SUMPRODUCT(--($H$2:$H$501=K455))&gt;0)</f>
        <v/>
      </c>
      <c r="S455">
        <f>IF(K455="","",IF(AND(Q455,R455),IF(O455=P455,"Match","Qty Different"),IF(Q455,"Only in List 1","Only in List 2")))</f>
        <v/>
      </c>
      <c r="T455">
        <f>IF(K455="","",IF(ISNUMBER(--L455),TEXT(--L455,"000000000000.000"),LOWER(L455)))</f>
        <v/>
      </c>
      <c r="U455">
        <f>IF(K455="","",IF(ISNUMBER(--M455),TEXT(--M455,"000000000000.000"),LOWER(M455)))</f>
        <v/>
      </c>
      <c r="V455">
        <f>IF(K455="","",LOWER(N455))</f>
        <v/>
      </c>
      <c r="W455">
        <f>IF(K455="","",B455)</f>
        <v/>
      </c>
      <c r="X455">
        <f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>
      <c r="A456">
        <f>IF(TRIM('List 1'!A456&amp;'List 1'!C456&amp;'List 1'!D456)="","",LOWER(TRIM('List 1'!A456)&amp;"|"&amp;TRIM('List 1'!C456)&amp;"|"&amp;TRIM('List 1'!D456)))</f>
        <v/>
      </c>
      <c r="B456">
        <f>IF(A456="","",SUMPRODUCT(--($A$2:A456=A456)))</f>
        <v/>
      </c>
      <c r="C456">
        <f>IF(A456="","",A456&amp;"#"&amp;B456)</f>
        <v/>
      </c>
      <c r="D456">
        <f>IF(A456="","",IFERROR(--'List 1'!B456,0))</f>
        <v/>
      </c>
      <c r="F456">
        <f>IF(TRIM('List 2'!A456&amp;'List 2'!C456&amp;'List 2'!D456)="","",LOWER(TRIM('List 2'!A456)&amp;"|"&amp;TRIM('List 2'!C456)&amp;"|"&amp;TRIM('List 2'!D456)))</f>
        <v/>
      </c>
      <c r="G456">
        <f>IF(F456="","",SUMPRODUCT(--($F$2:F456=F456)))</f>
        <v/>
      </c>
      <c r="H456">
        <f>IF(F456="","",F456&amp;"#"&amp;G456)</f>
        <v/>
      </c>
      <c r="I456">
        <f>IF(F456="","",IFERROR(--'List 2'!B456,0))</f>
        <v/>
      </c>
      <c r="K456">
        <f>C456</f>
        <v/>
      </c>
      <c r="L456">
        <f>IF(K456="","",IF(ISNUMBER('List 1'!A456),'List 1'!A456,TRIM('List 1'!A456)))</f>
        <v/>
      </c>
      <c r="M456">
        <f>IF(K456="","",IF(ISNUMBER('List 1'!C456),'List 1'!C456,TRIM('List 1'!C456)))</f>
        <v/>
      </c>
      <c r="N456">
        <f>IF(K456="","",IF(ISNUMBER('List 1'!D456),'List 1'!D456,TRIM('List 1'!D456)))</f>
        <v/>
      </c>
      <c r="O456">
        <f>IF(K456="","",D456)</f>
        <v/>
      </c>
      <c r="P456">
        <f>IF(K456="","",IF(R456,SUMPRODUCT(--($H$2:$H$501=K456),$I$2:$I$501),0))</f>
        <v/>
      </c>
      <c r="Q456">
        <f>IF(K456="","",TRUE)</f>
        <v/>
      </c>
      <c r="R456">
        <f>IF(K456="","",SUMPRODUCT(--($H$2:$H$501=K456))&gt;0)</f>
        <v/>
      </c>
      <c r="S456">
        <f>IF(K456="","",IF(AND(Q456,R456),IF(O456=P456,"Match","Qty Different"),IF(Q456,"Only in List 1","Only in List 2")))</f>
        <v/>
      </c>
      <c r="T456">
        <f>IF(K456="","",IF(ISNUMBER(--L456),TEXT(--L456,"000000000000.000"),LOWER(L456)))</f>
        <v/>
      </c>
      <c r="U456">
        <f>IF(K456="","",IF(ISNUMBER(--M456),TEXT(--M456,"000000000000.000"),LOWER(M456)))</f>
        <v/>
      </c>
      <c r="V456">
        <f>IF(K456="","",LOWER(N456))</f>
        <v/>
      </c>
      <c r="W456">
        <f>IF(K456="","",B456)</f>
        <v/>
      </c>
      <c r="X456">
        <f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>
      <c r="A457">
        <f>IF(TRIM('List 1'!A457&amp;'List 1'!C457&amp;'List 1'!D457)="","",LOWER(TRIM('List 1'!A457)&amp;"|"&amp;TRIM('List 1'!C457)&amp;"|"&amp;TRIM('List 1'!D457)))</f>
        <v/>
      </c>
      <c r="B457">
        <f>IF(A457="","",SUMPRODUCT(--($A$2:A457=A457)))</f>
        <v/>
      </c>
      <c r="C457">
        <f>IF(A457="","",A457&amp;"#"&amp;B457)</f>
        <v/>
      </c>
      <c r="D457">
        <f>IF(A457="","",IFERROR(--'List 1'!B457,0))</f>
        <v/>
      </c>
      <c r="F457">
        <f>IF(TRIM('List 2'!A457&amp;'List 2'!C457&amp;'List 2'!D457)="","",LOWER(TRIM('List 2'!A457)&amp;"|"&amp;TRIM('List 2'!C457)&amp;"|"&amp;TRIM('List 2'!D457)))</f>
        <v/>
      </c>
      <c r="G457">
        <f>IF(F457="","",SUMPRODUCT(--($F$2:F457=F457)))</f>
        <v/>
      </c>
      <c r="H457">
        <f>IF(F457="","",F457&amp;"#"&amp;G457)</f>
        <v/>
      </c>
      <c r="I457">
        <f>IF(F457="","",IFERROR(--'List 2'!B457,0))</f>
        <v/>
      </c>
      <c r="K457">
        <f>C457</f>
        <v/>
      </c>
      <c r="L457">
        <f>IF(K457="","",IF(ISNUMBER('List 1'!A457),'List 1'!A457,TRIM('List 1'!A457)))</f>
        <v/>
      </c>
      <c r="M457">
        <f>IF(K457="","",IF(ISNUMBER('List 1'!C457),'List 1'!C457,TRIM('List 1'!C457)))</f>
        <v/>
      </c>
      <c r="N457">
        <f>IF(K457="","",IF(ISNUMBER('List 1'!D457),'List 1'!D457,TRIM('List 1'!D457)))</f>
        <v/>
      </c>
      <c r="O457">
        <f>IF(K457="","",D457)</f>
        <v/>
      </c>
      <c r="P457">
        <f>IF(K457="","",IF(R457,SUMPRODUCT(--($H$2:$H$501=K457),$I$2:$I$501),0))</f>
        <v/>
      </c>
      <c r="Q457">
        <f>IF(K457="","",TRUE)</f>
        <v/>
      </c>
      <c r="R457">
        <f>IF(K457="","",SUMPRODUCT(--($H$2:$H$501=K457))&gt;0)</f>
        <v/>
      </c>
      <c r="S457">
        <f>IF(K457="","",IF(AND(Q457,R457),IF(O457=P457,"Match","Qty Different"),IF(Q457,"Only in List 1","Only in List 2")))</f>
        <v/>
      </c>
      <c r="T457">
        <f>IF(K457="","",IF(ISNUMBER(--L457),TEXT(--L457,"000000000000.000"),LOWER(L457)))</f>
        <v/>
      </c>
      <c r="U457">
        <f>IF(K457="","",IF(ISNUMBER(--M457),TEXT(--M457,"000000000000.000"),LOWER(M457)))</f>
        <v/>
      </c>
      <c r="V457">
        <f>IF(K457="","",LOWER(N457))</f>
        <v/>
      </c>
      <c r="W457">
        <f>IF(K457="","",B457)</f>
        <v/>
      </c>
      <c r="X457">
        <f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>
      <c r="A458">
        <f>IF(TRIM('List 1'!A458&amp;'List 1'!C458&amp;'List 1'!D458)="","",LOWER(TRIM('List 1'!A458)&amp;"|"&amp;TRIM('List 1'!C458)&amp;"|"&amp;TRIM('List 1'!D458)))</f>
        <v/>
      </c>
      <c r="B458">
        <f>IF(A458="","",SUMPRODUCT(--($A$2:A458=A458)))</f>
        <v/>
      </c>
      <c r="C458">
        <f>IF(A458="","",A458&amp;"#"&amp;B458)</f>
        <v/>
      </c>
      <c r="D458">
        <f>IF(A458="","",IFERROR(--'List 1'!B458,0))</f>
        <v/>
      </c>
      <c r="F458">
        <f>IF(TRIM('List 2'!A458&amp;'List 2'!C458&amp;'List 2'!D458)="","",LOWER(TRIM('List 2'!A458)&amp;"|"&amp;TRIM('List 2'!C458)&amp;"|"&amp;TRIM('List 2'!D458)))</f>
        <v/>
      </c>
      <c r="G458">
        <f>IF(F458="","",SUMPRODUCT(--($F$2:F458=F458)))</f>
        <v/>
      </c>
      <c r="H458">
        <f>IF(F458="","",F458&amp;"#"&amp;G458)</f>
        <v/>
      </c>
      <c r="I458">
        <f>IF(F458="","",IFERROR(--'List 2'!B458,0))</f>
        <v/>
      </c>
      <c r="K458">
        <f>C458</f>
        <v/>
      </c>
      <c r="L458">
        <f>IF(K458="","",IF(ISNUMBER('List 1'!A458),'List 1'!A458,TRIM('List 1'!A458)))</f>
        <v/>
      </c>
      <c r="M458">
        <f>IF(K458="","",IF(ISNUMBER('List 1'!C458),'List 1'!C458,TRIM('List 1'!C458)))</f>
        <v/>
      </c>
      <c r="N458">
        <f>IF(K458="","",IF(ISNUMBER('List 1'!D458),'List 1'!D458,TRIM('List 1'!D458)))</f>
        <v/>
      </c>
      <c r="O458">
        <f>IF(K458="","",D458)</f>
        <v/>
      </c>
      <c r="P458">
        <f>IF(K458="","",IF(R458,SUMPRODUCT(--($H$2:$H$501=K458),$I$2:$I$501),0))</f>
        <v/>
      </c>
      <c r="Q458">
        <f>IF(K458="","",TRUE)</f>
        <v/>
      </c>
      <c r="R458">
        <f>IF(K458="","",SUMPRODUCT(--($H$2:$H$501=K458))&gt;0)</f>
        <v/>
      </c>
      <c r="S458">
        <f>IF(K458="","",IF(AND(Q458,R458),IF(O458=P458,"Match","Qty Different"),IF(Q458,"Only in List 1","Only in List 2")))</f>
        <v/>
      </c>
      <c r="T458">
        <f>IF(K458="","",IF(ISNUMBER(--L458),TEXT(--L458,"000000000000.000"),LOWER(L458)))</f>
        <v/>
      </c>
      <c r="U458">
        <f>IF(K458="","",IF(ISNUMBER(--M458),TEXT(--M458,"000000000000.000"),LOWER(M458)))</f>
        <v/>
      </c>
      <c r="V458">
        <f>IF(K458="","",LOWER(N458))</f>
        <v/>
      </c>
      <c r="W458">
        <f>IF(K458="","",B458)</f>
        <v/>
      </c>
      <c r="X458">
        <f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>
      <c r="A459">
        <f>IF(TRIM('List 1'!A459&amp;'List 1'!C459&amp;'List 1'!D459)="","",LOWER(TRIM('List 1'!A459)&amp;"|"&amp;TRIM('List 1'!C459)&amp;"|"&amp;TRIM('List 1'!D459)))</f>
        <v/>
      </c>
      <c r="B459">
        <f>IF(A459="","",SUMPRODUCT(--($A$2:A459=A459)))</f>
        <v/>
      </c>
      <c r="C459">
        <f>IF(A459="","",A459&amp;"#"&amp;B459)</f>
        <v/>
      </c>
      <c r="D459">
        <f>IF(A459="","",IFERROR(--'List 1'!B459,0))</f>
        <v/>
      </c>
      <c r="F459">
        <f>IF(TRIM('List 2'!A459&amp;'List 2'!C459&amp;'List 2'!D459)="","",LOWER(TRIM('List 2'!A459)&amp;"|"&amp;TRIM('List 2'!C459)&amp;"|"&amp;TRIM('List 2'!D459)))</f>
        <v/>
      </c>
      <c r="G459">
        <f>IF(F459="","",SUMPRODUCT(--($F$2:F459=F459)))</f>
        <v/>
      </c>
      <c r="H459">
        <f>IF(F459="","",F459&amp;"#"&amp;G459)</f>
        <v/>
      </c>
      <c r="I459">
        <f>IF(F459="","",IFERROR(--'List 2'!B459,0))</f>
        <v/>
      </c>
      <c r="K459">
        <f>C459</f>
        <v/>
      </c>
      <c r="L459">
        <f>IF(K459="","",IF(ISNUMBER('List 1'!A459),'List 1'!A459,TRIM('List 1'!A459)))</f>
        <v/>
      </c>
      <c r="M459">
        <f>IF(K459="","",IF(ISNUMBER('List 1'!C459),'List 1'!C459,TRIM('List 1'!C459)))</f>
        <v/>
      </c>
      <c r="N459">
        <f>IF(K459="","",IF(ISNUMBER('List 1'!D459),'List 1'!D459,TRIM('List 1'!D459)))</f>
        <v/>
      </c>
      <c r="O459">
        <f>IF(K459="","",D459)</f>
        <v/>
      </c>
      <c r="P459">
        <f>IF(K459="","",IF(R459,SUMPRODUCT(--($H$2:$H$501=K459),$I$2:$I$501),0))</f>
        <v/>
      </c>
      <c r="Q459">
        <f>IF(K459="","",TRUE)</f>
        <v/>
      </c>
      <c r="R459">
        <f>IF(K459="","",SUMPRODUCT(--($H$2:$H$501=K459))&gt;0)</f>
        <v/>
      </c>
      <c r="S459">
        <f>IF(K459="","",IF(AND(Q459,R459),IF(O459=P459,"Match","Qty Different"),IF(Q459,"Only in List 1","Only in List 2")))</f>
        <v/>
      </c>
      <c r="T459">
        <f>IF(K459="","",IF(ISNUMBER(--L459),TEXT(--L459,"000000000000.000"),LOWER(L459)))</f>
        <v/>
      </c>
      <c r="U459">
        <f>IF(K459="","",IF(ISNUMBER(--M459),TEXT(--M459,"000000000000.000"),LOWER(M459)))</f>
        <v/>
      </c>
      <c r="V459">
        <f>IF(K459="","",LOWER(N459))</f>
        <v/>
      </c>
      <c r="W459">
        <f>IF(K459="","",B459)</f>
        <v/>
      </c>
      <c r="X459">
        <f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>
      <c r="A460">
        <f>IF(TRIM('List 1'!A460&amp;'List 1'!C460&amp;'List 1'!D460)="","",LOWER(TRIM('List 1'!A460)&amp;"|"&amp;TRIM('List 1'!C460)&amp;"|"&amp;TRIM('List 1'!D460)))</f>
        <v/>
      </c>
      <c r="B460">
        <f>IF(A460="","",SUMPRODUCT(--($A$2:A460=A460)))</f>
        <v/>
      </c>
      <c r="C460">
        <f>IF(A460="","",A460&amp;"#"&amp;B460)</f>
        <v/>
      </c>
      <c r="D460">
        <f>IF(A460="","",IFERROR(--'List 1'!B460,0))</f>
        <v/>
      </c>
      <c r="F460">
        <f>IF(TRIM('List 2'!A460&amp;'List 2'!C460&amp;'List 2'!D460)="","",LOWER(TRIM('List 2'!A460)&amp;"|"&amp;TRIM('List 2'!C460)&amp;"|"&amp;TRIM('List 2'!D460)))</f>
        <v/>
      </c>
      <c r="G460">
        <f>IF(F460="","",SUMPRODUCT(--($F$2:F460=F460)))</f>
        <v/>
      </c>
      <c r="H460">
        <f>IF(F460="","",F460&amp;"#"&amp;G460)</f>
        <v/>
      </c>
      <c r="I460">
        <f>IF(F460="","",IFERROR(--'List 2'!B460,0))</f>
        <v/>
      </c>
      <c r="K460">
        <f>C460</f>
        <v/>
      </c>
      <c r="L460">
        <f>IF(K460="","",IF(ISNUMBER('List 1'!A460),'List 1'!A460,TRIM('List 1'!A460)))</f>
        <v/>
      </c>
      <c r="M460">
        <f>IF(K460="","",IF(ISNUMBER('List 1'!C460),'List 1'!C460,TRIM('List 1'!C460)))</f>
        <v/>
      </c>
      <c r="N460">
        <f>IF(K460="","",IF(ISNUMBER('List 1'!D460),'List 1'!D460,TRIM('List 1'!D460)))</f>
        <v/>
      </c>
      <c r="O460">
        <f>IF(K460="","",D460)</f>
        <v/>
      </c>
      <c r="P460">
        <f>IF(K460="","",IF(R460,SUMPRODUCT(--($H$2:$H$501=K460),$I$2:$I$501),0))</f>
        <v/>
      </c>
      <c r="Q460">
        <f>IF(K460="","",TRUE)</f>
        <v/>
      </c>
      <c r="R460">
        <f>IF(K460="","",SUMPRODUCT(--($H$2:$H$501=K460))&gt;0)</f>
        <v/>
      </c>
      <c r="S460">
        <f>IF(K460="","",IF(AND(Q460,R460),IF(O460=P460,"Match","Qty Different"),IF(Q460,"Only in List 1","Only in List 2")))</f>
        <v/>
      </c>
      <c r="T460">
        <f>IF(K460="","",IF(ISNUMBER(--L460),TEXT(--L460,"000000000000.000"),LOWER(L460)))</f>
        <v/>
      </c>
      <c r="U460">
        <f>IF(K460="","",IF(ISNUMBER(--M460),TEXT(--M460,"000000000000.000"),LOWER(M460)))</f>
        <v/>
      </c>
      <c r="V460">
        <f>IF(K460="","",LOWER(N460))</f>
        <v/>
      </c>
      <c r="W460">
        <f>IF(K460="","",B460)</f>
        <v/>
      </c>
      <c r="X460">
        <f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>
      <c r="A461">
        <f>IF(TRIM('List 1'!A461&amp;'List 1'!C461&amp;'List 1'!D461)="","",LOWER(TRIM('List 1'!A461)&amp;"|"&amp;TRIM('List 1'!C461)&amp;"|"&amp;TRIM('List 1'!D461)))</f>
        <v/>
      </c>
      <c r="B461">
        <f>IF(A461="","",SUMPRODUCT(--($A$2:A461=A461)))</f>
        <v/>
      </c>
      <c r="C461">
        <f>IF(A461="","",A461&amp;"#"&amp;B461)</f>
        <v/>
      </c>
      <c r="D461">
        <f>IF(A461="","",IFERROR(--'List 1'!B461,0))</f>
        <v/>
      </c>
      <c r="F461">
        <f>IF(TRIM('List 2'!A461&amp;'List 2'!C461&amp;'List 2'!D461)="","",LOWER(TRIM('List 2'!A461)&amp;"|"&amp;TRIM('List 2'!C461)&amp;"|"&amp;TRIM('List 2'!D461)))</f>
        <v/>
      </c>
      <c r="G461">
        <f>IF(F461="","",SUMPRODUCT(--($F$2:F461=F461)))</f>
        <v/>
      </c>
      <c r="H461">
        <f>IF(F461="","",F461&amp;"#"&amp;G461)</f>
        <v/>
      </c>
      <c r="I461">
        <f>IF(F461="","",IFERROR(--'List 2'!B461,0))</f>
        <v/>
      </c>
      <c r="K461">
        <f>C461</f>
        <v/>
      </c>
      <c r="L461">
        <f>IF(K461="","",IF(ISNUMBER('List 1'!A461),'List 1'!A461,TRIM('List 1'!A461)))</f>
        <v/>
      </c>
      <c r="M461">
        <f>IF(K461="","",IF(ISNUMBER('List 1'!C461),'List 1'!C461,TRIM('List 1'!C461)))</f>
        <v/>
      </c>
      <c r="N461">
        <f>IF(K461="","",IF(ISNUMBER('List 1'!D461),'List 1'!D461,TRIM('List 1'!D461)))</f>
        <v/>
      </c>
      <c r="O461">
        <f>IF(K461="","",D461)</f>
        <v/>
      </c>
      <c r="P461">
        <f>IF(K461="","",IF(R461,SUMPRODUCT(--($H$2:$H$501=K461),$I$2:$I$501),0))</f>
        <v/>
      </c>
      <c r="Q461">
        <f>IF(K461="","",TRUE)</f>
        <v/>
      </c>
      <c r="R461">
        <f>IF(K461="","",SUMPRODUCT(--($H$2:$H$501=K461))&gt;0)</f>
        <v/>
      </c>
      <c r="S461">
        <f>IF(K461="","",IF(AND(Q461,R461),IF(O461=P461,"Match","Qty Different"),IF(Q461,"Only in List 1","Only in List 2")))</f>
        <v/>
      </c>
      <c r="T461">
        <f>IF(K461="","",IF(ISNUMBER(--L461),TEXT(--L461,"000000000000.000"),LOWER(L461)))</f>
        <v/>
      </c>
      <c r="U461">
        <f>IF(K461="","",IF(ISNUMBER(--M461),TEXT(--M461,"000000000000.000"),LOWER(M461)))</f>
        <v/>
      </c>
      <c r="V461">
        <f>IF(K461="","",LOWER(N461))</f>
        <v/>
      </c>
      <c r="W461">
        <f>IF(K461="","",B461)</f>
        <v/>
      </c>
      <c r="X461">
        <f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>
      <c r="A462">
        <f>IF(TRIM('List 1'!A462&amp;'List 1'!C462&amp;'List 1'!D462)="","",LOWER(TRIM('List 1'!A462)&amp;"|"&amp;TRIM('List 1'!C462)&amp;"|"&amp;TRIM('List 1'!D462)))</f>
        <v/>
      </c>
      <c r="B462">
        <f>IF(A462="","",SUMPRODUCT(--($A$2:A462=A462)))</f>
        <v/>
      </c>
      <c r="C462">
        <f>IF(A462="","",A462&amp;"#"&amp;B462)</f>
        <v/>
      </c>
      <c r="D462">
        <f>IF(A462="","",IFERROR(--'List 1'!B462,0))</f>
        <v/>
      </c>
      <c r="F462">
        <f>IF(TRIM('List 2'!A462&amp;'List 2'!C462&amp;'List 2'!D462)="","",LOWER(TRIM('List 2'!A462)&amp;"|"&amp;TRIM('List 2'!C462)&amp;"|"&amp;TRIM('List 2'!D462)))</f>
        <v/>
      </c>
      <c r="G462">
        <f>IF(F462="","",SUMPRODUCT(--($F$2:F462=F462)))</f>
        <v/>
      </c>
      <c r="H462">
        <f>IF(F462="","",F462&amp;"#"&amp;G462)</f>
        <v/>
      </c>
      <c r="I462">
        <f>IF(F462="","",IFERROR(--'List 2'!B462,0))</f>
        <v/>
      </c>
      <c r="K462">
        <f>C462</f>
        <v/>
      </c>
      <c r="L462">
        <f>IF(K462="","",IF(ISNUMBER('List 1'!A462),'List 1'!A462,TRIM('List 1'!A462)))</f>
        <v/>
      </c>
      <c r="M462">
        <f>IF(K462="","",IF(ISNUMBER('List 1'!C462),'List 1'!C462,TRIM('List 1'!C462)))</f>
        <v/>
      </c>
      <c r="N462">
        <f>IF(K462="","",IF(ISNUMBER('List 1'!D462),'List 1'!D462,TRIM('List 1'!D462)))</f>
        <v/>
      </c>
      <c r="O462">
        <f>IF(K462="","",D462)</f>
        <v/>
      </c>
      <c r="P462">
        <f>IF(K462="","",IF(R462,SUMPRODUCT(--($H$2:$H$501=K462),$I$2:$I$501),0))</f>
        <v/>
      </c>
      <c r="Q462">
        <f>IF(K462="","",TRUE)</f>
        <v/>
      </c>
      <c r="R462">
        <f>IF(K462="","",SUMPRODUCT(--($H$2:$H$501=K462))&gt;0)</f>
        <v/>
      </c>
      <c r="S462">
        <f>IF(K462="","",IF(AND(Q462,R462),IF(O462=P462,"Match","Qty Different"),IF(Q462,"Only in List 1","Only in List 2")))</f>
        <v/>
      </c>
      <c r="T462">
        <f>IF(K462="","",IF(ISNUMBER(--L462),TEXT(--L462,"000000000000.000"),LOWER(L462)))</f>
        <v/>
      </c>
      <c r="U462">
        <f>IF(K462="","",IF(ISNUMBER(--M462),TEXT(--M462,"000000000000.000"),LOWER(M462)))</f>
        <v/>
      </c>
      <c r="V462">
        <f>IF(K462="","",LOWER(N462))</f>
        <v/>
      </c>
      <c r="W462">
        <f>IF(K462="","",B462)</f>
        <v/>
      </c>
      <c r="X462">
        <f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>
      <c r="A463">
        <f>IF(TRIM('List 1'!A463&amp;'List 1'!C463&amp;'List 1'!D463)="","",LOWER(TRIM('List 1'!A463)&amp;"|"&amp;TRIM('List 1'!C463)&amp;"|"&amp;TRIM('List 1'!D463)))</f>
        <v/>
      </c>
      <c r="B463">
        <f>IF(A463="","",SUMPRODUCT(--($A$2:A463=A463)))</f>
        <v/>
      </c>
      <c r="C463">
        <f>IF(A463="","",A463&amp;"#"&amp;B463)</f>
        <v/>
      </c>
      <c r="D463">
        <f>IF(A463="","",IFERROR(--'List 1'!B463,0))</f>
        <v/>
      </c>
      <c r="F463">
        <f>IF(TRIM('List 2'!A463&amp;'List 2'!C463&amp;'List 2'!D463)="","",LOWER(TRIM('List 2'!A463)&amp;"|"&amp;TRIM('List 2'!C463)&amp;"|"&amp;TRIM('List 2'!D463)))</f>
        <v/>
      </c>
      <c r="G463">
        <f>IF(F463="","",SUMPRODUCT(--($F$2:F463=F463)))</f>
        <v/>
      </c>
      <c r="H463">
        <f>IF(F463="","",F463&amp;"#"&amp;G463)</f>
        <v/>
      </c>
      <c r="I463">
        <f>IF(F463="","",IFERROR(--'List 2'!B463,0))</f>
        <v/>
      </c>
      <c r="K463">
        <f>C463</f>
        <v/>
      </c>
      <c r="L463">
        <f>IF(K463="","",IF(ISNUMBER('List 1'!A463),'List 1'!A463,TRIM('List 1'!A463)))</f>
        <v/>
      </c>
      <c r="M463">
        <f>IF(K463="","",IF(ISNUMBER('List 1'!C463),'List 1'!C463,TRIM('List 1'!C463)))</f>
        <v/>
      </c>
      <c r="N463">
        <f>IF(K463="","",IF(ISNUMBER('List 1'!D463),'List 1'!D463,TRIM('List 1'!D463)))</f>
        <v/>
      </c>
      <c r="O463">
        <f>IF(K463="","",D463)</f>
        <v/>
      </c>
      <c r="P463">
        <f>IF(K463="","",IF(R463,SUMPRODUCT(--($H$2:$H$501=K463),$I$2:$I$501),0))</f>
        <v/>
      </c>
      <c r="Q463">
        <f>IF(K463="","",TRUE)</f>
        <v/>
      </c>
      <c r="R463">
        <f>IF(K463="","",SUMPRODUCT(--($H$2:$H$501=K463))&gt;0)</f>
        <v/>
      </c>
      <c r="S463">
        <f>IF(K463="","",IF(AND(Q463,R463),IF(O463=P463,"Match","Qty Different"),IF(Q463,"Only in List 1","Only in List 2")))</f>
        <v/>
      </c>
      <c r="T463">
        <f>IF(K463="","",IF(ISNUMBER(--L463),TEXT(--L463,"000000000000.000"),LOWER(L463)))</f>
        <v/>
      </c>
      <c r="U463">
        <f>IF(K463="","",IF(ISNUMBER(--M463),TEXT(--M463,"000000000000.000"),LOWER(M463)))</f>
        <v/>
      </c>
      <c r="V463">
        <f>IF(K463="","",LOWER(N463))</f>
        <v/>
      </c>
      <c r="W463">
        <f>IF(K463="","",B463)</f>
        <v/>
      </c>
      <c r="X463">
        <f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>
      <c r="A464">
        <f>IF(TRIM('List 1'!A464&amp;'List 1'!C464&amp;'List 1'!D464)="","",LOWER(TRIM('List 1'!A464)&amp;"|"&amp;TRIM('List 1'!C464)&amp;"|"&amp;TRIM('List 1'!D464)))</f>
        <v/>
      </c>
      <c r="B464">
        <f>IF(A464="","",SUMPRODUCT(--($A$2:A464=A464)))</f>
        <v/>
      </c>
      <c r="C464">
        <f>IF(A464="","",A464&amp;"#"&amp;B464)</f>
        <v/>
      </c>
      <c r="D464">
        <f>IF(A464="","",IFERROR(--'List 1'!B464,0))</f>
        <v/>
      </c>
      <c r="F464">
        <f>IF(TRIM('List 2'!A464&amp;'List 2'!C464&amp;'List 2'!D464)="","",LOWER(TRIM('List 2'!A464)&amp;"|"&amp;TRIM('List 2'!C464)&amp;"|"&amp;TRIM('List 2'!D464)))</f>
        <v/>
      </c>
      <c r="G464">
        <f>IF(F464="","",SUMPRODUCT(--($F$2:F464=F464)))</f>
        <v/>
      </c>
      <c r="H464">
        <f>IF(F464="","",F464&amp;"#"&amp;G464)</f>
        <v/>
      </c>
      <c r="I464">
        <f>IF(F464="","",IFERROR(--'List 2'!B464,0))</f>
        <v/>
      </c>
      <c r="K464">
        <f>C464</f>
        <v/>
      </c>
      <c r="L464">
        <f>IF(K464="","",IF(ISNUMBER('List 1'!A464),'List 1'!A464,TRIM('List 1'!A464)))</f>
        <v/>
      </c>
      <c r="M464">
        <f>IF(K464="","",IF(ISNUMBER('List 1'!C464),'List 1'!C464,TRIM('List 1'!C464)))</f>
        <v/>
      </c>
      <c r="N464">
        <f>IF(K464="","",IF(ISNUMBER('List 1'!D464),'List 1'!D464,TRIM('List 1'!D464)))</f>
        <v/>
      </c>
      <c r="O464">
        <f>IF(K464="","",D464)</f>
        <v/>
      </c>
      <c r="P464">
        <f>IF(K464="","",IF(R464,SUMPRODUCT(--($H$2:$H$501=K464),$I$2:$I$501),0))</f>
        <v/>
      </c>
      <c r="Q464">
        <f>IF(K464="","",TRUE)</f>
        <v/>
      </c>
      <c r="R464">
        <f>IF(K464="","",SUMPRODUCT(--($H$2:$H$501=K464))&gt;0)</f>
        <v/>
      </c>
      <c r="S464">
        <f>IF(K464="","",IF(AND(Q464,R464),IF(O464=P464,"Match","Qty Different"),IF(Q464,"Only in List 1","Only in List 2")))</f>
        <v/>
      </c>
      <c r="T464">
        <f>IF(K464="","",IF(ISNUMBER(--L464),TEXT(--L464,"000000000000.000"),LOWER(L464)))</f>
        <v/>
      </c>
      <c r="U464">
        <f>IF(K464="","",IF(ISNUMBER(--M464),TEXT(--M464,"000000000000.000"),LOWER(M464)))</f>
        <v/>
      </c>
      <c r="V464">
        <f>IF(K464="","",LOWER(N464))</f>
        <v/>
      </c>
      <c r="W464">
        <f>IF(K464="","",B464)</f>
        <v/>
      </c>
      <c r="X464">
        <f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>
      <c r="A465">
        <f>IF(TRIM('List 1'!A465&amp;'List 1'!C465&amp;'List 1'!D465)="","",LOWER(TRIM('List 1'!A465)&amp;"|"&amp;TRIM('List 1'!C465)&amp;"|"&amp;TRIM('List 1'!D465)))</f>
        <v/>
      </c>
      <c r="B465">
        <f>IF(A465="","",SUMPRODUCT(--($A$2:A465=A465)))</f>
        <v/>
      </c>
      <c r="C465">
        <f>IF(A465="","",A465&amp;"#"&amp;B465)</f>
        <v/>
      </c>
      <c r="D465">
        <f>IF(A465="","",IFERROR(--'List 1'!B465,0))</f>
        <v/>
      </c>
      <c r="F465">
        <f>IF(TRIM('List 2'!A465&amp;'List 2'!C465&amp;'List 2'!D465)="","",LOWER(TRIM('List 2'!A465)&amp;"|"&amp;TRIM('List 2'!C465)&amp;"|"&amp;TRIM('List 2'!D465)))</f>
        <v/>
      </c>
      <c r="G465">
        <f>IF(F465="","",SUMPRODUCT(--($F$2:F465=F465)))</f>
        <v/>
      </c>
      <c r="H465">
        <f>IF(F465="","",F465&amp;"#"&amp;G465)</f>
        <v/>
      </c>
      <c r="I465">
        <f>IF(F465="","",IFERROR(--'List 2'!B465,0))</f>
        <v/>
      </c>
      <c r="K465">
        <f>C465</f>
        <v/>
      </c>
      <c r="L465">
        <f>IF(K465="","",IF(ISNUMBER('List 1'!A465),'List 1'!A465,TRIM('List 1'!A465)))</f>
        <v/>
      </c>
      <c r="M465">
        <f>IF(K465="","",IF(ISNUMBER('List 1'!C465),'List 1'!C465,TRIM('List 1'!C465)))</f>
        <v/>
      </c>
      <c r="N465">
        <f>IF(K465="","",IF(ISNUMBER('List 1'!D465),'List 1'!D465,TRIM('List 1'!D465)))</f>
        <v/>
      </c>
      <c r="O465">
        <f>IF(K465="","",D465)</f>
        <v/>
      </c>
      <c r="P465">
        <f>IF(K465="","",IF(R465,SUMPRODUCT(--($H$2:$H$501=K465),$I$2:$I$501),0))</f>
        <v/>
      </c>
      <c r="Q465">
        <f>IF(K465="","",TRUE)</f>
        <v/>
      </c>
      <c r="R465">
        <f>IF(K465="","",SUMPRODUCT(--($H$2:$H$501=K465))&gt;0)</f>
        <v/>
      </c>
      <c r="S465">
        <f>IF(K465="","",IF(AND(Q465,R465),IF(O465=P465,"Match","Qty Different"),IF(Q465,"Only in List 1","Only in List 2")))</f>
        <v/>
      </c>
      <c r="T465">
        <f>IF(K465="","",IF(ISNUMBER(--L465),TEXT(--L465,"000000000000.000"),LOWER(L465)))</f>
        <v/>
      </c>
      <c r="U465">
        <f>IF(K465="","",IF(ISNUMBER(--M465),TEXT(--M465,"000000000000.000"),LOWER(M465)))</f>
        <v/>
      </c>
      <c r="V465">
        <f>IF(K465="","",LOWER(N465))</f>
        <v/>
      </c>
      <c r="W465">
        <f>IF(K465="","",B465)</f>
        <v/>
      </c>
      <c r="X465">
        <f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>
      <c r="A466">
        <f>IF(TRIM('List 1'!A466&amp;'List 1'!C466&amp;'List 1'!D466)="","",LOWER(TRIM('List 1'!A466)&amp;"|"&amp;TRIM('List 1'!C466)&amp;"|"&amp;TRIM('List 1'!D466)))</f>
        <v/>
      </c>
      <c r="B466">
        <f>IF(A466="","",SUMPRODUCT(--($A$2:A466=A466)))</f>
        <v/>
      </c>
      <c r="C466">
        <f>IF(A466="","",A466&amp;"#"&amp;B466)</f>
        <v/>
      </c>
      <c r="D466">
        <f>IF(A466="","",IFERROR(--'List 1'!B466,0))</f>
        <v/>
      </c>
      <c r="F466">
        <f>IF(TRIM('List 2'!A466&amp;'List 2'!C466&amp;'List 2'!D466)="","",LOWER(TRIM('List 2'!A466)&amp;"|"&amp;TRIM('List 2'!C466)&amp;"|"&amp;TRIM('List 2'!D466)))</f>
        <v/>
      </c>
      <c r="G466">
        <f>IF(F466="","",SUMPRODUCT(--($F$2:F466=F466)))</f>
        <v/>
      </c>
      <c r="H466">
        <f>IF(F466="","",F466&amp;"#"&amp;G466)</f>
        <v/>
      </c>
      <c r="I466">
        <f>IF(F466="","",IFERROR(--'List 2'!B466,0))</f>
        <v/>
      </c>
      <c r="K466">
        <f>C466</f>
        <v/>
      </c>
      <c r="L466">
        <f>IF(K466="","",IF(ISNUMBER('List 1'!A466),'List 1'!A466,TRIM('List 1'!A466)))</f>
        <v/>
      </c>
      <c r="M466">
        <f>IF(K466="","",IF(ISNUMBER('List 1'!C466),'List 1'!C466,TRIM('List 1'!C466)))</f>
        <v/>
      </c>
      <c r="N466">
        <f>IF(K466="","",IF(ISNUMBER('List 1'!D466),'List 1'!D466,TRIM('List 1'!D466)))</f>
        <v/>
      </c>
      <c r="O466">
        <f>IF(K466="","",D466)</f>
        <v/>
      </c>
      <c r="P466">
        <f>IF(K466="","",IF(R466,SUMPRODUCT(--($H$2:$H$501=K466),$I$2:$I$501),0))</f>
        <v/>
      </c>
      <c r="Q466">
        <f>IF(K466="","",TRUE)</f>
        <v/>
      </c>
      <c r="R466">
        <f>IF(K466="","",SUMPRODUCT(--($H$2:$H$501=K466))&gt;0)</f>
        <v/>
      </c>
      <c r="S466">
        <f>IF(K466="","",IF(AND(Q466,R466),IF(O466=P466,"Match","Qty Different"),IF(Q466,"Only in List 1","Only in List 2")))</f>
        <v/>
      </c>
      <c r="T466">
        <f>IF(K466="","",IF(ISNUMBER(--L466),TEXT(--L466,"000000000000.000"),LOWER(L466)))</f>
        <v/>
      </c>
      <c r="U466">
        <f>IF(K466="","",IF(ISNUMBER(--M466),TEXT(--M466,"000000000000.000"),LOWER(M466)))</f>
        <v/>
      </c>
      <c r="V466">
        <f>IF(K466="","",LOWER(N466))</f>
        <v/>
      </c>
      <c r="W466">
        <f>IF(K466="","",B466)</f>
        <v/>
      </c>
      <c r="X466">
        <f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>
      <c r="A467">
        <f>IF(TRIM('List 1'!A467&amp;'List 1'!C467&amp;'List 1'!D467)="","",LOWER(TRIM('List 1'!A467)&amp;"|"&amp;TRIM('List 1'!C467)&amp;"|"&amp;TRIM('List 1'!D467)))</f>
        <v/>
      </c>
      <c r="B467">
        <f>IF(A467="","",SUMPRODUCT(--($A$2:A467=A467)))</f>
        <v/>
      </c>
      <c r="C467">
        <f>IF(A467="","",A467&amp;"#"&amp;B467)</f>
        <v/>
      </c>
      <c r="D467">
        <f>IF(A467="","",IFERROR(--'List 1'!B467,0))</f>
        <v/>
      </c>
      <c r="F467">
        <f>IF(TRIM('List 2'!A467&amp;'List 2'!C467&amp;'List 2'!D467)="","",LOWER(TRIM('List 2'!A467)&amp;"|"&amp;TRIM('List 2'!C467)&amp;"|"&amp;TRIM('List 2'!D467)))</f>
        <v/>
      </c>
      <c r="G467">
        <f>IF(F467="","",SUMPRODUCT(--($F$2:F467=F467)))</f>
        <v/>
      </c>
      <c r="H467">
        <f>IF(F467="","",F467&amp;"#"&amp;G467)</f>
        <v/>
      </c>
      <c r="I467">
        <f>IF(F467="","",IFERROR(--'List 2'!B467,0))</f>
        <v/>
      </c>
      <c r="K467">
        <f>C467</f>
        <v/>
      </c>
      <c r="L467">
        <f>IF(K467="","",IF(ISNUMBER('List 1'!A467),'List 1'!A467,TRIM('List 1'!A467)))</f>
        <v/>
      </c>
      <c r="M467">
        <f>IF(K467="","",IF(ISNUMBER('List 1'!C467),'List 1'!C467,TRIM('List 1'!C467)))</f>
        <v/>
      </c>
      <c r="N467">
        <f>IF(K467="","",IF(ISNUMBER('List 1'!D467),'List 1'!D467,TRIM('List 1'!D467)))</f>
        <v/>
      </c>
      <c r="O467">
        <f>IF(K467="","",D467)</f>
        <v/>
      </c>
      <c r="P467">
        <f>IF(K467="","",IF(R467,SUMPRODUCT(--($H$2:$H$501=K467),$I$2:$I$501),0))</f>
        <v/>
      </c>
      <c r="Q467">
        <f>IF(K467="","",TRUE)</f>
        <v/>
      </c>
      <c r="R467">
        <f>IF(K467="","",SUMPRODUCT(--($H$2:$H$501=K467))&gt;0)</f>
        <v/>
      </c>
      <c r="S467">
        <f>IF(K467="","",IF(AND(Q467,R467),IF(O467=P467,"Match","Qty Different"),IF(Q467,"Only in List 1","Only in List 2")))</f>
        <v/>
      </c>
      <c r="T467">
        <f>IF(K467="","",IF(ISNUMBER(--L467),TEXT(--L467,"000000000000.000"),LOWER(L467)))</f>
        <v/>
      </c>
      <c r="U467">
        <f>IF(K467="","",IF(ISNUMBER(--M467),TEXT(--M467,"000000000000.000"),LOWER(M467)))</f>
        <v/>
      </c>
      <c r="V467">
        <f>IF(K467="","",LOWER(N467))</f>
        <v/>
      </c>
      <c r="W467">
        <f>IF(K467="","",B467)</f>
        <v/>
      </c>
      <c r="X467">
        <f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>
      <c r="A468">
        <f>IF(TRIM('List 1'!A468&amp;'List 1'!C468&amp;'List 1'!D468)="","",LOWER(TRIM('List 1'!A468)&amp;"|"&amp;TRIM('List 1'!C468)&amp;"|"&amp;TRIM('List 1'!D468)))</f>
        <v/>
      </c>
      <c r="B468">
        <f>IF(A468="","",SUMPRODUCT(--($A$2:A468=A468)))</f>
        <v/>
      </c>
      <c r="C468">
        <f>IF(A468="","",A468&amp;"#"&amp;B468)</f>
        <v/>
      </c>
      <c r="D468">
        <f>IF(A468="","",IFERROR(--'List 1'!B468,0))</f>
        <v/>
      </c>
      <c r="F468">
        <f>IF(TRIM('List 2'!A468&amp;'List 2'!C468&amp;'List 2'!D468)="","",LOWER(TRIM('List 2'!A468)&amp;"|"&amp;TRIM('List 2'!C468)&amp;"|"&amp;TRIM('List 2'!D468)))</f>
        <v/>
      </c>
      <c r="G468">
        <f>IF(F468="","",SUMPRODUCT(--($F$2:F468=F468)))</f>
        <v/>
      </c>
      <c r="H468">
        <f>IF(F468="","",F468&amp;"#"&amp;G468)</f>
        <v/>
      </c>
      <c r="I468">
        <f>IF(F468="","",IFERROR(--'List 2'!B468,0))</f>
        <v/>
      </c>
      <c r="K468">
        <f>C468</f>
        <v/>
      </c>
      <c r="L468">
        <f>IF(K468="","",IF(ISNUMBER('List 1'!A468),'List 1'!A468,TRIM('List 1'!A468)))</f>
        <v/>
      </c>
      <c r="M468">
        <f>IF(K468="","",IF(ISNUMBER('List 1'!C468),'List 1'!C468,TRIM('List 1'!C468)))</f>
        <v/>
      </c>
      <c r="N468">
        <f>IF(K468="","",IF(ISNUMBER('List 1'!D468),'List 1'!D468,TRIM('List 1'!D468)))</f>
        <v/>
      </c>
      <c r="O468">
        <f>IF(K468="","",D468)</f>
        <v/>
      </c>
      <c r="P468">
        <f>IF(K468="","",IF(R468,SUMPRODUCT(--($H$2:$H$501=K468),$I$2:$I$501),0))</f>
        <v/>
      </c>
      <c r="Q468">
        <f>IF(K468="","",TRUE)</f>
        <v/>
      </c>
      <c r="R468">
        <f>IF(K468="","",SUMPRODUCT(--($H$2:$H$501=K468))&gt;0)</f>
        <v/>
      </c>
      <c r="S468">
        <f>IF(K468="","",IF(AND(Q468,R468),IF(O468=P468,"Match","Qty Different"),IF(Q468,"Only in List 1","Only in List 2")))</f>
        <v/>
      </c>
      <c r="T468">
        <f>IF(K468="","",IF(ISNUMBER(--L468),TEXT(--L468,"000000000000.000"),LOWER(L468)))</f>
        <v/>
      </c>
      <c r="U468">
        <f>IF(K468="","",IF(ISNUMBER(--M468),TEXT(--M468,"000000000000.000"),LOWER(M468)))</f>
        <v/>
      </c>
      <c r="V468">
        <f>IF(K468="","",LOWER(N468))</f>
        <v/>
      </c>
      <c r="W468">
        <f>IF(K468="","",B468)</f>
        <v/>
      </c>
      <c r="X468">
        <f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>
      <c r="A469">
        <f>IF(TRIM('List 1'!A469&amp;'List 1'!C469&amp;'List 1'!D469)="","",LOWER(TRIM('List 1'!A469)&amp;"|"&amp;TRIM('List 1'!C469)&amp;"|"&amp;TRIM('List 1'!D469)))</f>
        <v/>
      </c>
      <c r="B469">
        <f>IF(A469="","",SUMPRODUCT(--($A$2:A469=A469)))</f>
        <v/>
      </c>
      <c r="C469">
        <f>IF(A469="","",A469&amp;"#"&amp;B469)</f>
        <v/>
      </c>
      <c r="D469">
        <f>IF(A469="","",IFERROR(--'List 1'!B469,0))</f>
        <v/>
      </c>
      <c r="F469">
        <f>IF(TRIM('List 2'!A469&amp;'List 2'!C469&amp;'List 2'!D469)="","",LOWER(TRIM('List 2'!A469)&amp;"|"&amp;TRIM('List 2'!C469)&amp;"|"&amp;TRIM('List 2'!D469)))</f>
        <v/>
      </c>
      <c r="G469">
        <f>IF(F469="","",SUMPRODUCT(--($F$2:F469=F469)))</f>
        <v/>
      </c>
      <c r="H469">
        <f>IF(F469="","",F469&amp;"#"&amp;G469)</f>
        <v/>
      </c>
      <c r="I469">
        <f>IF(F469="","",IFERROR(--'List 2'!B469,0))</f>
        <v/>
      </c>
      <c r="K469">
        <f>C469</f>
        <v/>
      </c>
      <c r="L469">
        <f>IF(K469="","",IF(ISNUMBER('List 1'!A469),'List 1'!A469,TRIM('List 1'!A469)))</f>
        <v/>
      </c>
      <c r="M469">
        <f>IF(K469="","",IF(ISNUMBER('List 1'!C469),'List 1'!C469,TRIM('List 1'!C469)))</f>
        <v/>
      </c>
      <c r="N469">
        <f>IF(K469="","",IF(ISNUMBER('List 1'!D469),'List 1'!D469,TRIM('List 1'!D469)))</f>
        <v/>
      </c>
      <c r="O469">
        <f>IF(K469="","",D469)</f>
        <v/>
      </c>
      <c r="P469">
        <f>IF(K469="","",IF(R469,SUMPRODUCT(--($H$2:$H$501=K469),$I$2:$I$501),0))</f>
        <v/>
      </c>
      <c r="Q469">
        <f>IF(K469="","",TRUE)</f>
        <v/>
      </c>
      <c r="R469">
        <f>IF(K469="","",SUMPRODUCT(--($H$2:$H$501=K469))&gt;0)</f>
        <v/>
      </c>
      <c r="S469">
        <f>IF(K469="","",IF(AND(Q469,R469),IF(O469=P469,"Match","Qty Different"),IF(Q469,"Only in List 1","Only in List 2")))</f>
        <v/>
      </c>
      <c r="T469">
        <f>IF(K469="","",IF(ISNUMBER(--L469),TEXT(--L469,"000000000000.000"),LOWER(L469)))</f>
        <v/>
      </c>
      <c r="U469">
        <f>IF(K469="","",IF(ISNUMBER(--M469),TEXT(--M469,"000000000000.000"),LOWER(M469)))</f>
        <v/>
      </c>
      <c r="V469">
        <f>IF(K469="","",LOWER(N469))</f>
        <v/>
      </c>
      <c r="W469">
        <f>IF(K469="","",B469)</f>
        <v/>
      </c>
      <c r="X469">
        <f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>
      <c r="A470">
        <f>IF(TRIM('List 1'!A470&amp;'List 1'!C470&amp;'List 1'!D470)="","",LOWER(TRIM('List 1'!A470)&amp;"|"&amp;TRIM('List 1'!C470)&amp;"|"&amp;TRIM('List 1'!D470)))</f>
        <v/>
      </c>
      <c r="B470">
        <f>IF(A470="","",SUMPRODUCT(--($A$2:A470=A470)))</f>
        <v/>
      </c>
      <c r="C470">
        <f>IF(A470="","",A470&amp;"#"&amp;B470)</f>
        <v/>
      </c>
      <c r="D470">
        <f>IF(A470="","",IFERROR(--'List 1'!B470,0))</f>
        <v/>
      </c>
      <c r="F470">
        <f>IF(TRIM('List 2'!A470&amp;'List 2'!C470&amp;'List 2'!D470)="","",LOWER(TRIM('List 2'!A470)&amp;"|"&amp;TRIM('List 2'!C470)&amp;"|"&amp;TRIM('List 2'!D470)))</f>
        <v/>
      </c>
      <c r="G470">
        <f>IF(F470="","",SUMPRODUCT(--($F$2:F470=F470)))</f>
        <v/>
      </c>
      <c r="H470">
        <f>IF(F470="","",F470&amp;"#"&amp;G470)</f>
        <v/>
      </c>
      <c r="I470">
        <f>IF(F470="","",IFERROR(--'List 2'!B470,0))</f>
        <v/>
      </c>
      <c r="K470">
        <f>C470</f>
        <v/>
      </c>
      <c r="L470">
        <f>IF(K470="","",IF(ISNUMBER('List 1'!A470),'List 1'!A470,TRIM('List 1'!A470)))</f>
        <v/>
      </c>
      <c r="M470">
        <f>IF(K470="","",IF(ISNUMBER('List 1'!C470),'List 1'!C470,TRIM('List 1'!C470)))</f>
        <v/>
      </c>
      <c r="N470">
        <f>IF(K470="","",IF(ISNUMBER('List 1'!D470),'List 1'!D470,TRIM('List 1'!D470)))</f>
        <v/>
      </c>
      <c r="O470">
        <f>IF(K470="","",D470)</f>
        <v/>
      </c>
      <c r="P470">
        <f>IF(K470="","",IF(R470,SUMPRODUCT(--($H$2:$H$501=K470),$I$2:$I$501),0))</f>
        <v/>
      </c>
      <c r="Q470">
        <f>IF(K470="","",TRUE)</f>
        <v/>
      </c>
      <c r="R470">
        <f>IF(K470="","",SUMPRODUCT(--($H$2:$H$501=K470))&gt;0)</f>
        <v/>
      </c>
      <c r="S470">
        <f>IF(K470="","",IF(AND(Q470,R470),IF(O470=P470,"Match","Qty Different"),IF(Q470,"Only in List 1","Only in List 2")))</f>
        <v/>
      </c>
      <c r="T470">
        <f>IF(K470="","",IF(ISNUMBER(--L470),TEXT(--L470,"000000000000.000"),LOWER(L470)))</f>
        <v/>
      </c>
      <c r="U470">
        <f>IF(K470="","",IF(ISNUMBER(--M470),TEXT(--M470,"000000000000.000"),LOWER(M470)))</f>
        <v/>
      </c>
      <c r="V470">
        <f>IF(K470="","",LOWER(N470))</f>
        <v/>
      </c>
      <c r="W470">
        <f>IF(K470="","",B470)</f>
        <v/>
      </c>
      <c r="X470">
        <f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>
      <c r="A471">
        <f>IF(TRIM('List 1'!A471&amp;'List 1'!C471&amp;'List 1'!D471)="","",LOWER(TRIM('List 1'!A471)&amp;"|"&amp;TRIM('List 1'!C471)&amp;"|"&amp;TRIM('List 1'!D471)))</f>
        <v/>
      </c>
      <c r="B471">
        <f>IF(A471="","",SUMPRODUCT(--($A$2:A471=A471)))</f>
        <v/>
      </c>
      <c r="C471">
        <f>IF(A471="","",A471&amp;"#"&amp;B471)</f>
        <v/>
      </c>
      <c r="D471">
        <f>IF(A471="","",IFERROR(--'List 1'!B471,0))</f>
        <v/>
      </c>
      <c r="F471">
        <f>IF(TRIM('List 2'!A471&amp;'List 2'!C471&amp;'List 2'!D471)="","",LOWER(TRIM('List 2'!A471)&amp;"|"&amp;TRIM('List 2'!C471)&amp;"|"&amp;TRIM('List 2'!D471)))</f>
        <v/>
      </c>
      <c r="G471">
        <f>IF(F471="","",SUMPRODUCT(--($F$2:F471=F471)))</f>
        <v/>
      </c>
      <c r="H471">
        <f>IF(F471="","",F471&amp;"#"&amp;G471)</f>
        <v/>
      </c>
      <c r="I471">
        <f>IF(F471="","",IFERROR(--'List 2'!B471,0))</f>
        <v/>
      </c>
      <c r="K471">
        <f>C471</f>
        <v/>
      </c>
      <c r="L471">
        <f>IF(K471="","",IF(ISNUMBER('List 1'!A471),'List 1'!A471,TRIM('List 1'!A471)))</f>
        <v/>
      </c>
      <c r="M471">
        <f>IF(K471="","",IF(ISNUMBER('List 1'!C471),'List 1'!C471,TRIM('List 1'!C471)))</f>
        <v/>
      </c>
      <c r="N471">
        <f>IF(K471="","",IF(ISNUMBER('List 1'!D471),'List 1'!D471,TRIM('List 1'!D471)))</f>
        <v/>
      </c>
      <c r="O471">
        <f>IF(K471="","",D471)</f>
        <v/>
      </c>
      <c r="P471">
        <f>IF(K471="","",IF(R471,SUMPRODUCT(--($H$2:$H$501=K471),$I$2:$I$501),0))</f>
        <v/>
      </c>
      <c r="Q471">
        <f>IF(K471="","",TRUE)</f>
        <v/>
      </c>
      <c r="R471">
        <f>IF(K471="","",SUMPRODUCT(--($H$2:$H$501=K471))&gt;0)</f>
        <v/>
      </c>
      <c r="S471">
        <f>IF(K471="","",IF(AND(Q471,R471),IF(O471=P471,"Match","Qty Different"),IF(Q471,"Only in List 1","Only in List 2")))</f>
        <v/>
      </c>
      <c r="T471">
        <f>IF(K471="","",IF(ISNUMBER(--L471),TEXT(--L471,"000000000000.000"),LOWER(L471)))</f>
        <v/>
      </c>
      <c r="U471">
        <f>IF(K471="","",IF(ISNUMBER(--M471),TEXT(--M471,"000000000000.000"),LOWER(M471)))</f>
        <v/>
      </c>
      <c r="V471">
        <f>IF(K471="","",LOWER(N471))</f>
        <v/>
      </c>
      <c r="W471">
        <f>IF(K471="","",B471)</f>
        <v/>
      </c>
      <c r="X471">
        <f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>
      <c r="A472">
        <f>IF(TRIM('List 1'!A472&amp;'List 1'!C472&amp;'List 1'!D472)="","",LOWER(TRIM('List 1'!A472)&amp;"|"&amp;TRIM('List 1'!C472)&amp;"|"&amp;TRIM('List 1'!D472)))</f>
        <v/>
      </c>
      <c r="B472">
        <f>IF(A472="","",SUMPRODUCT(--($A$2:A472=A472)))</f>
        <v/>
      </c>
      <c r="C472">
        <f>IF(A472="","",A472&amp;"#"&amp;B472)</f>
        <v/>
      </c>
      <c r="D472">
        <f>IF(A472="","",IFERROR(--'List 1'!B472,0))</f>
        <v/>
      </c>
      <c r="F472">
        <f>IF(TRIM('List 2'!A472&amp;'List 2'!C472&amp;'List 2'!D472)="","",LOWER(TRIM('List 2'!A472)&amp;"|"&amp;TRIM('List 2'!C472)&amp;"|"&amp;TRIM('List 2'!D472)))</f>
        <v/>
      </c>
      <c r="G472">
        <f>IF(F472="","",SUMPRODUCT(--($F$2:F472=F472)))</f>
        <v/>
      </c>
      <c r="H472">
        <f>IF(F472="","",F472&amp;"#"&amp;G472)</f>
        <v/>
      </c>
      <c r="I472">
        <f>IF(F472="","",IFERROR(--'List 2'!B472,0))</f>
        <v/>
      </c>
      <c r="K472">
        <f>C472</f>
        <v/>
      </c>
      <c r="L472">
        <f>IF(K472="","",IF(ISNUMBER('List 1'!A472),'List 1'!A472,TRIM('List 1'!A472)))</f>
        <v/>
      </c>
      <c r="M472">
        <f>IF(K472="","",IF(ISNUMBER('List 1'!C472),'List 1'!C472,TRIM('List 1'!C472)))</f>
        <v/>
      </c>
      <c r="N472">
        <f>IF(K472="","",IF(ISNUMBER('List 1'!D472),'List 1'!D472,TRIM('List 1'!D472)))</f>
        <v/>
      </c>
      <c r="O472">
        <f>IF(K472="","",D472)</f>
        <v/>
      </c>
      <c r="P472">
        <f>IF(K472="","",IF(R472,SUMPRODUCT(--($H$2:$H$501=K472),$I$2:$I$501),0))</f>
        <v/>
      </c>
      <c r="Q472">
        <f>IF(K472="","",TRUE)</f>
        <v/>
      </c>
      <c r="R472">
        <f>IF(K472="","",SUMPRODUCT(--($H$2:$H$501=K472))&gt;0)</f>
        <v/>
      </c>
      <c r="S472">
        <f>IF(K472="","",IF(AND(Q472,R472),IF(O472=P472,"Match","Qty Different"),IF(Q472,"Only in List 1","Only in List 2")))</f>
        <v/>
      </c>
      <c r="T472">
        <f>IF(K472="","",IF(ISNUMBER(--L472),TEXT(--L472,"000000000000.000"),LOWER(L472)))</f>
        <v/>
      </c>
      <c r="U472">
        <f>IF(K472="","",IF(ISNUMBER(--M472),TEXT(--M472,"000000000000.000"),LOWER(M472)))</f>
        <v/>
      </c>
      <c r="V472">
        <f>IF(K472="","",LOWER(N472))</f>
        <v/>
      </c>
      <c r="W472">
        <f>IF(K472="","",B472)</f>
        <v/>
      </c>
      <c r="X472">
        <f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>
      <c r="A473">
        <f>IF(TRIM('List 1'!A473&amp;'List 1'!C473&amp;'List 1'!D473)="","",LOWER(TRIM('List 1'!A473)&amp;"|"&amp;TRIM('List 1'!C473)&amp;"|"&amp;TRIM('List 1'!D473)))</f>
        <v/>
      </c>
      <c r="B473">
        <f>IF(A473="","",SUMPRODUCT(--($A$2:A473=A473)))</f>
        <v/>
      </c>
      <c r="C473">
        <f>IF(A473="","",A473&amp;"#"&amp;B473)</f>
        <v/>
      </c>
      <c r="D473">
        <f>IF(A473="","",IFERROR(--'List 1'!B473,0))</f>
        <v/>
      </c>
      <c r="F473">
        <f>IF(TRIM('List 2'!A473&amp;'List 2'!C473&amp;'List 2'!D473)="","",LOWER(TRIM('List 2'!A473)&amp;"|"&amp;TRIM('List 2'!C473)&amp;"|"&amp;TRIM('List 2'!D473)))</f>
        <v/>
      </c>
      <c r="G473">
        <f>IF(F473="","",SUMPRODUCT(--($F$2:F473=F473)))</f>
        <v/>
      </c>
      <c r="H473">
        <f>IF(F473="","",F473&amp;"#"&amp;G473)</f>
        <v/>
      </c>
      <c r="I473">
        <f>IF(F473="","",IFERROR(--'List 2'!B473,0))</f>
        <v/>
      </c>
      <c r="K473">
        <f>C473</f>
        <v/>
      </c>
      <c r="L473">
        <f>IF(K473="","",IF(ISNUMBER('List 1'!A473),'List 1'!A473,TRIM('List 1'!A473)))</f>
        <v/>
      </c>
      <c r="M473">
        <f>IF(K473="","",IF(ISNUMBER('List 1'!C473),'List 1'!C473,TRIM('List 1'!C473)))</f>
        <v/>
      </c>
      <c r="N473">
        <f>IF(K473="","",IF(ISNUMBER('List 1'!D473),'List 1'!D473,TRIM('List 1'!D473)))</f>
        <v/>
      </c>
      <c r="O473">
        <f>IF(K473="","",D473)</f>
        <v/>
      </c>
      <c r="P473">
        <f>IF(K473="","",IF(R473,SUMPRODUCT(--($H$2:$H$501=K473),$I$2:$I$501),0))</f>
        <v/>
      </c>
      <c r="Q473">
        <f>IF(K473="","",TRUE)</f>
        <v/>
      </c>
      <c r="R473">
        <f>IF(K473="","",SUMPRODUCT(--($H$2:$H$501=K473))&gt;0)</f>
        <v/>
      </c>
      <c r="S473">
        <f>IF(K473="","",IF(AND(Q473,R473),IF(O473=P473,"Match","Qty Different"),IF(Q473,"Only in List 1","Only in List 2")))</f>
        <v/>
      </c>
      <c r="T473">
        <f>IF(K473="","",IF(ISNUMBER(--L473),TEXT(--L473,"000000000000.000"),LOWER(L473)))</f>
        <v/>
      </c>
      <c r="U473">
        <f>IF(K473="","",IF(ISNUMBER(--M473),TEXT(--M473,"000000000000.000"),LOWER(M473)))</f>
        <v/>
      </c>
      <c r="V473">
        <f>IF(K473="","",LOWER(N473))</f>
        <v/>
      </c>
      <c r="W473">
        <f>IF(K473="","",B473)</f>
        <v/>
      </c>
      <c r="X473">
        <f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>
      <c r="A474">
        <f>IF(TRIM('List 1'!A474&amp;'List 1'!C474&amp;'List 1'!D474)="","",LOWER(TRIM('List 1'!A474)&amp;"|"&amp;TRIM('List 1'!C474)&amp;"|"&amp;TRIM('List 1'!D474)))</f>
        <v/>
      </c>
      <c r="B474">
        <f>IF(A474="","",SUMPRODUCT(--($A$2:A474=A474)))</f>
        <v/>
      </c>
      <c r="C474">
        <f>IF(A474="","",A474&amp;"#"&amp;B474)</f>
        <v/>
      </c>
      <c r="D474">
        <f>IF(A474="","",IFERROR(--'List 1'!B474,0))</f>
        <v/>
      </c>
      <c r="F474">
        <f>IF(TRIM('List 2'!A474&amp;'List 2'!C474&amp;'List 2'!D474)="","",LOWER(TRIM('List 2'!A474)&amp;"|"&amp;TRIM('List 2'!C474)&amp;"|"&amp;TRIM('List 2'!D474)))</f>
        <v/>
      </c>
      <c r="G474">
        <f>IF(F474="","",SUMPRODUCT(--($F$2:F474=F474)))</f>
        <v/>
      </c>
      <c r="H474">
        <f>IF(F474="","",F474&amp;"#"&amp;G474)</f>
        <v/>
      </c>
      <c r="I474">
        <f>IF(F474="","",IFERROR(--'List 2'!B474,0))</f>
        <v/>
      </c>
      <c r="K474">
        <f>C474</f>
        <v/>
      </c>
      <c r="L474">
        <f>IF(K474="","",IF(ISNUMBER('List 1'!A474),'List 1'!A474,TRIM('List 1'!A474)))</f>
        <v/>
      </c>
      <c r="M474">
        <f>IF(K474="","",IF(ISNUMBER('List 1'!C474),'List 1'!C474,TRIM('List 1'!C474)))</f>
        <v/>
      </c>
      <c r="N474">
        <f>IF(K474="","",IF(ISNUMBER('List 1'!D474),'List 1'!D474,TRIM('List 1'!D474)))</f>
        <v/>
      </c>
      <c r="O474">
        <f>IF(K474="","",D474)</f>
        <v/>
      </c>
      <c r="P474">
        <f>IF(K474="","",IF(R474,SUMPRODUCT(--($H$2:$H$501=K474),$I$2:$I$501),0))</f>
        <v/>
      </c>
      <c r="Q474">
        <f>IF(K474="","",TRUE)</f>
        <v/>
      </c>
      <c r="R474">
        <f>IF(K474="","",SUMPRODUCT(--($H$2:$H$501=K474))&gt;0)</f>
        <v/>
      </c>
      <c r="S474">
        <f>IF(K474="","",IF(AND(Q474,R474),IF(O474=P474,"Match","Qty Different"),IF(Q474,"Only in List 1","Only in List 2")))</f>
        <v/>
      </c>
      <c r="T474">
        <f>IF(K474="","",IF(ISNUMBER(--L474),TEXT(--L474,"000000000000.000"),LOWER(L474)))</f>
        <v/>
      </c>
      <c r="U474">
        <f>IF(K474="","",IF(ISNUMBER(--M474),TEXT(--M474,"000000000000.000"),LOWER(M474)))</f>
        <v/>
      </c>
      <c r="V474">
        <f>IF(K474="","",LOWER(N474))</f>
        <v/>
      </c>
      <c r="W474">
        <f>IF(K474="","",B474)</f>
        <v/>
      </c>
      <c r="X474">
        <f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>
      <c r="A475">
        <f>IF(TRIM('List 1'!A475&amp;'List 1'!C475&amp;'List 1'!D475)="","",LOWER(TRIM('List 1'!A475)&amp;"|"&amp;TRIM('List 1'!C475)&amp;"|"&amp;TRIM('List 1'!D475)))</f>
        <v/>
      </c>
      <c r="B475">
        <f>IF(A475="","",SUMPRODUCT(--($A$2:A475=A475)))</f>
        <v/>
      </c>
      <c r="C475">
        <f>IF(A475="","",A475&amp;"#"&amp;B475)</f>
        <v/>
      </c>
      <c r="D475">
        <f>IF(A475="","",IFERROR(--'List 1'!B475,0))</f>
        <v/>
      </c>
      <c r="F475">
        <f>IF(TRIM('List 2'!A475&amp;'List 2'!C475&amp;'List 2'!D475)="","",LOWER(TRIM('List 2'!A475)&amp;"|"&amp;TRIM('List 2'!C475)&amp;"|"&amp;TRIM('List 2'!D475)))</f>
        <v/>
      </c>
      <c r="G475">
        <f>IF(F475="","",SUMPRODUCT(--($F$2:F475=F475)))</f>
        <v/>
      </c>
      <c r="H475">
        <f>IF(F475="","",F475&amp;"#"&amp;G475)</f>
        <v/>
      </c>
      <c r="I475">
        <f>IF(F475="","",IFERROR(--'List 2'!B475,0))</f>
        <v/>
      </c>
      <c r="K475">
        <f>C475</f>
        <v/>
      </c>
      <c r="L475">
        <f>IF(K475="","",IF(ISNUMBER('List 1'!A475),'List 1'!A475,TRIM('List 1'!A475)))</f>
        <v/>
      </c>
      <c r="M475">
        <f>IF(K475="","",IF(ISNUMBER('List 1'!C475),'List 1'!C475,TRIM('List 1'!C475)))</f>
        <v/>
      </c>
      <c r="N475">
        <f>IF(K475="","",IF(ISNUMBER('List 1'!D475),'List 1'!D475,TRIM('List 1'!D475)))</f>
        <v/>
      </c>
      <c r="O475">
        <f>IF(K475="","",D475)</f>
        <v/>
      </c>
      <c r="P475">
        <f>IF(K475="","",IF(R475,SUMPRODUCT(--($H$2:$H$501=K475),$I$2:$I$501),0))</f>
        <v/>
      </c>
      <c r="Q475">
        <f>IF(K475="","",TRUE)</f>
        <v/>
      </c>
      <c r="R475">
        <f>IF(K475="","",SUMPRODUCT(--($H$2:$H$501=K475))&gt;0)</f>
        <v/>
      </c>
      <c r="S475">
        <f>IF(K475="","",IF(AND(Q475,R475),IF(O475=P475,"Match","Qty Different"),IF(Q475,"Only in List 1","Only in List 2")))</f>
        <v/>
      </c>
      <c r="T475">
        <f>IF(K475="","",IF(ISNUMBER(--L475),TEXT(--L475,"000000000000.000"),LOWER(L475)))</f>
        <v/>
      </c>
      <c r="U475">
        <f>IF(K475="","",IF(ISNUMBER(--M475),TEXT(--M475,"000000000000.000"),LOWER(M475)))</f>
        <v/>
      </c>
      <c r="V475">
        <f>IF(K475="","",LOWER(N475))</f>
        <v/>
      </c>
      <c r="W475">
        <f>IF(K475="","",B475)</f>
        <v/>
      </c>
      <c r="X475">
        <f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>
      <c r="A476">
        <f>IF(TRIM('List 1'!A476&amp;'List 1'!C476&amp;'List 1'!D476)="","",LOWER(TRIM('List 1'!A476)&amp;"|"&amp;TRIM('List 1'!C476)&amp;"|"&amp;TRIM('List 1'!D476)))</f>
        <v/>
      </c>
      <c r="B476">
        <f>IF(A476="","",SUMPRODUCT(--($A$2:A476=A476)))</f>
        <v/>
      </c>
      <c r="C476">
        <f>IF(A476="","",A476&amp;"#"&amp;B476)</f>
        <v/>
      </c>
      <c r="D476">
        <f>IF(A476="","",IFERROR(--'List 1'!B476,0))</f>
        <v/>
      </c>
      <c r="F476">
        <f>IF(TRIM('List 2'!A476&amp;'List 2'!C476&amp;'List 2'!D476)="","",LOWER(TRIM('List 2'!A476)&amp;"|"&amp;TRIM('List 2'!C476)&amp;"|"&amp;TRIM('List 2'!D476)))</f>
        <v/>
      </c>
      <c r="G476">
        <f>IF(F476="","",SUMPRODUCT(--($F$2:F476=F476)))</f>
        <v/>
      </c>
      <c r="H476">
        <f>IF(F476="","",F476&amp;"#"&amp;G476)</f>
        <v/>
      </c>
      <c r="I476">
        <f>IF(F476="","",IFERROR(--'List 2'!B476,0))</f>
        <v/>
      </c>
      <c r="K476">
        <f>C476</f>
        <v/>
      </c>
      <c r="L476">
        <f>IF(K476="","",IF(ISNUMBER('List 1'!A476),'List 1'!A476,TRIM('List 1'!A476)))</f>
        <v/>
      </c>
      <c r="M476">
        <f>IF(K476="","",IF(ISNUMBER('List 1'!C476),'List 1'!C476,TRIM('List 1'!C476)))</f>
        <v/>
      </c>
      <c r="N476">
        <f>IF(K476="","",IF(ISNUMBER('List 1'!D476),'List 1'!D476,TRIM('List 1'!D476)))</f>
        <v/>
      </c>
      <c r="O476">
        <f>IF(K476="","",D476)</f>
        <v/>
      </c>
      <c r="P476">
        <f>IF(K476="","",IF(R476,SUMPRODUCT(--($H$2:$H$501=K476),$I$2:$I$501),0))</f>
        <v/>
      </c>
      <c r="Q476">
        <f>IF(K476="","",TRUE)</f>
        <v/>
      </c>
      <c r="R476">
        <f>IF(K476="","",SUMPRODUCT(--($H$2:$H$501=K476))&gt;0)</f>
        <v/>
      </c>
      <c r="S476">
        <f>IF(K476="","",IF(AND(Q476,R476),IF(O476=P476,"Match","Qty Different"),IF(Q476,"Only in List 1","Only in List 2")))</f>
        <v/>
      </c>
      <c r="T476">
        <f>IF(K476="","",IF(ISNUMBER(--L476),TEXT(--L476,"000000000000.000"),LOWER(L476)))</f>
        <v/>
      </c>
      <c r="U476">
        <f>IF(K476="","",IF(ISNUMBER(--M476),TEXT(--M476,"000000000000.000"),LOWER(M476)))</f>
        <v/>
      </c>
      <c r="V476">
        <f>IF(K476="","",LOWER(N476))</f>
        <v/>
      </c>
      <c r="W476">
        <f>IF(K476="","",B476)</f>
        <v/>
      </c>
      <c r="X476">
        <f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>
      <c r="A477">
        <f>IF(TRIM('List 1'!A477&amp;'List 1'!C477&amp;'List 1'!D477)="","",LOWER(TRIM('List 1'!A477)&amp;"|"&amp;TRIM('List 1'!C477)&amp;"|"&amp;TRIM('List 1'!D477)))</f>
        <v/>
      </c>
      <c r="B477">
        <f>IF(A477="","",SUMPRODUCT(--($A$2:A477=A477)))</f>
        <v/>
      </c>
      <c r="C477">
        <f>IF(A477="","",A477&amp;"#"&amp;B477)</f>
        <v/>
      </c>
      <c r="D477">
        <f>IF(A477="","",IFERROR(--'List 1'!B477,0))</f>
        <v/>
      </c>
      <c r="F477">
        <f>IF(TRIM('List 2'!A477&amp;'List 2'!C477&amp;'List 2'!D477)="","",LOWER(TRIM('List 2'!A477)&amp;"|"&amp;TRIM('List 2'!C477)&amp;"|"&amp;TRIM('List 2'!D477)))</f>
        <v/>
      </c>
      <c r="G477">
        <f>IF(F477="","",SUMPRODUCT(--($F$2:F477=F477)))</f>
        <v/>
      </c>
      <c r="H477">
        <f>IF(F477="","",F477&amp;"#"&amp;G477)</f>
        <v/>
      </c>
      <c r="I477">
        <f>IF(F477="","",IFERROR(--'List 2'!B477,0))</f>
        <v/>
      </c>
      <c r="K477">
        <f>C477</f>
        <v/>
      </c>
      <c r="L477">
        <f>IF(K477="","",IF(ISNUMBER('List 1'!A477),'List 1'!A477,TRIM('List 1'!A477)))</f>
        <v/>
      </c>
      <c r="M477">
        <f>IF(K477="","",IF(ISNUMBER('List 1'!C477),'List 1'!C477,TRIM('List 1'!C477)))</f>
        <v/>
      </c>
      <c r="N477">
        <f>IF(K477="","",IF(ISNUMBER('List 1'!D477),'List 1'!D477,TRIM('List 1'!D477)))</f>
        <v/>
      </c>
      <c r="O477">
        <f>IF(K477="","",D477)</f>
        <v/>
      </c>
      <c r="P477">
        <f>IF(K477="","",IF(R477,SUMPRODUCT(--($H$2:$H$501=K477),$I$2:$I$501),0))</f>
        <v/>
      </c>
      <c r="Q477">
        <f>IF(K477="","",TRUE)</f>
        <v/>
      </c>
      <c r="R477">
        <f>IF(K477="","",SUMPRODUCT(--($H$2:$H$501=K477))&gt;0)</f>
        <v/>
      </c>
      <c r="S477">
        <f>IF(K477="","",IF(AND(Q477,R477),IF(O477=P477,"Match","Qty Different"),IF(Q477,"Only in List 1","Only in List 2")))</f>
        <v/>
      </c>
      <c r="T477">
        <f>IF(K477="","",IF(ISNUMBER(--L477),TEXT(--L477,"000000000000.000"),LOWER(L477)))</f>
        <v/>
      </c>
      <c r="U477">
        <f>IF(K477="","",IF(ISNUMBER(--M477),TEXT(--M477,"000000000000.000"),LOWER(M477)))</f>
        <v/>
      </c>
      <c r="V477">
        <f>IF(K477="","",LOWER(N477))</f>
        <v/>
      </c>
      <c r="W477">
        <f>IF(K477="","",B477)</f>
        <v/>
      </c>
      <c r="X477">
        <f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>
      <c r="A478">
        <f>IF(TRIM('List 1'!A478&amp;'List 1'!C478&amp;'List 1'!D478)="","",LOWER(TRIM('List 1'!A478)&amp;"|"&amp;TRIM('List 1'!C478)&amp;"|"&amp;TRIM('List 1'!D478)))</f>
        <v/>
      </c>
      <c r="B478">
        <f>IF(A478="","",SUMPRODUCT(--($A$2:A478=A478)))</f>
        <v/>
      </c>
      <c r="C478">
        <f>IF(A478="","",A478&amp;"#"&amp;B478)</f>
        <v/>
      </c>
      <c r="D478">
        <f>IF(A478="","",IFERROR(--'List 1'!B478,0))</f>
        <v/>
      </c>
      <c r="F478">
        <f>IF(TRIM('List 2'!A478&amp;'List 2'!C478&amp;'List 2'!D478)="","",LOWER(TRIM('List 2'!A478)&amp;"|"&amp;TRIM('List 2'!C478)&amp;"|"&amp;TRIM('List 2'!D478)))</f>
        <v/>
      </c>
      <c r="G478">
        <f>IF(F478="","",SUMPRODUCT(--($F$2:F478=F478)))</f>
        <v/>
      </c>
      <c r="H478">
        <f>IF(F478="","",F478&amp;"#"&amp;G478)</f>
        <v/>
      </c>
      <c r="I478">
        <f>IF(F478="","",IFERROR(--'List 2'!B478,0))</f>
        <v/>
      </c>
      <c r="K478">
        <f>C478</f>
        <v/>
      </c>
      <c r="L478">
        <f>IF(K478="","",IF(ISNUMBER('List 1'!A478),'List 1'!A478,TRIM('List 1'!A478)))</f>
        <v/>
      </c>
      <c r="M478">
        <f>IF(K478="","",IF(ISNUMBER('List 1'!C478),'List 1'!C478,TRIM('List 1'!C478)))</f>
        <v/>
      </c>
      <c r="N478">
        <f>IF(K478="","",IF(ISNUMBER('List 1'!D478),'List 1'!D478,TRIM('List 1'!D478)))</f>
        <v/>
      </c>
      <c r="O478">
        <f>IF(K478="","",D478)</f>
        <v/>
      </c>
      <c r="P478">
        <f>IF(K478="","",IF(R478,SUMPRODUCT(--($H$2:$H$501=K478),$I$2:$I$501),0))</f>
        <v/>
      </c>
      <c r="Q478">
        <f>IF(K478="","",TRUE)</f>
        <v/>
      </c>
      <c r="R478">
        <f>IF(K478="","",SUMPRODUCT(--($H$2:$H$501=K478))&gt;0)</f>
        <v/>
      </c>
      <c r="S478">
        <f>IF(K478="","",IF(AND(Q478,R478),IF(O478=P478,"Match","Qty Different"),IF(Q478,"Only in List 1","Only in List 2")))</f>
        <v/>
      </c>
      <c r="T478">
        <f>IF(K478="","",IF(ISNUMBER(--L478),TEXT(--L478,"000000000000.000"),LOWER(L478)))</f>
        <v/>
      </c>
      <c r="U478">
        <f>IF(K478="","",IF(ISNUMBER(--M478),TEXT(--M478,"000000000000.000"),LOWER(M478)))</f>
        <v/>
      </c>
      <c r="V478">
        <f>IF(K478="","",LOWER(N478))</f>
        <v/>
      </c>
      <c r="W478">
        <f>IF(K478="","",B478)</f>
        <v/>
      </c>
      <c r="X478">
        <f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>
      <c r="A479">
        <f>IF(TRIM('List 1'!A479&amp;'List 1'!C479&amp;'List 1'!D479)="","",LOWER(TRIM('List 1'!A479)&amp;"|"&amp;TRIM('List 1'!C479)&amp;"|"&amp;TRIM('List 1'!D479)))</f>
        <v/>
      </c>
      <c r="B479">
        <f>IF(A479="","",SUMPRODUCT(--($A$2:A479=A479)))</f>
        <v/>
      </c>
      <c r="C479">
        <f>IF(A479="","",A479&amp;"#"&amp;B479)</f>
        <v/>
      </c>
      <c r="D479">
        <f>IF(A479="","",IFERROR(--'List 1'!B479,0))</f>
        <v/>
      </c>
      <c r="F479">
        <f>IF(TRIM('List 2'!A479&amp;'List 2'!C479&amp;'List 2'!D479)="","",LOWER(TRIM('List 2'!A479)&amp;"|"&amp;TRIM('List 2'!C479)&amp;"|"&amp;TRIM('List 2'!D479)))</f>
        <v/>
      </c>
      <c r="G479">
        <f>IF(F479="","",SUMPRODUCT(--($F$2:F479=F479)))</f>
        <v/>
      </c>
      <c r="H479">
        <f>IF(F479="","",F479&amp;"#"&amp;G479)</f>
        <v/>
      </c>
      <c r="I479">
        <f>IF(F479="","",IFERROR(--'List 2'!B479,0))</f>
        <v/>
      </c>
      <c r="K479">
        <f>C479</f>
        <v/>
      </c>
      <c r="L479">
        <f>IF(K479="","",IF(ISNUMBER('List 1'!A479),'List 1'!A479,TRIM('List 1'!A479)))</f>
        <v/>
      </c>
      <c r="M479">
        <f>IF(K479="","",IF(ISNUMBER('List 1'!C479),'List 1'!C479,TRIM('List 1'!C479)))</f>
        <v/>
      </c>
      <c r="N479">
        <f>IF(K479="","",IF(ISNUMBER('List 1'!D479),'List 1'!D479,TRIM('List 1'!D479)))</f>
        <v/>
      </c>
      <c r="O479">
        <f>IF(K479="","",D479)</f>
        <v/>
      </c>
      <c r="P479">
        <f>IF(K479="","",IF(R479,SUMPRODUCT(--($H$2:$H$501=K479),$I$2:$I$501),0))</f>
        <v/>
      </c>
      <c r="Q479">
        <f>IF(K479="","",TRUE)</f>
        <v/>
      </c>
      <c r="R479">
        <f>IF(K479="","",SUMPRODUCT(--($H$2:$H$501=K479))&gt;0)</f>
        <v/>
      </c>
      <c r="S479">
        <f>IF(K479="","",IF(AND(Q479,R479),IF(O479=P479,"Match","Qty Different"),IF(Q479,"Only in List 1","Only in List 2")))</f>
        <v/>
      </c>
      <c r="T479">
        <f>IF(K479="","",IF(ISNUMBER(--L479),TEXT(--L479,"000000000000.000"),LOWER(L479)))</f>
        <v/>
      </c>
      <c r="U479">
        <f>IF(K479="","",IF(ISNUMBER(--M479),TEXT(--M479,"000000000000.000"),LOWER(M479)))</f>
        <v/>
      </c>
      <c r="V479">
        <f>IF(K479="","",LOWER(N479))</f>
        <v/>
      </c>
      <c r="W479">
        <f>IF(K479="","",B479)</f>
        <v/>
      </c>
      <c r="X479">
        <f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>
      <c r="A480">
        <f>IF(TRIM('List 1'!A480&amp;'List 1'!C480&amp;'List 1'!D480)="","",LOWER(TRIM('List 1'!A480)&amp;"|"&amp;TRIM('List 1'!C480)&amp;"|"&amp;TRIM('List 1'!D480)))</f>
        <v/>
      </c>
      <c r="B480">
        <f>IF(A480="","",SUMPRODUCT(--($A$2:A480=A480)))</f>
        <v/>
      </c>
      <c r="C480">
        <f>IF(A480="","",A480&amp;"#"&amp;B480)</f>
        <v/>
      </c>
      <c r="D480">
        <f>IF(A480="","",IFERROR(--'List 1'!B480,0))</f>
        <v/>
      </c>
      <c r="F480">
        <f>IF(TRIM('List 2'!A480&amp;'List 2'!C480&amp;'List 2'!D480)="","",LOWER(TRIM('List 2'!A480)&amp;"|"&amp;TRIM('List 2'!C480)&amp;"|"&amp;TRIM('List 2'!D480)))</f>
        <v/>
      </c>
      <c r="G480">
        <f>IF(F480="","",SUMPRODUCT(--($F$2:F480=F480)))</f>
        <v/>
      </c>
      <c r="H480">
        <f>IF(F480="","",F480&amp;"#"&amp;G480)</f>
        <v/>
      </c>
      <c r="I480">
        <f>IF(F480="","",IFERROR(--'List 2'!B480,0))</f>
        <v/>
      </c>
      <c r="K480">
        <f>C480</f>
        <v/>
      </c>
      <c r="L480">
        <f>IF(K480="","",IF(ISNUMBER('List 1'!A480),'List 1'!A480,TRIM('List 1'!A480)))</f>
        <v/>
      </c>
      <c r="M480">
        <f>IF(K480="","",IF(ISNUMBER('List 1'!C480),'List 1'!C480,TRIM('List 1'!C480)))</f>
        <v/>
      </c>
      <c r="N480">
        <f>IF(K480="","",IF(ISNUMBER('List 1'!D480),'List 1'!D480,TRIM('List 1'!D480)))</f>
        <v/>
      </c>
      <c r="O480">
        <f>IF(K480="","",D480)</f>
        <v/>
      </c>
      <c r="P480">
        <f>IF(K480="","",IF(R480,SUMPRODUCT(--($H$2:$H$501=K480),$I$2:$I$501),0))</f>
        <v/>
      </c>
      <c r="Q480">
        <f>IF(K480="","",TRUE)</f>
        <v/>
      </c>
      <c r="R480">
        <f>IF(K480="","",SUMPRODUCT(--($H$2:$H$501=K480))&gt;0)</f>
        <v/>
      </c>
      <c r="S480">
        <f>IF(K480="","",IF(AND(Q480,R480),IF(O480=P480,"Match","Qty Different"),IF(Q480,"Only in List 1","Only in List 2")))</f>
        <v/>
      </c>
      <c r="T480">
        <f>IF(K480="","",IF(ISNUMBER(--L480),TEXT(--L480,"000000000000.000"),LOWER(L480)))</f>
        <v/>
      </c>
      <c r="U480">
        <f>IF(K480="","",IF(ISNUMBER(--M480),TEXT(--M480,"000000000000.000"),LOWER(M480)))</f>
        <v/>
      </c>
      <c r="V480">
        <f>IF(K480="","",LOWER(N480))</f>
        <v/>
      </c>
      <c r="W480">
        <f>IF(K480="","",B480)</f>
        <v/>
      </c>
      <c r="X480">
        <f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>
      <c r="A481">
        <f>IF(TRIM('List 1'!A481&amp;'List 1'!C481&amp;'List 1'!D481)="","",LOWER(TRIM('List 1'!A481)&amp;"|"&amp;TRIM('List 1'!C481)&amp;"|"&amp;TRIM('List 1'!D481)))</f>
        <v/>
      </c>
      <c r="B481">
        <f>IF(A481="","",SUMPRODUCT(--($A$2:A481=A481)))</f>
        <v/>
      </c>
      <c r="C481">
        <f>IF(A481="","",A481&amp;"#"&amp;B481)</f>
        <v/>
      </c>
      <c r="D481">
        <f>IF(A481="","",IFERROR(--'List 1'!B481,0))</f>
        <v/>
      </c>
      <c r="F481">
        <f>IF(TRIM('List 2'!A481&amp;'List 2'!C481&amp;'List 2'!D481)="","",LOWER(TRIM('List 2'!A481)&amp;"|"&amp;TRIM('List 2'!C481)&amp;"|"&amp;TRIM('List 2'!D481)))</f>
        <v/>
      </c>
      <c r="G481">
        <f>IF(F481="","",SUMPRODUCT(--($F$2:F481=F481)))</f>
        <v/>
      </c>
      <c r="H481">
        <f>IF(F481="","",F481&amp;"#"&amp;G481)</f>
        <v/>
      </c>
      <c r="I481">
        <f>IF(F481="","",IFERROR(--'List 2'!B481,0))</f>
        <v/>
      </c>
      <c r="K481">
        <f>C481</f>
        <v/>
      </c>
      <c r="L481">
        <f>IF(K481="","",IF(ISNUMBER('List 1'!A481),'List 1'!A481,TRIM('List 1'!A481)))</f>
        <v/>
      </c>
      <c r="M481">
        <f>IF(K481="","",IF(ISNUMBER('List 1'!C481),'List 1'!C481,TRIM('List 1'!C481)))</f>
        <v/>
      </c>
      <c r="N481">
        <f>IF(K481="","",IF(ISNUMBER('List 1'!D481),'List 1'!D481,TRIM('List 1'!D481)))</f>
        <v/>
      </c>
      <c r="O481">
        <f>IF(K481="","",D481)</f>
        <v/>
      </c>
      <c r="P481">
        <f>IF(K481="","",IF(R481,SUMPRODUCT(--($H$2:$H$501=K481),$I$2:$I$501),0))</f>
        <v/>
      </c>
      <c r="Q481">
        <f>IF(K481="","",TRUE)</f>
        <v/>
      </c>
      <c r="R481">
        <f>IF(K481="","",SUMPRODUCT(--($H$2:$H$501=K481))&gt;0)</f>
        <v/>
      </c>
      <c r="S481">
        <f>IF(K481="","",IF(AND(Q481,R481),IF(O481=P481,"Match","Qty Different"),IF(Q481,"Only in List 1","Only in List 2")))</f>
        <v/>
      </c>
      <c r="T481">
        <f>IF(K481="","",IF(ISNUMBER(--L481),TEXT(--L481,"000000000000.000"),LOWER(L481)))</f>
        <v/>
      </c>
      <c r="U481">
        <f>IF(K481="","",IF(ISNUMBER(--M481),TEXT(--M481,"000000000000.000"),LOWER(M481)))</f>
        <v/>
      </c>
      <c r="V481">
        <f>IF(K481="","",LOWER(N481))</f>
        <v/>
      </c>
      <c r="W481">
        <f>IF(K481="","",B481)</f>
        <v/>
      </c>
      <c r="X481">
        <f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>
      <c r="A482">
        <f>IF(TRIM('List 1'!A482&amp;'List 1'!C482&amp;'List 1'!D482)="","",LOWER(TRIM('List 1'!A482)&amp;"|"&amp;TRIM('List 1'!C482)&amp;"|"&amp;TRIM('List 1'!D482)))</f>
        <v/>
      </c>
      <c r="B482">
        <f>IF(A482="","",SUMPRODUCT(--($A$2:A482=A482)))</f>
        <v/>
      </c>
      <c r="C482">
        <f>IF(A482="","",A482&amp;"#"&amp;B482)</f>
        <v/>
      </c>
      <c r="D482">
        <f>IF(A482="","",IFERROR(--'List 1'!B482,0))</f>
        <v/>
      </c>
      <c r="F482">
        <f>IF(TRIM('List 2'!A482&amp;'List 2'!C482&amp;'List 2'!D482)="","",LOWER(TRIM('List 2'!A482)&amp;"|"&amp;TRIM('List 2'!C482)&amp;"|"&amp;TRIM('List 2'!D482)))</f>
        <v/>
      </c>
      <c r="G482">
        <f>IF(F482="","",SUMPRODUCT(--($F$2:F482=F482)))</f>
        <v/>
      </c>
      <c r="H482">
        <f>IF(F482="","",F482&amp;"#"&amp;G482)</f>
        <v/>
      </c>
      <c r="I482">
        <f>IF(F482="","",IFERROR(--'List 2'!B482,0))</f>
        <v/>
      </c>
      <c r="K482">
        <f>C482</f>
        <v/>
      </c>
      <c r="L482">
        <f>IF(K482="","",IF(ISNUMBER('List 1'!A482),'List 1'!A482,TRIM('List 1'!A482)))</f>
        <v/>
      </c>
      <c r="M482">
        <f>IF(K482="","",IF(ISNUMBER('List 1'!C482),'List 1'!C482,TRIM('List 1'!C482)))</f>
        <v/>
      </c>
      <c r="N482">
        <f>IF(K482="","",IF(ISNUMBER('List 1'!D482),'List 1'!D482,TRIM('List 1'!D482)))</f>
        <v/>
      </c>
      <c r="O482">
        <f>IF(K482="","",D482)</f>
        <v/>
      </c>
      <c r="P482">
        <f>IF(K482="","",IF(R482,SUMPRODUCT(--($H$2:$H$501=K482),$I$2:$I$501),0))</f>
        <v/>
      </c>
      <c r="Q482">
        <f>IF(K482="","",TRUE)</f>
        <v/>
      </c>
      <c r="R482">
        <f>IF(K482="","",SUMPRODUCT(--($H$2:$H$501=K482))&gt;0)</f>
        <v/>
      </c>
      <c r="S482">
        <f>IF(K482="","",IF(AND(Q482,R482),IF(O482=P482,"Match","Qty Different"),IF(Q482,"Only in List 1","Only in List 2")))</f>
        <v/>
      </c>
      <c r="T482">
        <f>IF(K482="","",IF(ISNUMBER(--L482),TEXT(--L482,"000000000000.000"),LOWER(L482)))</f>
        <v/>
      </c>
      <c r="U482">
        <f>IF(K482="","",IF(ISNUMBER(--M482),TEXT(--M482,"000000000000.000"),LOWER(M482)))</f>
        <v/>
      </c>
      <c r="V482">
        <f>IF(K482="","",LOWER(N482))</f>
        <v/>
      </c>
      <c r="W482">
        <f>IF(K482="","",B482)</f>
        <v/>
      </c>
      <c r="X482">
        <f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>
      <c r="A483">
        <f>IF(TRIM('List 1'!A483&amp;'List 1'!C483&amp;'List 1'!D483)="","",LOWER(TRIM('List 1'!A483)&amp;"|"&amp;TRIM('List 1'!C483)&amp;"|"&amp;TRIM('List 1'!D483)))</f>
        <v/>
      </c>
      <c r="B483">
        <f>IF(A483="","",SUMPRODUCT(--($A$2:A483=A483)))</f>
        <v/>
      </c>
      <c r="C483">
        <f>IF(A483="","",A483&amp;"#"&amp;B483)</f>
        <v/>
      </c>
      <c r="D483">
        <f>IF(A483="","",IFERROR(--'List 1'!B483,0))</f>
        <v/>
      </c>
      <c r="F483">
        <f>IF(TRIM('List 2'!A483&amp;'List 2'!C483&amp;'List 2'!D483)="","",LOWER(TRIM('List 2'!A483)&amp;"|"&amp;TRIM('List 2'!C483)&amp;"|"&amp;TRIM('List 2'!D483)))</f>
        <v/>
      </c>
      <c r="G483">
        <f>IF(F483="","",SUMPRODUCT(--($F$2:F483=F483)))</f>
        <v/>
      </c>
      <c r="H483">
        <f>IF(F483="","",F483&amp;"#"&amp;G483)</f>
        <v/>
      </c>
      <c r="I483">
        <f>IF(F483="","",IFERROR(--'List 2'!B483,0))</f>
        <v/>
      </c>
      <c r="K483">
        <f>C483</f>
        <v/>
      </c>
      <c r="L483">
        <f>IF(K483="","",IF(ISNUMBER('List 1'!A483),'List 1'!A483,TRIM('List 1'!A483)))</f>
        <v/>
      </c>
      <c r="M483">
        <f>IF(K483="","",IF(ISNUMBER('List 1'!C483),'List 1'!C483,TRIM('List 1'!C483)))</f>
        <v/>
      </c>
      <c r="N483">
        <f>IF(K483="","",IF(ISNUMBER('List 1'!D483),'List 1'!D483,TRIM('List 1'!D483)))</f>
        <v/>
      </c>
      <c r="O483">
        <f>IF(K483="","",D483)</f>
        <v/>
      </c>
      <c r="P483">
        <f>IF(K483="","",IF(R483,SUMPRODUCT(--($H$2:$H$501=K483),$I$2:$I$501),0))</f>
        <v/>
      </c>
      <c r="Q483">
        <f>IF(K483="","",TRUE)</f>
        <v/>
      </c>
      <c r="R483">
        <f>IF(K483="","",SUMPRODUCT(--($H$2:$H$501=K483))&gt;0)</f>
        <v/>
      </c>
      <c r="S483">
        <f>IF(K483="","",IF(AND(Q483,R483),IF(O483=P483,"Match","Qty Different"),IF(Q483,"Only in List 1","Only in List 2")))</f>
        <v/>
      </c>
      <c r="T483">
        <f>IF(K483="","",IF(ISNUMBER(--L483),TEXT(--L483,"000000000000.000"),LOWER(L483)))</f>
        <v/>
      </c>
      <c r="U483">
        <f>IF(K483="","",IF(ISNUMBER(--M483),TEXT(--M483,"000000000000.000"),LOWER(M483)))</f>
        <v/>
      </c>
      <c r="V483">
        <f>IF(K483="","",LOWER(N483))</f>
        <v/>
      </c>
      <c r="W483">
        <f>IF(K483="","",B483)</f>
        <v/>
      </c>
      <c r="X483">
        <f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>
      <c r="A484">
        <f>IF(TRIM('List 1'!A484&amp;'List 1'!C484&amp;'List 1'!D484)="","",LOWER(TRIM('List 1'!A484)&amp;"|"&amp;TRIM('List 1'!C484)&amp;"|"&amp;TRIM('List 1'!D484)))</f>
        <v/>
      </c>
      <c r="B484">
        <f>IF(A484="","",SUMPRODUCT(--($A$2:A484=A484)))</f>
        <v/>
      </c>
      <c r="C484">
        <f>IF(A484="","",A484&amp;"#"&amp;B484)</f>
        <v/>
      </c>
      <c r="D484">
        <f>IF(A484="","",IFERROR(--'List 1'!B484,0))</f>
        <v/>
      </c>
      <c r="F484">
        <f>IF(TRIM('List 2'!A484&amp;'List 2'!C484&amp;'List 2'!D484)="","",LOWER(TRIM('List 2'!A484)&amp;"|"&amp;TRIM('List 2'!C484)&amp;"|"&amp;TRIM('List 2'!D484)))</f>
        <v/>
      </c>
      <c r="G484">
        <f>IF(F484="","",SUMPRODUCT(--($F$2:F484=F484)))</f>
        <v/>
      </c>
      <c r="H484">
        <f>IF(F484="","",F484&amp;"#"&amp;G484)</f>
        <v/>
      </c>
      <c r="I484">
        <f>IF(F484="","",IFERROR(--'List 2'!B484,0))</f>
        <v/>
      </c>
      <c r="K484">
        <f>C484</f>
        <v/>
      </c>
      <c r="L484">
        <f>IF(K484="","",IF(ISNUMBER('List 1'!A484),'List 1'!A484,TRIM('List 1'!A484)))</f>
        <v/>
      </c>
      <c r="M484">
        <f>IF(K484="","",IF(ISNUMBER('List 1'!C484),'List 1'!C484,TRIM('List 1'!C484)))</f>
        <v/>
      </c>
      <c r="N484">
        <f>IF(K484="","",IF(ISNUMBER('List 1'!D484),'List 1'!D484,TRIM('List 1'!D484)))</f>
        <v/>
      </c>
      <c r="O484">
        <f>IF(K484="","",D484)</f>
        <v/>
      </c>
      <c r="P484">
        <f>IF(K484="","",IF(R484,SUMPRODUCT(--($H$2:$H$501=K484),$I$2:$I$501),0))</f>
        <v/>
      </c>
      <c r="Q484">
        <f>IF(K484="","",TRUE)</f>
        <v/>
      </c>
      <c r="R484">
        <f>IF(K484="","",SUMPRODUCT(--($H$2:$H$501=K484))&gt;0)</f>
        <v/>
      </c>
      <c r="S484">
        <f>IF(K484="","",IF(AND(Q484,R484),IF(O484=P484,"Match","Qty Different"),IF(Q484,"Only in List 1","Only in List 2")))</f>
        <v/>
      </c>
      <c r="T484">
        <f>IF(K484="","",IF(ISNUMBER(--L484),TEXT(--L484,"000000000000.000"),LOWER(L484)))</f>
        <v/>
      </c>
      <c r="U484">
        <f>IF(K484="","",IF(ISNUMBER(--M484),TEXT(--M484,"000000000000.000"),LOWER(M484)))</f>
        <v/>
      </c>
      <c r="V484">
        <f>IF(K484="","",LOWER(N484))</f>
        <v/>
      </c>
      <c r="W484">
        <f>IF(K484="","",B484)</f>
        <v/>
      </c>
      <c r="X484">
        <f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>
      <c r="A485">
        <f>IF(TRIM('List 1'!A485&amp;'List 1'!C485&amp;'List 1'!D485)="","",LOWER(TRIM('List 1'!A485)&amp;"|"&amp;TRIM('List 1'!C485)&amp;"|"&amp;TRIM('List 1'!D485)))</f>
        <v/>
      </c>
      <c r="B485">
        <f>IF(A485="","",SUMPRODUCT(--($A$2:A485=A485)))</f>
        <v/>
      </c>
      <c r="C485">
        <f>IF(A485="","",A485&amp;"#"&amp;B485)</f>
        <v/>
      </c>
      <c r="D485">
        <f>IF(A485="","",IFERROR(--'List 1'!B485,0))</f>
        <v/>
      </c>
      <c r="F485">
        <f>IF(TRIM('List 2'!A485&amp;'List 2'!C485&amp;'List 2'!D485)="","",LOWER(TRIM('List 2'!A485)&amp;"|"&amp;TRIM('List 2'!C485)&amp;"|"&amp;TRIM('List 2'!D485)))</f>
        <v/>
      </c>
      <c r="G485">
        <f>IF(F485="","",SUMPRODUCT(--($F$2:F485=F485)))</f>
        <v/>
      </c>
      <c r="H485">
        <f>IF(F485="","",F485&amp;"#"&amp;G485)</f>
        <v/>
      </c>
      <c r="I485">
        <f>IF(F485="","",IFERROR(--'List 2'!B485,0))</f>
        <v/>
      </c>
      <c r="K485">
        <f>C485</f>
        <v/>
      </c>
      <c r="L485">
        <f>IF(K485="","",IF(ISNUMBER('List 1'!A485),'List 1'!A485,TRIM('List 1'!A485)))</f>
        <v/>
      </c>
      <c r="M485">
        <f>IF(K485="","",IF(ISNUMBER('List 1'!C485),'List 1'!C485,TRIM('List 1'!C485)))</f>
        <v/>
      </c>
      <c r="N485">
        <f>IF(K485="","",IF(ISNUMBER('List 1'!D485),'List 1'!D485,TRIM('List 1'!D485)))</f>
        <v/>
      </c>
      <c r="O485">
        <f>IF(K485="","",D485)</f>
        <v/>
      </c>
      <c r="P485">
        <f>IF(K485="","",IF(R485,SUMPRODUCT(--($H$2:$H$501=K485),$I$2:$I$501),0))</f>
        <v/>
      </c>
      <c r="Q485">
        <f>IF(K485="","",TRUE)</f>
        <v/>
      </c>
      <c r="R485">
        <f>IF(K485="","",SUMPRODUCT(--($H$2:$H$501=K485))&gt;0)</f>
        <v/>
      </c>
      <c r="S485">
        <f>IF(K485="","",IF(AND(Q485,R485),IF(O485=P485,"Match","Qty Different"),IF(Q485,"Only in List 1","Only in List 2")))</f>
        <v/>
      </c>
      <c r="T485">
        <f>IF(K485="","",IF(ISNUMBER(--L485),TEXT(--L485,"000000000000.000"),LOWER(L485)))</f>
        <v/>
      </c>
      <c r="U485">
        <f>IF(K485="","",IF(ISNUMBER(--M485),TEXT(--M485,"000000000000.000"),LOWER(M485)))</f>
        <v/>
      </c>
      <c r="V485">
        <f>IF(K485="","",LOWER(N485))</f>
        <v/>
      </c>
      <c r="W485">
        <f>IF(K485="","",B485)</f>
        <v/>
      </c>
      <c r="X485">
        <f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>
      <c r="A486">
        <f>IF(TRIM('List 1'!A486&amp;'List 1'!C486&amp;'List 1'!D486)="","",LOWER(TRIM('List 1'!A486)&amp;"|"&amp;TRIM('List 1'!C486)&amp;"|"&amp;TRIM('List 1'!D486)))</f>
        <v/>
      </c>
      <c r="B486">
        <f>IF(A486="","",SUMPRODUCT(--($A$2:A486=A486)))</f>
        <v/>
      </c>
      <c r="C486">
        <f>IF(A486="","",A486&amp;"#"&amp;B486)</f>
        <v/>
      </c>
      <c r="D486">
        <f>IF(A486="","",IFERROR(--'List 1'!B486,0))</f>
        <v/>
      </c>
      <c r="F486">
        <f>IF(TRIM('List 2'!A486&amp;'List 2'!C486&amp;'List 2'!D486)="","",LOWER(TRIM('List 2'!A486)&amp;"|"&amp;TRIM('List 2'!C486)&amp;"|"&amp;TRIM('List 2'!D486)))</f>
        <v/>
      </c>
      <c r="G486">
        <f>IF(F486="","",SUMPRODUCT(--($F$2:F486=F486)))</f>
        <v/>
      </c>
      <c r="H486">
        <f>IF(F486="","",F486&amp;"#"&amp;G486)</f>
        <v/>
      </c>
      <c r="I486">
        <f>IF(F486="","",IFERROR(--'List 2'!B486,0))</f>
        <v/>
      </c>
      <c r="K486">
        <f>C486</f>
        <v/>
      </c>
      <c r="L486">
        <f>IF(K486="","",IF(ISNUMBER('List 1'!A486),'List 1'!A486,TRIM('List 1'!A486)))</f>
        <v/>
      </c>
      <c r="M486">
        <f>IF(K486="","",IF(ISNUMBER('List 1'!C486),'List 1'!C486,TRIM('List 1'!C486)))</f>
        <v/>
      </c>
      <c r="N486">
        <f>IF(K486="","",IF(ISNUMBER('List 1'!D486),'List 1'!D486,TRIM('List 1'!D486)))</f>
        <v/>
      </c>
      <c r="O486">
        <f>IF(K486="","",D486)</f>
        <v/>
      </c>
      <c r="P486">
        <f>IF(K486="","",IF(R486,SUMPRODUCT(--($H$2:$H$501=K486),$I$2:$I$501),0))</f>
        <v/>
      </c>
      <c r="Q486">
        <f>IF(K486="","",TRUE)</f>
        <v/>
      </c>
      <c r="R486">
        <f>IF(K486="","",SUMPRODUCT(--($H$2:$H$501=K486))&gt;0)</f>
        <v/>
      </c>
      <c r="S486">
        <f>IF(K486="","",IF(AND(Q486,R486),IF(O486=P486,"Match","Qty Different"),IF(Q486,"Only in List 1","Only in List 2")))</f>
        <v/>
      </c>
      <c r="T486">
        <f>IF(K486="","",IF(ISNUMBER(--L486),TEXT(--L486,"000000000000.000"),LOWER(L486)))</f>
        <v/>
      </c>
      <c r="U486">
        <f>IF(K486="","",IF(ISNUMBER(--M486),TEXT(--M486,"000000000000.000"),LOWER(M486)))</f>
        <v/>
      </c>
      <c r="V486">
        <f>IF(K486="","",LOWER(N486))</f>
        <v/>
      </c>
      <c r="W486">
        <f>IF(K486="","",B486)</f>
        <v/>
      </c>
      <c r="X486">
        <f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>
      <c r="A487">
        <f>IF(TRIM('List 1'!A487&amp;'List 1'!C487&amp;'List 1'!D487)="","",LOWER(TRIM('List 1'!A487)&amp;"|"&amp;TRIM('List 1'!C487)&amp;"|"&amp;TRIM('List 1'!D487)))</f>
        <v/>
      </c>
      <c r="B487">
        <f>IF(A487="","",SUMPRODUCT(--($A$2:A487=A487)))</f>
        <v/>
      </c>
      <c r="C487">
        <f>IF(A487="","",A487&amp;"#"&amp;B487)</f>
        <v/>
      </c>
      <c r="D487">
        <f>IF(A487="","",IFERROR(--'List 1'!B487,0))</f>
        <v/>
      </c>
      <c r="F487">
        <f>IF(TRIM('List 2'!A487&amp;'List 2'!C487&amp;'List 2'!D487)="","",LOWER(TRIM('List 2'!A487)&amp;"|"&amp;TRIM('List 2'!C487)&amp;"|"&amp;TRIM('List 2'!D487)))</f>
        <v/>
      </c>
      <c r="G487">
        <f>IF(F487="","",SUMPRODUCT(--($F$2:F487=F487)))</f>
        <v/>
      </c>
      <c r="H487">
        <f>IF(F487="","",F487&amp;"#"&amp;G487)</f>
        <v/>
      </c>
      <c r="I487">
        <f>IF(F487="","",IFERROR(--'List 2'!B487,0))</f>
        <v/>
      </c>
      <c r="K487">
        <f>C487</f>
        <v/>
      </c>
      <c r="L487">
        <f>IF(K487="","",IF(ISNUMBER('List 1'!A487),'List 1'!A487,TRIM('List 1'!A487)))</f>
        <v/>
      </c>
      <c r="M487">
        <f>IF(K487="","",IF(ISNUMBER('List 1'!C487),'List 1'!C487,TRIM('List 1'!C487)))</f>
        <v/>
      </c>
      <c r="N487">
        <f>IF(K487="","",IF(ISNUMBER('List 1'!D487),'List 1'!D487,TRIM('List 1'!D487)))</f>
        <v/>
      </c>
      <c r="O487">
        <f>IF(K487="","",D487)</f>
        <v/>
      </c>
      <c r="P487">
        <f>IF(K487="","",IF(R487,SUMPRODUCT(--($H$2:$H$501=K487),$I$2:$I$501),0))</f>
        <v/>
      </c>
      <c r="Q487">
        <f>IF(K487="","",TRUE)</f>
        <v/>
      </c>
      <c r="R487">
        <f>IF(K487="","",SUMPRODUCT(--($H$2:$H$501=K487))&gt;0)</f>
        <v/>
      </c>
      <c r="S487">
        <f>IF(K487="","",IF(AND(Q487,R487),IF(O487=P487,"Match","Qty Different"),IF(Q487,"Only in List 1","Only in List 2")))</f>
        <v/>
      </c>
      <c r="T487">
        <f>IF(K487="","",IF(ISNUMBER(--L487),TEXT(--L487,"000000000000.000"),LOWER(L487)))</f>
        <v/>
      </c>
      <c r="U487">
        <f>IF(K487="","",IF(ISNUMBER(--M487),TEXT(--M487,"000000000000.000"),LOWER(M487)))</f>
        <v/>
      </c>
      <c r="V487">
        <f>IF(K487="","",LOWER(N487))</f>
        <v/>
      </c>
      <c r="W487">
        <f>IF(K487="","",B487)</f>
        <v/>
      </c>
      <c r="X487">
        <f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>
      <c r="A488">
        <f>IF(TRIM('List 1'!A488&amp;'List 1'!C488&amp;'List 1'!D488)="","",LOWER(TRIM('List 1'!A488)&amp;"|"&amp;TRIM('List 1'!C488)&amp;"|"&amp;TRIM('List 1'!D488)))</f>
        <v/>
      </c>
      <c r="B488">
        <f>IF(A488="","",SUMPRODUCT(--($A$2:A488=A488)))</f>
        <v/>
      </c>
      <c r="C488">
        <f>IF(A488="","",A488&amp;"#"&amp;B488)</f>
        <v/>
      </c>
      <c r="D488">
        <f>IF(A488="","",IFERROR(--'List 1'!B488,0))</f>
        <v/>
      </c>
      <c r="F488">
        <f>IF(TRIM('List 2'!A488&amp;'List 2'!C488&amp;'List 2'!D488)="","",LOWER(TRIM('List 2'!A488)&amp;"|"&amp;TRIM('List 2'!C488)&amp;"|"&amp;TRIM('List 2'!D488)))</f>
        <v/>
      </c>
      <c r="G488">
        <f>IF(F488="","",SUMPRODUCT(--($F$2:F488=F488)))</f>
        <v/>
      </c>
      <c r="H488">
        <f>IF(F488="","",F488&amp;"#"&amp;G488)</f>
        <v/>
      </c>
      <c r="I488">
        <f>IF(F488="","",IFERROR(--'List 2'!B488,0))</f>
        <v/>
      </c>
      <c r="K488">
        <f>C488</f>
        <v/>
      </c>
      <c r="L488">
        <f>IF(K488="","",IF(ISNUMBER('List 1'!A488),'List 1'!A488,TRIM('List 1'!A488)))</f>
        <v/>
      </c>
      <c r="M488">
        <f>IF(K488="","",IF(ISNUMBER('List 1'!C488),'List 1'!C488,TRIM('List 1'!C488)))</f>
        <v/>
      </c>
      <c r="N488">
        <f>IF(K488="","",IF(ISNUMBER('List 1'!D488),'List 1'!D488,TRIM('List 1'!D488)))</f>
        <v/>
      </c>
      <c r="O488">
        <f>IF(K488="","",D488)</f>
        <v/>
      </c>
      <c r="P488">
        <f>IF(K488="","",IF(R488,SUMPRODUCT(--($H$2:$H$501=K488),$I$2:$I$501),0))</f>
        <v/>
      </c>
      <c r="Q488">
        <f>IF(K488="","",TRUE)</f>
        <v/>
      </c>
      <c r="R488">
        <f>IF(K488="","",SUMPRODUCT(--($H$2:$H$501=K488))&gt;0)</f>
        <v/>
      </c>
      <c r="S488">
        <f>IF(K488="","",IF(AND(Q488,R488),IF(O488=P488,"Match","Qty Different"),IF(Q488,"Only in List 1","Only in List 2")))</f>
        <v/>
      </c>
      <c r="T488">
        <f>IF(K488="","",IF(ISNUMBER(--L488),TEXT(--L488,"000000000000.000"),LOWER(L488)))</f>
        <v/>
      </c>
      <c r="U488">
        <f>IF(K488="","",IF(ISNUMBER(--M488),TEXT(--M488,"000000000000.000"),LOWER(M488)))</f>
        <v/>
      </c>
      <c r="V488">
        <f>IF(K488="","",LOWER(N488))</f>
        <v/>
      </c>
      <c r="W488">
        <f>IF(K488="","",B488)</f>
        <v/>
      </c>
      <c r="X488">
        <f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>
      <c r="A489">
        <f>IF(TRIM('List 1'!A489&amp;'List 1'!C489&amp;'List 1'!D489)="","",LOWER(TRIM('List 1'!A489)&amp;"|"&amp;TRIM('List 1'!C489)&amp;"|"&amp;TRIM('List 1'!D489)))</f>
        <v/>
      </c>
      <c r="B489">
        <f>IF(A489="","",SUMPRODUCT(--($A$2:A489=A489)))</f>
        <v/>
      </c>
      <c r="C489">
        <f>IF(A489="","",A489&amp;"#"&amp;B489)</f>
        <v/>
      </c>
      <c r="D489">
        <f>IF(A489="","",IFERROR(--'List 1'!B489,0))</f>
        <v/>
      </c>
      <c r="F489">
        <f>IF(TRIM('List 2'!A489&amp;'List 2'!C489&amp;'List 2'!D489)="","",LOWER(TRIM('List 2'!A489)&amp;"|"&amp;TRIM('List 2'!C489)&amp;"|"&amp;TRIM('List 2'!D489)))</f>
        <v/>
      </c>
      <c r="G489">
        <f>IF(F489="","",SUMPRODUCT(--($F$2:F489=F489)))</f>
        <v/>
      </c>
      <c r="H489">
        <f>IF(F489="","",F489&amp;"#"&amp;G489)</f>
        <v/>
      </c>
      <c r="I489">
        <f>IF(F489="","",IFERROR(--'List 2'!B489,0))</f>
        <v/>
      </c>
      <c r="K489">
        <f>C489</f>
        <v/>
      </c>
      <c r="L489">
        <f>IF(K489="","",IF(ISNUMBER('List 1'!A489),'List 1'!A489,TRIM('List 1'!A489)))</f>
        <v/>
      </c>
      <c r="M489">
        <f>IF(K489="","",IF(ISNUMBER('List 1'!C489),'List 1'!C489,TRIM('List 1'!C489)))</f>
        <v/>
      </c>
      <c r="N489">
        <f>IF(K489="","",IF(ISNUMBER('List 1'!D489),'List 1'!D489,TRIM('List 1'!D489)))</f>
        <v/>
      </c>
      <c r="O489">
        <f>IF(K489="","",D489)</f>
        <v/>
      </c>
      <c r="P489">
        <f>IF(K489="","",IF(R489,SUMPRODUCT(--($H$2:$H$501=K489),$I$2:$I$501),0))</f>
        <v/>
      </c>
      <c r="Q489">
        <f>IF(K489="","",TRUE)</f>
        <v/>
      </c>
      <c r="R489">
        <f>IF(K489="","",SUMPRODUCT(--($H$2:$H$501=K489))&gt;0)</f>
        <v/>
      </c>
      <c r="S489">
        <f>IF(K489="","",IF(AND(Q489,R489),IF(O489=P489,"Match","Qty Different"),IF(Q489,"Only in List 1","Only in List 2")))</f>
        <v/>
      </c>
      <c r="T489">
        <f>IF(K489="","",IF(ISNUMBER(--L489),TEXT(--L489,"000000000000.000"),LOWER(L489)))</f>
        <v/>
      </c>
      <c r="U489">
        <f>IF(K489="","",IF(ISNUMBER(--M489),TEXT(--M489,"000000000000.000"),LOWER(M489)))</f>
        <v/>
      </c>
      <c r="V489">
        <f>IF(K489="","",LOWER(N489))</f>
        <v/>
      </c>
      <c r="W489">
        <f>IF(K489="","",B489)</f>
        <v/>
      </c>
      <c r="X489">
        <f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>
      <c r="A490">
        <f>IF(TRIM('List 1'!A490&amp;'List 1'!C490&amp;'List 1'!D490)="","",LOWER(TRIM('List 1'!A490)&amp;"|"&amp;TRIM('List 1'!C490)&amp;"|"&amp;TRIM('List 1'!D490)))</f>
        <v/>
      </c>
      <c r="B490">
        <f>IF(A490="","",SUMPRODUCT(--($A$2:A490=A490)))</f>
        <v/>
      </c>
      <c r="C490">
        <f>IF(A490="","",A490&amp;"#"&amp;B490)</f>
        <v/>
      </c>
      <c r="D490">
        <f>IF(A490="","",IFERROR(--'List 1'!B490,0))</f>
        <v/>
      </c>
      <c r="F490">
        <f>IF(TRIM('List 2'!A490&amp;'List 2'!C490&amp;'List 2'!D490)="","",LOWER(TRIM('List 2'!A490)&amp;"|"&amp;TRIM('List 2'!C490)&amp;"|"&amp;TRIM('List 2'!D490)))</f>
        <v/>
      </c>
      <c r="G490">
        <f>IF(F490="","",SUMPRODUCT(--($F$2:F490=F490)))</f>
        <v/>
      </c>
      <c r="H490">
        <f>IF(F490="","",F490&amp;"#"&amp;G490)</f>
        <v/>
      </c>
      <c r="I490">
        <f>IF(F490="","",IFERROR(--'List 2'!B490,0))</f>
        <v/>
      </c>
      <c r="K490">
        <f>C490</f>
        <v/>
      </c>
      <c r="L490">
        <f>IF(K490="","",IF(ISNUMBER('List 1'!A490),'List 1'!A490,TRIM('List 1'!A490)))</f>
        <v/>
      </c>
      <c r="M490">
        <f>IF(K490="","",IF(ISNUMBER('List 1'!C490),'List 1'!C490,TRIM('List 1'!C490)))</f>
        <v/>
      </c>
      <c r="N490">
        <f>IF(K490="","",IF(ISNUMBER('List 1'!D490),'List 1'!D490,TRIM('List 1'!D490)))</f>
        <v/>
      </c>
      <c r="O490">
        <f>IF(K490="","",D490)</f>
        <v/>
      </c>
      <c r="P490">
        <f>IF(K490="","",IF(R490,SUMPRODUCT(--($H$2:$H$501=K490),$I$2:$I$501),0))</f>
        <v/>
      </c>
      <c r="Q490">
        <f>IF(K490="","",TRUE)</f>
        <v/>
      </c>
      <c r="R490">
        <f>IF(K490="","",SUMPRODUCT(--($H$2:$H$501=K490))&gt;0)</f>
        <v/>
      </c>
      <c r="S490">
        <f>IF(K490="","",IF(AND(Q490,R490),IF(O490=P490,"Match","Qty Different"),IF(Q490,"Only in List 1","Only in List 2")))</f>
        <v/>
      </c>
      <c r="T490">
        <f>IF(K490="","",IF(ISNUMBER(--L490),TEXT(--L490,"000000000000.000"),LOWER(L490)))</f>
        <v/>
      </c>
      <c r="U490">
        <f>IF(K490="","",IF(ISNUMBER(--M490),TEXT(--M490,"000000000000.000"),LOWER(M490)))</f>
        <v/>
      </c>
      <c r="V490">
        <f>IF(K490="","",LOWER(N490))</f>
        <v/>
      </c>
      <c r="W490">
        <f>IF(K490="","",B490)</f>
        <v/>
      </c>
      <c r="X490">
        <f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>
      <c r="A491">
        <f>IF(TRIM('List 1'!A491&amp;'List 1'!C491&amp;'List 1'!D491)="","",LOWER(TRIM('List 1'!A491)&amp;"|"&amp;TRIM('List 1'!C491)&amp;"|"&amp;TRIM('List 1'!D491)))</f>
        <v/>
      </c>
      <c r="B491">
        <f>IF(A491="","",SUMPRODUCT(--($A$2:A491=A491)))</f>
        <v/>
      </c>
      <c r="C491">
        <f>IF(A491="","",A491&amp;"#"&amp;B491)</f>
        <v/>
      </c>
      <c r="D491">
        <f>IF(A491="","",IFERROR(--'List 1'!B491,0))</f>
        <v/>
      </c>
      <c r="F491">
        <f>IF(TRIM('List 2'!A491&amp;'List 2'!C491&amp;'List 2'!D491)="","",LOWER(TRIM('List 2'!A491)&amp;"|"&amp;TRIM('List 2'!C491)&amp;"|"&amp;TRIM('List 2'!D491)))</f>
        <v/>
      </c>
      <c r="G491">
        <f>IF(F491="","",SUMPRODUCT(--($F$2:F491=F491)))</f>
        <v/>
      </c>
      <c r="H491">
        <f>IF(F491="","",F491&amp;"#"&amp;G491)</f>
        <v/>
      </c>
      <c r="I491">
        <f>IF(F491="","",IFERROR(--'List 2'!B491,0))</f>
        <v/>
      </c>
      <c r="K491">
        <f>C491</f>
        <v/>
      </c>
      <c r="L491">
        <f>IF(K491="","",IF(ISNUMBER('List 1'!A491),'List 1'!A491,TRIM('List 1'!A491)))</f>
        <v/>
      </c>
      <c r="M491">
        <f>IF(K491="","",IF(ISNUMBER('List 1'!C491),'List 1'!C491,TRIM('List 1'!C491)))</f>
        <v/>
      </c>
      <c r="N491">
        <f>IF(K491="","",IF(ISNUMBER('List 1'!D491),'List 1'!D491,TRIM('List 1'!D491)))</f>
        <v/>
      </c>
      <c r="O491">
        <f>IF(K491="","",D491)</f>
        <v/>
      </c>
      <c r="P491">
        <f>IF(K491="","",IF(R491,SUMPRODUCT(--($H$2:$H$501=K491),$I$2:$I$501),0))</f>
        <v/>
      </c>
      <c r="Q491">
        <f>IF(K491="","",TRUE)</f>
        <v/>
      </c>
      <c r="R491">
        <f>IF(K491="","",SUMPRODUCT(--($H$2:$H$501=K491))&gt;0)</f>
        <v/>
      </c>
      <c r="S491">
        <f>IF(K491="","",IF(AND(Q491,R491),IF(O491=P491,"Match","Qty Different"),IF(Q491,"Only in List 1","Only in List 2")))</f>
        <v/>
      </c>
      <c r="T491">
        <f>IF(K491="","",IF(ISNUMBER(--L491),TEXT(--L491,"000000000000.000"),LOWER(L491)))</f>
        <v/>
      </c>
      <c r="U491">
        <f>IF(K491="","",IF(ISNUMBER(--M491),TEXT(--M491,"000000000000.000"),LOWER(M491)))</f>
        <v/>
      </c>
      <c r="V491">
        <f>IF(K491="","",LOWER(N491))</f>
        <v/>
      </c>
      <c r="W491">
        <f>IF(K491="","",B491)</f>
        <v/>
      </c>
      <c r="X491">
        <f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>
      <c r="A492">
        <f>IF(TRIM('List 1'!A492&amp;'List 1'!C492&amp;'List 1'!D492)="","",LOWER(TRIM('List 1'!A492)&amp;"|"&amp;TRIM('List 1'!C492)&amp;"|"&amp;TRIM('List 1'!D492)))</f>
        <v/>
      </c>
      <c r="B492">
        <f>IF(A492="","",SUMPRODUCT(--($A$2:A492=A492)))</f>
        <v/>
      </c>
      <c r="C492">
        <f>IF(A492="","",A492&amp;"#"&amp;B492)</f>
        <v/>
      </c>
      <c r="D492">
        <f>IF(A492="","",IFERROR(--'List 1'!B492,0))</f>
        <v/>
      </c>
      <c r="F492">
        <f>IF(TRIM('List 2'!A492&amp;'List 2'!C492&amp;'List 2'!D492)="","",LOWER(TRIM('List 2'!A492)&amp;"|"&amp;TRIM('List 2'!C492)&amp;"|"&amp;TRIM('List 2'!D492)))</f>
        <v/>
      </c>
      <c r="G492">
        <f>IF(F492="","",SUMPRODUCT(--($F$2:F492=F492)))</f>
        <v/>
      </c>
      <c r="H492">
        <f>IF(F492="","",F492&amp;"#"&amp;G492)</f>
        <v/>
      </c>
      <c r="I492">
        <f>IF(F492="","",IFERROR(--'List 2'!B492,0))</f>
        <v/>
      </c>
      <c r="K492">
        <f>C492</f>
        <v/>
      </c>
      <c r="L492">
        <f>IF(K492="","",IF(ISNUMBER('List 1'!A492),'List 1'!A492,TRIM('List 1'!A492)))</f>
        <v/>
      </c>
      <c r="M492">
        <f>IF(K492="","",IF(ISNUMBER('List 1'!C492),'List 1'!C492,TRIM('List 1'!C492)))</f>
        <v/>
      </c>
      <c r="N492">
        <f>IF(K492="","",IF(ISNUMBER('List 1'!D492),'List 1'!D492,TRIM('List 1'!D492)))</f>
        <v/>
      </c>
      <c r="O492">
        <f>IF(K492="","",D492)</f>
        <v/>
      </c>
      <c r="P492">
        <f>IF(K492="","",IF(R492,SUMPRODUCT(--($H$2:$H$501=K492),$I$2:$I$501),0))</f>
        <v/>
      </c>
      <c r="Q492">
        <f>IF(K492="","",TRUE)</f>
        <v/>
      </c>
      <c r="R492">
        <f>IF(K492="","",SUMPRODUCT(--($H$2:$H$501=K492))&gt;0)</f>
        <v/>
      </c>
      <c r="S492">
        <f>IF(K492="","",IF(AND(Q492,R492),IF(O492=P492,"Match","Qty Different"),IF(Q492,"Only in List 1","Only in List 2")))</f>
        <v/>
      </c>
      <c r="T492">
        <f>IF(K492="","",IF(ISNUMBER(--L492),TEXT(--L492,"000000000000.000"),LOWER(L492)))</f>
        <v/>
      </c>
      <c r="U492">
        <f>IF(K492="","",IF(ISNUMBER(--M492),TEXT(--M492,"000000000000.000"),LOWER(M492)))</f>
        <v/>
      </c>
      <c r="V492">
        <f>IF(K492="","",LOWER(N492))</f>
        <v/>
      </c>
      <c r="W492">
        <f>IF(K492="","",B492)</f>
        <v/>
      </c>
      <c r="X492">
        <f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>
      <c r="A493">
        <f>IF(TRIM('List 1'!A493&amp;'List 1'!C493&amp;'List 1'!D493)="","",LOWER(TRIM('List 1'!A493)&amp;"|"&amp;TRIM('List 1'!C493)&amp;"|"&amp;TRIM('List 1'!D493)))</f>
        <v/>
      </c>
      <c r="B493">
        <f>IF(A493="","",SUMPRODUCT(--($A$2:A493=A493)))</f>
        <v/>
      </c>
      <c r="C493">
        <f>IF(A493="","",A493&amp;"#"&amp;B493)</f>
        <v/>
      </c>
      <c r="D493">
        <f>IF(A493="","",IFERROR(--'List 1'!B493,0))</f>
        <v/>
      </c>
      <c r="F493">
        <f>IF(TRIM('List 2'!A493&amp;'List 2'!C493&amp;'List 2'!D493)="","",LOWER(TRIM('List 2'!A493)&amp;"|"&amp;TRIM('List 2'!C493)&amp;"|"&amp;TRIM('List 2'!D493)))</f>
        <v/>
      </c>
      <c r="G493">
        <f>IF(F493="","",SUMPRODUCT(--($F$2:F493=F493)))</f>
        <v/>
      </c>
      <c r="H493">
        <f>IF(F493="","",F493&amp;"#"&amp;G493)</f>
        <v/>
      </c>
      <c r="I493">
        <f>IF(F493="","",IFERROR(--'List 2'!B493,0))</f>
        <v/>
      </c>
      <c r="K493">
        <f>C493</f>
        <v/>
      </c>
      <c r="L493">
        <f>IF(K493="","",IF(ISNUMBER('List 1'!A493),'List 1'!A493,TRIM('List 1'!A493)))</f>
        <v/>
      </c>
      <c r="M493">
        <f>IF(K493="","",IF(ISNUMBER('List 1'!C493),'List 1'!C493,TRIM('List 1'!C493)))</f>
        <v/>
      </c>
      <c r="N493">
        <f>IF(K493="","",IF(ISNUMBER('List 1'!D493),'List 1'!D493,TRIM('List 1'!D493)))</f>
        <v/>
      </c>
      <c r="O493">
        <f>IF(K493="","",D493)</f>
        <v/>
      </c>
      <c r="P493">
        <f>IF(K493="","",IF(R493,SUMPRODUCT(--($H$2:$H$501=K493),$I$2:$I$501),0))</f>
        <v/>
      </c>
      <c r="Q493">
        <f>IF(K493="","",TRUE)</f>
        <v/>
      </c>
      <c r="R493">
        <f>IF(K493="","",SUMPRODUCT(--($H$2:$H$501=K493))&gt;0)</f>
        <v/>
      </c>
      <c r="S493">
        <f>IF(K493="","",IF(AND(Q493,R493),IF(O493=P493,"Match","Qty Different"),IF(Q493,"Only in List 1","Only in List 2")))</f>
        <v/>
      </c>
      <c r="T493">
        <f>IF(K493="","",IF(ISNUMBER(--L493),TEXT(--L493,"000000000000.000"),LOWER(L493)))</f>
        <v/>
      </c>
      <c r="U493">
        <f>IF(K493="","",IF(ISNUMBER(--M493),TEXT(--M493,"000000000000.000"),LOWER(M493)))</f>
        <v/>
      </c>
      <c r="V493">
        <f>IF(K493="","",LOWER(N493))</f>
        <v/>
      </c>
      <c r="W493">
        <f>IF(K493="","",B493)</f>
        <v/>
      </c>
      <c r="X493">
        <f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>
      <c r="A494">
        <f>IF(TRIM('List 1'!A494&amp;'List 1'!C494&amp;'List 1'!D494)="","",LOWER(TRIM('List 1'!A494)&amp;"|"&amp;TRIM('List 1'!C494)&amp;"|"&amp;TRIM('List 1'!D494)))</f>
        <v/>
      </c>
      <c r="B494">
        <f>IF(A494="","",SUMPRODUCT(--($A$2:A494=A494)))</f>
        <v/>
      </c>
      <c r="C494">
        <f>IF(A494="","",A494&amp;"#"&amp;B494)</f>
        <v/>
      </c>
      <c r="D494">
        <f>IF(A494="","",IFERROR(--'List 1'!B494,0))</f>
        <v/>
      </c>
      <c r="F494">
        <f>IF(TRIM('List 2'!A494&amp;'List 2'!C494&amp;'List 2'!D494)="","",LOWER(TRIM('List 2'!A494)&amp;"|"&amp;TRIM('List 2'!C494)&amp;"|"&amp;TRIM('List 2'!D494)))</f>
        <v/>
      </c>
      <c r="G494">
        <f>IF(F494="","",SUMPRODUCT(--($F$2:F494=F494)))</f>
        <v/>
      </c>
      <c r="H494">
        <f>IF(F494="","",F494&amp;"#"&amp;G494)</f>
        <v/>
      </c>
      <c r="I494">
        <f>IF(F494="","",IFERROR(--'List 2'!B494,0))</f>
        <v/>
      </c>
      <c r="K494">
        <f>C494</f>
        <v/>
      </c>
      <c r="L494">
        <f>IF(K494="","",IF(ISNUMBER('List 1'!A494),'List 1'!A494,TRIM('List 1'!A494)))</f>
        <v/>
      </c>
      <c r="M494">
        <f>IF(K494="","",IF(ISNUMBER('List 1'!C494),'List 1'!C494,TRIM('List 1'!C494)))</f>
        <v/>
      </c>
      <c r="N494">
        <f>IF(K494="","",IF(ISNUMBER('List 1'!D494),'List 1'!D494,TRIM('List 1'!D494)))</f>
        <v/>
      </c>
      <c r="O494">
        <f>IF(K494="","",D494)</f>
        <v/>
      </c>
      <c r="P494">
        <f>IF(K494="","",IF(R494,SUMPRODUCT(--($H$2:$H$501=K494),$I$2:$I$501),0))</f>
        <v/>
      </c>
      <c r="Q494">
        <f>IF(K494="","",TRUE)</f>
        <v/>
      </c>
      <c r="R494">
        <f>IF(K494="","",SUMPRODUCT(--($H$2:$H$501=K494))&gt;0)</f>
        <v/>
      </c>
      <c r="S494">
        <f>IF(K494="","",IF(AND(Q494,R494),IF(O494=P494,"Match","Qty Different"),IF(Q494,"Only in List 1","Only in List 2")))</f>
        <v/>
      </c>
      <c r="T494">
        <f>IF(K494="","",IF(ISNUMBER(--L494),TEXT(--L494,"000000000000.000"),LOWER(L494)))</f>
        <v/>
      </c>
      <c r="U494">
        <f>IF(K494="","",IF(ISNUMBER(--M494),TEXT(--M494,"000000000000.000"),LOWER(M494)))</f>
        <v/>
      </c>
      <c r="V494">
        <f>IF(K494="","",LOWER(N494))</f>
        <v/>
      </c>
      <c r="W494">
        <f>IF(K494="","",B494)</f>
        <v/>
      </c>
      <c r="X494">
        <f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>
      <c r="A495">
        <f>IF(TRIM('List 1'!A495&amp;'List 1'!C495&amp;'List 1'!D495)="","",LOWER(TRIM('List 1'!A495)&amp;"|"&amp;TRIM('List 1'!C495)&amp;"|"&amp;TRIM('List 1'!D495)))</f>
        <v/>
      </c>
      <c r="B495">
        <f>IF(A495="","",SUMPRODUCT(--($A$2:A495=A495)))</f>
        <v/>
      </c>
      <c r="C495">
        <f>IF(A495="","",A495&amp;"#"&amp;B495)</f>
        <v/>
      </c>
      <c r="D495">
        <f>IF(A495="","",IFERROR(--'List 1'!B495,0))</f>
        <v/>
      </c>
      <c r="F495">
        <f>IF(TRIM('List 2'!A495&amp;'List 2'!C495&amp;'List 2'!D495)="","",LOWER(TRIM('List 2'!A495)&amp;"|"&amp;TRIM('List 2'!C495)&amp;"|"&amp;TRIM('List 2'!D495)))</f>
        <v/>
      </c>
      <c r="G495">
        <f>IF(F495="","",SUMPRODUCT(--($F$2:F495=F495)))</f>
        <v/>
      </c>
      <c r="H495">
        <f>IF(F495="","",F495&amp;"#"&amp;G495)</f>
        <v/>
      </c>
      <c r="I495">
        <f>IF(F495="","",IFERROR(--'List 2'!B495,0))</f>
        <v/>
      </c>
      <c r="K495">
        <f>C495</f>
        <v/>
      </c>
      <c r="L495">
        <f>IF(K495="","",IF(ISNUMBER('List 1'!A495),'List 1'!A495,TRIM('List 1'!A495)))</f>
        <v/>
      </c>
      <c r="M495">
        <f>IF(K495="","",IF(ISNUMBER('List 1'!C495),'List 1'!C495,TRIM('List 1'!C495)))</f>
        <v/>
      </c>
      <c r="N495">
        <f>IF(K495="","",IF(ISNUMBER('List 1'!D495),'List 1'!D495,TRIM('List 1'!D495)))</f>
        <v/>
      </c>
      <c r="O495">
        <f>IF(K495="","",D495)</f>
        <v/>
      </c>
      <c r="P495">
        <f>IF(K495="","",IF(R495,SUMPRODUCT(--($H$2:$H$501=K495),$I$2:$I$501),0))</f>
        <v/>
      </c>
      <c r="Q495">
        <f>IF(K495="","",TRUE)</f>
        <v/>
      </c>
      <c r="R495">
        <f>IF(K495="","",SUMPRODUCT(--($H$2:$H$501=K495))&gt;0)</f>
        <v/>
      </c>
      <c r="S495">
        <f>IF(K495="","",IF(AND(Q495,R495),IF(O495=P495,"Match","Qty Different"),IF(Q495,"Only in List 1","Only in List 2")))</f>
        <v/>
      </c>
      <c r="T495">
        <f>IF(K495="","",IF(ISNUMBER(--L495),TEXT(--L495,"000000000000.000"),LOWER(L495)))</f>
        <v/>
      </c>
      <c r="U495">
        <f>IF(K495="","",IF(ISNUMBER(--M495),TEXT(--M495,"000000000000.000"),LOWER(M495)))</f>
        <v/>
      </c>
      <c r="V495">
        <f>IF(K495="","",LOWER(N495))</f>
        <v/>
      </c>
      <c r="W495">
        <f>IF(K495="","",B495)</f>
        <v/>
      </c>
      <c r="X495">
        <f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>
      <c r="A496">
        <f>IF(TRIM('List 1'!A496&amp;'List 1'!C496&amp;'List 1'!D496)="","",LOWER(TRIM('List 1'!A496)&amp;"|"&amp;TRIM('List 1'!C496)&amp;"|"&amp;TRIM('List 1'!D496)))</f>
        <v/>
      </c>
      <c r="B496">
        <f>IF(A496="","",SUMPRODUCT(--($A$2:A496=A496)))</f>
        <v/>
      </c>
      <c r="C496">
        <f>IF(A496="","",A496&amp;"#"&amp;B496)</f>
        <v/>
      </c>
      <c r="D496">
        <f>IF(A496="","",IFERROR(--'List 1'!B496,0))</f>
        <v/>
      </c>
      <c r="F496">
        <f>IF(TRIM('List 2'!A496&amp;'List 2'!C496&amp;'List 2'!D496)="","",LOWER(TRIM('List 2'!A496)&amp;"|"&amp;TRIM('List 2'!C496)&amp;"|"&amp;TRIM('List 2'!D496)))</f>
        <v/>
      </c>
      <c r="G496">
        <f>IF(F496="","",SUMPRODUCT(--($F$2:F496=F496)))</f>
        <v/>
      </c>
      <c r="H496">
        <f>IF(F496="","",F496&amp;"#"&amp;G496)</f>
        <v/>
      </c>
      <c r="I496">
        <f>IF(F496="","",IFERROR(--'List 2'!B496,0))</f>
        <v/>
      </c>
      <c r="K496">
        <f>C496</f>
        <v/>
      </c>
      <c r="L496">
        <f>IF(K496="","",IF(ISNUMBER('List 1'!A496),'List 1'!A496,TRIM('List 1'!A496)))</f>
        <v/>
      </c>
      <c r="M496">
        <f>IF(K496="","",IF(ISNUMBER('List 1'!C496),'List 1'!C496,TRIM('List 1'!C496)))</f>
        <v/>
      </c>
      <c r="N496">
        <f>IF(K496="","",IF(ISNUMBER('List 1'!D496),'List 1'!D496,TRIM('List 1'!D496)))</f>
        <v/>
      </c>
      <c r="O496">
        <f>IF(K496="","",D496)</f>
        <v/>
      </c>
      <c r="P496">
        <f>IF(K496="","",IF(R496,SUMPRODUCT(--($H$2:$H$501=K496),$I$2:$I$501),0))</f>
        <v/>
      </c>
      <c r="Q496">
        <f>IF(K496="","",TRUE)</f>
        <v/>
      </c>
      <c r="R496">
        <f>IF(K496="","",SUMPRODUCT(--($H$2:$H$501=K496))&gt;0)</f>
        <v/>
      </c>
      <c r="S496">
        <f>IF(K496="","",IF(AND(Q496,R496),IF(O496=P496,"Match","Qty Different"),IF(Q496,"Only in List 1","Only in List 2")))</f>
        <v/>
      </c>
      <c r="T496">
        <f>IF(K496="","",IF(ISNUMBER(--L496),TEXT(--L496,"000000000000.000"),LOWER(L496)))</f>
        <v/>
      </c>
      <c r="U496">
        <f>IF(K496="","",IF(ISNUMBER(--M496),TEXT(--M496,"000000000000.000"),LOWER(M496)))</f>
        <v/>
      </c>
      <c r="V496">
        <f>IF(K496="","",LOWER(N496))</f>
        <v/>
      </c>
      <c r="W496">
        <f>IF(K496="","",B496)</f>
        <v/>
      </c>
      <c r="X496">
        <f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>
      <c r="A497">
        <f>IF(TRIM('List 1'!A497&amp;'List 1'!C497&amp;'List 1'!D497)="","",LOWER(TRIM('List 1'!A497)&amp;"|"&amp;TRIM('List 1'!C497)&amp;"|"&amp;TRIM('List 1'!D497)))</f>
        <v/>
      </c>
      <c r="B497">
        <f>IF(A497="","",SUMPRODUCT(--($A$2:A497=A497)))</f>
        <v/>
      </c>
      <c r="C497">
        <f>IF(A497="","",A497&amp;"#"&amp;B497)</f>
        <v/>
      </c>
      <c r="D497">
        <f>IF(A497="","",IFERROR(--'List 1'!B497,0))</f>
        <v/>
      </c>
      <c r="F497">
        <f>IF(TRIM('List 2'!A497&amp;'List 2'!C497&amp;'List 2'!D497)="","",LOWER(TRIM('List 2'!A497)&amp;"|"&amp;TRIM('List 2'!C497)&amp;"|"&amp;TRIM('List 2'!D497)))</f>
        <v/>
      </c>
      <c r="G497">
        <f>IF(F497="","",SUMPRODUCT(--($F$2:F497=F497)))</f>
        <v/>
      </c>
      <c r="H497">
        <f>IF(F497="","",F497&amp;"#"&amp;G497)</f>
        <v/>
      </c>
      <c r="I497">
        <f>IF(F497="","",IFERROR(--'List 2'!B497,0))</f>
        <v/>
      </c>
      <c r="K497">
        <f>C497</f>
        <v/>
      </c>
      <c r="L497">
        <f>IF(K497="","",IF(ISNUMBER('List 1'!A497),'List 1'!A497,TRIM('List 1'!A497)))</f>
        <v/>
      </c>
      <c r="M497">
        <f>IF(K497="","",IF(ISNUMBER('List 1'!C497),'List 1'!C497,TRIM('List 1'!C497)))</f>
        <v/>
      </c>
      <c r="N497">
        <f>IF(K497="","",IF(ISNUMBER('List 1'!D497),'List 1'!D497,TRIM('List 1'!D497)))</f>
        <v/>
      </c>
      <c r="O497">
        <f>IF(K497="","",D497)</f>
        <v/>
      </c>
      <c r="P497">
        <f>IF(K497="","",IF(R497,SUMPRODUCT(--($H$2:$H$501=K497),$I$2:$I$501),0))</f>
        <v/>
      </c>
      <c r="Q497">
        <f>IF(K497="","",TRUE)</f>
        <v/>
      </c>
      <c r="R497">
        <f>IF(K497="","",SUMPRODUCT(--($H$2:$H$501=K497))&gt;0)</f>
        <v/>
      </c>
      <c r="S497">
        <f>IF(K497="","",IF(AND(Q497,R497),IF(O497=P497,"Match","Qty Different"),IF(Q497,"Only in List 1","Only in List 2")))</f>
        <v/>
      </c>
      <c r="T497">
        <f>IF(K497="","",IF(ISNUMBER(--L497),TEXT(--L497,"000000000000.000"),LOWER(L497)))</f>
        <v/>
      </c>
      <c r="U497">
        <f>IF(K497="","",IF(ISNUMBER(--M497),TEXT(--M497,"000000000000.000"),LOWER(M497)))</f>
        <v/>
      </c>
      <c r="V497">
        <f>IF(K497="","",LOWER(N497))</f>
        <v/>
      </c>
      <c r="W497">
        <f>IF(K497="","",B497)</f>
        <v/>
      </c>
      <c r="X497">
        <f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>
      <c r="A498">
        <f>IF(TRIM('List 1'!A498&amp;'List 1'!C498&amp;'List 1'!D498)="","",LOWER(TRIM('List 1'!A498)&amp;"|"&amp;TRIM('List 1'!C498)&amp;"|"&amp;TRIM('List 1'!D498)))</f>
        <v/>
      </c>
      <c r="B498">
        <f>IF(A498="","",SUMPRODUCT(--($A$2:A498=A498)))</f>
        <v/>
      </c>
      <c r="C498">
        <f>IF(A498="","",A498&amp;"#"&amp;B498)</f>
        <v/>
      </c>
      <c r="D498">
        <f>IF(A498="","",IFERROR(--'List 1'!B498,0))</f>
        <v/>
      </c>
      <c r="F498">
        <f>IF(TRIM('List 2'!A498&amp;'List 2'!C498&amp;'List 2'!D498)="","",LOWER(TRIM('List 2'!A498)&amp;"|"&amp;TRIM('List 2'!C498)&amp;"|"&amp;TRIM('List 2'!D498)))</f>
        <v/>
      </c>
      <c r="G498">
        <f>IF(F498="","",SUMPRODUCT(--($F$2:F498=F498)))</f>
        <v/>
      </c>
      <c r="H498">
        <f>IF(F498="","",F498&amp;"#"&amp;G498)</f>
        <v/>
      </c>
      <c r="I498">
        <f>IF(F498="","",IFERROR(--'List 2'!B498,0))</f>
        <v/>
      </c>
      <c r="K498">
        <f>C498</f>
        <v/>
      </c>
      <c r="L498">
        <f>IF(K498="","",IF(ISNUMBER('List 1'!A498),'List 1'!A498,TRIM('List 1'!A498)))</f>
        <v/>
      </c>
      <c r="M498">
        <f>IF(K498="","",IF(ISNUMBER('List 1'!C498),'List 1'!C498,TRIM('List 1'!C498)))</f>
        <v/>
      </c>
      <c r="N498">
        <f>IF(K498="","",IF(ISNUMBER('List 1'!D498),'List 1'!D498,TRIM('List 1'!D498)))</f>
        <v/>
      </c>
      <c r="O498">
        <f>IF(K498="","",D498)</f>
        <v/>
      </c>
      <c r="P498">
        <f>IF(K498="","",IF(R498,SUMPRODUCT(--($H$2:$H$501=K498),$I$2:$I$501),0))</f>
        <v/>
      </c>
      <c r="Q498">
        <f>IF(K498="","",TRUE)</f>
        <v/>
      </c>
      <c r="R498">
        <f>IF(K498="","",SUMPRODUCT(--($H$2:$H$501=K498))&gt;0)</f>
        <v/>
      </c>
      <c r="S498">
        <f>IF(K498="","",IF(AND(Q498,R498),IF(O498=P498,"Match","Qty Different"),IF(Q498,"Only in List 1","Only in List 2")))</f>
        <v/>
      </c>
      <c r="T498">
        <f>IF(K498="","",IF(ISNUMBER(--L498),TEXT(--L498,"000000000000.000"),LOWER(L498)))</f>
        <v/>
      </c>
      <c r="U498">
        <f>IF(K498="","",IF(ISNUMBER(--M498),TEXT(--M498,"000000000000.000"),LOWER(M498)))</f>
        <v/>
      </c>
      <c r="V498">
        <f>IF(K498="","",LOWER(N498))</f>
        <v/>
      </c>
      <c r="W498">
        <f>IF(K498="","",B498)</f>
        <v/>
      </c>
      <c r="X498">
        <f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>
      <c r="A499">
        <f>IF(TRIM('List 1'!A499&amp;'List 1'!C499&amp;'List 1'!D499)="","",LOWER(TRIM('List 1'!A499)&amp;"|"&amp;TRIM('List 1'!C499)&amp;"|"&amp;TRIM('List 1'!D499)))</f>
        <v/>
      </c>
      <c r="B499">
        <f>IF(A499="","",SUMPRODUCT(--($A$2:A499=A499)))</f>
        <v/>
      </c>
      <c r="C499">
        <f>IF(A499="","",A499&amp;"#"&amp;B499)</f>
        <v/>
      </c>
      <c r="D499">
        <f>IF(A499="","",IFERROR(--'List 1'!B499,0))</f>
        <v/>
      </c>
      <c r="F499">
        <f>IF(TRIM('List 2'!A499&amp;'List 2'!C499&amp;'List 2'!D499)="","",LOWER(TRIM('List 2'!A499)&amp;"|"&amp;TRIM('List 2'!C499)&amp;"|"&amp;TRIM('List 2'!D499)))</f>
        <v/>
      </c>
      <c r="G499">
        <f>IF(F499="","",SUMPRODUCT(--($F$2:F499=F499)))</f>
        <v/>
      </c>
      <c r="H499">
        <f>IF(F499="","",F499&amp;"#"&amp;G499)</f>
        <v/>
      </c>
      <c r="I499">
        <f>IF(F499="","",IFERROR(--'List 2'!B499,0))</f>
        <v/>
      </c>
      <c r="K499">
        <f>C499</f>
        <v/>
      </c>
      <c r="L499">
        <f>IF(K499="","",IF(ISNUMBER('List 1'!A499),'List 1'!A499,TRIM('List 1'!A499)))</f>
        <v/>
      </c>
      <c r="M499">
        <f>IF(K499="","",IF(ISNUMBER('List 1'!C499),'List 1'!C499,TRIM('List 1'!C499)))</f>
        <v/>
      </c>
      <c r="N499">
        <f>IF(K499="","",IF(ISNUMBER('List 1'!D499),'List 1'!D499,TRIM('List 1'!D499)))</f>
        <v/>
      </c>
      <c r="O499">
        <f>IF(K499="","",D499)</f>
        <v/>
      </c>
      <c r="P499">
        <f>IF(K499="","",IF(R499,SUMPRODUCT(--($H$2:$H$501=K499),$I$2:$I$501),0))</f>
        <v/>
      </c>
      <c r="Q499">
        <f>IF(K499="","",TRUE)</f>
        <v/>
      </c>
      <c r="R499">
        <f>IF(K499="","",SUMPRODUCT(--($H$2:$H$501=K499))&gt;0)</f>
        <v/>
      </c>
      <c r="S499">
        <f>IF(K499="","",IF(AND(Q499,R499),IF(O499=P499,"Match","Qty Different"),IF(Q499,"Only in List 1","Only in List 2")))</f>
        <v/>
      </c>
      <c r="T499">
        <f>IF(K499="","",IF(ISNUMBER(--L499),TEXT(--L499,"000000000000.000"),LOWER(L499)))</f>
        <v/>
      </c>
      <c r="U499">
        <f>IF(K499="","",IF(ISNUMBER(--M499),TEXT(--M499,"000000000000.000"),LOWER(M499)))</f>
        <v/>
      </c>
      <c r="V499">
        <f>IF(K499="","",LOWER(N499))</f>
        <v/>
      </c>
      <c r="W499">
        <f>IF(K499="","",B499)</f>
        <v/>
      </c>
      <c r="X499">
        <f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>
      <c r="A500">
        <f>IF(TRIM('List 1'!A500&amp;'List 1'!C500&amp;'List 1'!D500)="","",LOWER(TRIM('List 1'!A500)&amp;"|"&amp;TRIM('List 1'!C500)&amp;"|"&amp;TRIM('List 1'!D500)))</f>
        <v/>
      </c>
      <c r="B500">
        <f>IF(A500="","",SUMPRODUCT(--($A$2:A500=A500)))</f>
        <v/>
      </c>
      <c r="C500">
        <f>IF(A500="","",A500&amp;"#"&amp;B500)</f>
        <v/>
      </c>
      <c r="D500">
        <f>IF(A500="","",IFERROR(--'List 1'!B500,0))</f>
        <v/>
      </c>
      <c r="F500">
        <f>IF(TRIM('List 2'!A500&amp;'List 2'!C500&amp;'List 2'!D500)="","",LOWER(TRIM('List 2'!A500)&amp;"|"&amp;TRIM('List 2'!C500)&amp;"|"&amp;TRIM('List 2'!D500)))</f>
        <v/>
      </c>
      <c r="G500">
        <f>IF(F500="","",SUMPRODUCT(--($F$2:F500=F500)))</f>
        <v/>
      </c>
      <c r="H500">
        <f>IF(F500="","",F500&amp;"#"&amp;G500)</f>
        <v/>
      </c>
      <c r="I500">
        <f>IF(F500="","",IFERROR(--'List 2'!B500,0))</f>
        <v/>
      </c>
      <c r="K500">
        <f>C500</f>
        <v/>
      </c>
      <c r="L500">
        <f>IF(K500="","",IF(ISNUMBER('List 1'!A500),'List 1'!A500,TRIM('List 1'!A500)))</f>
        <v/>
      </c>
      <c r="M500">
        <f>IF(K500="","",IF(ISNUMBER('List 1'!C500),'List 1'!C500,TRIM('List 1'!C500)))</f>
        <v/>
      </c>
      <c r="N500">
        <f>IF(K500="","",IF(ISNUMBER('List 1'!D500),'List 1'!D500,TRIM('List 1'!D500)))</f>
        <v/>
      </c>
      <c r="O500">
        <f>IF(K500="","",D500)</f>
        <v/>
      </c>
      <c r="P500">
        <f>IF(K500="","",IF(R500,SUMPRODUCT(--($H$2:$H$501=K500),$I$2:$I$501),0))</f>
        <v/>
      </c>
      <c r="Q500">
        <f>IF(K500="","",TRUE)</f>
        <v/>
      </c>
      <c r="R500">
        <f>IF(K500="","",SUMPRODUCT(--($H$2:$H$501=K500))&gt;0)</f>
        <v/>
      </c>
      <c r="S500">
        <f>IF(K500="","",IF(AND(Q500,R500),IF(O500=P500,"Match","Qty Different"),IF(Q500,"Only in List 1","Only in List 2")))</f>
        <v/>
      </c>
      <c r="T500">
        <f>IF(K500="","",IF(ISNUMBER(--L500),TEXT(--L500,"000000000000.000"),LOWER(L500)))</f>
        <v/>
      </c>
      <c r="U500">
        <f>IF(K500="","",IF(ISNUMBER(--M500),TEXT(--M500,"000000000000.000"),LOWER(M500)))</f>
        <v/>
      </c>
      <c r="V500">
        <f>IF(K500="","",LOWER(N500))</f>
        <v/>
      </c>
      <c r="W500">
        <f>IF(K500="","",B500)</f>
        <v/>
      </c>
      <c r="X500">
        <f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>
      <c r="A501">
        <f>IF(TRIM('List 1'!A501&amp;'List 1'!C501&amp;'List 1'!D501)="","",LOWER(TRIM('List 1'!A501)&amp;"|"&amp;TRIM('List 1'!C501)&amp;"|"&amp;TRIM('List 1'!D501)))</f>
        <v/>
      </c>
      <c r="B501">
        <f>IF(A501="","",SUMPRODUCT(--($A$2:A501=A501)))</f>
        <v/>
      </c>
      <c r="C501">
        <f>IF(A501="","",A501&amp;"#"&amp;B501)</f>
        <v/>
      </c>
      <c r="D501">
        <f>IF(A501="","",IFERROR(--'List 1'!B501,0))</f>
        <v/>
      </c>
      <c r="F501">
        <f>IF(TRIM('List 2'!A501&amp;'List 2'!C501&amp;'List 2'!D501)="","",LOWER(TRIM('List 2'!A501)&amp;"|"&amp;TRIM('List 2'!C501)&amp;"|"&amp;TRIM('List 2'!D501)))</f>
        <v/>
      </c>
      <c r="G501">
        <f>IF(F501="","",SUMPRODUCT(--($F$2:F501=F501)))</f>
        <v/>
      </c>
      <c r="H501">
        <f>IF(F501="","",F501&amp;"#"&amp;G501)</f>
        <v/>
      </c>
      <c r="I501">
        <f>IF(F501="","",IFERROR(--'List 2'!B501,0))</f>
        <v/>
      </c>
      <c r="K501">
        <f>C501</f>
        <v/>
      </c>
      <c r="L501">
        <f>IF(K501="","",IF(ISNUMBER('List 1'!A501),'List 1'!A501,TRIM('List 1'!A501)))</f>
        <v/>
      </c>
      <c r="M501">
        <f>IF(K501="","",IF(ISNUMBER('List 1'!C501),'List 1'!C501,TRIM('List 1'!C501)))</f>
        <v/>
      </c>
      <c r="N501">
        <f>IF(K501="","",IF(ISNUMBER('List 1'!D501),'List 1'!D501,TRIM('List 1'!D501)))</f>
        <v/>
      </c>
      <c r="O501">
        <f>IF(K501="","",D501)</f>
        <v/>
      </c>
      <c r="P501">
        <f>IF(K501="","",IF(R501,SUMPRODUCT(--($H$2:$H$501=K501),$I$2:$I$501),0))</f>
        <v/>
      </c>
      <c r="Q501">
        <f>IF(K501="","",TRUE)</f>
        <v/>
      </c>
      <c r="R501">
        <f>IF(K501="","",SUMPRODUCT(--($H$2:$H$501=K501))&gt;0)</f>
        <v/>
      </c>
      <c r="S501">
        <f>IF(K501="","",IF(AND(Q501,R501),IF(O501=P501,"Match","Qty Different"),IF(Q501,"Only in List 1","Only in List 2")))</f>
        <v/>
      </c>
      <c r="T501">
        <f>IF(K501="","",IF(ISNUMBER(--L501),TEXT(--L501,"000000000000.000"),LOWER(L501)))</f>
        <v/>
      </c>
      <c r="U501">
        <f>IF(K501="","",IF(ISNUMBER(--M501),TEXT(--M501,"000000000000.000"),LOWER(M501)))</f>
        <v/>
      </c>
      <c r="V501">
        <f>IF(K501="","",LOWER(N501))</f>
        <v/>
      </c>
      <c r="W501">
        <f>IF(K501="","",B501)</f>
        <v/>
      </c>
      <c r="X501">
        <f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>
      <c r="K502">
        <f>IF(H2="","",IF(SUMPRODUCT(--($C$2:$C$501=H2))&gt;0,"",H2))</f>
        <v/>
      </c>
      <c r="L502">
        <f>IF(K502="","",IF(ISNUMBER('List 2'!A2),'List 2'!A2,TRIM('List 2'!A2)))</f>
        <v/>
      </c>
      <c r="M502">
        <f>IF(K502="","",IF(ISNUMBER('List 2'!C2),'List 2'!C2,TRIM('List 2'!C2)))</f>
        <v/>
      </c>
      <c r="N502">
        <f>IF(K502="","",IF(ISNUMBER('List 2'!D2),'List 2'!D2,TRIM('List 2'!D2)))</f>
        <v/>
      </c>
      <c r="O502">
        <f>IF(K502="","",0)</f>
        <v/>
      </c>
      <c r="P502">
        <f>IF(K502="","",I2)</f>
        <v/>
      </c>
      <c r="Q502">
        <f>IF(K502="","",FALSE)</f>
        <v/>
      </c>
      <c r="R502">
        <f>IF(K502="","",TRUE)</f>
        <v/>
      </c>
      <c r="S502">
        <f>IF(K502="","",IF(AND(Q502,R502),IF(O502=P502,"Match","Qty Different"),IF(Q502,"Only in List 1","Only in List 2")))</f>
        <v/>
      </c>
      <c r="T502">
        <f>IF(K502="","",IF(ISNUMBER(--L502),TEXT(--L502,"000000000000.000"),LOWER(L502)))</f>
        <v/>
      </c>
      <c r="U502">
        <f>IF(K502="","",IF(ISNUMBER(--M502),TEXT(--M502,"000000000000.000"),LOWER(M502)))</f>
        <v/>
      </c>
      <c r="V502">
        <f>IF(K502="","",LOWER(N502))</f>
        <v/>
      </c>
      <c r="W502">
        <f>IF(K502="","",G2)</f>
        <v/>
      </c>
      <c r="X502">
        <f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>
      <c r="K503">
        <f>IF(H3="","",IF(SUMPRODUCT(--($C$2:$C$501=H3))&gt;0,"",H3))</f>
        <v/>
      </c>
      <c r="L503">
        <f>IF(K503="","",IF(ISNUMBER('List 2'!A3),'List 2'!A3,TRIM('List 2'!A3)))</f>
        <v/>
      </c>
      <c r="M503">
        <f>IF(K503="","",IF(ISNUMBER('List 2'!C3),'List 2'!C3,TRIM('List 2'!C3)))</f>
        <v/>
      </c>
      <c r="N503">
        <f>IF(K503="","",IF(ISNUMBER('List 2'!D3),'List 2'!D3,TRIM('List 2'!D3)))</f>
        <v/>
      </c>
      <c r="O503">
        <f>IF(K503="","",0)</f>
        <v/>
      </c>
      <c r="P503">
        <f>IF(K503="","",I3)</f>
        <v/>
      </c>
      <c r="Q503">
        <f>IF(K503="","",FALSE)</f>
        <v/>
      </c>
      <c r="R503">
        <f>IF(K503="","",TRUE)</f>
        <v/>
      </c>
      <c r="S503">
        <f>IF(K503="","",IF(AND(Q503,R503),IF(O503=P503,"Match","Qty Different"),IF(Q503,"Only in List 1","Only in List 2")))</f>
        <v/>
      </c>
      <c r="T503">
        <f>IF(K503="","",IF(ISNUMBER(--L503),TEXT(--L503,"000000000000.000"),LOWER(L503)))</f>
        <v/>
      </c>
      <c r="U503">
        <f>IF(K503="","",IF(ISNUMBER(--M503),TEXT(--M503,"000000000000.000"),LOWER(M503)))</f>
        <v/>
      </c>
      <c r="V503">
        <f>IF(K503="","",LOWER(N503))</f>
        <v/>
      </c>
      <c r="W503">
        <f>IF(K503="","",G3)</f>
        <v/>
      </c>
      <c r="X503">
        <f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>
      <c r="K504">
        <f>IF(H4="","",IF(SUMPRODUCT(--($C$2:$C$501=H4))&gt;0,"",H4))</f>
        <v/>
      </c>
      <c r="L504">
        <f>IF(K504="","",IF(ISNUMBER('List 2'!A4),'List 2'!A4,TRIM('List 2'!A4)))</f>
        <v/>
      </c>
      <c r="M504">
        <f>IF(K504="","",IF(ISNUMBER('List 2'!C4),'List 2'!C4,TRIM('List 2'!C4)))</f>
        <v/>
      </c>
      <c r="N504">
        <f>IF(K504="","",IF(ISNUMBER('List 2'!D4),'List 2'!D4,TRIM('List 2'!D4)))</f>
        <v/>
      </c>
      <c r="O504">
        <f>IF(K504="","",0)</f>
        <v/>
      </c>
      <c r="P504">
        <f>IF(K504="","",I4)</f>
        <v/>
      </c>
      <c r="Q504">
        <f>IF(K504="","",FALSE)</f>
        <v/>
      </c>
      <c r="R504">
        <f>IF(K504="","",TRUE)</f>
        <v/>
      </c>
      <c r="S504">
        <f>IF(K504="","",IF(AND(Q504,R504),IF(O504=P504,"Match","Qty Different"),IF(Q504,"Only in List 1","Only in List 2")))</f>
        <v/>
      </c>
      <c r="T504">
        <f>IF(K504="","",IF(ISNUMBER(--L504),TEXT(--L504,"000000000000.000"),LOWER(L504)))</f>
        <v/>
      </c>
      <c r="U504">
        <f>IF(K504="","",IF(ISNUMBER(--M504),TEXT(--M504,"000000000000.000"),LOWER(M504)))</f>
        <v/>
      </c>
      <c r="V504">
        <f>IF(K504="","",LOWER(N504))</f>
        <v/>
      </c>
      <c r="W504">
        <f>IF(K504="","",G4)</f>
        <v/>
      </c>
      <c r="X504">
        <f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>
      <c r="K505">
        <f>IF(H5="","",IF(SUMPRODUCT(--($C$2:$C$501=H5))&gt;0,"",H5))</f>
        <v/>
      </c>
      <c r="L505">
        <f>IF(K505="","",IF(ISNUMBER('List 2'!A5),'List 2'!A5,TRIM('List 2'!A5)))</f>
        <v/>
      </c>
      <c r="M505">
        <f>IF(K505="","",IF(ISNUMBER('List 2'!C5),'List 2'!C5,TRIM('List 2'!C5)))</f>
        <v/>
      </c>
      <c r="N505">
        <f>IF(K505="","",IF(ISNUMBER('List 2'!D5),'List 2'!D5,TRIM('List 2'!D5)))</f>
        <v/>
      </c>
      <c r="O505">
        <f>IF(K505="","",0)</f>
        <v/>
      </c>
      <c r="P505">
        <f>IF(K505="","",I5)</f>
        <v/>
      </c>
      <c r="Q505">
        <f>IF(K505="","",FALSE)</f>
        <v/>
      </c>
      <c r="R505">
        <f>IF(K505="","",TRUE)</f>
        <v/>
      </c>
      <c r="S505">
        <f>IF(K505="","",IF(AND(Q505,R505),IF(O505=P505,"Match","Qty Different"),IF(Q505,"Only in List 1","Only in List 2")))</f>
        <v/>
      </c>
      <c r="T505">
        <f>IF(K505="","",IF(ISNUMBER(--L505),TEXT(--L505,"000000000000.000"),LOWER(L505)))</f>
        <v/>
      </c>
      <c r="U505">
        <f>IF(K505="","",IF(ISNUMBER(--M505),TEXT(--M505,"000000000000.000"),LOWER(M505)))</f>
        <v/>
      </c>
      <c r="V505">
        <f>IF(K505="","",LOWER(N505))</f>
        <v/>
      </c>
      <c r="W505">
        <f>IF(K505="","",G5)</f>
        <v/>
      </c>
      <c r="X505">
        <f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>
      <c r="K506">
        <f>IF(H6="","",IF(SUMPRODUCT(--($C$2:$C$501=H6))&gt;0,"",H6))</f>
        <v/>
      </c>
      <c r="L506">
        <f>IF(K506="","",IF(ISNUMBER('List 2'!A6),'List 2'!A6,TRIM('List 2'!A6)))</f>
        <v/>
      </c>
      <c r="M506">
        <f>IF(K506="","",IF(ISNUMBER('List 2'!C6),'List 2'!C6,TRIM('List 2'!C6)))</f>
        <v/>
      </c>
      <c r="N506">
        <f>IF(K506="","",IF(ISNUMBER('List 2'!D6),'List 2'!D6,TRIM('List 2'!D6)))</f>
        <v/>
      </c>
      <c r="O506">
        <f>IF(K506="","",0)</f>
        <v/>
      </c>
      <c r="P506">
        <f>IF(K506="","",I6)</f>
        <v/>
      </c>
      <c r="Q506">
        <f>IF(K506="","",FALSE)</f>
        <v/>
      </c>
      <c r="R506">
        <f>IF(K506="","",TRUE)</f>
        <v/>
      </c>
      <c r="S506">
        <f>IF(K506="","",IF(AND(Q506,R506),IF(O506=P506,"Match","Qty Different"),IF(Q506,"Only in List 1","Only in List 2")))</f>
        <v/>
      </c>
      <c r="T506">
        <f>IF(K506="","",IF(ISNUMBER(--L506),TEXT(--L506,"000000000000.000"),LOWER(L506)))</f>
        <v/>
      </c>
      <c r="U506">
        <f>IF(K506="","",IF(ISNUMBER(--M506),TEXT(--M506,"000000000000.000"),LOWER(M506)))</f>
        <v/>
      </c>
      <c r="V506">
        <f>IF(K506="","",LOWER(N506))</f>
        <v/>
      </c>
      <c r="W506">
        <f>IF(K506="","",G6)</f>
        <v/>
      </c>
      <c r="X506">
        <f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>
      <c r="K507">
        <f>IF(H7="","",IF(SUMPRODUCT(--($C$2:$C$501=H7))&gt;0,"",H7))</f>
        <v/>
      </c>
      <c r="L507">
        <f>IF(K507="","",IF(ISNUMBER('List 2'!A7),'List 2'!A7,TRIM('List 2'!A7)))</f>
        <v/>
      </c>
      <c r="M507">
        <f>IF(K507="","",IF(ISNUMBER('List 2'!C7),'List 2'!C7,TRIM('List 2'!C7)))</f>
        <v/>
      </c>
      <c r="N507">
        <f>IF(K507="","",IF(ISNUMBER('List 2'!D7),'List 2'!D7,TRIM('List 2'!D7)))</f>
        <v/>
      </c>
      <c r="O507">
        <f>IF(K507="","",0)</f>
        <v/>
      </c>
      <c r="P507">
        <f>IF(K507="","",I7)</f>
        <v/>
      </c>
      <c r="Q507">
        <f>IF(K507="","",FALSE)</f>
        <v/>
      </c>
      <c r="R507">
        <f>IF(K507="","",TRUE)</f>
        <v/>
      </c>
      <c r="S507">
        <f>IF(K507="","",IF(AND(Q507,R507),IF(O507=P507,"Match","Qty Different"),IF(Q507,"Only in List 1","Only in List 2")))</f>
        <v/>
      </c>
      <c r="T507">
        <f>IF(K507="","",IF(ISNUMBER(--L507),TEXT(--L507,"000000000000.000"),LOWER(L507)))</f>
        <v/>
      </c>
      <c r="U507">
        <f>IF(K507="","",IF(ISNUMBER(--M507),TEXT(--M507,"000000000000.000"),LOWER(M507)))</f>
        <v/>
      </c>
      <c r="V507">
        <f>IF(K507="","",LOWER(N507))</f>
        <v/>
      </c>
      <c r="W507">
        <f>IF(K507="","",G7)</f>
        <v/>
      </c>
      <c r="X507">
        <f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/>
      </c>
    </row>
    <row r="508">
      <c r="K508">
        <f>IF(H8="","",IF(SUMPRODUCT(--($C$2:$C$501=H8))&gt;0,"",H8))</f>
        <v/>
      </c>
      <c r="L508">
        <f>IF(K508="","",IF(ISNUMBER('List 2'!A8),'List 2'!A8,TRIM('List 2'!A8)))</f>
        <v/>
      </c>
      <c r="M508">
        <f>IF(K508="","",IF(ISNUMBER('List 2'!C8),'List 2'!C8,TRIM('List 2'!C8)))</f>
        <v/>
      </c>
      <c r="N508">
        <f>IF(K508="","",IF(ISNUMBER('List 2'!D8),'List 2'!D8,TRIM('List 2'!D8)))</f>
        <v/>
      </c>
      <c r="O508">
        <f>IF(K508="","",0)</f>
        <v/>
      </c>
      <c r="P508">
        <f>IF(K508="","",I8)</f>
        <v/>
      </c>
      <c r="Q508">
        <f>IF(K508="","",FALSE)</f>
        <v/>
      </c>
      <c r="R508">
        <f>IF(K508="","",TRUE)</f>
        <v/>
      </c>
      <c r="S508">
        <f>IF(K508="","",IF(AND(Q508,R508),IF(O508=P508,"Match","Qty Different"),IF(Q508,"Only in List 1","Only in List 2")))</f>
        <v/>
      </c>
      <c r="T508">
        <f>IF(K508="","",IF(ISNUMBER(--L508),TEXT(--L508,"000000000000.000"),LOWER(L508)))</f>
        <v/>
      </c>
      <c r="U508">
        <f>IF(K508="","",IF(ISNUMBER(--M508),TEXT(--M508,"000000000000.000"),LOWER(M508)))</f>
        <v/>
      </c>
      <c r="V508">
        <f>IF(K508="","",LOWER(N508))</f>
        <v/>
      </c>
      <c r="W508">
        <f>IF(K508="","",G8)</f>
        <v/>
      </c>
      <c r="X508">
        <f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>
      <c r="K509">
        <f>IF(H9="","",IF(SUMPRODUCT(--($C$2:$C$501=H9))&gt;0,"",H9))</f>
        <v/>
      </c>
      <c r="L509">
        <f>IF(K509="","",IF(ISNUMBER('List 2'!A9),'List 2'!A9,TRIM('List 2'!A9)))</f>
        <v/>
      </c>
      <c r="M509">
        <f>IF(K509="","",IF(ISNUMBER('List 2'!C9),'List 2'!C9,TRIM('List 2'!C9)))</f>
        <v/>
      </c>
      <c r="N509">
        <f>IF(K509="","",IF(ISNUMBER('List 2'!D9),'List 2'!D9,TRIM('List 2'!D9)))</f>
        <v/>
      </c>
      <c r="O509">
        <f>IF(K509="","",0)</f>
        <v/>
      </c>
      <c r="P509">
        <f>IF(K509="","",I9)</f>
        <v/>
      </c>
      <c r="Q509">
        <f>IF(K509="","",FALSE)</f>
        <v/>
      </c>
      <c r="R509">
        <f>IF(K509="","",TRUE)</f>
        <v/>
      </c>
      <c r="S509">
        <f>IF(K509="","",IF(AND(Q509,R509),IF(O509=P509,"Match","Qty Different"),IF(Q509,"Only in List 1","Only in List 2")))</f>
        <v/>
      </c>
      <c r="T509">
        <f>IF(K509="","",IF(ISNUMBER(--L509),TEXT(--L509,"000000000000.000"),LOWER(L509)))</f>
        <v/>
      </c>
      <c r="U509">
        <f>IF(K509="","",IF(ISNUMBER(--M509),TEXT(--M509,"000000000000.000"),LOWER(M509)))</f>
        <v/>
      </c>
      <c r="V509">
        <f>IF(K509="","",LOWER(N509))</f>
        <v/>
      </c>
      <c r="W509">
        <f>IF(K509="","",G9)</f>
        <v/>
      </c>
      <c r="X509">
        <f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>
      <c r="K510">
        <f>IF(H10="","",IF(SUMPRODUCT(--($C$2:$C$501=H10))&gt;0,"",H10))</f>
        <v/>
      </c>
      <c r="L510">
        <f>IF(K510="","",IF(ISNUMBER('List 2'!A10),'List 2'!A10,TRIM('List 2'!A10)))</f>
        <v/>
      </c>
      <c r="M510">
        <f>IF(K510="","",IF(ISNUMBER('List 2'!C10),'List 2'!C10,TRIM('List 2'!C10)))</f>
        <v/>
      </c>
      <c r="N510">
        <f>IF(K510="","",IF(ISNUMBER('List 2'!D10),'List 2'!D10,TRIM('List 2'!D10)))</f>
        <v/>
      </c>
      <c r="O510">
        <f>IF(K510="","",0)</f>
        <v/>
      </c>
      <c r="P510">
        <f>IF(K510="","",I10)</f>
        <v/>
      </c>
      <c r="Q510">
        <f>IF(K510="","",FALSE)</f>
        <v/>
      </c>
      <c r="R510">
        <f>IF(K510="","",TRUE)</f>
        <v/>
      </c>
      <c r="S510">
        <f>IF(K510="","",IF(AND(Q510,R510),IF(O510=P510,"Match","Qty Different"),IF(Q510,"Only in List 1","Only in List 2")))</f>
        <v/>
      </c>
      <c r="T510">
        <f>IF(K510="","",IF(ISNUMBER(--L510),TEXT(--L510,"000000000000.000"),LOWER(L510)))</f>
        <v/>
      </c>
      <c r="U510">
        <f>IF(K510="","",IF(ISNUMBER(--M510),TEXT(--M510,"000000000000.000"),LOWER(M510)))</f>
        <v/>
      </c>
      <c r="V510">
        <f>IF(K510="","",LOWER(N510))</f>
        <v/>
      </c>
      <c r="W510">
        <f>IF(K510="","",G10)</f>
        <v/>
      </c>
      <c r="X510">
        <f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>
      <c r="K511">
        <f>IF(H11="","",IF(SUMPRODUCT(--($C$2:$C$501=H11))&gt;0,"",H11))</f>
        <v/>
      </c>
      <c r="L511">
        <f>IF(K511="","",IF(ISNUMBER('List 2'!A11),'List 2'!A11,TRIM('List 2'!A11)))</f>
        <v/>
      </c>
      <c r="M511">
        <f>IF(K511="","",IF(ISNUMBER('List 2'!C11),'List 2'!C11,TRIM('List 2'!C11)))</f>
        <v/>
      </c>
      <c r="N511">
        <f>IF(K511="","",IF(ISNUMBER('List 2'!D11),'List 2'!D11,TRIM('List 2'!D11)))</f>
        <v/>
      </c>
      <c r="O511">
        <f>IF(K511="","",0)</f>
        <v/>
      </c>
      <c r="P511">
        <f>IF(K511="","",I11)</f>
        <v/>
      </c>
      <c r="Q511">
        <f>IF(K511="","",FALSE)</f>
        <v/>
      </c>
      <c r="R511">
        <f>IF(K511="","",TRUE)</f>
        <v/>
      </c>
      <c r="S511">
        <f>IF(K511="","",IF(AND(Q511,R511),IF(O511=P511,"Match","Qty Different"),IF(Q511,"Only in List 1","Only in List 2")))</f>
        <v/>
      </c>
      <c r="T511">
        <f>IF(K511="","",IF(ISNUMBER(--L511),TEXT(--L511,"000000000000.000"),LOWER(L511)))</f>
        <v/>
      </c>
      <c r="U511">
        <f>IF(K511="","",IF(ISNUMBER(--M511),TEXT(--M511,"000000000000.000"),LOWER(M511)))</f>
        <v/>
      </c>
      <c r="V511">
        <f>IF(K511="","",LOWER(N511))</f>
        <v/>
      </c>
      <c r="W511">
        <f>IF(K511="","",G11)</f>
        <v/>
      </c>
      <c r="X511">
        <f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/>
      </c>
    </row>
    <row r="512">
      <c r="K512">
        <f>IF(H12="","",IF(SUMPRODUCT(--($C$2:$C$501=H12))&gt;0,"",H12))</f>
        <v/>
      </c>
      <c r="L512">
        <f>IF(K512="","",IF(ISNUMBER('List 2'!A12),'List 2'!A12,TRIM('List 2'!A12)))</f>
        <v/>
      </c>
      <c r="M512">
        <f>IF(K512="","",IF(ISNUMBER('List 2'!C12),'List 2'!C12,TRIM('List 2'!C12)))</f>
        <v/>
      </c>
      <c r="N512">
        <f>IF(K512="","",IF(ISNUMBER('List 2'!D12),'List 2'!D12,TRIM('List 2'!D12)))</f>
        <v/>
      </c>
      <c r="O512">
        <f>IF(K512="","",0)</f>
        <v/>
      </c>
      <c r="P512">
        <f>IF(K512="","",I12)</f>
        <v/>
      </c>
      <c r="Q512">
        <f>IF(K512="","",FALSE)</f>
        <v/>
      </c>
      <c r="R512">
        <f>IF(K512="","",TRUE)</f>
        <v/>
      </c>
      <c r="S512">
        <f>IF(K512="","",IF(AND(Q512,R512),IF(O512=P512,"Match","Qty Different"),IF(Q512,"Only in List 1","Only in List 2")))</f>
        <v/>
      </c>
      <c r="T512">
        <f>IF(K512="","",IF(ISNUMBER(--L512),TEXT(--L512,"000000000000.000"),LOWER(L512)))</f>
        <v/>
      </c>
      <c r="U512">
        <f>IF(K512="","",IF(ISNUMBER(--M512),TEXT(--M512,"000000000000.000"),LOWER(M512)))</f>
        <v/>
      </c>
      <c r="V512">
        <f>IF(K512="","",LOWER(N512))</f>
        <v/>
      </c>
      <c r="W512">
        <f>IF(K512="","",G12)</f>
        <v/>
      </c>
      <c r="X512">
        <f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/>
      </c>
    </row>
    <row r="513">
      <c r="K513">
        <f>IF(H13="","",IF(SUMPRODUCT(--($C$2:$C$501=H13))&gt;0,"",H13))</f>
        <v/>
      </c>
      <c r="L513">
        <f>IF(K513="","",IF(ISNUMBER('List 2'!A13),'List 2'!A13,TRIM('List 2'!A13)))</f>
        <v/>
      </c>
      <c r="M513">
        <f>IF(K513="","",IF(ISNUMBER('List 2'!C13),'List 2'!C13,TRIM('List 2'!C13)))</f>
        <v/>
      </c>
      <c r="N513">
        <f>IF(K513="","",IF(ISNUMBER('List 2'!D13),'List 2'!D13,TRIM('List 2'!D13)))</f>
        <v/>
      </c>
      <c r="O513">
        <f>IF(K513="","",0)</f>
        <v/>
      </c>
      <c r="P513">
        <f>IF(K513="","",I13)</f>
        <v/>
      </c>
      <c r="Q513">
        <f>IF(K513="","",FALSE)</f>
        <v/>
      </c>
      <c r="R513">
        <f>IF(K513="","",TRUE)</f>
        <v/>
      </c>
      <c r="S513">
        <f>IF(K513="","",IF(AND(Q513,R513),IF(O513=P513,"Match","Qty Different"),IF(Q513,"Only in List 1","Only in List 2")))</f>
        <v/>
      </c>
      <c r="T513">
        <f>IF(K513="","",IF(ISNUMBER(--L513),TEXT(--L513,"000000000000.000"),LOWER(L513)))</f>
        <v/>
      </c>
      <c r="U513">
        <f>IF(K513="","",IF(ISNUMBER(--M513),TEXT(--M513,"000000000000.000"),LOWER(M513)))</f>
        <v/>
      </c>
      <c r="V513">
        <f>IF(K513="","",LOWER(N513))</f>
        <v/>
      </c>
      <c r="W513">
        <f>IF(K513="","",G13)</f>
        <v/>
      </c>
      <c r="X513">
        <f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>
      <c r="K514">
        <f>IF(H14="","",IF(SUMPRODUCT(--($C$2:$C$501=H14))&gt;0,"",H14))</f>
        <v/>
      </c>
      <c r="L514">
        <f>IF(K514="","",IF(ISNUMBER('List 2'!A14),'List 2'!A14,TRIM('List 2'!A14)))</f>
        <v/>
      </c>
      <c r="M514">
        <f>IF(K514="","",IF(ISNUMBER('List 2'!C14),'List 2'!C14,TRIM('List 2'!C14)))</f>
        <v/>
      </c>
      <c r="N514">
        <f>IF(K514="","",IF(ISNUMBER('List 2'!D14),'List 2'!D14,TRIM('List 2'!D14)))</f>
        <v/>
      </c>
      <c r="O514">
        <f>IF(K514="","",0)</f>
        <v/>
      </c>
      <c r="P514">
        <f>IF(K514="","",I14)</f>
        <v/>
      </c>
      <c r="Q514">
        <f>IF(K514="","",FALSE)</f>
        <v/>
      </c>
      <c r="R514">
        <f>IF(K514="","",TRUE)</f>
        <v/>
      </c>
      <c r="S514">
        <f>IF(K514="","",IF(AND(Q514,R514),IF(O514=P514,"Match","Qty Different"),IF(Q514,"Only in List 1","Only in List 2")))</f>
        <v/>
      </c>
      <c r="T514">
        <f>IF(K514="","",IF(ISNUMBER(--L514),TEXT(--L514,"000000000000.000"),LOWER(L514)))</f>
        <v/>
      </c>
      <c r="U514">
        <f>IF(K514="","",IF(ISNUMBER(--M514),TEXT(--M514,"000000000000.000"),LOWER(M514)))</f>
        <v/>
      </c>
      <c r="V514">
        <f>IF(K514="","",LOWER(N514))</f>
        <v/>
      </c>
      <c r="W514">
        <f>IF(K514="","",G14)</f>
        <v/>
      </c>
      <c r="X514">
        <f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>
      <c r="K515">
        <f>IF(H15="","",IF(SUMPRODUCT(--($C$2:$C$501=H15))&gt;0,"",H15))</f>
        <v/>
      </c>
      <c r="L515">
        <f>IF(K515="","",IF(ISNUMBER('List 2'!A15),'List 2'!A15,TRIM('List 2'!A15)))</f>
        <v/>
      </c>
      <c r="M515">
        <f>IF(K515="","",IF(ISNUMBER('List 2'!C15),'List 2'!C15,TRIM('List 2'!C15)))</f>
        <v/>
      </c>
      <c r="N515">
        <f>IF(K515="","",IF(ISNUMBER('List 2'!D15),'List 2'!D15,TRIM('List 2'!D15)))</f>
        <v/>
      </c>
      <c r="O515">
        <f>IF(K515="","",0)</f>
        <v/>
      </c>
      <c r="P515">
        <f>IF(K515="","",I15)</f>
        <v/>
      </c>
      <c r="Q515">
        <f>IF(K515="","",FALSE)</f>
        <v/>
      </c>
      <c r="R515">
        <f>IF(K515="","",TRUE)</f>
        <v/>
      </c>
      <c r="S515">
        <f>IF(K515="","",IF(AND(Q515,R515),IF(O515=P515,"Match","Qty Different"),IF(Q515,"Only in List 1","Only in List 2")))</f>
        <v/>
      </c>
      <c r="T515">
        <f>IF(K515="","",IF(ISNUMBER(--L515),TEXT(--L515,"000000000000.000"),LOWER(L515)))</f>
        <v/>
      </c>
      <c r="U515">
        <f>IF(K515="","",IF(ISNUMBER(--M515),TEXT(--M515,"000000000000.000"),LOWER(M515)))</f>
        <v/>
      </c>
      <c r="V515">
        <f>IF(K515="","",LOWER(N515))</f>
        <v/>
      </c>
      <c r="W515">
        <f>IF(K515="","",G15)</f>
        <v/>
      </c>
      <c r="X515">
        <f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>
      <c r="K516">
        <f>IF(H16="","",IF(SUMPRODUCT(--($C$2:$C$501=H16))&gt;0,"",H16))</f>
        <v/>
      </c>
      <c r="L516">
        <f>IF(K516="","",IF(ISNUMBER('List 2'!A16),'List 2'!A16,TRIM('List 2'!A16)))</f>
        <v/>
      </c>
      <c r="M516">
        <f>IF(K516="","",IF(ISNUMBER('List 2'!C16),'List 2'!C16,TRIM('List 2'!C16)))</f>
        <v/>
      </c>
      <c r="N516">
        <f>IF(K516="","",IF(ISNUMBER('List 2'!D16),'List 2'!D16,TRIM('List 2'!D16)))</f>
        <v/>
      </c>
      <c r="O516">
        <f>IF(K516="","",0)</f>
        <v/>
      </c>
      <c r="P516">
        <f>IF(K516="","",I16)</f>
        <v/>
      </c>
      <c r="Q516">
        <f>IF(K516="","",FALSE)</f>
        <v/>
      </c>
      <c r="R516">
        <f>IF(K516="","",TRUE)</f>
        <v/>
      </c>
      <c r="S516">
        <f>IF(K516="","",IF(AND(Q516,R516),IF(O516=P516,"Match","Qty Different"),IF(Q516,"Only in List 1","Only in List 2")))</f>
        <v/>
      </c>
      <c r="T516">
        <f>IF(K516="","",IF(ISNUMBER(--L516),TEXT(--L516,"000000000000.000"),LOWER(L516)))</f>
        <v/>
      </c>
      <c r="U516">
        <f>IF(K516="","",IF(ISNUMBER(--M516),TEXT(--M516,"000000000000.000"),LOWER(M516)))</f>
        <v/>
      </c>
      <c r="V516">
        <f>IF(K516="","",LOWER(N516))</f>
        <v/>
      </c>
      <c r="W516">
        <f>IF(K516="","",G16)</f>
        <v/>
      </c>
      <c r="X516">
        <f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>
      <c r="K517">
        <f>IF(H17="","",IF(SUMPRODUCT(--($C$2:$C$501=H17))&gt;0,"",H17))</f>
        <v/>
      </c>
      <c r="L517">
        <f>IF(K517="","",IF(ISNUMBER('List 2'!A17),'List 2'!A17,TRIM('List 2'!A17)))</f>
        <v/>
      </c>
      <c r="M517">
        <f>IF(K517="","",IF(ISNUMBER('List 2'!C17),'List 2'!C17,TRIM('List 2'!C17)))</f>
        <v/>
      </c>
      <c r="N517">
        <f>IF(K517="","",IF(ISNUMBER('List 2'!D17),'List 2'!D17,TRIM('List 2'!D17)))</f>
        <v/>
      </c>
      <c r="O517">
        <f>IF(K517="","",0)</f>
        <v/>
      </c>
      <c r="P517">
        <f>IF(K517="","",I17)</f>
        <v/>
      </c>
      <c r="Q517">
        <f>IF(K517="","",FALSE)</f>
        <v/>
      </c>
      <c r="R517">
        <f>IF(K517="","",TRUE)</f>
        <v/>
      </c>
      <c r="S517">
        <f>IF(K517="","",IF(AND(Q517,R517),IF(O517=P517,"Match","Qty Different"),IF(Q517,"Only in List 1","Only in List 2")))</f>
        <v/>
      </c>
      <c r="T517">
        <f>IF(K517="","",IF(ISNUMBER(--L517),TEXT(--L517,"000000000000.000"),LOWER(L517)))</f>
        <v/>
      </c>
      <c r="U517">
        <f>IF(K517="","",IF(ISNUMBER(--M517),TEXT(--M517,"000000000000.000"),LOWER(M517)))</f>
        <v/>
      </c>
      <c r="V517">
        <f>IF(K517="","",LOWER(N517))</f>
        <v/>
      </c>
      <c r="W517">
        <f>IF(K517="","",G17)</f>
        <v/>
      </c>
      <c r="X517">
        <f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>
      <c r="K518">
        <f>IF(H18="","",IF(SUMPRODUCT(--($C$2:$C$501=H18))&gt;0,"",H18))</f>
        <v/>
      </c>
      <c r="L518">
        <f>IF(K518="","",IF(ISNUMBER('List 2'!A18),'List 2'!A18,TRIM('List 2'!A18)))</f>
        <v/>
      </c>
      <c r="M518">
        <f>IF(K518="","",IF(ISNUMBER('List 2'!C18),'List 2'!C18,TRIM('List 2'!C18)))</f>
        <v/>
      </c>
      <c r="N518">
        <f>IF(K518="","",IF(ISNUMBER('List 2'!D18),'List 2'!D18,TRIM('List 2'!D18)))</f>
        <v/>
      </c>
      <c r="O518">
        <f>IF(K518="","",0)</f>
        <v/>
      </c>
      <c r="P518">
        <f>IF(K518="","",I18)</f>
        <v/>
      </c>
      <c r="Q518">
        <f>IF(K518="","",FALSE)</f>
        <v/>
      </c>
      <c r="R518">
        <f>IF(K518="","",TRUE)</f>
        <v/>
      </c>
      <c r="S518">
        <f>IF(K518="","",IF(AND(Q518,R518),IF(O518=P518,"Match","Qty Different"),IF(Q518,"Only in List 1","Only in List 2")))</f>
        <v/>
      </c>
      <c r="T518">
        <f>IF(K518="","",IF(ISNUMBER(--L518),TEXT(--L518,"000000000000.000"),LOWER(L518)))</f>
        <v/>
      </c>
      <c r="U518">
        <f>IF(K518="","",IF(ISNUMBER(--M518),TEXT(--M518,"000000000000.000"),LOWER(M518)))</f>
        <v/>
      </c>
      <c r="V518">
        <f>IF(K518="","",LOWER(N518))</f>
        <v/>
      </c>
      <c r="W518">
        <f>IF(K518="","",G18)</f>
        <v/>
      </c>
      <c r="X518">
        <f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>
      <c r="K519">
        <f>IF(H19="","",IF(SUMPRODUCT(--($C$2:$C$501=H19))&gt;0,"",H19))</f>
        <v/>
      </c>
      <c r="L519">
        <f>IF(K519="","",IF(ISNUMBER('List 2'!A19),'List 2'!A19,TRIM('List 2'!A19)))</f>
        <v/>
      </c>
      <c r="M519">
        <f>IF(K519="","",IF(ISNUMBER('List 2'!C19),'List 2'!C19,TRIM('List 2'!C19)))</f>
        <v/>
      </c>
      <c r="N519">
        <f>IF(K519="","",IF(ISNUMBER('List 2'!D19),'List 2'!D19,TRIM('List 2'!D19)))</f>
        <v/>
      </c>
      <c r="O519">
        <f>IF(K519="","",0)</f>
        <v/>
      </c>
      <c r="P519">
        <f>IF(K519="","",I19)</f>
        <v/>
      </c>
      <c r="Q519">
        <f>IF(K519="","",FALSE)</f>
        <v/>
      </c>
      <c r="R519">
        <f>IF(K519="","",TRUE)</f>
        <v/>
      </c>
      <c r="S519">
        <f>IF(K519="","",IF(AND(Q519,R519),IF(O519=P519,"Match","Qty Different"),IF(Q519,"Only in List 1","Only in List 2")))</f>
        <v/>
      </c>
      <c r="T519">
        <f>IF(K519="","",IF(ISNUMBER(--L519),TEXT(--L519,"000000000000.000"),LOWER(L519)))</f>
        <v/>
      </c>
      <c r="U519">
        <f>IF(K519="","",IF(ISNUMBER(--M519),TEXT(--M519,"000000000000.000"),LOWER(M519)))</f>
        <v/>
      </c>
      <c r="V519">
        <f>IF(K519="","",LOWER(N519))</f>
        <v/>
      </c>
      <c r="W519">
        <f>IF(K519="","",G19)</f>
        <v/>
      </c>
      <c r="X519">
        <f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>
      <c r="K520">
        <f>IF(H20="","",IF(SUMPRODUCT(--($C$2:$C$501=H20))&gt;0,"",H20))</f>
        <v/>
      </c>
      <c r="L520">
        <f>IF(K520="","",IF(ISNUMBER('List 2'!A20),'List 2'!A20,TRIM('List 2'!A20)))</f>
        <v/>
      </c>
      <c r="M520">
        <f>IF(K520="","",IF(ISNUMBER('List 2'!C20),'List 2'!C20,TRIM('List 2'!C20)))</f>
        <v/>
      </c>
      <c r="N520">
        <f>IF(K520="","",IF(ISNUMBER('List 2'!D20),'List 2'!D20,TRIM('List 2'!D20)))</f>
        <v/>
      </c>
      <c r="O520">
        <f>IF(K520="","",0)</f>
        <v/>
      </c>
      <c r="P520">
        <f>IF(K520="","",I20)</f>
        <v/>
      </c>
      <c r="Q520">
        <f>IF(K520="","",FALSE)</f>
        <v/>
      </c>
      <c r="R520">
        <f>IF(K520="","",TRUE)</f>
        <v/>
      </c>
      <c r="S520">
        <f>IF(K520="","",IF(AND(Q520,R520),IF(O520=P520,"Match","Qty Different"),IF(Q520,"Only in List 1","Only in List 2")))</f>
        <v/>
      </c>
      <c r="T520">
        <f>IF(K520="","",IF(ISNUMBER(--L520),TEXT(--L520,"000000000000.000"),LOWER(L520)))</f>
        <v/>
      </c>
      <c r="U520">
        <f>IF(K520="","",IF(ISNUMBER(--M520),TEXT(--M520,"000000000000.000"),LOWER(M520)))</f>
        <v/>
      </c>
      <c r="V520">
        <f>IF(K520="","",LOWER(N520))</f>
        <v/>
      </c>
      <c r="W520">
        <f>IF(K520="","",G20)</f>
        <v/>
      </c>
      <c r="X520">
        <f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>
      <c r="K521">
        <f>IF(H21="","",IF(SUMPRODUCT(--($C$2:$C$501=H21))&gt;0,"",H21))</f>
        <v/>
      </c>
      <c r="L521">
        <f>IF(K521="","",IF(ISNUMBER('List 2'!A21),'List 2'!A21,TRIM('List 2'!A21)))</f>
        <v/>
      </c>
      <c r="M521">
        <f>IF(K521="","",IF(ISNUMBER('List 2'!C21),'List 2'!C21,TRIM('List 2'!C21)))</f>
        <v/>
      </c>
      <c r="N521">
        <f>IF(K521="","",IF(ISNUMBER('List 2'!D21),'List 2'!D21,TRIM('List 2'!D21)))</f>
        <v/>
      </c>
      <c r="O521">
        <f>IF(K521="","",0)</f>
        <v/>
      </c>
      <c r="P521">
        <f>IF(K521="","",I21)</f>
        <v/>
      </c>
      <c r="Q521">
        <f>IF(K521="","",FALSE)</f>
        <v/>
      </c>
      <c r="R521">
        <f>IF(K521="","",TRUE)</f>
        <v/>
      </c>
      <c r="S521">
        <f>IF(K521="","",IF(AND(Q521,R521),IF(O521=P521,"Match","Qty Different"),IF(Q521,"Only in List 1","Only in List 2")))</f>
        <v/>
      </c>
      <c r="T521">
        <f>IF(K521="","",IF(ISNUMBER(--L521),TEXT(--L521,"000000000000.000"),LOWER(L521)))</f>
        <v/>
      </c>
      <c r="U521">
        <f>IF(K521="","",IF(ISNUMBER(--M521),TEXT(--M521,"000000000000.000"),LOWER(M521)))</f>
        <v/>
      </c>
      <c r="V521">
        <f>IF(K521="","",LOWER(N521))</f>
        <v/>
      </c>
      <c r="W521">
        <f>IF(K521="","",G21)</f>
        <v/>
      </c>
      <c r="X521">
        <f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>
      <c r="K522">
        <f>IF(H22="","",IF(SUMPRODUCT(--($C$2:$C$501=H22))&gt;0,"",H22))</f>
        <v/>
      </c>
      <c r="L522">
        <f>IF(K522="","",IF(ISNUMBER('List 2'!A22),'List 2'!A22,TRIM('List 2'!A22)))</f>
        <v/>
      </c>
      <c r="M522">
        <f>IF(K522="","",IF(ISNUMBER('List 2'!C22),'List 2'!C22,TRIM('List 2'!C22)))</f>
        <v/>
      </c>
      <c r="N522">
        <f>IF(K522="","",IF(ISNUMBER('List 2'!D22),'List 2'!D22,TRIM('List 2'!D22)))</f>
        <v/>
      </c>
      <c r="O522">
        <f>IF(K522="","",0)</f>
        <v/>
      </c>
      <c r="P522">
        <f>IF(K522="","",I22)</f>
        <v/>
      </c>
      <c r="Q522">
        <f>IF(K522="","",FALSE)</f>
        <v/>
      </c>
      <c r="R522">
        <f>IF(K522="","",TRUE)</f>
        <v/>
      </c>
      <c r="S522">
        <f>IF(K522="","",IF(AND(Q522,R522),IF(O522=P522,"Match","Qty Different"),IF(Q522,"Only in List 1","Only in List 2")))</f>
        <v/>
      </c>
      <c r="T522">
        <f>IF(K522="","",IF(ISNUMBER(--L522),TEXT(--L522,"000000000000.000"),LOWER(L522)))</f>
        <v/>
      </c>
      <c r="U522">
        <f>IF(K522="","",IF(ISNUMBER(--M522),TEXT(--M522,"000000000000.000"),LOWER(M522)))</f>
        <v/>
      </c>
      <c r="V522">
        <f>IF(K522="","",LOWER(N522))</f>
        <v/>
      </c>
      <c r="W522">
        <f>IF(K522="","",G22)</f>
        <v/>
      </c>
      <c r="X522">
        <f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>
      <c r="K523">
        <f>IF(H23="","",IF(SUMPRODUCT(--($C$2:$C$501=H23))&gt;0,"",H23))</f>
        <v/>
      </c>
      <c r="L523">
        <f>IF(K523="","",IF(ISNUMBER('List 2'!A23),'List 2'!A23,TRIM('List 2'!A23)))</f>
        <v/>
      </c>
      <c r="M523">
        <f>IF(K523="","",IF(ISNUMBER('List 2'!C23),'List 2'!C23,TRIM('List 2'!C23)))</f>
        <v/>
      </c>
      <c r="N523">
        <f>IF(K523="","",IF(ISNUMBER('List 2'!D23),'List 2'!D23,TRIM('List 2'!D23)))</f>
        <v/>
      </c>
      <c r="O523">
        <f>IF(K523="","",0)</f>
        <v/>
      </c>
      <c r="P523">
        <f>IF(K523="","",I23)</f>
        <v/>
      </c>
      <c r="Q523">
        <f>IF(K523="","",FALSE)</f>
        <v/>
      </c>
      <c r="R523">
        <f>IF(K523="","",TRUE)</f>
        <v/>
      </c>
      <c r="S523">
        <f>IF(K523="","",IF(AND(Q523,R523),IF(O523=P523,"Match","Qty Different"),IF(Q523,"Only in List 1","Only in List 2")))</f>
        <v/>
      </c>
      <c r="T523">
        <f>IF(K523="","",IF(ISNUMBER(--L523),TEXT(--L523,"000000000000.000"),LOWER(L523)))</f>
        <v/>
      </c>
      <c r="U523">
        <f>IF(K523="","",IF(ISNUMBER(--M523),TEXT(--M523,"000000000000.000"),LOWER(M523)))</f>
        <v/>
      </c>
      <c r="V523">
        <f>IF(K523="","",LOWER(N523))</f>
        <v/>
      </c>
      <c r="W523">
        <f>IF(K523="","",G23)</f>
        <v/>
      </c>
      <c r="X523">
        <f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>
      <c r="K524">
        <f>IF(H24="","",IF(SUMPRODUCT(--($C$2:$C$501=H24))&gt;0,"",H24))</f>
        <v/>
      </c>
      <c r="L524">
        <f>IF(K524="","",IF(ISNUMBER('List 2'!A24),'List 2'!A24,TRIM('List 2'!A24)))</f>
        <v/>
      </c>
      <c r="M524">
        <f>IF(K524="","",IF(ISNUMBER('List 2'!C24),'List 2'!C24,TRIM('List 2'!C24)))</f>
        <v/>
      </c>
      <c r="N524">
        <f>IF(K524="","",IF(ISNUMBER('List 2'!D24),'List 2'!D24,TRIM('List 2'!D24)))</f>
        <v/>
      </c>
      <c r="O524">
        <f>IF(K524="","",0)</f>
        <v/>
      </c>
      <c r="P524">
        <f>IF(K524="","",I24)</f>
        <v/>
      </c>
      <c r="Q524">
        <f>IF(K524="","",FALSE)</f>
        <v/>
      </c>
      <c r="R524">
        <f>IF(K524="","",TRUE)</f>
        <v/>
      </c>
      <c r="S524">
        <f>IF(K524="","",IF(AND(Q524,R524),IF(O524=P524,"Match","Qty Different"),IF(Q524,"Only in List 1","Only in List 2")))</f>
        <v/>
      </c>
      <c r="T524">
        <f>IF(K524="","",IF(ISNUMBER(--L524),TEXT(--L524,"000000000000.000"),LOWER(L524)))</f>
        <v/>
      </c>
      <c r="U524">
        <f>IF(K524="","",IF(ISNUMBER(--M524),TEXT(--M524,"000000000000.000"),LOWER(M524)))</f>
        <v/>
      </c>
      <c r="V524">
        <f>IF(K524="","",LOWER(N524))</f>
        <v/>
      </c>
      <c r="W524">
        <f>IF(K524="","",G24)</f>
        <v/>
      </c>
      <c r="X524">
        <f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>
      <c r="K525">
        <f>IF(H25="","",IF(SUMPRODUCT(--($C$2:$C$501=H25))&gt;0,"",H25))</f>
        <v/>
      </c>
      <c r="L525">
        <f>IF(K525="","",IF(ISNUMBER('List 2'!A25),'List 2'!A25,TRIM('List 2'!A25)))</f>
        <v/>
      </c>
      <c r="M525">
        <f>IF(K525="","",IF(ISNUMBER('List 2'!C25),'List 2'!C25,TRIM('List 2'!C25)))</f>
        <v/>
      </c>
      <c r="N525">
        <f>IF(K525="","",IF(ISNUMBER('List 2'!D25),'List 2'!D25,TRIM('List 2'!D25)))</f>
        <v/>
      </c>
      <c r="O525">
        <f>IF(K525="","",0)</f>
        <v/>
      </c>
      <c r="P525">
        <f>IF(K525="","",I25)</f>
        <v/>
      </c>
      <c r="Q525">
        <f>IF(K525="","",FALSE)</f>
        <v/>
      </c>
      <c r="R525">
        <f>IF(K525="","",TRUE)</f>
        <v/>
      </c>
      <c r="S525">
        <f>IF(K525="","",IF(AND(Q525,R525),IF(O525=P525,"Match","Qty Different"),IF(Q525,"Only in List 1","Only in List 2")))</f>
        <v/>
      </c>
      <c r="T525">
        <f>IF(K525="","",IF(ISNUMBER(--L525),TEXT(--L525,"000000000000.000"),LOWER(L525)))</f>
        <v/>
      </c>
      <c r="U525">
        <f>IF(K525="","",IF(ISNUMBER(--M525),TEXT(--M525,"000000000000.000"),LOWER(M525)))</f>
        <v/>
      </c>
      <c r="V525">
        <f>IF(K525="","",LOWER(N525))</f>
        <v/>
      </c>
      <c r="W525">
        <f>IF(K525="","",G25)</f>
        <v/>
      </c>
      <c r="X525">
        <f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>
      <c r="K526">
        <f>IF(H26="","",IF(SUMPRODUCT(--($C$2:$C$501=H26))&gt;0,"",H26))</f>
        <v/>
      </c>
      <c r="L526">
        <f>IF(K526="","",IF(ISNUMBER('List 2'!A26),'List 2'!A26,TRIM('List 2'!A26)))</f>
        <v/>
      </c>
      <c r="M526">
        <f>IF(K526="","",IF(ISNUMBER('List 2'!C26),'List 2'!C26,TRIM('List 2'!C26)))</f>
        <v/>
      </c>
      <c r="N526">
        <f>IF(K526="","",IF(ISNUMBER('List 2'!D26),'List 2'!D26,TRIM('List 2'!D26)))</f>
        <v/>
      </c>
      <c r="O526">
        <f>IF(K526="","",0)</f>
        <v/>
      </c>
      <c r="P526">
        <f>IF(K526="","",I26)</f>
        <v/>
      </c>
      <c r="Q526">
        <f>IF(K526="","",FALSE)</f>
        <v/>
      </c>
      <c r="R526">
        <f>IF(K526="","",TRUE)</f>
        <v/>
      </c>
      <c r="S526">
        <f>IF(K526="","",IF(AND(Q526,R526),IF(O526=P526,"Match","Qty Different"),IF(Q526,"Only in List 1","Only in List 2")))</f>
        <v/>
      </c>
      <c r="T526">
        <f>IF(K526="","",IF(ISNUMBER(--L526),TEXT(--L526,"000000000000.000"),LOWER(L526)))</f>
        <v/>
      </c>
      <c r="U526">
        <f>IF(K526="","",IF(ISNUMBER(--M526),TEXT(--M526,"000000000000.000"),LOWER(M526)))</f>
        <v/>
      </c>
      <c r="V526">
        <f>IF(K526="","",LOWER(N526))</f>
        <v/>
      </c>
      <c r="W526">
        <f>IF(K526="","",G26)</f>
        <v/>
      </c>
      <c r="X526">
        <f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>
      <c r="K527">
        <f>IF(H27="","",IF(SUMPRODUCT(--($C$2:$C$501=H27))&gt;0,"",H27))</f>
        <v/>
      </c>
      <c r="L527">
        <f>IF(K527="","",IF(ISNUMBER('List 2'!A27),'List 2'!A27,TRIM('List 2'!A27)))</f>
        <v/>
      </c>
      <c r="M527">
        <f>IF(K527="","",IF(ISNUMBER('List 2'!C27),'List 2'!C27,TRIM('List 2'!C27)))</f>
        <v/>
      </c>
      <c r="N527">
        <f>IF(K527="","",IF(ISNUMBER('List 2'!D27),'List 2'!D27,TRIM('List 2'!D27)))</f>
        <v/>
      </c>
      <c r="O527">
        <f>IF(K527="","",0)</f>
        <v/>
      </c>
      <c r="P527">
        <f>IF(K527="","",I27)</f>
        <v/>
      </c>
      <c r="Q527">
        <f>IF(K527="","",FALSE)</f>
        <v/>
      </c>
      <c r="R527">
        <f>IF(K527="","",TRUE)</f>
        <v/>
      </c>
      <c r="S527">
        <f>IF(K527="","",IF(AND(Q527,R527),IF(O527=P527,"Match","Qty Different"),IF(Q527,"Only in List 1","Only in List 2")))</f>
        <v/>
      </c>
      <c r="T527">
        <f>IF(K527="","",IF(ISNUMBER(--L527),TEXT(--L527,"000000000000.000"),LOWER(L527)))</f>
        <v/>
      </c>
      <c r="U527">
        <f>IF(K527="","",IF(ISNUMBER(--M527),TEXT(--M527,"000000000000.000"),LOWER(M527)))</f>
        <v/>
      </c>
      <c r="V527">
        <f>IF(K527="","",LOWER(N527))</f>
        <v/>
      </c>
      <c r="W527">
        <f>IF(K527="","",G27)</f>
        <v/>
      </c>
      <c r="X527">
        <f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>
      <c r="K528">
        <f>IF(H28="","",IF(SUMPRODUCT(--($C$2:$C$501=H28))&gt;0,"",H28))</f>
        <v/>
      </c>
      <c r="L528">
        <f>IF(K528="","",IF(ISNUMBER('List 2'!A28),'List 2'!A28,TRIM('List 2'!A28)))</f>
        <v/>
      </c>
      <c r="M528">
        <f>IF(K528="","",IF(ISNUMBER('List 2'!C28),'List 2'!C28,TRIM('List 2'!C28)))</f>
        <v/>
      </c>
      <c r="N528">
        <f>IF(K528="","",IF(ISNUMBER('List 2'!D28),'List 2'!D28,TRIM('List 2'!D28)))</f>
        <v/>
      </c>
      <c r="O528">
        <f>IF(K528="","",0)</f>
        <v/>
      </c>
      <c r="P528">
        <f>IF(K528="","",I28)</f>
        <v/>
      </c>
      <c r="Q528">
        <f>IF(K528="","",FALSE)</f>
        <v/>
      </c>
      <c r="R528">
        <f>IF(K528="","",TRUE)</f>
        <v/>
      </c>
      <c r="S528">
        <f>IF(K528="","",IF(AND(Q528,R528),IF(O528=P528,"Match","Qty Different"),IF(Q528,"Only in List 1","Only in List 2")))</f>
        <v/>
      </c>
      <c r="T528">
        <f>IF(K528="","",IF(ISNUMBER(--L528),TEXT(--L528,"000000000000.000"),LOWER(L528)))</f>
        <v/>
      </c>
      <c r="U528">
        <f>IF(K528="","",IF(ISNUMBER(--M528),TEXT(--M528,"000000000000.000"),LOWER(M528)))</f>
        <v/>
      </c>
      <c r="V528">
        <f>IF(K528="","",LOWER(N528))</f>
        <v/>
      </c>
      <c r="W528">
        <f>IF(K528="","",G28)</f>
        <v/>
      </c>
      <c r="X528">
        <f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>
      <c r="K529">
        <f>IF(H29="","",IF(SUMPRODUCT(--($C$2:$C$501=H29))&gt;0,"",H29))</f>
        <v/>
      </c>
      <c r="L529">
        <f>IF(K529="","",IF(ISNUMBER('List 2'!A29),'List 2'!A29,TRIM('List 2'!A29)))</f>
        <v/>
      </c>
      <c r="M529">
        <f>IF(K529="","",IF(ISNUMBER('List 2'!C29),'List 2'!C29,TRIM('List 2'!C29)))</f>
        <v/>
      </c>
      <c r="N529">
        <f>IF(K529="","",IF(ISNUMBER('List 2'!D29),'List 2'!D29,TRIM('List 2'!D29)))</f>
        <v/>
      </c>
      <c r="O529">
        <f>IF(K529="","",0)</f>
        <v/>
      </c>
      <c r="P529">
        <f>IF(K529="","",I29)</f>
        <v/>
      </c>
      <c r="Q529">
        <f>IF(K529="","",FALSE)</f>
        <v/>
      </c>
      <c r="R529">
        <f>IF(K529="","",TRUE)</f>
        <v/>
      </c>
      <c r="S529">
        <f>IF(K529="","",IF(AND(Q529,R529),IF(O529=P529,"Match","Qty Different"),IF(Q529,"Only in List 1","Only in List 2")))</f>
        <v/>
      </c>
      <c r="T529">
        <f>IF(K529="","",IF(ISNUMBER(--L529),TEXT(--L529,"000000000000.000"),LOWER(L529)))</f>
        <v/>
      </c>
      <c r="U529">
        <f>IF(K529="","",IF(ISNUMBER(--M529),TEXT(--M529,"000000000000.000"),LOWER(M529)))</f>
        <v/>
      </c>
      <c r="V529">
        <f>IF(K529="","",LOWER(N529))</f>
        <v/>
      </c>
      <c r="W529">
        <f>IF(K529="","",G29)</f>
        <v/>
      </c>
      <c r="X529">
        <f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>
      <c r="K530">
        <f>IF(H30="","",IF(SUMPRODUCT(--($C$2:$C$501=H30))&gt;0,"",H30))</f>
        <v/>
      </c>
      <c r="L530">
        <f>IF(K530="","",IF(ISNUMBER('List 2'!A30),'List 2'!A30,TRIM('List 2'!A30)))</f>
        <v/>
      </c>
      <c r="M530">
        <f>IF(K530="","",IF(ISNUMBER('List 2'!C30),'List 2'!C30,TRIM('List 2'!C30)))</f>
        <v/>
      </c>
      <c r="N530">
        <f>IF(K530="","",IF(ISNUMBER('List 2'!D30),'List 2'!D30,TRIM('List 2'!D30)))</f>
        <v/>
      </c>
      <c r="O530">
        <f>IF(K530="","",0)</f>
        <v/>
      </c>
      <c r="P530">
        <f>IF(K530="","",I30)</f>
        <v/>
      </c>
      <c r="Q530">
        <f>IF(K530="","",FALSE)</f>
        <v/>
      </c>
      <c r="R530">
        <f>IF(K530="","",TRUE)</f>
        <v/>
      </c>
      <c r="S530">
        <f>IF(K530="","",IF(AND(Q530,R530),IF(O530=P530,"Match","Qty Different"),IF(Q530,"Only in List 1","Only in List 2")))</f>
        <v/>
      </c>
      <c r="T530">
        <f>IF(K530="","",IF(ISNUMBER(--L530),TEXT(--L530,"000000000000.000"),LOWER(L530)))</f>
        <v/>
      </c>
      <c r="U530">
        <f>IF(K530="","",IF(ISNUMBER(--M530),TEXT(--M530,"000000000000.000"),LOWER(M530)))</f>
        <v/>
      </c>
      <c r="V530">
        <f>IF(K530="","",LOWER(N530))</f>
        <v/>
      </c>
      <c r="W530">
        <f>IF(K530="","",G30)</f>
        <v/>
      </c>
      <c r="X530">
        <f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>
      <c r="K531">
        <f>IF(H31="","",IF(SUMPRODUCT(--($C$2:$C$501=H31))&gt;0,"",H31))</f>
        <v/>
      </c>
      <c r="L531">
        <f>IF(K531="","",IF(ISNUMBER('List 2'!A31),'List 2'!A31,TRIM('List 2'!A31)))</f>
        <v/>
      </c>
      <c r="M531">
        <f>IF(K531="","",IF(ISNUMBER('List 2'!C31),'List 2'!C31,TRIM('List 2'!C31)))</f>
        <v/>
      </c>
      <c r="N531">
        <f>IF(K531="","",IF(ISNUMBER('List 2'!D31),'List 2'!D31,TRIM('List 2'!D31)))</f>
        <v/>
      </c>
      <c r="O531">
        <f>IF(K531="","",0)</f>
        <v/>
      </c>
      <c r="P531">
        <f>IF(K531="","",I31)</f>
        <v/>
      </c>
      <c r="Q531">
        <f>IF(K531="","",FALSE)</f>
        <v/>
      </c>
      <c r="R531">
        <f>IF(K531="","",TRUE)</f>
        <v/>
      </c>
      <c r="S531">
        <f>IF(K531="","",IF(AND(Q531,R531),IF(O531=P531,"Match","Qty Different"),IF(Q531,"Only in List 1","Only in List 2")))</f>
        <v/>
      </c>
      <c r="T531">
        <f>IF(K531="","",IF(ISNUMBER(--L531),TEXT(--L531,"000000000000.000"),LOWER(L531)))</f>
        <v/>
      </c>
      <c r="U531">
        <f>IF(K531="","",IF(ISNUMBER(--M531),TEXT(--M531,"000000000000.000"),LOWER(M531)))</f>
        <v/>
      </c>
      <c r="V531">
        <f>IF(K531="","",LOWER(N531))</f>
        <v/>
      </c>
      <c r="W531">
        <f>IF(K531="","",G31)</f>
        <v/>
      </c>
      <c r="X531">
        <f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>
      <c r="K532">
        <f>IF(H32="","",IF(SUMPRODUCT(--($C$2:$C$501=H32))&gt;0,"",H32))</f>
        <v/>
      </c>
      <c r="L532">
        <f>IF(K532="","",IF(ISNUMBER('List 2'!A32),'List 2'!A32,TRIM('List 2'!A32)))</f>
        <v/>
      </c>
      <c r="M532">
        <f>IF(K532="","",IF(ISNUMBER('List 2'!C32),'List 2'!C32,TRIM('List 2'!C32)))</f>
        <v/>
      </c>
      <c r="N532">
        <f>IF(K532="","",IF(ISNUMBER('List 2'!D32),'List 2'!D32,TRIM('List 2'!D32)))</f>
        <v/>
      </c>
      <c r="O532">
        <f>IF(K532="","",0)</f>
        <v/>
      </c>
      <c r="P532">
        <f>IF(K532="","",I32)</f>
        <v/>
      </c>
      <c r="Q532">
        <f>IF(K532="","",FALSE)</f>
        <v/>
      </c>
      <c r="R532">
        <f>IF(K532="","",TRUE)</f>
        <v/>
      </c>
      <c r="S532">
        <f>IF(K532="","",IF(AND(Q532,R532),IF(O532=P532,"Match","Qty Different"),IF(Q532,"Only in List 1","Only in List 2")))</f>
        <v/>
      </c>
      <c r="T532">
        <f>IF(K532="","",IF(ISNUMBER(--L532),TEXT(--L532,"000000000000.000"),LOWER(L532)))</f>
        <v/>
      </c>
      <c r="U532">
        <f>IF(K532="","",IF(ISNUMBER(--M532),TEXT(--M532,"000000000000.000"),LOWER(M532)))</f>
        <v/>
      </c>
      <c r="V532">
        <f>IF(K532="","",LOWER(N532))</f>
        <v/>
      </c>
      <c r="W532">
        <f>IF(K532="","",G32)</f>
        <v/>
      </c>
      <c r="X532">
        <f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>
      <c r="K533">
        <f>IF(H33="","",IF(SUMPRODUCT(--($C$2:$C$501=H33))&gt;0,"",H33))</f>
        <v/>
      </c>
      <c r="L533">
        <f>IF(K533="","",IF(ISNUMBER('List 2'!A33),'List 2'!A33,TRIM('List 2'!A33)))</f>
        <v/>
      </c>
      <c r="M533">
        <f>IF(K533="","",IF(ISNUMBER('List 2'!C33),'List 2'!C33,TRIM('List 2'!C33)))</f>
        <v/>
      </c>
      <c r="N533">
        <f>IF(K533="","",IF(ISNUMBER('List 2'!D33),'List 2'!D33,TRIM('List 2'!D33)))</f>
        <v/>
      </c>
      <c r="O533">
        <f>IF(K533="","",0)</f>
        <v/>
      </c>
      <c r="P533">
        <f>IF(K533="","",I33)</f>
        <v/>
      </c>
      <c r="Q533">
        <f>IF(K533="","",FALSE)</f>
        <v/>
      </c>
      <c r="R533">
        <f>IF(K533="","",TRUE)</f>
        <v/>
      </c>
      <c r="S533">
        <f>IF(K533="","",IF(AND(Q533,R533),IF(O533=P533,"Match","Qty Different"),IF(Q533,"Only in List 1","Only in List 2")))</f>
        <v/>
      </c>
      <c r="T533">
        <f>IF(K533="","",IF(ISNUMBER(--L533),TEXT(--L533,"000000000000.000"),LOWER(L533)))</f>
        <v/>
      </c>
      <c r="U533">
        <f>IF(K533="","",IF(ISNUMBER(--M533),TEXT(--M533,"000000000000.000"),LOWER(M533)))</f>
        <v/>
      </c>
      <c r="V533">
        <f>IF(K533="","",LOWER(N533))</f>
        <v/>
      </c>
      <c r="W533">
        <f>IF(K533="","",G33)</f>
        <v/>
      </c>
      <c r="X533">
        <f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>
      <c r="K534">
        <f>IF(H34="","",IF(SUMPRODUCT(--($C$2:$C$501=H34))&gt;0,"",H34))</f>
        <v/>
      </c>
      <c r="L534">
        <f>IF(K534="","",IF(ISNUMBER('List 2'!A34),'List 2'!A34,TRIM('List 2'!A34)))</f>
        <v/>
      </c>
      <c r="M534">
        <f>IF(K534="","",IF(ISNUMBER('List 2'!C34),'List 2'!C34,TRIM('List 2'!C34)))</f>
        <v/>
      </c>
      <c r="N534">
        <f>IF(K534="","",IF(ISNUMBER('List 2'!D34),'List 2'!D34,TRIM('List 2'!D34)))</f>
        <v/>
      </c>
      <c r="O534">
        <f>IF(K534="","",0)</f>
        <v/>
      </c>
      <c r="P534">
        <f>IF(K534="","",I34)</f>
        <v/>
      </c>
      <c r="Q534">
        <f>IF(K534="","",FALSE)</f>
        <v/>
      </c>
      <c r="R534">
        <f>IF(K534="","",TRUE)</f>
        <v/>
      </c>
      <c r="S534">
        <f>IF(K534="","",IF(AND(Q534,R534),IF(O534=P534,"Match","Qty Different"),IF(Q534,"Only in List 1","Only in List 2")))</f>
        <v/>
      </c>
      <c r="T534">
        <f>IF(K534="","",IF(ISNUMBER(--L534),TEXT(--L534,"000000000000.000"),LOWER(L534)))</f>
        <v/>
      </c>
      <c r="U534">
        <f>IF(K534="","",IF(ISNUMBER(--M534),TEXT(--M534,"000000000000.000"),LOWER(M534)))</f>
        <v/>
      </c>
      <c r="V534">
        <f>IF(K534="","",LOWER(N534))</f>
        <v/>
      </c>
      <c r="W534">
        <f>IF(K534="","",G34)</f>
        <v/>
      </c>
      <c r="X534">
        <f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>
      <c r="K535">
        <f>IF(H35="","",IF(SUMPRODUCT(--($C$2:$C$501=H35))&gt;0,"",H35))</f>
        <v/>
      </c>
      <c r="L535">
        <f>IF(K535="","",IF(ISNUMBER('List 2'!A35),'List 2'!A35,TRIM('List 2'!A35)))</f>
        <v/>
      </c>
      <c r="M535">
        <f>IF(K535="","",IF(ISNUMBER('List 2'!C35),'List 2'!C35,TRIM('List 2'!C35)))</f>
        <v/>
      </c>
      <c r="N535">
        <f>IF(K535="","",IF(ISNUMBER('List 2'!D35),'List 2'!D35,TRIM('List 2'!D35)))</f>
        <v/>
      </c>
      <c r="O535">
        <f>IF(K535="","",0)</f>
        <v/>
      </c>
      <c r="P535">
        <f>IF(K535="","",I35)</f>
        <v/>
      </c>
      <c r="Q535">
        <f>IF(K535="","",FALSE)</f>
        <v/>
      </c>
      <c r="R535">
        <f>IF(K535="","",TRUE)</f>
        <v/>
      </c>
      <c r="S535">
        <f>IF(K535="","",IF(AND(Q535,R535),IF(O535=P535,"Match","Qty Different"),IF(Q535,"Only in List 1","Only in List 2")))</f>
        <v/>
      </c>
      <c r="T535">
        <f>IF(K535="","",IF(ISNUMBER(--L535),TEXT(--L535,"000000000000.000"),LOWER(L535)))</f>
        <v/>
      </c>
      <c r="U535">
        <f>IF(K535="","",IF(ISNUMBER(--M535),TEXT(--M535,"000000000000.000"),LOWER(M535)))</f>
        <v/>
      </c>
      <c r="V535">
        <f>IF(K535="","",LOWER(N535))</f>
        <v/>
      </c>
      <c r="W535">
        <f>IF(K535="","",G35)</f>
        <v/>
      </c>
      <c r="X535">
        <f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>
      <c r="K536">
        <f>IF(H36="","",IF(SUMPRODUCT(--($C$2:$C$501=H36))&gt;0,"",H36))</f>
        <v/>
      </c>
      <c r="L536">
        <f>IF(K536="","",IF(ISNUMBER('List 2'!A36),'List 2'!A36,TRIM('List 2'!A36)))</f>
        <v/>
      </c>
      <c r="M536">
        <f>IF(K536="","",IF(ISNUMBER('List 2'!C36),'List 2'!C36,TRIM('List 2'!C36)))</f>
        <v/>
      </c>
      <c r="N536">
        <f>IF(K536="","",IF(ISNUMBER('List 2'!D36),'List 2'!D36,TRIM('List 2'!D36)))</f>
        <v/>
      </c>
      <c r="O536">
        <f>IF(K536="","",0)</f>
        <v/>
      </c>
      <c r="P536">
        <f>IF(K536="","",I36)</f>
        <v/>
      </c>
      <c r="Q536">
        <f>IF(K536="","",FALSE)</f>
        <v/>
      </c>
      <c r="R536">
        <f>IF(K536="","",TRUE)</f>
        <v/>
      </c>
      <c r="S536">
        <f>IF(K536="","",IF(AND(Q536,R536),IF(O536=P536,"Match","Qty Different"),IF(Q536,"Only in List 1","Only in List 2")))</f>
        <v/>
      </c>
      <c r="T536">
        <f>IF(K536="","",IF(ISNUMBER(--L536),TEXT(--L536,"000000000000.000"),LOWER(L536)))</f>
        <v/>
      </c>
      <c r="U536">
        <f>IF(K536="","",IF(ISNUMBER(--M536),TEXT(--M536,"000000000000.000"),LOWER(M536)))</f>
        <v/>
      </c>
      <c r="V536">
        <f>IF(K536="","",LOWER(N536))</f>
        <v/>
      </c>
      <c r="W536">
        <f>IF(K536="","",G36)</f>
        <v/>
      </c>
      <c r="X536">
        <f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>
      <c r="K537">
        <f>IF(H37="","",IF(SUMPRODUCT(--($C$2:$C$501=H37))&gt;0,"",H37))</f>
        <v/>
      </c>
      <c r="L537">
        <f>IF(K537="","",IF(ISNUMBER('List 2'!A37),'List 2'!A37,TRIM('List 2'!A37)))</f>
        <v/>
      </c>
      <c r="M537">
        <f>IF(K537="","",IF(ISNUMBER('List 2'!C37),'List 2'!C37,TRIM('List 2'!C37)))</f>
        <v/>
      </c>
      <c r="N537">
        <f>IF(K537="","",IF(ISNUMBER('List 2'!D37),'List 2'!D37,TRIM('List 2'!D37)))</f>
        <v/>
      </c>
      <c r="O537">
        <f>IF(K537="","",0)</f>
        <v/>
      </c>
      <c r="P537">
        <f>IF(K537="","",I37)</f>
        <v/>
      </c>
      <c r="Q537">
        <f>IF(K537="","",FALSE)</f>
        <v/>
      </c>
      <c r="R537">
        <f>IF(K537="","",TRUE)</f>
        <v/>
      </c>
      <c r="S537">
        <f>IF(K537="","",IF(AND(Q537,R537),IF(O537=P537,"Match","Qty Different"),IF(Q537,"Only in List 1","Only in List 2")))</f>
        <v/>
      </c>
      <c r="T537">
        <f>IF(K537="","",IF(ISNUMBER(--L537),TEXT(--L537,"000000000000.000"),LOWER(L537)))</f>
        <v/>
      </c>
      <c r="U537">
        <f>IF(K537="","",IF(ISNUMBER(--M537),TEXT(--M537,"000000000000.000"),LOWER(M537)))</f>
        <v/>
      </c>
      <c r="V537">
        <f>IF(K537="","",LOWER(N537))</f>
        <v/>
      </c>
      <c r="W537">
        <f>IF(K537="","",G37)</f>
        <v/>
      </c>
      <c r="X537">
        <f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>
      <c r="K538">
        <f>IF(H38="","",IF(SUMPRODUCT(--($C$2:$C$501=H38))&gt;0,"",H38))</f>
        <v/>
      </c>
      <c r="L538">
        <f>IF(K538="","",IF(ISNUMBER('List 2'!A38),'List 2'!A38,TRIM('List 2'!A38)))</f>
        <v/>
      </c>
      <c r="M538">
        <f>IF(K538="","",IF(ISNUMBER('List 2'!C38),'List 2'!C38,TRIM('List 2'!C38)))</f>
        <v/>
      </c>
      <c r="N538">
        <f>IF(K538="","",IF(ISNUMBER('List 2'!D38),'List 2'!D38,TRIM('List 2'!D38)))</f>
        <v/>
      </c>
      <c r="O538">
        <f>IF(K538="","",0)</f>
        <v/>
      </c>
      <c r="P538">
        <f>IF(K538="","",I38)</f>
        <v/>
      </c>
      <c r="Q538">
        <f>IF(K538="","",FALSE)</f>
        <v/>
      </c>
      <c r="R538">
        <f>IF(K538="","",TRUE)</f>
        <v/>
      </c>
      <c r="S538">
        <f>IF(K538="","",IF(AND(Q538,R538),IF(O538=P538,"Match","Qty Different"),IF(Q538,"Only in List 1","Only in List 2")))</f>
        <v/>
      </c>
      <c r="T538">
        <f>IF(K538="","",IF(ISNUMBER(--L538),TEXT(--L538,"000000000000.000"),LOWER(L538)))</f>
        <v/>
      </c>
      <c r="U538">
        <f>IF(K538="","",IF(ISNUMBER(--M538),TEXT(--M538,"000000000000.000"),LOWER(M538)))</f>
        <v/>
      </c>
      <c r="V538">
        <f>IF(K538="","",LOWER(N538))</f>
        <v/>
      </c>
      <c r="W538">
        <f>IF(K538="","",G38)</f>
        <v/>
      </c>
      <c r="X538">
        <f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>
      <c r="K539">
        <f>IF(H39="","",IF(SUMPRODUCT(--($C$2:$C$501=H39))&gt;0,"",H39))</f>
        <v/>
      </c>
      <c r="L539">
        <f>IF(K539="","",IF(ISNUMBER('List 2'!A39),'List 2'!A39,TRIM('List 2'!A39)))</f>
        <v/>
      </c>
      <c r="M539">
        <f>IF(K539="","",IF(ISNUMBER('List 2'!C39),'List 2'!C39,TRIM('List 2'!C39)))</f>
        <v/>
      </c>
      <c r="N539">
        <f>IF(K539="","",IF(ISNUMBER('List 2'!D39),'List 2'!D39,TRIM('List 2'!D39)))</f>
        <v/>
      </c>
      <c r="O539">
        <f>IF(K539="","",0)</f>
        <v/>
      </c>
      <c r="P539">
        <f>IF(K539="","",I39)</f>
        <v/>
      </c>
      <c r="Q539">
        <f>IF(K539="","",FALSE)</f>
        <v/>
      </c>
      <c r="R539">
        <f>IF(K539="","",TRUE)</f>
        <v/>
      </c>
      <c r="S539">
        <f>IF(K539="","",IF(AND(Q539,R539),IF(O539=P539,"Match","Qty Different"),IF(Q539,"Only in List 1","Only in List 2")))</f>
        <v/>
      </c>
      <c r="T539">
        <f>IF(K539="","",IF(ISNUMBER(--L539),TEXT(--L539,"000000000000.000"),LOWER(L539)))</f>
        <v/>
      </c>
      <c r="U539">
        <f>IF(K539="","",IF(ISNUMBER(--M539),TEXT(--M539,"000000000000.000"),LOWER(M539)))</f>
        <v/>
      </c>
      <c r="V539">
        <f>IF(K539="","",LOWER(N539))</f>
        <v/>
      </c>
      <c r="W539">
        <f>IF(K539="","",G39)</f>
        <v/>
      </c>
      <c r="X539">
        <f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>
      <c r="K540">
        <f>IF(H40="","",IF(SUMPRODUCT(--($C$2:$C$501=H40))&gt;0,"",H40))</f>
        <v/>
      </c>
      <c r="L540">
        <f>IF(K540="","",IF(ISNUMBER('List 2'!A40),'List 2'!A40,TRIM('List 2'!A40)))</f>
        <v/>
      </c>
      <c r="M540">
        <f>IF(K540="","",IF(ISNUMBER('List 2'!C40),'List 2'!C40,TRIM('List 2'!C40)))</f>
        <v/>
      </c>
      <c r="N540">
        <f>IF(K540="","",IF(ISNUMBER('List 2'!D40),'List 2'!D40,TRIM('List 2'!D40)))</f>
        <v/>
      </c>
      <c r="O540">
        <f>IF(K540="","",0)</f>
        <v/>
      </c>
      <c r="P540">
        <f>IF(K540="","",I40)</f>
        <v/>
      </c>
      <c r="Q540">
        <f>IF(K540="","",FALSE)</f>
        <v/>
      </c>
      <c r="R540">
        <f>IF(K540="","",TRUE)</f>
        <v/>
      </c>
      <c r="S540">
        <f>IF(K540="","",IF(AND(Q540,R540),IF(O540=P540,"Match","Qty Different"),IF(Q540,"Only in List 1","Only in List 2")))</f>
        <v/>
      </c>
      <c r="T540">
        <f>IF(K540="","",IF(ISNUMBER(--L540),TEXT(--L540,"000000000000.000"),LOWER(L540)))</f>
        <v/>
      </c>
      <c r="U540">
        <f>IF(K540="","",IF(ISNUMBER(--M540),TEXT(--M540,"000000000000.000"),LOWER(M540)))</f>
        <v/>
      </c>
      <c r="V540">
        <f>IF(K540="","",LOWER(N540))</f>
        <v/>
      </c>
      <c r="W540">
        <f>IF(K540="","",G40)</f>
        <v/>
      </c>
      <c r="X540">
        <f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>
      <c r="K541">
        <f>IF(H41="","",IF(SUMPRODUCT(--($C$2:$C$501=H41))&gt;0,"",H41))</f>
        <v/>
      </c>
      <c r="L541">
        <f>IF(K541="","",IF(ISNUMBER('List 2'!A41),'List 2'!A41,TRIM('List 2'!A41)))</f>
        <v/>
      </c>
      <c r="M541">
        <f>IF(K541="","",IF(ISNUMBER('List 2'!C41),'List 2'!C41,TRIM('List 2'!C41)))</f>
        <v/>
      </c>
      <c r="N541">
        <f>IF(K541="","",IF(ISNUMBER('List 2'!D41),'List 2'!D41,TRIM('List 2'!D41)))</f>
        <v/>
      </c>
      <c r="O541">
        <f>IF(K541="","",0)</f>
        <v/>
      </c>
      <c r="P541">
        <f>IF(K541="","",I41)</f>
        <v/>
      </c>
      <c r="Q541">
        <f>IF(K541="","",FALSE)</f>
        <v/>
      </c>
      <c r="R541">
        <f>IF(K541="","",TRUE)</f>
        <v/>
      </c>
      <c r="S541">
        <f>IF(K541="","",IF(AND(Q541,R541),IF(O541=P541,"Match","Qty Different"),IF(Q541,"Only in List 1","Only in List 2")))</f>
        <v/>
      </c>
      <c r="T541">
        <f>IF(K541="","",IF(ISNUMBER(--L541),TEXT(--L541,"000000000000.000"),LOWER(L541)))</f>
        <v/>
      </c>
      <c r="U541">
        <f>IF(K541="","",IF(ISNUMBER(--M541),TEXT(--M541,"000000000000.000"),LOWER(M541)))</f>
        <v/>
      </c>
      <c r="V541">
        <f>IF(K541="","",LOWER(N541))</f>
        <v/>
      </c>
      <c r="W541">
        <f>IF(K541="","",G41)</f>
        <v/>
      </c>
      <c r="X541">
        <f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>
      <c r="K542">
        <f>IF(H42="","",IF(SUMPRODUCT(--($C$2:$C$501=H42))&gt;0,"",H42))</f>
        <v/>
      </c>
      <c r="L542">
        <f>IF(K542="","",IF(ISNUMBER('List 2'!A42),'List 2'!A42,TRIM('List 2'!A42)))</f>
        <v/>
      </c>
      <c r="M542">
        <f>IF(K542="","",IF(ISNUMBER('List 2'!C42),'List 2'!C42,TRIM('List 2'!C42)))</f>
        <v/>
      </c>
      <c r="N542">
        <f>IF(K542="","",IF(ISNUMBER('List 2'!D42),'List 2'!D42,TRIM('List 2'!D42)))</f>
        <v/>
      </c>
      <c r="O542">
        <f>IF(K542="","",0)</f>
        <v/>
      </c>
      <c r="P542">
        <f>IF(K542="","",I42)</f>
        <v/>
      </c>
      <c r="Q542">
        <f>IF(K542="","",FALSE)</f>
        <v/>
      </c>
      <c r="R542">
        <f>IF(K542="","",TRUE)</f>
        <v/>
      </c>
      <c r="S542">
        <f>IF(K542="","",IF(AND(Q542,R542),IF(O542=P542,"Match","Qty Different"),IF(Q542,"Only in List 1","Only in List 2")))</f>
        <v/>
      </c>
      <c r="T542">
        <f>IF(K542="","",IF(ISNUMBER(--L542),TEXT(--L542,"000000000000.000"),LOWER(L542)))</f>
        <v/>
      </c>
      <c r="U542">
        <f>IF(K542="","",IF(ISNUMBER(--M542),TEXT(--M542,"000000000000.000"),LOWER(M542)))</f>
        <v/>
      </c>
      <c r="V542">
        <f>IF(K542="","",LOWER(N542))</f>
        <v/>
      </c>
      <c r="W542">
        <f>IF(K542="","",G42)</f>
        <v/>
      </c>
      <c r="X542">
        <f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>
      <c r="K543">
        <f>IF(H43="","",IF(SUMPRODUCT(--($C$2:$C$501=H43))&gt;0,"",H43))</f>
        <v/>
      </c>
      <c r="L543">
        <f>IF(K543="","",IF(ISNUMBER('List 2'!A43),'List 2'!A43,TRIM('List 2'!A43)))</f>
        <v/>
      </c>
      <c r="M543">
        <f>IF(K543="","",IF(ISNUMBER('List 2'!C43),'List 2'!C43,TRIM('List 2'!C43)))</f>
        <v/>
      </c>
      <c r="N543">
        <f>IF(K543="","",IF(ISNUMBER('List 2'!D43),'List 2'!D43,TRIM('List 2'!D43)))</f>
        <v/>
      </c>
      <c r="O543">
        <f>IF(K543="","",0)</f>
        <v/>
      </c>
      <c r="P543">
        <f>IF(K543="","",I43)</f>
        <v/>
      </c>
      <c r="Q543">
        <f>IF(K543="","",FALSE)</f>
        <v/>
      </c>
      <c r="R543">
        <f>IF(K543="","",TRUE)</f>
        <v/>
      </c>
      <c r="S543">
        <f>IF(K543="","",IF(AND(Q543,R543),IF(O543=P543,"Match","Qty Different"),IF(Q543,"Only in List 1","Only in List 2")))</f>
        <v/>
      </c>
      <c r="T543">
        <f>IF(K543="","",IF(ISNUMBER(--L543),TEXT(--L543,"000000000000.000"),LOWER(L543)))</f>
        <v/>
      </c>
      <c r="U543">
        <f>IF(K543="","",IF(ISNUMBER(--M543),TEXT(--M543,"000000000000.000"),LOWER(M543)))</f>
        <v/>
      </c>
      <c r="V543">
        <f>IF(K543="","",LOWER(N543))</f>
        <v/>
      </c>
      <c r="W543">
        <f>IF(K543="","",G43)</f>
        <v/>
      </c>
      <c r="X543">
        <f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>
      <c r="K544">
        <f>IF(H44="","",IF(SUMPRODUCT(--($C$2:$C$501=H44))&gt;0,"",H44))</f>
        <v/>
      </c>
      <c r="L544">
        <f>IF(K544="","",IF(ISNUMBER('List 2'!A44),'List 2'!A44,TRIM('List 2'!A44)))</f>
        <v/>
      </c>
      <c r="M544">
        <f>IF(K544="","",IF(ISNUMBER('List 2'!C44),'List 2'!C44,TRIM('List 2'!C44)))</f>
        <v/>
      </c>
      <c r="N544">
        <f>IF(K544="","",IF(ISNUMBER('List 2'!D44),'List 2'!D44,TRIM('List 2'!D44)))</f>
        <v/>
      </c>
      <c r="O544">
        <f>IF(K544="","",0)</f>
        <v/>
      </c>
      <c r="P544">
        <f>IF(K544="","",I44)</f>
        <v/>
      </c>
      <c r="Q544">
        <f>IF(K544="","",FALSE)</f>
        <v/>
      </c>
      <c r="R544">
        <f>IF(K544="","",TRUE)</f>
        <v/>
      </c>
      <c r="S544">
        <f>IF(K544="","",IF(AND(Q544,R544),IF(O544=P544,"Match","Qty Different"),IF(Q544,"Only in List 1","Only in List 2")))</f>
        <v/>
      </c>
      <c r="T544">
        <f>IF(K544="","",IF(ISNUMBER(--L544),TEXT(--L544,"000000000000.000"),LOWER(L544)))</f>
        <v/>
      </c>
      <c r="U544">
        <f>IF(K544="","",IF(ISNUMBER(--M544),TEXT(--M544,"000000000000.000"),LOWER(M544)))</f>
        <v/>
      </c>
      <c r="V544">
        <f>IF(K544="","",LOWER(N544))</f>
        <v/>
      </c>
      <c r="W544">
        <f>IF(K544="","",G44)</f>
        <v/>
      </c>
      <c r="X544">
        <f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>
      <c r="K545">
        <f>IF(H45="","",IF(SUMPRODUCT(--($C$2:$C$501=H45))&gt;0,"",H45))</f>
        <v/>
      </c>
      <c r="L545">
        <f>IF(K545="","",IF(ISNUMBER('List 2'!A45),'List 2'!A45,TRIM('List 2'!A45)))</f>
        <v/>
      </c>
      <c r="M545">
        <f>IF(K545="","",IF(ISNUMBER('List 2'!C45),'List 2'!C45,TRIM('List 2'!C45)))</f>
        <v/>
      </c>
      <c r="N545">
        <f>IF(K545="","",IF(ISNUMBER('List 2'!D45),'List 2'!D45,TRIM('List 2'!D45)))</f>
        <v/>
      </c>
      <c r="O545">
        <f>IF(K545="","",0)</f>
        <v/>
      </c>
      <c r="P545">
        <f>IF(K545="","",I45)</f>
        <v/>
      </c>
      <c r="Q545">
        <f>IF(K545="","",FALSE)</f>
        <v/>
      </c>
      <c r="R545">
        <f>IF(K545="","",TRUE)</f>
        <v/>
      </c>
      <c r="S545">
        <f>IF(K545="","",IF(AND(Q545,R545),IF(O545=P545,"Match","Qty Different"),IF(Q545,"Only in List 1","Only in List 2")))</f>
        <v/>
      </c>
      <c r="T545">
        <f>IF(K545="","",IF(ISNUMBER(--L545),TEXT(--L545,"000000000000.000"),LOWER(L545)))</f>
        <v/>
      </c>
      <c r="U545">
        <f>IF(K545="","",IF(ISNUMBER(--M545),TEXT(--M545,"000000000000.000"),LOWER(M545)))</f>
        <v/>
      </c>
      <c r="V545">
        <f>IF(K545="","",LOWER(N545))</f>
        <v/>
      </c>
      <c r="W545">
        <f>IF(K545="","",G45)</f>
        <v/>
      </c>
      <c r="X545">
        <f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>
      <c r="K546">
        <f>IF(H46="","",IF(SUMPRODUCT(--($C$2:$C$501=H46))&gt;0,"",H46))</f>
        <v/>
      </c>
      <c r="L546">
        <f>IF(K546="","",IF(ISNUMBER('List 2'!A46),'List 2'!A46,TRIM('List 2'!A46)))</f>
        <v/>
      </c>
      <c r="M546">
        <f>IF(K546="","",IF(ISNUMBER('List 2'!C46),'List 2'!C46,TRIM('List 2'!C46)))</f>
        <v/>
      </c>
      <c r="N546">
        <f>IF(K546="","",IF(ISNUMBER('List 2'!D46),'List 2'!D46,TRIM('List 2'!D46)))</f>
        <v/>
      </c>
      <c r="O546">
        <f>IF(K546="","",0)</f>
        <v/>
      </c>
      <c r="P546">
        <f>IF(K546="","",I46)</f>
        <v/>
      </c>
      <c r="Q546">
        <f>IF(K546="","",FALSE)</f>
        <v/>
      </c>
      <c r="R546">
        <f>IF(K546="","",TRUE)</f>
        <v/>
      </c>
      <c r="S546">
        <f>IF(K546="","",IF(AND(Q546,R546),IF(O546=P546,"Match","Qty Different"),IF(Q546,"Only in List 1","Only in List 2")))</f>
        <v/>
      </c>
      <c r="T546">
        <f>IF(K546="","",IF(ISNUMBER(--L546),TEXT(--L546,"000000000000.000"),LOWER(L546)))</f>
        <v/>
      </c>
      <c r="U546">
        <f>IF(K546="","",IF(ISNUMBER(--M546),TEXT(--M546,"000000000000.000"),LOWER(M546)))</f>
        <v/>
      </c>
      <c r="V546">
        <f>IF(K546="","",LOWER(N546))</f>
        <v/>
      </c>
      <c r="W546">
        <f>IF(K546="","",G46)</f>
        <v/>
      </c>
      <c r="X546">
        <f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>
      <c r="K547">
        <f>IF(H47="","",IF(SUMPRODUCT(--($C$2:$C$501=H47))&gt;0,"",H47))</f>
        <v/>
      </c>
      <c r="L547">
        <f>IF(K547="","",IF(ISNUMBER('List 2'!A47),'List 2'!A47,TRIM('List 2'!A47)))</f>
        <v/>
      </c>
      <c r="M547">
        <f>IF(K547="","",IF(ISNUMBER('List 2'!C47),'List 2'!C47,TRIM('List 2'!C47)))</f>
        <v/>
      </c>
      <c r="N547">
        <f>IF(K547="","",IF(ISNUMBER('List 2'!D47),'List 2'!D47,TRIM('List 2'!D47)))</f>
        <v/>
      </c>
      <c r="O547">
        <f>IF(K547="","",0)</f>
        <v/>
      </c>
      <c r="P547">
        <f>IF(K547="","",I47)</f>
        <v/>
      </c>
      <c r="Q547">
        <f>IF(K547="","",FALSE)</f>
        <v/>
      </c>
      <c r="R547">
        <f>IF(K547="","",TRUE)</f>
        <v/>
      </c>
      <c r="S547">
        <f>IF(K547="","",IF(AND(Q547,R547),IF(O547=P547,"Match","Qty Different"),IF(Q547,"Only in List 1","Only in List 2")))</f>
        <v/>
      </c>
      <c r="T547">
        <f>IF(K547="","",IF(ISNUMBER(--L547),TEXT(--L547,"000000000000.000"),LOWER(L547)))</f>
        <v/>
      </c>
      <c r="U547">
        <f>IF(K547="","",IF(ISNUMBER(--M547),TEXT(--M547,"000000000000.000"),LOWER(M547)))</f>
        <v/>
      </c>
      <c r="V547">
        <f>IF(K547="","",LOWER(N547))</f>
        <v/>
      </c>
      <c r="W547">
        <f>IF(K547="","",G47)</f>
        <v/>
      </c>
      <c r="X547">
        <f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>
      <c r="K548">
        <f>IF(H48="","",IF(SUMPRODUCT(--($C$2:$C$501=H48))&gt;0,"",H48))</f>
        <v/>
      </c>
      <c r="L548">
        <f>IF(K548="","",IF(ISNUMBER('List 2'!A48),'List 2'!A48,TRIM('List 2'!A48)))</f>
        <v/>
      </c>
      <c r="M548">
        <f>IF(K548="","",IF(ISNUMBER('List 2'!C48),'List 2'!C48,TRIM('List 2'!C48)))</f>
        <v/>
      </c>
      <c r="N548">
        <f>IF(K548="","",IF(ISNUMBER('List 2'!D48),'List 2'!D48,TRIM('List 2'!D48)))</f>
        <v/>
      </c>
      <c r="O548">
        <f>IF(K548="","",0)</f>
        <v/>
      </c>
      <c r="P548">
        <f>IF(K548="","",I48)</f>
        <v/>
      </c>
      <c r="Q548">
        <f>IF(K548="","",FALSE)</f>
        <v/>
      </c>
      <c r="R548">
        <f>IF(K548="","",TRUE)</f>
        <v/>
      </c>
      <c r="S548">
        <f>IF(K548="","",IF(AND(Q548,R548),IF(O548=P548,"Match","Qty Different"),IF(Q548,"Only in List 1","Only in List 2")))</f>
        <v/>
      </c>
      <c r="T548">
        <f>IF(K548="","",IF(ISNUMBER(--L548),TEXT(--L548,"000000000000.000"),LOWER(L548)))</f>
        <v/>
      </c>
      <c r="U548">
        <f>IF(K548="","",IF(ISNUMBER(--M548),TEXT(--M548,"000000000000.000"),LOWER(M548)))</f>
        <v/>
      </c>
      <c r="V548">
        <f>IF(K548="","",LOWER(N548))</f>
        <v/>
      </c>
      <c r="W548">
        <f>IF(K548="","",G48)</f>
        <v/>
      </c>
      <c r="X548">
        <f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>
      <c r="K549">
        <f>IF(H49="","",IF(SUMPRODUCT(--($C$2:$C$501=H49))&gt;0,"",H49))</f>
        <v/>
      </c>
      <c r="L549">
        <f>IF(K549="","",IF(ISNUMBER('List 2'!A49),'List 2'!A49,TRIM('List 2'!A49)))</f>
        <v/>
      </c>
      <c r="M549">
        <f>IF(K549="","",IF(ISNUMBER('List 2'!C49),'List 2'!C49,TRIM('List 2'!C49)))</f>
        <v/>
      </c>
      <c r="N549">
        <f>IF(K549="","",IF(ISNUMBER('List 2'!D49),'List 2'!D49,TRIM('List 2'!D49)))</f>
        <v/>
      </c>
      <c r="O549">
        <f>IF(K549="","",0)</f>
        <v/>
      </c>
      <c r="P549">
        <f>IF(K549="","",I49)</f>
        <v/>
      </c>
      <c r="Q549">
        <f>IF(K549="","",FALSE)</f>
        <v/>
      </c>
      <c r="R549">
        <f>IF(K549="","",TRUE)</f>
        <v/>
      </c>
      <c r="S549">
        <f>IF(K549="","",IF(AND(Q549,R549),IF(O549=P549,"Match","Qty Different"),IF(Q549,"Only in List 1","Only in List 2")))</f>
        <v/>
      </c>
      <c r="T549">
        <f>IF(K549="","",IF(ISNUMBER(--L549),TEXT(--L549,"000000000000.000"),LOWER(L549)))</f>
        <v/>
      </c>
      <c r="U549">
        <f>IF(K549="","",IF(ISNUMBER(--M549),TEXT(--M549,"000000000000.000"),LOWER(M549)))</f>
        <v/>
      </c>
      <c r="V549">
        <f>IF(K549="","",LOWER(N549))</f>
        <v/>
      </c>
      <c r="W549">
        <f>IF(K549="","",G49)</f>
        <v/>
      </c>
      <c r="X549">
        <f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>
      <c r="K550">
        <f>IF(H50="","",IF(SUMPRODUCT(--($C$2:$C$501=H50))&gt;0,"",H50))</f>
        <v/>
      </c>
      <c r="L550">
        <f>IF(K550="","",IF(ISNUMBER('List 2'!A50),'List 2'!A50,TRIM('List 2'!A50)))</f>
        <v/>
      </c>
      <c r="M550">
        <f>IF(K550="","",IF(ISNUMBER('List 2'!C50),'List 2'!C50,TRIM('List 2'!C50)))</f>
        <v/>
      </c>
      <c r="N550">
        <f>IF(K550="","",IF(ISNUMBER('List 2'!D50),'List 2'!D50,TRIM('List 2'!D50)))</f>
        <v/>
      </c>
      <c r="O550">
        <f>IF(K550="","",0)</f>
        <v/>
      </c>
      <c r="P550">
        <f>IF(K550="","",I50)</f>
        <v/>
      </c>
      <c r="Q550">
        <f>IF(K550="","",FALSE)</f>
        <v/>
      </c>
      <c r="R550">
        <f>IF(K550="","",TRUE)</f>
        <v/>
      </c>
      <c r="S550">
        <f>IF(K550="","",IF(AND(Q550,R550),IF(O550=P550,"Match","Qty Different"),IF(Q550,"Only in List 1","Only in List 2")))</f>
        <v/>
      </c>
      <c r="T550">
        <f>IF(K550="","",IF(ISNUMBER(--L550),TEXT(--L550,"000000000000.000"),LOWER(L550)))</f>
        <v/>
      </c>
      <c r="U550">
        <f>IF(K550="","",IF(ISNUMBER(--M550),TEXT(--M550,"000000000000.000"),LOWER(M550)))</f>
        <v/>
      </c>
      <c r="V550">
        <f>IF(K550="","",LOWER(N550))</f>
        <v/>
      </c>
      <c r="W550">
        <f>IF(K550="","",G50)</f>
        <v/>
      </c>
      <c r="X550">
        <f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>
      <c r="K551">
        <f>IF(H51="","",IF(SUMPRODUCT(--($C$2:$C$501=H51))&gt;0,"",H51))</f>
        <v/>
      </c>
      <c r="L551">
        <f>IF(K551="","",IF(ISNUMBER('List 2'!A51),'List 2'!A51,TRIM('List 2'!A51)))</f>
        <v/>
      </c>
      <c r="M551">
        <f>IF(K551="","",IF(ISNUMBER('List 2'!C51),'List 2'!C51,TRIM('List 2'!C51)))</f>
        <v/>
      </c>
      <c r="N551">
        <f>IF(K551="","",IF(ISNUMBER('List 2'!D51),'List 2'!D51,TRIM('List 2'!D51)))</f>
        <v/>
      </c>
      <c r="O551">
        <f>IF(K551="","",0)</f>
        <v/>
      </c>
      <c r="P551">
        <f>IF(K551="","",I51)</f>
        <v/>
      </c>
      <c r="Q551">
        <f>IF(K551="","",FALSE)</f>
        <v/>
      </c>
      <c r="R551">
        <f>IF(K551="","",TRUE)</f>
        <v/>
      </c>
      <c r="S551">
        <f>IF(K551="","",IF(AND(Q551,R551),IF(O551=P551,"Match","Qty Different"),IF(Q551,"Only in List 1","Only in List 2")))</f>
        <v/>
      </c>
      <c r="T551">
        <f>IF(K551="","",IF(ISNUMBER(--L551),TEXT(--L551,"000000000000.000"),LOWER(L551)))</f>
        <v/>
      </c>
      <c r="U551">
        <f>IF(K551="","",IF(ISNUMBER(--M551),TEXT(--M551,"000000000000.000"),LOWER(M551)))</f>
        <v/>
      </c>
      <c r="V551">
        <f>IF(K551="","",LOWER(N551))</f>
        <v/>
      </c>
      <c r="W551">
        <f>IF(K551="","",G51)</f>
        <v/>
      </c>
      <c r="X551">
        <f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>
      <c r="K552">
        <f>IF(H52="","",IF(SUMPRODUCT(--($C$2:$C$501=H52))&gt;0,"",H52))</f>
        <v/>
      </c>
      <c r="L552">
        <f>IF(K552="","",IF(ISNUMBER('List 2'!A52),'List 2'!A52,TRIM('List 2'!A52)))</f>
        <v/>
      </c>
      <c r="M552">
        <f>IF(K552="","",IF(ISNUMBER('List 2'!C52),'List 2'!C52,TRIM('List 2'!C52)))</f>
        <v/>
      </c>
      <c r="N552">
        <f>IF(K552="","",IF(ISNUMBER('List 2'!D52),'List 2'!D52,TRIM('List 2'!D52)))</f>
        <v/>
      </c>
      <c r="O552">
        <f>IF(K552="","",0)</f>
        <v/>
      </c>
      <c r="P552">
        <f>IF(K552="","",I52)</f>
        <v/>
      </c>
      <c r="Q552">
        <f>IF(K552="","",FALSE)</f>
        <v/>
      </c>
      <c r="R552">
        <f>IF(K552="","",TRUE)</f>
        <v/>
      </c>
      <c r="S552">
        <f>IF(K552="","",IF(AND(Q552,R552),IF(O552=P552,"Match","Qty Different"),IF(Q552,"Only in List 1","Only in List 2")))</f>
        <v/>
      </c>
      <c r="T552">
        <f>IF(K552="","",IF(ISNUMBER(--L552),TEXT(--L552,"000000000000.000"),LOWER(L552)))</f>
        <v/>
      </c>
      <c r="U552">
        <f>IF(K552="","",IF(ISNUMBER(--M552),TEXT(--M552,"000000000000.000"),LOWER(M552)))</f>
        <v/>
      </c>
      <c r="V552">
        <f>IF(K552="","",LOWER(N552))</f>
        <v/>
      </c>
      <c r="W552">
        <f>IF(K552="","",G52)</f>
        <v/>
      </c>
      <c r="X552">
        <f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>
      <c r="K553">
        <f>IF(H53="","",IF(SUMPRODUCT(--($C$2:$C$501=H53))&gt;0,"",H53))</f>
        <v/>
      </c>
      <c r="L553">
        <f>IF(K553="","",IF(ISNUMBER('List 2'!A53),'List 2'!A53,TRIM('List 2'!A53)))</f>
        <v/>
      </c>
      <c r="M553">
        <f>IF(K553="","",IF(ISNUMBER('List 2'!C53),'List 2'!C53,TRIM('List 2'!C53)))</f>
        <v/>
      </c>
      <c r="N553">
        <f>IF(K553="","",IF(ISNUMBER('List 2'!D53),'List 2'!D53,TRIM('List 2'!D53)))</f>
        <v/>
      </c>
      <c r="O553">
        <f>IF(K553="","",0)</f>
        <v/>
      </c>
      <c r="P553">
        <f>IF(K553="","",I53)</f>
        <v/>
      </c>
      <c r="Q553">
        <f>IF(K553="","",FALSE)</f>
        <v/>
      </c>
      <c r="R553">
        <f>IF(K553="","",TRUE)</f>
        <v/>
      </c>
      <c r="S553">
        <f>IF(K553="","",IF(AND(Q553,R553),IF(O553=P553,"Match","Qty Different"),IF(Q553,"Only in List 1","Only in List 2")))</f>
        <v/>
      </c>
      <c r="T553">
        <f>IF(K553="","",IF(ISNUMBER(--L553),TEXT(--L553,"000000000000.000"),LOWER(L553)))</f>
        <v/>
      </c>
      <c r="U553">
        <f>IF(K553="","",IF(ISNUMBER(--M553),TEXT(--M553,"000000000000.000"),LOWER(M553)))</f>
        <v/>
      </c>
      <c r="V553">
        <f>IF(K553="","",LOWER(N553))</f>
        <v/>
      </c>
      <c r="W553">
        <f>IF(K553="","",G53)</f>
        <v/>
      </c>
      <c r="X553">
        <f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>
      <c r="K554">
        <f>IF(H54="","",IF(SUMPRODUCT(--($C$2:$C$501=H54))&gt;0,"",H54))</f>
        <v/>
      </c>
      <c r="L554">
        <f>IF(K554="","",IF(ISNUMBER('List 2'!A54),'List 2'!A54,TRIM('List 2'!A54)))</f>
        <v/>
      </c>
      <c r="M554">
        <f>IF(K554="","",IF(ISNUMBER('List 2'!C54),'List 2'!C54,TRIM('List 2'!C54)))</f>
        <v/>
      </c>
      <c r="N554">
        <f>IF(K554="","",IF(ISNUMBER('List 2'!D54),'List 2'!D54,TRIM('List 2'!D54)))</f>
        <v/>
      </c>
      <c r="O554">
        <f>IF(K554="","",0)</f>
        <v/>
      </c>
      <c r="P554">
        <f>IF(K554="","",I54)</f>
        <v/>
      </c>
      <c r="Q554">
        <f>IF(K554="","",FALSE)</f>
        <v/>
      </c>
      <c r="R554">
        <f>IF(K554="","",TRUE)</f>
        <v/>
      </c>
      <c r="S554">
        <f>IF(K554="","",IF(AND(Q554,R554),IF(O554=P554,"Match","Qty Different"),IF(Q554,"Only in List 1","Only in List 2")))</f>
        <v/>
      </c>
      <c r="T554">
        <f>IF(K554="","",IF(ISNUMBER(--L554),TEXT(--L554,"000000000000.000"),LOWER(L554)))</f>
        <v/>
      </c>
      <c r="U554">
        <f>IF(K554="","",IF(ISNUMBER(--M554),TEXT(--M554,"000000000000.000"),LOWER(M554)))</f>
        <v/>
      </c>
      <c r="V554">
        <f>IF(K554="","",LOWER(N554))</f>
        <v/>
      </c>
      <c r="W554">
        <f>IF(K554="","",G54)</f>
        <v/>
      </c>
      <c r="X554">
        <f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>
      <c r="K555">
        <f>IF(H55="","",IF(SUMPRODUCT(--($C$2:$C$501=H55))&gt;0,"",H55))</f>
        <v/>
      </c>
      <c r="L555">
        <f>IF(K555="","",IF(ISNUMBER('List 2'!A55),'List 2'!A55,TRIM('List 2'!A55)))</f>
        <v/>
      </c>
      <c r="M555">
        <f>IF(K555="","",IF(ISNUMBER('List 2'!C55),'List 2'!C55,TRIM('List 2'!C55)))</f>
        <v/>
      </c>
      <c r="N555">
        <f>IF(K555="","",IF(ISNUMBER('List 2'!D55),'List 2'!D55,TRIM('List 2'!D55)))</f>
        <v/>
      </c>
      <c r="O555">
        <f>IF(K555="","",0)</f>
        <v/>
      </c>
      <c r="P555">
        <f>IF(K555="","",I55)</f>
        <v/>
      </c>
      <c r="Q555">
        <f>IF(K555="","",FALSE)</f>
        <v/>
      </c>
      <c r="R555">
        <f>IF(K555="","",TRUE)</f>
        <v/>
      </c>
      <c r="S555">
        <f>IF(K555="","",IF(AND(Q555,R555),IF(O555=P555,"Match","Qty Different"),IF(Q555,"Only in List 1","Only in List 2")))</f>
        <v/>
      </c>
      <c r="T555">
        <f>IF(K555="","",IF(ISNUMBER(--L555),TEXT(--L555,"000000000000.000"),LOWER(L555)))</f>
        <v/>
      </c>
      <c r="U555">
        <f>IF(K555="","",IF(ISNUMBER(--M555),TEXT(--M555,"000000000000.000"),LOWER(M555)))</f>
        <v/>
      </c>
      <c r="V555">
        <f>IF(K555="","",LOWER(N555))</f>
        <v/>
      </c>
      <c r="W555">
        <f>IF(K555="","",G55)</f>
        <v/>
      </c>
      <c r="X555">
        <f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>
      <c r="K556">
        <f>IF(H56="","",IF(SUMPRODUCT(--($C$2:$C$501=H56))&gt;0,"",H56))</f>
        <v/>
      </c>
      <c r="L556">
        <f>IF(K556="","",IF(ISNUMBER('List 2'!A56),'List 2'!A56,TRIM('List 2'!A56)))</f>
        <v/>
      </c>
      <c r="M556">
        <f>IF(K556="","",IF(ISNUMBER('List 2'!C56),'List 2'!C56,TRIM('List 2'!C56)))</f>
        <v/>
      </c>
      <c r="N556">
        <f>IF(K556="","",IF(ISNUMBER('List 2'!D56),'List 2'!D56,TRIM('List 2'!D56)))</f>
        <v/>
      </c>
      <c r="O556">
        <f>IF(K556="","",0)</f>
        <v/>
      </c>
      <c r="P556">
        <f>IF(K556="","",I56)</f>
        <v/>
      </c>
      <c r="Q556">
        <f>IF(K556="","",FALSE)</f>
        <v/>
      </c>
      <c r="R556">
        <f>IF(K556="","",TRUE)</f>
        <v/>
      </c>
      <c r="S556">
        <f>IF(K556="","",IF(AND(Q556,R556),IF(O556=P556,"Match","Qty Different"),IF(Q556,"Only in List 1","Only in List 2")))</f>
        <v/>
      </c>
      <c r="T556">
        <f>IF(K556="","",IF(ISNUMBER(--L556),TEXT(--L556,"000000000000.000"),LOWER(L556)))</f>
        <v/>
      </c>
      <c r="U556">
        <f>IF(K556="","",IF(ISNUMBER(--M556),TEXT(--M556,"000000000000.000"),LOWER(M556)))</f>
        <v/>
      </c>
      <c r="V556">
        <f>IF(K556="","",LOWER(N556))</f>
        <v/>
      </c>
      <c r="W556">
        <f>IF(K556="","",G56)</f>
        <v/>
      </c>
      <c r="X556">
        <f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>
      <c r="K557">
        <f>IF(H57="","",IF(SUMPRODUCT(--($C$2:$C$501=H57))&gt;0,"",H57))</f>
        <v/>
      </c>
      <c r="L557">
        <f>IF(K557="","",IF(ISNUMBER('List 2'!A57),'List 2'!A57,TRIM('List 2'!A57)))</f>
        <v/>
      </c>
      <c r="M557">
        <f>IF(K557="","",IF(ISNUMBER('List 2'!C57),'List 2'!C57,TRIM('List 2'!C57)))</f>
        <v/>
      </c>
      <c r="N557">
        <f>IF(K557="","",IF(ISNUMBER('List 2'!D57),'List 2'!D57,TRIM('List 2'!D57)))</f>
        <v/>
      </c>
      <c r="O557">
        <f>IF(K557="","",0)</f>
        <v/>
      </c>
      <c r="P557">
        <f>IF(K557="","",I57)</f>
        <v/>
      </c>
      <c r="Q557">
        <f>IF(K557="","",FALSE)</f>
        <v/>
      </c>
      <c r="R557">
        <f>IF(K557="","",TRUE)</f>
        <v/>
      </c>
      <c r="S557">
        <f>IF(K557="","",IF(AND(Q557,R557),IF(O557=P557,"Match","Qty Different"),IF(Q557,"Only in List 1","Only in List 2")))</f>
        <v/>
      </c>
      <c r="T557">
        <f>IF(K557="","",IF(ISNUMBER(--L557),TEXT(--L557,"000000000000.000"),LOWER(L557)))</f>
        <v/>
      </c>
      <c r="U557">
        <f>IF(K557="","",IF(ISNUMBER(--M557),TEXT(--M557,"000000000000.000"),LOWER(M557)))</f>
        <v/>
      </c>
      <c r="V557">
        <f>IF(K557="","",LOWER(N557))</f>
        <v/>
      </c>
      <c r="W557">
        <f>IF(K557="","",G57)</f>
        <v/>
      </c>
      <c r="X557">
        <f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>
      <c r="K558">
        <f>IF(H58="","",IF(SUMPRODUCT(--($C$2:$C$501=H58))&gt;0,"",H58))</f>
        <v/>
      </c>
      <c r="L558">
        <f>IF(K558="","",IF(ISNUMBER('List 2'!A58),'List 2'!A58,TRIM('List 2'!A58)))</f>
        <v/>
      </c>
      <c r="M558">
        <f>IF(K558="","",IF(ISNUMBER('List 2'!C58),'List 2'!C58,TRIM('List 2'!C58)))</f>
        <v/>
      </c>
      <c r="N558">
        <f>IF(K558="","",IF(ISNUMBER('List 2'!D58),'List 2'!D58,TRIM('List 2'!D58)))</f>
        <v/>
      </c>
      <c r="O558">
        <f>IF(K558="","",0)</f>
        <v/>
      </c>
      <c r="P558">
        <f>IF(K558="","",I58)</f>
        <v/>
      </c>
      <c r="Q558">
        <f>IF(K558="","",FALSE)</f>
        <v/>
      </c>
      <c r="R558">
        <f>IF(K558="","",TRUE)</f>
        <v/>
      </c>
      <c r="S558">
        <f>IF(K558="","",IF(AND(Q558,R558),IF(O558=P558,"Match","Qty Different"),IF(Q558,"Only in List 1","Only in List 2")))</f>
        <v/>
      </c>
      <c r="T558">
        <f>IF(K558="","",IF(ISNUMBER(--L558),TEXT(--L558,"000000000000.000"),LOWER(L558)))</f>
        <v/>
      </c>
      <c r="U558">
        <f>IF(K558="","",IF(ISNUMBER(--M558),TEXT(--M558,"000000000000.000"),LOWER(M558)))</f>
        <v/>
      </c>
      <c r="V558">
        <f>IF(K558="","",LOWER(N558))</f>
        <v/>
      </c>
      <c r="W558">
        <f>IF(K558="","",G58)</f>
        <v/>
      </c>
      <c r="X558">
        <f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>
      <c r="K559">
        <f>IF(H59="","",IF(SUMPRODUCT(--($C$2:$C$501=H59))&gt;0,"",H59))</f>
        <v/>
      </c>
      <c r="L559">
        <f>IF(K559="","",IF(ISNUMBER('List 2'!A59),'List 2'!A59,TRIM('List 2'!A59)))</f>
        <v/>
      </c>
      <c r="M559">
        <f>IF(K559="","",IF(ISNUMBER('List 2'!C59),'List 2'!C59,TRIM('List 2'!C59)))</f>
        <v/>
      </c>
      <c r="N559">
        <f>IF(K559="","",IF(ISNUMBER('List 2'!D59),'List 2'!D59,TRIM('List 2'!D59)))</f>
        <v/>
      </c>
      <c r="O559">
        <f>IF(K559="","",0)</f>
        <v/>
      </c>
      <c r="P559">
        <f>IF(K559="","",I59)</f>
        <v/>
      </c>
      <c r="Q559">
        <f>IF(K559="","",FALSE)</f>
        <v/>
      </c>
      <c r="R559">
        <f>IF(K559="","",TRUE)</f>
        <v/>
      </c>
      <c r="S559">
        <f>IF(K559="","",IF(AND(Q559,R559),IF(O559=P559,"Match","Qty Different"),IF(Q559,"Only in List 1","Only in List 2")))</f>
        <v/>
      </c>
      <c r="T559">
        <f>IF(K559="","",IF(ISNUMBER(--L559),TEXT(--L559,"000000000000.000"),LOWER(L559)))</f>
        <v/>
      </c>
      <c r="U559">
        <f>IF(K559="","",IF(ISNUMBER(--M559),TEXT(--M559,"000000000000.000"),LOWER(M559)))</f>
        <v/>
      </c>
      <c r="V559">
        <f>IF(K559="","",LOWER(N559))</f>
        <v/>
      </c>
      <c r="W559">
        <f>IF(K559="","",G59)</f>
        <v/>
      </c>
      <c r="X559">
        <f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>
      <c r="K560">
        <f>IF(H60="","",IF(SUMPRODUCT(--($C$2:$C$501=H60))&gt;0,"",H60))</f>
        <v/>
      </c>
      <c r="L560">
        <f>IF(K560="","",IF(ISNUMBER('List 2'!A60),'List 2'!A60,TRIM('List 2'!A60)))</f>
        <v/>
      </c>
      <c r="M560">
        <f>IF(K560="","",IF(ISNUMBER('List 2'!C60),'List 2'!C60,TRIM('List 2'!C60)))</f>
        <v/>
      </c>
      <c r="N560">
        <f>IF(K560="","",IF(ISNUMBER('List 2'!D60),'List 2'!D60,TRIM('List 2'!D60)))</f>
        <v/>
      </c>
      <c r="O560">
        <f>IF(K560="","",0)</f>
        <v/>
      </c>
      <c r="P560">
        <f>IF(K560="","",I60)</f>
        <v/>
      </c>
      <c r="Q560">
        <f>IF(K560="","",FALSE)</f>
        <v/>
      </c>
      <c r="R560">
        <f>IF(K560="","",TRUE)</f>
        <v/>
      </c>
      <c r="S560">
        <f>IF(K560="","",IF(AND(Q560,R560),IF(O560=P560,"Match","Qty Different"),IF(Q560,"Only in List 1","Only in List 2")))</f>
        <v/>
      </c>
      <c r="T560">
        <f>IF(K560="","",IF(ISNUMBER(--L560),TEXT(--L560,"000000000000.000"),LOWER(L560)))</f>
        <v/>
      </c>
      <c r="U560">
        <f>IF(K560="","",IF(ISNUMBER(--M560),TEXT(--M560,"000000000000.000"),LOWER(M560)))</f>
        <v/>
      </c>
      <c r="V560">
        <f>IF(K560="","",LOWER(N560))</f>
        <v/>
      </c>
      <c r="W560">
        <f>IF(K560="","",G60)</f>
        <v/>
      </c>
      <c r="X560">
        <f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>
      <c r="K561">
        <f>IF(H61="","",IF(SUMPRODUCT(--($C$2:$C$501=H61))&gt;0,"",H61))</f>
        <v/>
      </c>
      <c r="L561">
        <f>IF(K561="","",IF(ISNUMBER('List 2'!A61),'List 2'!A61,TRIM('List 2'!A61)))</f>
        <v/>
      </c>
      <c r="M561">
        <f>IF(K561="","",IF(ISNUMBER('List 2'!C61),'List 2'!C61,TRIM('List 2'!C61)))</f>
        <v/>
      </c>
      <c r="N561">
        <f>IF(K561="","",IF(ISNUMBER('List 2'!D61),'List 2'!D61,TRIM('List 2'!D61)))</f>
        <v/>
      </c>
      <c r="O561">
        <f>IF(K561="","",0)</f>
        <v/>
      </c>
      <c r="P561">
        <f>IF(K561="","",I61)</f>
        <v/>
      </c>
      <c r="Q561">
        <f>IF(K561="","",FALSE)</f>
        <v/>
      </c>
      <c r="R561">
        <f>IF(K561="","",TRUE)</f>
        <v/>
      </c>
      <c r="S561">
        <f>IF(K561="","",IF(AND(Q561,R561),IF(O561=P561,"Match","Qty Different"),IF(Q561,"Only in List 1","Only in List 2")))</f>
        <v/>
      </c>
      <c r="T561">
        <f>IF(K561="","",IF(ISNUMBER(--L561),TEXT(--L561,"000000000000.000"),LOWER(L561)))</f>
        <v/>
      </c>
      <c r="U561">
        <f>IF(K561="","",IF(ISNUMBER(--M561),TEXT(--M561,"000000000000.000"),LOWER(M561)))</f>
        <v/>
      </c>
      <c r="V561">
        <f>IF(K561="","",LOWER(N561))</f>
        <v/>
      </c>
      <c r="W561">
        <f>IF(K561="","",G61)</f>
        <v/>
      </c>
      <c r="X561">
        <f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>
      <c r="K562">
        <f>IF(H62="","",IF(SUMPRODUCT(--($C$2:$C$501=H62))&gt;0,"",H62))</f>
        <v/>
      </c>
      <c r="L562">
        <f>IF(K562="","",IF(ISNUMBER('List 2'!A62),'List 2'!A62,TRIM('List 2'!A62)))</f>
        <v/>
      </c>
      <c r="M562">
        <f>IF(K562="","",IF(ISNUMBER('List 2'!C62),'List 2'!C62,TRIM('List 2'!C62)))</f>
        <v/>
      </c>
      <c r="N562">
        <f>IF(K562="","",IF(ISNUMBER('List 2'!D62),'List 2'!D62,TRIM('List 2'!D62)))</f>
        <v/>
      </c>
      <c r="O562">
        <f>IF(K562="","",0)</f>
        <v/>
      </c>
      <c r="P562">
        <f>IF(K562="","",I62)</f>
        <v/>
      </c>
      <c r="Q562">
        <f>IF(K562="","",FALSE)</f>
        <v/>
      </c>
      <c r="R562">
        <f>IF(K562="","",TRUE)</f>
        <v/>
      </c>
      <c r="S562">
        <f>IF(K562="","",IF(AND(Q562,R562),IF(O562=P562,"Match","Qty Different"),IF(Q562,"Only in List 1","Only in List 2")))</f>
        <v/>
      </c>
      <c r="T562">
        <f>IF(K562="","",IF(ISNUMBER(--L562),TEXT(--L562,"000000000000.000"),LOWER(L562)))</f>
        <v/>
      </c>
      <c r="U562">
        <f>IF(K562="","",IF(ISNUMBER(--M562),TEXT(--M562,"000000000000.000"),LOWER(M562)))</f>
        <v/>
      </c>
      <c r="V562">
        <f>IF(K562="","",LOWER(N562))</f>
        <v/>
      </c>
      <c r="W562">
        <f>IF(K562="","",G62)</f>
        <v/>
      </c>
      <c r="X562">
        <f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>
      <c r="K563">
        <f>IF(H63="","",IF(SUMPRODUCT(--($C$2:$C$501=H63))&gt;0,"",H63))</f>
        <v/>
      </c>
      <c r="L563">
        <f>IF(K563="","",IF(ISNUMBER('List 2'!A63),'List 2'!A63,TRIM('List 2'!A63)))</f>
        <v/>
      </c>
      <c r="M563">
        <f>IF(K563="","",IF(ISNUMBER('List 2'!C63),'List 2'!C63,TRIM('List 2'!C63)))</f>
        <v/>
      </c>
      <c r="N563">
        <f>IF(K563="","",IF(ISNUMBER('List 2'!D63),'List 2'!D63,TRIM('List 2'!D63)))</f>
        <v/>
      </c>
      <c r="O563">
        <f>IF(K563="","",0)</f>
        <v/>
      </c>
      <c r="P563">
        <f>IF(K563="","",I63)</f>
        <v/>
      </c>
      <c r="Q563">
        <f>IF(K563="","",FALSE)</f>
        <v/>
      </c>
      <c r="R563">
        <f>IF(K563="","",TRUE)</f>
        <v/>
      </c>
      <c r="S563">
        <f>IF(K563="","",IF(AND(Q563,R563),IF(O563=P563,"Match","Qty Different"),IF(Q563,"Only in List 1","Only in List 2")))</f>
        <v/>
      </c>
      <c r="T563">
        <f>IF(K563="","",IF(ISNUMBER(--L563),TEXT(--L563,"000000000000.000"),LOWER(L563)))</f>
        <v/>
      </c>
      <c r="U563">
        <f>IF(K563="","",IF(ISNUMBER(--M563),TEXT(--M563,"000000000000.000"),LOWER(M563)))</f>
        <v/>
      </c>
      <c r="V563">
        <f>IF(K563="","",LOWER(N563))</f>
        <v/>
      </c>
      <c r="W563">
        <f>IF(K563="","",G63)</f>
        <v/>
      </c>
      <c r="X563">
        <f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>
      <c r="K564">
        <f>IF(H64="","",IF(SUMPRODUCT(--($C$2:$C$501=H64))&gt;0,"",H64))</f>
        <v/>
      </c>
      <c r="L564">
        <f>IF(K564="","",IF(ISNUMBER('List 2'!A64),'List 2'!A64,TRIM('List 2'!A64)))</f>
        <v/>
      </c>
      <c r="M564">
        <f>IF(K564="","",IF(ISNUMBER('List 2'!C64),'List 2'!C64,TRIM('List 2'!C64)))</f>
        <v/>
      </c>
      <c r="N564">
        <f>IF(K564="","",IF(ISNUMBER('List 2'!D64),'List 2'!D64,TRIM('List 2'!D64)))</f>
        <v/>
      </c>
      <c r="O564">
        <f>IF(K564="","",0)</f>
        <v/>
      </c>
      <c r="P564">
        <f>IF(K564="","",I64)</f>
        <v/>
      </c>
      <c r="Q564">
        <f>IF(K564="","",FALSE)</f>
        <v/>
      </c>
      <c r="R564">
        <f>IF(K564="","",TRUE)</f>
        <v/>
      </c>
      <c r="S564">
        <f>IF(K564="","",IF(AND(Q564,R564),IF(O564=P564,"Match","Qty Different"),IF(Q564,"Only in List 1","Only in List 2")))</f>
        <v/>
      </c>
      <c r="T564">
        <f>IF(K564="","",IF(ISNUMBER(--L564),TEXT(--L564,"000000000000.000"),LOWER(L564)))</f>
        <v/>
      </c>
      <c r="U564">
        <f>IF(K564="","",IF(ISNUMBER(--M564),TEXT(--M564,"000000000000.000"),LOWER(M564)))</f>
        <v/>
      </c>
      <c r="V564">
        <f>IF(K564="","",LOWER(N564))</f>
        <v/>
      </c>
      <c r="W564">
        <f>IF(K564="","",G64)</f>
        <v/>
      </c>
      <c r="X564">
        <f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>
      <c r="K565">
        <f>IF(H65="","",IF(SUMPRODUCT(--($C$2:$C$501=H65))&gt;0,"",H65))</f>
        <v/>
      </c>
      <c r="L565">
        <f>IF(K565="","",IF(ISNUMBER('List 2'!A65),'List 2'!A65,TRIM('List 2'!A65)))</f>
        <v/>
      </c>
      <c r="M565">
        <f>IF(K565="","",IF(ISNUMBER('List 2'!C65),'List 2'!C65,TRIM('List 2'!C65)))</f>
        <v/>
      </c>
      <c r="N565">
        <f>IF(K565="","",IF(ISNUMBER('List 2'!D65),'List 2'!D65,TRIM('List 2'!D65)))</f>
        <v/>
      </c>
      <c r="O565">
        <f>IF(K565="","",0)</f>
        <v/>
      </c>
      <c r="P565">
        <f>IF(K565="","",I65)</f>
        <v/>
      </c>
      <c r="Q565">
        <f>IF(K565="","",FALSE)</f>
        <v/>
      </c>
      <c r="R565">
        <f>IF(K565="","",TRUE)</f>
        <v/>
      </c>
      <c r="S565">
        <f>IF(K565="","",IF(AND(Q565,R565),IF(O565=P565,"Match","Qty Different"),IF(Q565,"Only in List 1","Only in List 2")))</f>
        <v/>
      </c>
      <c r="T565">
        <f>IF(K565="","",IF(ISNUMBER(--L565),TEXT(--L565,"000000000000.000"),LOWER(L565)))</f>
        <v/>
      </c>
      <c r="U565">
        <f>IF(K565="","",IF(ISNUMBER(--M565),TEXT(--M565,"000000000000.000"),LOWER(M565)))</f>
        <v/>
      </c>
      <c r="V565">
        <f>IF(K565="","",LOWER(N565))</f>
        <v/>
      </c>
      <c r="W565">
        <f>IF(K565="","",G65)</f>
        <v/>
      </c>
      <c r="X565">
        <f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>
      <c r="K566">
        <f>IF(H66="","",IF(SUMPRODUCT(--($C$2:$C$501=H66))&gt;0,"",H66))</f>
        <v/>
      </c>
      <c r="L566">
        <f>IF(K566="","",IF(ISNUMBER('List 2'!A66),'List 2'!A66,TRIM('List 2'!A66)))</f>
        <v/>
      </c>
      <c r="M566">
        <f>IF(K566="","",IF(ISNUMBER('List 2'!C66),'List 2'!C66,TRIM('List 2'!C66)))</f>
        <v/>
      </c>
      <c r="N566">
        <f>IF(K566="","",IF(ISNUMBER('List 2'!D66),'List 2'!D66,TRIM('List 2'!D66)))</f>
        <v/>
      </c>
      <c r="O566">
        <f>IF(K566="","",0)</f>
        <v/>
      </c>
      <c r="P566">
        <f>IF(K566="","",I66)</f>
        <v/>
      </c>
      <c r="Q566">
        <f>IF(K566="","",FALSE)</f>
        <v/>
      </c>
      <c r="R566">
        <f>IF(K566="","",TRUE)</f>
        <v/>
      </c>
      <c r="S566">
        <f>IF(K566="","",IF(AND(Q566,R566),IF(O566=P566,"Match","Qty Different"),IF(Q566,"Only in List 1","Only in List 2")))</f>
        <v/>
      </c>
      <c r="T566">
        <f>IF(K566="","",IF(ISNUMBER(--L566),TEXT(--L566,"000000000000.000"),LOWER(L566)))</f>
        <v/>
      </c>
      <c r="U566">
        <f>IF(K566="","",IF(ISNUMBER(--M566),TEXT(--M566,"000000000000.000"),LOWER(M566)))</f>
        <v/>
      </c>
      <c r="V566">
        <f>IF(K566="","",LOWER(N566))</f>
        <v/>
      </c>
      <c r="W566">
        <f>IF(K566="","",G66)</f>
        <v/>
      </c>
      <c r="X566">
        <f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>
      <c r="K567">
        <f>IF(H67="","",IF(SUMPRODUCT(--($C$2:$C$501=H67))&gt;0,"",H67))</f>
        <v/>
      </c>
      <c r="L567">
        <f>IF(K567="","",IF(ISNUMBER('List 2'!A67),'List 2'!A67,TRIM('List 2'!A67)))</f>
        <v/>
      </c>
      <c r="M567">
        <f>IF(K567="","",IF(ISNUMBER('List 2'!C67),'List 2'!C67,TRIM('List 2'!C67)))</f>
        <v/>
      </c>
      <c r="N567">
        <f>IF(K567="","",IF(ISNUMBER('List 2'!D67),'List 2'!D67,TRIM('List 2'!D67)))</f>
        <v/>
      </c>
      <c r="O567">
        <f>IF(K567="","",0)</f>
        <v/>
      </c>
      <c r="P567">
        <f>IF(K567="","",I67)</f>
        <v/>
      </c>
      <c r="Q567">
        <f>IF(K567="","",FALSE)</f>
        <v/>
      </c>
      <c r="R567">
        <f>IF(K567="","",TRUE)</f>
        <v/>
      </c>
      <c r="S567">
        <f>IF(K567="","",IF(AND(Q567,R567),IF(O567=P567,"Match","Qty Different"),IF(Q567,"Only in List 1","Only in List 2")))</f>
        <v/>
      </c>
      <c r="T567">
        <f>IF(K567="","",IF(ISNUMBER(--L567),TEXT(--L567,"000000000000.000"),LOWER(L567)))</f>
        <v/>
      </c>
      <c r="U567">
        <f>IF(K567="","",IF(ISNUMBER(--M567),TEXT(--M567,"000000000000.000"),LOWER(M567)))</f>
        <v/>
      </c>
      <c r="V567">
        <f>IF(K567="","",LOWER(N567))</f>
        <v/>
      </c>
      <c r="W567">
        <f>IF(K567="","",G67)</f>
        <v/>
      </c>
      <c r="X567">
        <f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>
      <c r="K568">
        <f>IF(H68="","",IF(SUMPRODUCT(--($C$2:$C$501=H68))&gt;0,"",H68))</f>
        <v/>
      </c>
      <c r="L568">
        <f>IF(K568="","",IF(ISNUMBER('List 2'!A68),'List 2'!A68,TRIM('List 2'!A68)))</f>
        <v/>
      </c>
      <c r="M568">
        <f>IF(K568="","",IF(ISNUMBER('List 2'!C68),'List 2'!C68,TRIM('List 2'!C68)))</f>
        <v/>
      </c>
      <c r="N568">
        <f>IF(K568="","",IF(ISNUMBER('List 2'!D68),'List 2'!D68,TRIM('List 2'!D68)))</f>
        <v/>
      </c>
      <c r="O568">
        <f>IF(K568="","",0)</f>
        <v/>
      </c>
      <c r="P568">
        <f>IF(K568="","",I68)</f>
        <v/>
      </c>
      <c r="Q568">
        <f>IF(K568="","",FALSE)</f>
        <v/>
      </c>
      <c r="R568">
        <f>IF(K568="","",TRUE)</f>
        <v/>
      </c>
      <c r="S568">
        <f>IF(K568="","",IF(AND(Q568,R568),IF(O568=P568,"Match","Qty Different"),IF(Q568,"Only in List 1","Only in List 2")))</f>
        <v/>
      </c>
      <c r="T568">
        <f>IF(K568="","",IF(ISNUMBER(--L568),TEXT(--L568,"000000000000.000"),LOWER(L568)))</f>
        <v/>
      </c>
      <c r="U568">
        <f>IF(K568="","",IF(ISNUMBER(--M568),TEXT(--M568,"000000000000.000"),LOWER(M568)))</f>
        <v/>
      </c>
      <c r="V568">
        <f>IF(K568="","",LOWER(N568))</f>
        <v/>
      </c>
      <c r="W568">
        <f>IF(K568="","",G68)</f>
        <v/>
      </c>
      <c r="X568">
        <f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>
      <c r="K569">
        <f>IF(H69="","",IF(SUMPRODUCT(--($C$2:$C$501=H69))&gt;0,"",H69))</f>
        <v/>
      </c>
      <c r="L569">
        <f>IF(K569="","",IF(ISNUMBER('List 2'!A69),'List 2'!A69,TRIM('List 2'!A69)))</f>
        <v/>
      </c>
      <c r="M569">
        <f>IF(K569="","",IF(ISNUMBER('List 2'!C69),'List 2'!C69,TRIM('List 2'!C69)))</f>
        <v/>
      </c>
      <c r="N569">
        <f>IF(K569="","",IF(ISNUMBER('List 2'!D69),'List 2'!D69,TRIM('List 2'!D69)))</f>
        <v/>
      </c>
      <c r="O569">
        <f>IF(K569="","",0)</f>
        <v/>
      </c>
      <c r="P569">
        <f>IF(K569="","",I69)</f>
        <v/>
      </c>
      <c r="Q569">
        <f>IF(K569="","",FALSE)</f>
        <v/>
      </c>
      <c r="R569">
        <f>IF(K569="","",TRUE)</f>
        <v/>
      </c>
      <c r="S569">
        <f>IF(K569="","",IF(AND(Q569,R569),IF(O569=P569,"Match","Qty Different"),IF(Q569,"Only in List 1","Only in List 2")))</f>
        <v/>
      </c>
      <c r="T569">
        <f>IF(K569="","",IF(ISNUMBER(--L569),TEXT(--L569,"000000000000.000"),LOWER(L569)))</f>
        <v/>
      </c>
      <c r="U569">
        <f>IF(K569="","",IF(ISNUMBER(--M569),TEXT(--M569,"000000000000.000"),LOWER(M569)))</f>
        <v/>
      </c>
      <c r="V569">
        <f>IF(K569="","",LOWER(N569))</f>
        <v/>
      </c>
      <c r="W569">
        <f>IF(K569="","",G69)</f>
        <v/>
      </c>
      <c r="X569">
        <f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>
      <c r="K570">
        <f>IF(H70="","",IF(SUMPRODUCT(--($C$2:$C$501=H70))&gt;0,"",H70))</f>
        <v/>
      </c>
      <c r="L570">
        <f>IF(K570="","",IF(ISNUMBER('List 2'!A70),'List 2'!A70,TRIM('List 2'!A70)))</f>
        <v/>
      </c>
      <c r="M570">
        <f>IF(K570="","",IF(ISNUMBER('List 2'!C70),'List 2'!C70,TRIM('List 2'!C70)))</f>
        <v/>
      </c>
      <c r="N570">
        <f>IF(K570="","",IF(ISNUMBER('List 2'!D70),'List 2'!D70,TRIM('List 2'!D70)))</f>
        <v/>
      </c>
      <c r="O570">
        <f>IF(K570="","",0)</f>
        <v/>
      </c>
      <c r="P570">
        <f>IF(K570="","",I70)</f>
        <v/>
      </c>
      <c r="Q570">
        <f>IF(K570="","",FALSE)</f>
        <v/>
      </c>
      <c r="R570">
        <f>IF(K570="","",TRUE)</f>
        <v/>
      </c>
      <c r="S570">
        <f>IF(K570="","",IF(AND(Q570,R570),IF(O570=P570,"Match","Qty Different"),IF(Q570,"Only in List 1","Only in List 2")))</f>
        <v/>
      </c>
      <c r="T570">
        <f>IF(K570="","",IF(ISNUMBER(--L570),TEXT(--L570,"000000000000.000"),LOWER(L570)))</f>
        <v/>
      </c>
      <c r="U570">
        <f>IF(K570="","",IF(ISNUMBER(--M570),TEXT(--M570,"000000000000.000"),LOWER(M570)))</f>
        <v/>
      </c>
      <c r="V570">
        <f>IF(K570="","",LOWER(N570))</f>
        <v/>
      </c>
      <c r="W570">
        <f>IF(K570="","",G70)</f>
        <v/>
      </c>
      <c r="X570">
        <f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>
      <c r="K571">
        <f>IF(H71="","",IF(SUMPRODUCT(--($C$2:$C$501=H71))&gt;0,"",H71))</f>
        <v/>
      </c>
      <c r="L571">
        <f>IF(K571="","",IF(ISNUMBER('List 2'!A71),'List 2'!A71,TRIM('List 2'!A71)))</f>
        <v/>
      </c>
      <c r="M571">
        <f>IF(K571="","",IF(ISNUMBER('List 2'!C71),'List 2'!C71,TRIM('List 2'!C71)))</f>
        <v/>
      </c>
      <c r="N571">
        <f>IF(K571="","",IF(ISNUMBER('List 2'!D71),'List 2'!D71,TRIM('List 2'!D71)))</f>
        <v/>
      </c>
      <c r="O571">
        <f>IF(K571="","",0)</f>
        <v/>
      </c>
      <c r="P571">
        <f>IF(K571="","",I71)</f>
        <v/>
      </c>
      <c r="Q571">
        <f>IF(K571="","",FALSE)</f>
        <v/>
      </c>
      <c r="R571">
        <f>IF(K571="","",TRUE)</f>
        <v/>
      </c>
      <c r="S571">
        <f>IF(K571="","",IF(AND(Q571,R571),IF(O571=P571,"Match","Qty Different"),IF(Q571,"Only in List 1","Only in List 2")))</f>
        <v/>
      </c>
      <c r="T571">
        <f>IF(K571="","",IF(ISNUMBER(--L571),TEXT(--L571,"000000000000.000"),LOWER(L571)))</f>
        <v/>
      </c>
      <c r="U571">
        <f>IF(K571="","",IF(ISNUMBER(--M571),TEXT(--M571,"000000000000.000"),LOWER(M571)))</f>
        <v/>
      </c>
      <c r="V571">
        <f>IF(K571="","",LOWER(N571))</f>
        <v/>
      </c>
      <c r="W571">
        <f>IF(K571="","",G71)</f>
        <v/>
      </c>
      <c r="X571">
        <f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>
      <c r="K572">
        <f>IF(H72="","",IF(SUMPRODUCT(--($C$2:$C$501=H72))&gt;0,"",H72))</f>
        <v/>
      </c>
      <c r="L572">
        <f>IF(K572="","",IF(ISNUMBER('List 2'!A72),'List 2'!A72,TRIM('List 2'!A72)))</f>
        <v/>
      </c>
      <c r="M572">
        <f>IF(K572="","",IF(ISNUMBER('List 2'!C72),'List 2'!C72,TRIM('List 2'!C72)))</f>
        <v/>
      </c>
      <c r="N572">
        <f>IF(K572="","",IF(ISNUMBER('List 2'!D72),'List 2'!D72,TRIM('List 2'!D72)))</f>
        <v/>
      </c>
      <c r="O572">
        <f>IF(K572="","",0)</f>
        <v/>
      </c>
      <c r="P572">
        <f>IF(K572="","",I72)</f>
        <v/>
      </c>
      <c r="Q572">
        <f>IF(K572="","",FALSE)</f>
        <v/>
      </c>
      <c r="R572">
        <f>IF(K572="","",TRUE)</f>
        <v/>
      </c>
      <c r="S572">
        <f>IF(K572="","",IF(AND(Q572,R572),IF(O572=P572,"Match","Qty Different"),IF(Q572,"Only in List 1","Only in List 2")))</f>
        <v/>
      </c>
      <c r="T572">
        <f>IF(K572="","",IF(ISNUMBER(--L572),TEXT(--L572,"000000000000.000"),LOWER(L572)))</f>
        <v/>
      </c>
      <c r="U572">
        <f>IF(K572="","",IF(ISNUMBER(--M572),TEXT(--M572,"000000000000.000"),LOWER(M572)))</f>
        <v/>
      </c>
      <c r="V572">
        <f>IF(K572="","",LOWER(N572))</f>
        <v/>
      </c>
      <c r="W572">
        <f>IF(K572="","",G72)</f>
        <v/>
      </c>
      <c r="X572">
        <f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>
      <c r="K573">
        <f>IF(H73="","",IF(SUMPRODUCT(--($C$2:$C$501=H73))&gt;0,"",H73))</f>
        <v/>
      </c>
      <c r="L573">
        <f>IF(K573="","",IF(ISNUMBER('List 2'!A73),'List 2'!A73,TRIM('List 2'!A73)))</f>
        <v/>
      </c>
      <c r="M573">
        <f>IF(K573="","",IF(ISNUMBER('List 2'!C73),'List 2'!C73,TRIM('List 2'!C73)))</f>
        <v/>
      </c>
      <c r="N573">
        <f>IF(K573="","",IF(ISNUMBER('List 2'!D73),'List 2'!D73,TRIM('List 2'!D73)))</f>
        <v/>
      </c>
      <c r="O573">
        <f>IF(K573="","",0)</f>
        <v/>
      </c>
      <c r="P573">
        <f>IF(K573="","",I73)</f>
        <v/>
      </c>
      <c r="Q573">
        <f>IF(K573="","",FALSE)</f>
        <v/>
      </c>
      <c r="R573">
        <f>IF(K573="","",TRUE)</f>
        <v/>
      </c>
      <c r="S573">
        <f>IF(K573="","",IF(AND(Q573,R573),IF(O573=P573,"Match","Qty Different"),IF(Q573,"Only in List 1","Only in List 2")))</f>
        <v/>
      </c>
      <c r="T573">
        <f>IF(K573="","",IF(ISNUMBER(--L573),TEXT(--L573,"000000000000.000"),LOWER(L573)))</f>
        <v/>
      </c>
      <c r="U573">
        <f>IF(K573="","",IF(ISNUMBER(--M573),TEXT(--M573,"000000000000.000"),LOWER(M573)))</f>
        <v/>
      </c>
      <c r="V573">
        <f>IF(K573="","",LOWER(N573))</f>
        <v/>
      </c>
      <c r="W573">
        <f>IF(K573="","",G73)</f>
        <v/>
      </c>
      <c r="X573">
        <f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>
      <c r="K574">
        <f>IF(H74="","",IF(SUMPRODUCT(--($C$2:$C$501=H74))&gt;0,"",H74))</f>
        <v/>
      </c>
      <c r="L574">
        <f>IF(K574="","",IF(ISNUMBER('List 2'!A74),'List 2'!A74,TRIM('List 2'!A74)))</f>
        <v/>
      </c>
      <c r="M574">
        <f>IF(K574="","",IF(ISNUMBER('List 2'!C74),'List 2'!C74,TRIM('List 2'!C74)))</f>
        <v/>
      </c>
      <c r="N574">
        <f>IF(K574="","",IF(ISNUMBER('List 2'!D74),'List 2'!D74,TRIM('List 2'!D74)))</f>
        <v/>
      </c>
      <c r="O574">
        <f>IF(K574="","",0)</f>
        <v/>
      </c>
      <c r="P574">
        <f>IF(K574="","",I74)</f>
        <v/>
      </c>
      <c r="Q574">
        <f>IF(K574="","",FALSE)</f>
        <v/>
      </c>
      <c r="R574">
        <f>IF(K574="","",TRUE)</f>
        <v/>
      </c>
      <c r="S574">
        <f>IF(K574="","",IF(AND(Q574,R574),IF(O574=P574,"Match","Qty Different"),IF(Q574,"Only in List 1","Only in List 2")))</f>
        <v/>
      </c>
      <c r="T574">
        <f>IF(K574="","",IF(ISNUMBER(--L574),TEXT(--L574,"000000000000.000"),LOWER(L574)))</f>
        <v/>
      </c>
      <c r="U574">
        <f>IF(K574="","",IF(ISNUMBER(--M574),TEXT(--M574,"000000000000.000"),LOWER(M574)))</f>
        <v/>
      </c>
      <c r="V574">
        <f>IF(K574="","",LOWER(N574))</f>
        <v/>
      </c>
      <c r="W574">
        <f>IF(K574="","",G74)</f>
        <v/>
      </c>
      <c r="X574">
        <f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>
      <c r="K575">
        <f>IF(H75="","",IF(SUMPRODUCT(--($C$2:$C$501=H75))&gt;0,"",H75))</f>
        <v/>
      </c>
      <c r="L575">
        <f>IF(K575="","",IF(ISNUMBER('List 2'!A75),'List 2'!A75,TRIM('List 2'!A75)))</f>
        <v/>
      </c>
      <c r="M575">
        <f>IF(K575="","",IF(ISNUMBER('List 2'!C75),'List 2'!C75,TRIM('List 2'!C75)))</f>
        <v/>
      </c>
      <c r="N575">
        <f>IF(K575="","",IF(ISNUMBER('List 2'!D75),'List 2'!D75,TRIM('List 2'!D75)))</f>
        <v/>
      </c>
      <c r="O575">
        <f>IF(K575="","",0)</f>
        <v/>
      </c>
      <c r="P575">
        <f>IF(K575="","",I75)</f>
        <v/>
      </c>
      <c r="Q575">
        <f>IF(K575="","",FALSE)</f>
        <v/>
      </c>
      <c r="R575">
        <f>IF(K575="","",TRUE)</f>
        <v/>
      </c>
      <c r="S575">
        <f>IF(K575="","",IF(AND(Q575,R575),IF(O575=P575,"Match","Qty Different"),IF(Q575,"Only in List 1","Only in List 2")))</f>
        <v/>
      </c>
      <c r="T575">
        <f>IF(K575="","",IF(ISNUMBER(--L575),TEXT(--L575,"000000000000.000"),LOWER(L575)))</f>
        <v/>
      </c>
      <c r="U575">
        <f>IF(K575="","",IF(ISNUMBER(--M575),TEXT(--M575,"000000000000.000"),LOWER(M575)))</f>
        <v/>
      </c>
      <c r="V575">
        <f>IF(K575="","",LOWER(N575))</f>
        <v/>
      </c>
      <c r="W575">
        <f>IF(K575="","",G75)</f>
        <v/>
      </c>
      <c r="X575">
        <f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>
      <c r="K576">
        <f>IF(H76="","",IF(SUMPRODUCT(--($C$2:$C$501=H76))&gt;0,"",H76))</f>
        <v/>
      </c>
      <c r="L576">
        <f>IF(K576="","",IF(ISNUMBER('List 2'!A76),'List 2'!A76,TRIM('List 2'!A76)))</f>
        <v/>
      </c>
      <c r="M576">
        <f>IF(K576="","",IF(ISNUMBER('List 2'!C76),'List 2'!C76,TRIM('List 2'!C76)))</f>
        <v/>
      </c>
      <c r="N576">
        <f>IF(K576="","",IF(ISNUMBER('List 2'!D76),'List 2'!D76,TRIM('List 2'!D76)))</f>
        <v/>
      </c>
      <c r="O576">
        <f>IF(K576="","",0)</f>
        <v/>
      </c>
      <c r="P576">
        <f>IF(K576="","",I76)</f>
        <v/>
      </c>
      <c r="Q576">
        <f>IF(K576="","",FALSE)</f>
        <v/>
      </c>
      <c r="R576">
        <f>IF(K576="","",TRUE)</f>
        <v/>
      </c>
      <c r="S576">
        <f>IF(K576="","",IF(AND(Q576,R576),IF(O576=P576,"Match","Qty Different"),IF(Q576,"Only in List 1","Only in List 2")))</f>
        <v/>
      </c>
      <c r="T576">
        <f>IF(K576="","",IF(ISNUMBER(--L576),TEXT(--L576,"000000000000.000"),LOWER(L576)))</f>
        <v/>
      </c>
      <c r="U576">
        <f>IF(K576="","",IF(ISNUMBER(--M576),TEXT(--M576,"000000000000.000"),LOWER(M576)))</f>
        <v/>
      </c>
      <c r="V576">
        <f>IF(K576="","",LOWER(N576))</f>
        <v/>
      </c>
      <c r="W576">
        <f>IF(K576="","",G76)</f>
        <v/>
      </c>
      <c r="X576">
        <f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>
      <c r="K577">
        <f>IF(H77="","",IF(SUMPRODUCT(--($C$2:$C$501=H77))&gt;0,"",H77))</f>
        <v/>
      </c>
      <c r="L577">
        <f>IF(K577="","",IF(ISNUMBER('List 2'!A77),'List 2'!A77,TRIM('List 2'!A77)))</f>
        <v/>
      </c>
      <c r="M577">
        <f>IF(K577="","",IF(ISNUMBER('List 2'!C77),'List 2'!C77,TRIM('List 2'!C77)))</f>
        <v/>
      </c>
      <c r="N577">
        <f>IF(K577="","",IF(ISNUMBER('List 2'!D77),'List 2'!D77,TRIM('List 2'!D77)))</f>
        <v/>
      </c>
      <c r="O577">
        <f>IF(K577="","",0)</f>
        <v/>
      </c>
      <c r="P577">
        <f>IF(K577="","",I77)</f>
        <v/>
      </c>
      <c r="Q577">
        <f>IF(K577="","",FALSE)</f>
        <v/>
      </c>
      <c r="R577">
        <f>IF(K577="","",TRUE)</f>
        <v/>
      </c>
      <c r="S577">
        <f>IF(K577="","",IF(AND(Q577,R577),IF(O577=P577,"Match","Qty Different"),IF(Q577,"Only in List 1","Only in List 2")))</f>
        <v/>
      </c>
      <c r="T577">
        <f>IF(K577="","",IF(ISNUMBER(--L577),TEXT(--L577,"000000000000.000"),LOWER(L577)))</f>
        <v/>
      </c>
      <c r="U577">
        <f>IF(K577="","",IF(ISNUMBER(--M577),TEXT(--M577,"000000000000.000"),LOWER(M577)))</f>
        <v/>
      </c>
      <c r="V577">
        <f>IF(K577="","",LOWER(N577))</f>
        <v/>
      </c>
      <c r="W577">
        <f>IF(K577="","",G77)</f>
        <v/>
      </c>
      <c r="X577">
        <f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>
      <c r="K578">
        <f>IF(H78="","",IF(SUMPRODUCT(--($C$2:$C$501=H78))&gt;0,"",H78))</f>
        <v/>
      </c>
      <c r="L578">
        <f>IF(K578="","",IF(ISNUMBER('List 2'!A78),'List 2'!A78,TRIM('List 2'!A78)))</f>
        <v/>
      </c>
      <c r="M578">
        <f>IF(K578="","",IF(ISNUMBER('List 2'!C78),'List 2'!C78,TRIM('List 2'!C78)))</f>
        <v/>
      </c>
      <c r="N578">
        <f>IF(K578="","",IF(ISNUMBER('List 2'!D78),'List 2'!D78,TRIM('List 2'!D78)))</f>
        <v/>
      </c>
      <c r="O578">
        <f>IF(K578="","",0)</f>
        <v/>
      </c>
      <c r="P578">
        <f>IF(K578="","",I78)</f>
        <v/>
      </c>
      <c r="Q578">
        <f>IF(K578="","",FALSE)</f>
        <v/>
      </c>
      <c r="R578">
        <f>IF(K578="","",TRUE)</f>
        <v/>
      </c>
      <c r="S578">
        <f>IF(K578="","",IF(AND(Q578,R578),IF(O578=P578,"Match","Qty Different"),IF(Q578,"Only in List 1","Only in List 2")))</f>
        <v/>
      </c>
      <c r="T578">
        <f>IF(K578="","",IF(ISNUMBER(--L578),TEXT(--L578,"000000000000.000"),LOWER(L578)))</f>
        <v/>
      </c>
      <c r="U578">
        <f>IF(K578="","",IF(ISNUMBER(--M578),TEXT(--M578,"000000000000.000"),LOWER(M578)))</f>
        <v/>
      </c>
      <c r="V578">
        <f>IF(K578="","",LOWER(N578))</f>
        <v/>
      </c>
      <c r="W578">
        <f>IF(K578="","",G78)</f>
        <v/>
      </c>
      <c r="X578">
        <f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>
      <c r="K579">
        <f>IF(H79="","",IF(SUMPRODUCT(--($C$2:$C$501=H79))&gt;0,"",H79))</f>
        <v/>
      </c>
      <c r="L579">
        <f>IF(K579="","",IF(ISNUMBER('List 2'!A79),'List 2'!A79,TRIM('List 2'!A79)))</f>
        <v/>
      </c>
      <c r="M579">
        <f>IF(K579="","",IF(ISNUMBER('List 2'!C79),'List 2'!C79,TRIM('List 2'!C79)))</f>
        <v/>
      </c>
      <c r="N579">
        <f>IF(K579="","",IF(ISNUMBER('List 2'!D79),'List 2'!D79,TRIM('List 2'!D79)))</f>
        <v/>
      </c>
      <c r="O579">
        <f>IF(K579="","",0)</f>
        <v/>
      </c>
      <c r="P579">
        <f>IF(K579="","",I79)</f>
        <v/>
      </c>
      <c r="Q579">
        <f>IF(K579="","",FALSE)</f>
        <v/>
      </c>
      <c r="R579">
        <f>IF(K579="","",TRUE)</f>
        <v/>
      </c>
      <c r="S579">
        <f>IF(K579="","",IF(AND(Q579,R579),IF(O579=P579,"Match","Qty Different"),IF(Q579,"Only in List 1","Only in List 2")))</f>
        <v/>
      </c>
      <c r="T579">
        <f>IF(K579="","",IF(ISNUMBER(--L579),TEXT(--L579,"000000000000.000"),LOWER(L579)))</f>
        <v/>
      </c>
      <c r="U579">
        <f>IF(K579="","",IF(ISNUMBER(--M579),TEXT(--M579,"000000000000.000"),LOWER(M579)))</f>
        <v/>
      </c>
      <c r="V579">
        <f>IF(K579="","",LOWER(N579))</f>
        <v/>
      </c>
      <c r="W579">
        <f>IF(K579="","",G79)</f>
        <v/>
      </c>
      <c r="X579">
        <f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>
      <c r="K580">
        <f>IF(H80="","",IF(SUMPRODUCT(--($C$2:$C$501=H80))&gt;0,"",H80))</f>
        <v/>
      </c>
      <c r="L580">
        <f>IF(K580="","",IF(ISNUMBER('List 2'!A80),'List 2'!A80,TRIM('List 2'!A80)))</f>
        <v/>
      </c>
      <c r="M580">
        <f>IF(K580="","",IF(ISNUMBER('List 2'!C80),'List 2'!C80,TRIM('List 2'!C80)))</f>
        <v/>
      </c>
      <c r="N580">
        <f>IF(K580="","",IF(ISNUMBER('List 2'!D80),'List 2'!D80,TRIM('List 2'!D80)))</f>
        <v/>
      </c>
      <c r="O580">
        <f>IF(K580="","",0)</f>
        <v/>
      </c>
      <c r="P580">
        <f>IF(K580="","",I80)</f>
        <v/>
      </c>
      <c r="Q580">
        <f>IF(K580="","",FALSE)</f>
        <v/>
      </c>
      <c r="R580">
        <f>IF(K580="","",TRUE)</f>
        <v/>
      </c>
      <c r="S580">
        <f>IF(K580="","",IF(AND(Q580,R580),IF(O580=P580,"Match","Qty Different"),IF(Q580,"Only in List 1","Only in List 2")))</f>
        <v/>
      </c>
      <c r="T580">
        <f>IF(K580="","",IF(ISNUMBER(--L580),TEXT(--L580,"000000000000.000"),LOWER(L580)))</f>
        <v/>
      </c>
      <c r="U580">
        <f>IF(K580="","",IF(ISNUMBER(--M580),TEXT(--M580,"000000000000.000"),LOWER(M580)))</f>
        <v/>
      </c>
      <c r="V580">
        <f>IF(K580="","",LOWER(N580))</f>
        <v/>
      </c>
      <c r="W580">
        <f>IF(K580="","",G80)</f>
        <v/>
      </c>
      <c r="X580">
        <f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>
      <c r="K581">
        <f>IF(H81="","",IF(SUMPRODUCT(--($C$2:$C$501=H81))&gt;0,"",H81))</f>
        <v/>
      </c>
      <c r="L581">
        <f>IF(K581="","",IF(ISNUMBER('List 2'!A81),'List 2'!A81,TRIM('List 2'!A81)))</f>
        <v/>
      </c>
      <c r="M581">
        <f>IF(K581="","",IF(ISNUMBER('List 2'!C81),'List 2'!C81,TRIM('List 2'!C81)))</f>
        <v/>
      </c>
      <c r="N581">
        <f>IF(K581="","",IF(ISNUMBER('List 2'!D81),'List 2'!D81,TRIM('List 2'!D81)))</f>
        <v/>
      </c>
      <c r="O581">
        <f>IF(K581="","",0)</f>
        <v/>
      </c>
      <c r="P581">
        <f>IF(K581="","",I81)</f>
        <v/>
      </c>
      <c r="Q581">
        <f>IF(K581="","",FALSE)</f>
        <v/>
      </c>
      <c r="R581">
        <f>IF(K581="","",TRUE)</f>
        <v/>
      </c>
      <c r="S581">
        <f>IF(K581="","",IF(AND(Q581,R581),IF(O581=P581,"Match","Qty Different"),IF(Q581,"Only in List 1","Only in List 2")))</f>
        <v/>
      </c>
      <c r="T581">
        <f>IF(K581="","",IF(ISNUMBER(--L581),TEXT(--L581,"000000000000.000"),LOWER(L581)))</f>
        <v/>
      </c>
      <c r="U581">
        <f>IF(K581="","",IF(ISNUMBER(--M581),TEXT(--M581,"000000000000.000"),LOWER(M581)))</f>
        <v/>
      </c>
      <c r="V581">
        <f>IF(K581="","",LOWER(N581))</f>
        <v/>
      </c>
      <c r="W581">
        <f>IF(K581="","",G81)</f>
        <v/>
      </c>
      <c r="X581">
        <f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>
      <c r="K582">
        <f>IF(H82="","",IF(SUMPRODUCT(--($C$2:$C$501=H82))&gt;0,"",H82))</f>
        <v/>
      </c>
      <c r="L582">
        <f>IF(K582="","",IF(ISNUMBER('List 2'!A82),'List 2'!A82,TRIM('List 2'!A82)))</f>
        <v/>
      </c>
      <c r="M582">
        <f>IF(K582="","",IF(ISNUMBER('List 2'!C82),'List 2'!C82,TRIM('List 2'!C82)))</f>
        <v/>
      </c>
      <c r="N582">
        <f>IF(K582="","",IF(ISNUMBER('List 2'!D82),'List 2'!D82,TRIM('List 2'!D82)))</f>
        <v/>
      </c>
      <c r="O582">
        <f>IF(K582="","",0)</f>
        <v/>
      </c>
      <c r="P582">
        <f>IF(K582="","",I82)</f>
        <v/>
      </c>
      <c r="Q582">
        <f>IF(K582="","",FALSE)</f>
        <v/>
      </c>
      <c r="R582">
        <f>IF(K582="","",TRUE)</f>
        <v/>
      </c>
      <c r="S582">
        <f>IF(K582="","",IF(AND(Q582,R582),IF(O582=P582,"Match","Qty Different"),IF(Q582,"Only in List 1","Only in List 2")))</f>
        <v/>
      </c>
      <c r="T582">
        <f>IF(K582="","",IF(ISNUMBER(--L582),TEXT(--L582,"000000000000.000"),LOWER(L582)))</f>
        <v/>
      </c>
      <c r="U582">
        <f>IF(K582="","",IF(ISNUMBER(--M582),TEXT(--M582,"000000000000.000"),LOWER(M582)))</f>
        <v/>
      </c>
      <c r="V582">
        <f>IF(K582="","",LOWER(N582))</f>
        <v/>
      </c>
      <c r="W582">
        <f>IF(K582="","",G82)</f>
        <v/>
      </c>
      <c r="X582">
        <f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>
      <c r="K583">
        <f>IF(H83="","",IF(SUMPRODUCT(--($C$2:$C$501=H83))&gt;0,"",H83))</f>
        <v/>
      </c>
      <c r="L583">
        <f>IF(K583="","",IF(ISNUMBER('List 2'!A83),'List 2'!A83,TRIM('List 2'!A83)))</f>
        <v/>
      </c>
      <c r="M583">
        <f>IF(K583="","",IF(ISNUMBER('List 2'!C83),'List 2'!C83,TRIM('List 2'!C83)))</f>
        <v/>
      </c>
      <c r="N583">
        <f>IF(K583="","",IF(ISNUMBER('List 2'!D83),'List 2'!D83,TRIM('List 2'!D83)))</f>
        <v/>
      </c>
      <c r="O583">
        <f>IF(K583="","",0)</f>
        <v/>
      </c>
      <c r="P583">
        <f>IF(K583="","",I83)</f>
        <v/>
      </c>
      <c r="Q583">
        <f>IF(K583="","",FALSE)</f>
        <v/>
      </c>
      <c r="R583">
        <f>IF(K583="","",TRUE)</f>
        <v/>
      </c>
      <c r="S583">
        <f>IF(K583="","",IF(AND(Q583,R583),IF(O583=P583,"Match","Qty Different"),IF(Q583,"Only in List 1","Only in List 2")))</f>
        <v/>
      </c>
      <c r="T583">
        <f>IF(K583="","",IF(ISNUMBER(--L583),TEXT(--L583,"000000000000.000"),LOWER(L583)))</f>
        <v/>
      </c>
      <c r="U583">
        <f>IF(K583="","",IF(ISNUMBER(--M583),TEXT(--M583,"000000000000.000"),LOWER(M583)))</f>
        <v/>
      </c>
      <c r="V583">
        <f>IF(K583="","",LOWER(N583))</f>
        <v/>
      </c>
      <c r="W583">
        <f>IF(K583="","",G83)</f>
        <v/>
      </c>
      <c r="X583">
        <f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>
      <c r="K584">
        <f>IF(H84="","",IF(SUMPRODUCT(--($C$2:$C$501=H84))&gt;0,"",H84))</f>
        <v/>
      </c>
      <c r="L584">
        <f>IF(K584="","",IF(ISNUMBER('List 2'!A84),'List 2'!A84,TRIM('List 2'!A84)))</f>
        <v/>
      </c>
      <c r="M584">
        <f>IF(K584="","",IF(ISNUMBER('List 2'!C84),'List 2'!C84,TRIM('List 2'!C84)))</f>
        <v/>
      </c>
      <c r="N584">
        <f>IF(K584="","",IF(ISNUMBER('List 2'!D84),'List 2'!D84,TRIM('List 2'!D84)))</f>
        <v/>
      </c>
      <c r="O584">
        <f>IF(K584="","",0)</f>
        <v/>
      </c>
      <c r="P584">
        <f>IF(K584="","",I84)</f>
        <v/>
      </c>
      <c r="Q584">
        <f>IF(K584="","",FALSE)</f>
        <v/>
      </c>
      <c r="R584">
        <f>IF(K584="","",TRUE)</f>
        <v/>
      </c>
      <c r="S584">
        <f>IF(K584="","",IF(AND(Q584,R584),IF(O584=P584,"Match","Qty Different"),IF(Q584,"Only in List 1","Only in List 2")))</f>
        <v/>
      </c>
      <c r="T584">
        <f>IF(K584="","",IF(ISNUMBER(--L584),TEXT(--L584,"000000000000.000"),LOWER(L584)))</f>
        <v/>
      </c>
      <c r="U584">
        <f>IF(K584="","",IF(ISNUMBER(--M584),TEXT(--M584,"000000000000.000"),LOWER(M584)))</f>
        <v/>
      </c>
      <c r="V584">
        <f>IF(K584="","",LOWER(N584))</f>
        <v/>
      </c>
      <c r="W584">
        <f>IF(K584="","",G84)</f>
        <v/>
      </c>
      <c r="X584">
        <f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>
      <c r="K585">
        <f>IF(H85="","",IF(SUMPRODUCT(--($C$2:$C$501=H85))&gt;0,"",H85))</f>
        <v/>
      </c>
      <c r="L585">
        <f>IF(K585="","",IF(ISNUMBER('List 2'!A85),'List 2'!A85,TRIM('List 2'!A85)))</f>
        <v/>
      </c>
      <c r="M585">
        <f>IF(K585="","",IF(ISNUMBER('List 2'!C85),'List 2'!C85,TRIM('List 2'!C85)))</f>
        <v/>
      </c>
      <c r="N585">
        <f>IF(K585="","",IF(ISNUMBER('List 2'!D85),'List 2'!D85,TRIM('List 2'!D85)))</f>
        <v/>
      </c>
      <c r="O585">
        <f>IF(K585="","",0)</f>
        <v/>
      </c>
      <c r="P585">
        <f>IF(K585="","",I85)</f>
        <v/>
      </c>
      <c r="Q585">
        <f>IF(K585="","",FALSE)</f>
        <v/>
      </c>
      <c r="R585">
        <f>IF(K585="","",TRUE)</f>
        <v/>
      </c>
      <c r="S585">
        <f>IF(K585="","",IF(AND(Q585,R585),IF(O585=P585,"Match","Qty Different"),IF(Q585,"Only in List 1","Only in List 2")))</f>
        <v/>
      </c>
      <c r="T585">
        <f>IF(K585="","",IF(ISNUMBER(--L585),TEXT(--L585,"000000000000.000"),LOWER(L585)))</f>
        <v/>
      </c>
      <c r="U585">
        <f>IF(K585="","",IF(ISNUMBER(--M585),TEXT(--M585,"000000000000.000"),LOWER(M585)))</f>
        <v/>
      </c>
      <c r="V585">
        <f>IF(K585="","",LOWER(N585))</f>
        <v/>
      </c>
      <c r="W585">
        <f>IF(K585="","",G85)</f>
        <v/>
      </c>
      <c r="X585">
        <f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>
      <c r="K586">
        <f>IF(H86="","",IF(SUMPRODUCT(--($C$2:$C$501=H86))&gt;0,"",H86))</f>
        <v/>
      </c>
      <c r="L586">
        <f>IF(K586="","",IF(ISNUMBER('List 2'!A86),'List 2'!A86,TRIM('List 2'!A86)))</f>
        <v/>
      </c>
      <c r="M586">
        <f>IF(K586="","",IF(ISNUMBER('List 2'!C86),'List 2'!C86,TRIM('List 2'!C86)))</f>
        <v/>
      </c>
      <c r="N586">
        <f>IF(K586="","",IF(ISNUMBER('List 2'!D86),'List 2'!D86,TRIM('List 2'!D86)))</f>
        <v/>
      </c>
      <c r="O586">
        <f>IF(K586="","",0)</f>
        <v/>
      </c>
      <c r="P586">
        <f>IF(K586="","",I86)</f>
        <v/>
      </c>
      <c r="Q586">
        <f>IF(K586="","",FALSE)</f>
        <v/>
      </c>
      <c r="R586">
        <f>IF(K586="","",TRUE)</f>
        <v/>
      </c>
      <c r="S586">
        <f>IF(K586="","",IF(AND(Q586,R586),IF(O586=P586,"Match","Qty Different"),IF(Q586,"Only in List 1","Only in List 2")))</f>
        <v/>
      </c>
      <c r="T586">
        <f>IF(K586="","",IF(ISNUMBER(--L586),TEXT(--L586,"000000000000.000"),LOWER(L586)))</f>
        <v/>
      </c>
      <c r="U586">
        <f>IF(K586="","",IF(ISNUMBER(--M586),TEXT(--M586,"000000000000.000"),LOWER(M586)))</f>
        <v/>
      </c>
      <c r="V586">
        <f>IF(K586="","",LOWER(N586))</f>
        <v/>
      </c>
      <c r="W586">
        <f>IF(K586="","",G86)</f>
        <v/>
      </c>
      <c r="X586">
        <f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>
      <c r="K587">
        <f>IF(H87="","",IF(SUMPRODUCT(--($C$2:$C$501=H87))&gt;0,"",H87))</f>
        <v/>
      </c>
      <c r="L587">
        <f>IF(K587="","",IF(ISNUMBER('List 2'!A87),'List 2'!A87,TRIM('List 2'!A87)))</f>
        <v/>
      </c>
      <c r="M587">
        <f>IF(K587="","",IF(ISNUMBER('List 2'!C87),'List 2'!C87,TRIM('List 2'!C87)))</f>
        <v/>
      </c>
      <c r="N587">
        <f>IF(K587="","",IF(ISNUMBER('List 2'!D87),'List 2'!D87,TRIM('List 2'!D87)))</f>
        <v/>
      </c>
      <c r="O587">
        <f>IF(K587="","",0)</f>
        <v/>
      </c>
      <c r="P587">
        <f>IF(K587="","",I87)</f>
        <v/>
      </c>
      <c r="Q587">
        <f>IF(K587="","",FALSE)</f>
        <v/>
      </c>
      <c r="R587">
        <f>IF(K587="","",TRUE)</f>
        <v/>
      </c>
      <c r="S587">
        <f>IF(K587="","",IF(AND(Q587,R587),IF(O587=P587,"Match","Qty Different"),IF(Q587,"Only in List 1","Only in List 2")))</f>
        <v/>
      </c>
      <c r="T587">
        <f>IF(K587="","",IF(ISNUMBER(--L587),TEXT(--L587,"000000000000.000"),LOWER(L587)))</f>
        <v/>
      </c>
      <c r="U587">
        <f>IF(K587="","",IF(ISNUMBER(--M587),TEXT(--M587,"000000000000.000"),LOWER(M587)))</f>
        <v/>
      </c>
      <c r="V587">
        <f>IF(K587="","",LOWER(N587))</f>
        <v/>
      </c>
      <c r="W587">
        <f>IF(K587="","",G87)</f>
        <v/>
      </c>
      <c r="X587">
        <f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>
      <c r="K588">
        <f>IF(H88="","",IF(SUMPRODUCT(--($C$2:$C$501=H88))&gt;0,"",H88))</f>
        <v/>
      </c>
      <c r="L588">
        <f>IF(K588="","",IF(ISNUMBER('List 2'!A88),'List 2'!A88,TRIM('List 2'!A88)))</f>
        <v/>
      </c>
      <c r="M588">
        <f>IF(K588="","",IF(ISNUMBER('List 2'!C88),'List 2'!C88,TRIM('List 2'!C88)))</f>
        <v/>
      </c>
      <c r="N588">
        <f>IF(K588="","",IF(ISNUMBER('List 2'!D88),'List 2'!D88,TRIM('List 2'!D88)))</f>
        <v/>
      </c>
      <c r="O588">
        <f>IF(K588="","",0)</f>
        <v/>
      </c>
      <c r="P588">
        <f>IF(K588="","",I88)</f>
        <v/>
      </c>
      <c r="Q588">
        <f>IF(K588="","",FALSE)</f>
        <v/>
      </c>
      <c r="R588">
        <f>IF(K588="","",TRUE)</f>
        <v/>
      </c>
      <c r="S588">
        <f>IF(K588="","",IF(AND(Q588,R588),IF(O588=P588,"Match","Qty Different"),IF(Q588,"Only in List 1","Only in List 2")))</f>
        <v/>
      </c>
      <c r="T588">
        <f>IF(K588="","",IF(ISNUMBER(--L588),TEXT(--L588,"000000000000.000"),LOWER(L588)))</f>
        <v/>
      </c>
      <c r="U588">
        <f>IF(K588="","",IF(ISNUMBER(--M588),TEXT(--M588,"000000000000.000"),LOWER(M588)))</f>
        <v/>
      </c>
      <c r="V588">
        <f>IF(K588="","",LOWER(N588))</f>
        <v/>
      </c>
      <c r="W588">
        <f>IF(K588="","",G88)</f>
        <v/>
      </c>
      <c r="X588">
        <f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>
      <c r="K589">
        <f>IF(H89="","",IF(SUMPRODUCT(--($C$2:$C$501=H89))&gt;0,"",H89))</f>
        <v/>
      </c>
      <c r="L589">
        <f>IF(K589="","",IF(ISNUMBER('List 2'!A89),'List 2'!A89,TRIM('List 2'!A89)))</f>
        <v/>
      </c>
      <c r="M589">
        <f>IF(K589="","",IF(ISNUMBER('List 2'!C89),'List 2'!C89,TRIM('List 2'!C89)))</f>
        <v/>
      </c>
      <c r="N589">
        <f>IF(K589="","",IF(ISNUMBER('List 2'!D89),'List 2'!D89,TRIM('List 2'!D89)))</f>
        <v/>
      </c>
      <c r="O589">
        <f>IF(K589="","",0)</f>
        <v/>
      </c>
      <c r="P589">
        <f>IF(K589="","",I89)</f>
        <v/>
      </c>
      <c r="Q589">
        <f>IF(K589="","",FALSE)</f>
        <v/>
      </c>
      <c r="R589">
        <f>IF(K589="","",TRUE)</f>
        <v/>
      </c>
      <c r="S589">
        <f>IF(K589="","",IF(AND(Q589,R589),IF(O589=P589,"Match","Qty Different"),IF(Q589,"Only in List 1","Only in List 2")))</f>
        <v/>
      </c>
      <c r="T589">
        <f>IF(K589="","",IF(ISNUMBER(--L589),TEXT(--L589,"000000000000.000"),LOWER(L589)))</f>
        <v/>
      </c>
      <c r="U589">
        <f>IF(K589="","",IF(ISNUMBER(--M589),TEXT(--M589,"000000000000.000"),LOWER(M589)))</f>
        <v/>
      </c>
      <c r="V589">
        <f>IF(K589="","",LOWER(N589))</f>
        <v/>
      </c>
      <c r="W589">
        <f>IF(K589="","",G89)</f>
        <v/>
      </c>
      <c r="X589">
        <f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>
      <c r="K590">
        <f>IF(H90="","",IF(SUMPRODUCT(--($C$2:$C$501=H90))&gt;0,"",H90))</f>
        <v/>
      </c>
      <c r="L590">
        <f>IF(K590="","",IF(ISNUMBER('List 2'!A90),'List 2'!A90,TRIM('List 2'!A90)))</f>
        <v/>
      </c>
      <c r="M590">
        <f>IF(K590="","",IF(ISNUMBER('List 2'!C90),'List 2'!C90,TRIM('List 2'!C90)))</f>
        <v/>
      </c>
      <c r="N590">
        <f>IF(K590="","",IF(ISNUMBER('List 2'!D90),'List 2'!D90,TRIM('List 2'!D90)))</f>
        <v/>
      </c>
      <c r="O590">
        <f>IF(K590="","",0)</f>
        <v/>
      </c>
      <c r="P590">
        <f>IF(K590="","",I90)</f>
        <v/>
      </c>
      <c r="Q590">
        <f>IF(K590="","",FALSE)</f>
        <v/>
      </c>
      <c r="R590">
        <f>IF(K590="","",TRUE)</f>
        <v/>
      </c>
      <c r="S590">
        <f>IF(K590="","",IF(AND(Q590,R590),IF(O590=P590,"Match","Qty Different"),IF(Q590,"Only in List 1","Only in List 2")))</f>
        <v/>
      </c>
      <c r="T590">
        <f>IF(K590="","",IF(ISNUMBER(--L590),TEXT(--L590,"000000000000.000"),LOWER(L590)))</f>
        <v/>
      </c>
      <c r="U590">
        <f>IF(K590="","",IF(ISNUMBER(--M590),TEXT(--M590,"000000000000.000"),LOWER(M590)))</f>
        <v/>
      </c>
      <c r="V590">
        <f>IF(K590="","",LOWER(N590))</f>
        <v/>
      </c>
      <c r="W590">
        <f>IF(K590="","",G90)</f>
        <v/>
      </c>
      <c r="X590">
        <f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>
      <c r="K591">
        <f>IF(H91="","",IF(SUMPRODUCT(--($C$2:$C$501=H91))&gt;0,"",H91))</f>
        <v/>
      </c>
      <c r="L591">
        <f>IF(K591="","",IF(ISNUMBER('List 2'!A91),'List 2'!A91,TRIM('List 2'!A91)))</f>
        <v/>
      </c>
      <c r="M591">
        <f>IF(K591="","",IF(ISNUMBER('List 2'!C91),'List 2'!C91,TRIM('List 2'!C91)))</f>
        <v/>
      </c>
      <c r="N591">
        <f>IF(K591="","",IF(ISNUMBER('List 2'!D91),'List 2'!D91,TRIM('List 2'!D91)))</f>
        <v/>
      </c>
      <c r="O591">
        <f>IF(K591="","",0)</f>
        <v/>
      </c>
      <c r="P591">
        <f>IF(K591="","",I91)</f>
        <v/>
      </c>
      <c r="Q591">
        <f>IF(K591="","",FALSE)</f>
        <v/>
      </c>
      <c r="R591">
        <f>IF(K591="","",TRUE)</f>
        <v/>
      </c>
      <c r="S591">
        <f>IF(K591="","",IF(AND(Q591,R591),IF(O591=P591,"Match","Qty Different"),IF(Q591,"Only in List 1","Only in List 2")))</f>
        <v/>
      </c>
      <c r="T591">
        <f>IF(K591="","",IF(ISNUMBER(--L591),TEXT(--L591,"000000000000.000"),LOWER(L591)))</f>
        <v/>
      </c>
      <c r="U591">
        <f>IF(K591="","",IF(ISNUMBER(--M591),TEXT(--M591,"000000000000.000"),LOWER(M591)))</f>
        <v/>
      </c>
      <c r="V591">
        <f>IF(K591="","",LOWER(N591))</f>
        <v/>
      </c>
      <c r="W591">
        <f>IF(K591="","",G91)</f>
        <v/>
      </c>
      <c r="X591">
        <f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>
      <c r="K592">
        <f>IF(H92="","",IF(SUMPRODUCT(--($C$2:$C$501=H92))&gt;0,"",H92))</f>
        <v/>
      </c>
      <c r="L592">
        <f>IF(K592="","",IF(ISNUMBER('List 2'!A92),'List 2'!A92,TRIM('List 2'!A92)))</f>
        <v/>
      </c>
      <c r="M592">
        <f>IF(K592="","",IF(ISNUMBER('List 2'!C92),'List 2'!C92,TRIM('List 2'!C92)))</f>
        <v/>
      </c>
      <c r="N592">
        <f>IF(K592="","",IF(ISNUMBER('List 2'!D92),'List 2'!D92,TRIM('List 2'!D92)))</f>
        <v/>
      </c>
      <c r="O592">
        <f>IF(K592="","",0)</f>
        <v/>
      </c>
      <c r="P592">
        <f>IF(K592="","",I92)</f>
        <v/>
      </c>
      <c r="Q592">
        <f>IF(K592="","",FALSE)</f>
        <v/>
      </c>
      <c r="R592">
        <f>IF(K592="","",TRUE)</f>
        <v/>
      </c>
      <c r="S592">
        <f>IF(K592="","",IF(AND(Q592,R592),IF(O592=P592,"Match","Qty Different"),IF(Q592,"Only in List 1","Only in List 2")))</f>
        <v/>
      </c>
      <c r="T592">
        <f>IF(K592="","",IF(ISNUMBER(--L592),TEXT(--L592,"000000000000.000"),LOWER(L592)))</f>
        <v/>
      </c>
      <c r="U592">
        <f>IF(K592="","",IF(ISNUMBER(--M592),TEXT(--M592,"000000000000.000"),LOWER(M592)))</f>
        <v/>
      </c>
      <c r="V592">
        <f>IF(K592="","",LOWER(N592))</f>
        <v/>
      </c>
      <c r="W592">
        <f>IF(K592="","",G92)</f>
        <v/>
      </c>
      <c r="X592">
        <f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>
      <c r="K593">
        <f>IF(H93="","",IF(SUMPRODUCT(--($C$2:$C$501=H93))&gt;0,"",H93))</f>
        <v/>
      </c>
      <c r="L593">
        <f>IF(K593="","",IF(ISNUMBER('List 2'!A93),'List 2'!A93,TRIM('List 2'!A93)))</f>
        <v/>
      </c>
      <c r="M593">
        <f>IF(K593="","",IF(ISNUMBER('List 2'!C93),'List 2'!C93,TRIM('List 2'!C93)))</f>
        <v/>
      </c>
      <c r="N593">
        <f>IF(K593="","",IF(ISNUMBER('List 2'!D93),'List 2'!D93,TRIM('List 2'!D93)))</f>
        <v/>
      </c>
      <c r="O593">
        <f>IF(K593="","",0)</f>
        <v/>
      </c>
      <c r="P593">
        <f>IF(K593="","",I93)</f>
        <v/>
      </c>
      <c r="Q593">
        <f>IF(K593="","",FALSE)</f>
        <v/>
      </c>
      <c r="R593">
        <f>IF(K593="","",TRUE)</f>
        <v/>
      </c>
      <c r="S593">
        <f>IF(K593="","",IF(AND(Q593,R593),IF(O593=P593,"Match","Qty Different"),IF(Q593,"Only in List 1","Only in List 2")))</f>
        <v/>
      </c>
      <c r="T593">
        <f>IF(K593="","",IF(ISNUMBER(--L593),TEXT(--L593,"000000000000.000"),LOWER(L593)))</f>
        <v/>
      </c>
      <c r="U593">
        <f>IF(K593="","",IF(ISNUMBER(--M593),TEXT(--M593,"000000000000.000"),LOWER(M593)))</f>
        <v/>
      </c>
      <c r="V593">
        <f>IF(K593="","",LOWER(N593))</f>
        <v/>
      </c>
      <c r="W593">
        <f>IF(K593="","",G93)</f>
        <v/>
      </c>
      <c r="X593">
        <f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>
      <c r="K594">
        <f>IF(H94="","",IF(SUMPRODUCT(--($C$2:$C$501=H94))&gt;0,"",H94))</f>
        <v/>
      </c>
      <c r="L594">
        <f>IF(K594="","",IF(ISNUMBER('List 2'!A94),'List 2'!A94,TRIM('List 2'!A94)))</f>
        <v/>
      </c>
      <c r="M594">
        <f>IF(K594="","",IF(ISNUMBER('List 2'!C94),'List 2'!C94,TRIM('List 2'!C94)))</f>
        <v/>
      </c>
      <c r="N594">
        <f>IF(K594="","",IF(ISNUMBER('List 2'!D94),'List 2'!D94,TRIM('List 2'!D94)))</f>
        <v/>
      </c>
      <c r="O594">
        <f>IF(K594="","",0)</f>
        <v/>
      </c>
      <c r="P594">
        <f>IF(K594="","",I94)</f>
        <v/>
      </c>
      <c r="Q594">
        <f>IF(K594="","",FALSE)</f>
        <v/>
      </c>
      <c r="R594">
        <f>IF(K594="","",TRUE)</f>
        <v/>
      </c>
      <c r="S594">
        <f>IF(K594="","",IF(AND(Q594,R594),IF(O594=P594,"Match","Qty Different"),IF(Q594,"Only in List 1","Only in List 2")))</f>
        <v/>
      </c>
      <c r="T594">
        <f>IF(K594="","",IF(ISNUMBER(--L594),TEXT(--L594,"000000000000.000"),LOWER(L594)))</f>
        <v/>
      </c>
      <c r="U594">
        <f>IF(K594="","",IF(ISNUMBER(--M594),TEXT(--M594,"000000000000.000"),LOWER(M594)))</f>
        <v/>
      </c>
      <c r="V594">
        <f>IF(K594="","",LOWER(N594))</f>
        <v/>
      </c>
      <c r="W594">
        <f>IF(K594="","",G94)</f>
        <v/>
      </c>
      <c r="X594">
        <f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>
      <c r="K595">
        <f>IF(H95="","",IF(SUMPRODUCT(--($C$2:$C$501=H95))&gt;0,"",H95))</f>
        <v/>
      </c>
      <c r="L595">
        <f>IF(K595="","",IF(ISNUMBER('List 2'!A95),'List 2'!A95,TRIM('List 2'!A95)))</f>
        <v/>
      </c>
      <c r="M595">
        <f>IF(K595="","",IF(ISNUMBER('List 2'!C95),'List 2'!C95,TRIM('List 2'!C95)))</f>
        <v/>
      </c>
      <c r="N595">
        <f>IF(K595="","",IF(ISNUMBER('List 2'!D95),'List 2'!D95,TRIM('List 2'!D95)))</f>
        <v/>
      </c>
      <c r="O595">
        <f>IF(K595="","",0)</f>
        <v/>
      </c>
      <c r="P595">
        <f>IF(K595="","",I95)</f>
        <v/>
      </c>
      <c r="Q595">
        <f>IF(K595="","",FALSE)</f>
        <v/>
      </c>
      <c r="R595">
        <f>IF(K595="","",TRUE)</f>
        <v/>
      </c>
      <c r="S595">
        <f>IF(K595="","",IF(AND(Q595,R595),IF(O595=P595,"Match","Qty Different"),IF(Q595,"Only in List 1","Only in List 2")))</f>
        <v/>
      </c>
      <c r="T595">
        <f>IF(K595="","",IF(ISNUMBER(--L595),TEXT(--L595,"000000000000.000"),LOWER(L595)))</f>
        <v/>
      </c>
      <c r="U595">
        <f>IF(K595="","",IF(ISNUMBER(--M595),TEXT(--M595,"000000000000.000"),LOWER(M595)))</f>
        <v/>
      </c>
      <c r="V595">
        <f>IF(K595="","",LOWER(N595))</f>
        <v/>
      </c>
      <c r="W595">
        <f>IF(K595="","",G95)</f>
        <v/>
      </c>
      <c r="X595">
        <f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>
      <c r="K596">
        <f>IF(H96="","",IF(SUMPRODUCT(--($C$2:$C$501=H96))&gt;0,"",H96))</f>
        <v/>
      </c>
      <c r="L596">
        <f>IF(K596="","",IF(ISNUMBER('List 2'!A96),'List 2'!A96,TRIM('List 2'!A96)))</f>
        <v/>
      </c>
      <c r="M596">
        <f>IF(K596="","",IF(ISNUMBER('List 2'!C96),'List 2'!C96,TRIM('List 2'!C96)))</f>
        <v/>
      </c>
      <c r="N596">
        <f>IF(K596="","",IF(ISNUMBER('List 2'!D96),'List 2'!D96,TRIM('List 2'!D96)))</f>
        <v/>
      </c>
      <c r="O596">
        <f>IF(K596="","",0)</f>
        <v/>
      </c>
      <c r="P596">
        <f>IF(K596="","",I96)</f>
        <v/>
      </c>
      <c r="Q596">
        <f>IF(K596="","",FALSE)</f>
        <v/>
      </c>
      <c r="R596">
        <f>IF(K596="","",TRUE)</f>
        <v/>
      </c>
      <c r="S596">
        <f>IF(K596="","",IF(AND(Q596,R596),IF(O596=P596,"Match","Qty Different"),IF(Q596,"Only in List 1","Only in List 2")))</f>
        <v/>
      </c>
      <c r="T596">
        <f>IF(K596="","",IF(ISNUMBER(--L596),TEXT(--L596,"000000000000.000"),LOWER(L596)))</f>
        <v/>
      </c>
      <c r="U596">
        <f>IF(K596="","",IF(ISNUMBER(--M596),TEXT(--M596,"000000000000.000"),LOWER(M596)))</f>
        <v/>
      </c>
      <c r="V596">
        <f>IF(K596="","",LOWER(N596))</f>
        <v/>
      </c>
      <c r="W596">
        <f>IF(K596="","",G96)</f>
        <v/>
      </c>
      <c r="X596">
        <f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>
      <c r="K597">
        <f>IF(H97="","",IF(SUMPRODUCT(--($C$2:$C$501=H97))&gt;0,"",H97))</f>
        <v/>
      </c>
      <c r="L597">
        <f>IF(K597="","",IF(ISNUMBER('List 2'!A97),'List 2'!A97,TRIM('List 2'!A97)))</f>
        <v/>
      </c>
      <c r="M597">
        <f>IF(K597="","",IF(ISNUMBER('List 2'!C97),'List 2'!C97,TRIM('List 2'!C97)))</f>
        <v/>
      </c>
      <c r="N597">
        <f>IF(K597="","",IF(ISNUMBER('List 2'!D97),'List 2'!D97,TRIM('List 2'!D97)))</f>
        <v/>
      </c>
      <c r="O597">
        <f>IF(K597="","",0)</f>
        <v/>
      </c>
      <c r="P597">
        <f>IF(K597="","",I97)</f>
        <v/>
      </c>
      <c r="Q597">
        <f>IF(K597="","",FALSE)</f>
        <v/>
      </c>
      <c r="R597">
        <f>IF(K597="","",TRUE)</f>
        <v/>
      </c>
      <c r="S597">
        <f>IF(K597="","",IF(AND(Q597,R597),IF(O597=P597,"Match","Qty Different"),IF(Q597,"Only in List 1","Only in List 2")))</f>
        <v/>
      </c>
      <c r="T597">
        <f>IF(K597="","",IF(ISNUMBER(--L597),TEXT(--L597,"000000000000.000"),LOWER(L597)))</f>
        <v/>
      </c>
      <c r="U597">
        <f>IF(K597="","",IF(ISNUMBER(--M597),TEXT(--M597,"000000000000.000"),LOWER(M597)))</f>
        <v/>
      </c>
      <c r="V597">
        <f>IF(K597="","",LOWER(N597))</f>
        <v/>
      </c>
      <c r="W597">
        <f>IF(K597="","",G97)</f>
        <v/>
      </c>
      <c r="X597">
        <f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>
      <c r="K598">
        <f>IF(H98="","",IF(SUMPRODUCT(--($C$2:$C$501=H98))&gt;0,"",H98))</f>
        <v/>
      </c>
      <c r="L598">
        <f>IF(K598="","",IF(ISNUMBER('List 2'!A98),'List 2'!A98,TRIM('List 2'!A98)))</f>
        <v/>
      </c>
      <c r="M598">
        <f>IF(K598="","",IF(ISNUMBER('List 2'!C98),'List 2'!C98,TRIM('List 2'!C98)))</f>
        <v/>
      </c>
      <c r="N598">
        <f>IF(K598="","",IF(ISNUMBER('List 2'!D98),'List 2'!D98,TRIM('List 2'!D98)))</f>
        <v/>
      </c>
      <c r="O598">
        <f>IF(K598="","",0)</f>
        <v/>
      </c>
      <c r="P598">
        <f>IF(K598="","",I98)</f>
        <v/>
      </c>
      <c r="Q598">
        <f>IF(K598="","",FALSE)</f>
        <v/>
      </c>
      <c r="R598">
        <f>IF(K598="","",TRUE)</f>
        <v/>
      </c>
      <c r="S598">
        <f>IF(K598="","",IF(AND(Q598,R598),IF(O598=P598,"Match","Qty Different"),IF(Q598,"Only in List 1","Only in List 2")))</f>
        <v/>
      </c>
      <c r="T598">
        <f>IF(K598="","",IF(ISNUMBER(--L598),TEXT(--L598,"000000000000.000"),LOWER(L598)))</f>
        <v/>
      </c>
      <c r="U598">
        <f>IF(K598="","",IF(ISNUMBER(--M598),TEXT(--M598,"000000000000.000"),LOWER(M598)))</f>
        <v/>
      </c>
      <c r="V598">
        <f>IF(K598="","",LOWER(N598))</f>
        <v/>
      </c>
      <c r="W598">
        <f>IF(K598="","",G98)</f>
        <v/>
      </c>
      <c r="X598">
        <f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>
      <c r="K599">
        <f>IF(H99="","",IF(SUMPRODUCT(--($C$2:$C$501=H99))&gt;0,"",H99))</f>
        <v/>
      </c>
      <c r="L599">
        <f>IF(K599="","",IF(ISNUMBER('List 2'!A99),'List 2'!A99,TRIM('List 2'!A99)))</f>
        <v/>
      </c>
      <c r="M599">
        <f>IF(K599="","",IF(ISNUMBER('List 2'!C99),'List 2'!C99,TRIM('List 2'!C99)))</f>
        <v/>
      </c>
      <c r="N599">
        <f>IF(K599="","",IF(ISNUMBER('List 2'!D99),'List 2'!D99,TRIM('List 2'!D99)))</f>
        <v/>
      </c>
      <c r="O599">
        <f>IF(K599="","",0)</f>
        <v/>
      </c>
      <c r="P599">
        <f>IF(K599="","",I99)</f>
        <v/>
      </c>
      <c r="Q599">
        <f>IF(K599="","",FALSE)</f>
        <v/>
      </c>
      <c r="R599">
        <f>IF(K599="","",TRUE)</f>
        <v/>
      </c>
      <c r="S599">
        <f>IF(K599="","",IF(AND(Q599,R599),IF(O599=P599,"Match","Qty Different"),IF(Q599,"Only in List 1","Only in List 2")))</f>
        <v/>
      </c>
      <c r="T599">
        <f>IF(K599="","",IF(ISNUMBER(--L599),TEXT(--L599,"000000000000.000"),LOWER(L599)))</f>
        <v/>
      </c>
      <c r="U599">
        <f>IF(K599="","",IF(ISNUMBER(--M599),TEXT(--M599,"000000000000.000"),LOWER(M599)))</f>
        <v/>
      </c>
      <c r="V599">
        <f>IF(K599="","",LOWER(N599))</f>
        <v/>
      </c>
      <c r="W599">
        <f>IF(K599="","",G99)</f>
        <v/>
      </c>
      <c r="X599">
        <f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>
      <c r="K600">
        <f>IF(H100="","",IF(SUMPRODUCT(--($C$2:$C$501=H100))&gt;0,"",H100))</f>
        <v/>
      </c>
      <c r="L600">
        <f>IF(K600="","",IF(ISNUMBER('List 2'!A100),'List 2'!A100,TRIM('List 2'!A100)))</f>
        <v/>
      </c>
      <c r="M600">
        <f>IF(K600="","",IF(ISNUMBER('List 2'!C100),'List 2'!C100,TRIM('List 2'!C100)))</f>
        <v/>
      </c>
      <c r="N600">
        <f>IF(K600="","",IF(ISNUMBER('List 2'!D100),'List 2'!D100,TRIM('List 2'!D100)))</f>
        <v/>
      </c>
      <c r="O600">
        <f>IF(K600="","",0)</f>
        <v/>
      </c>
      <c r="P600">
        <f>IF(K600="","",I100)</f>
        <v/>
      </c>
      <c r="Q600">
        <f>IF(K600="","",FALSE)</f>
        <v/>
      </c>
      <c r="R600">
        <f>IF(K600="","",TRUE)</f>
        <v/>
      </c>
      <c r="S600">
        <f>IF(K600="","",IF(AND(Q600,R600),IF(O600=P600,"Match","Qty Different"),IF(Q600,"Only in List 1","Only in List 2")))</f>
        <v/>
      </c>
      <c r="T600">
        <f>IF(K600="","",IF(ISNUMBER(--L600),TEXT(--L600,"000000000000.000"),LOWER(L600)))</f>
        <v/>
      </c>
      <c r="U600">
        <f>IF(K600="","",IF(ISNUMBER(--M600),TEXT(--M600,"000000000000.000"),LOWER(M600)))</f>
        <v/>
      </c>
      <c r="V600">
        <f>IF(K600="","",LOWER(N600))</f>
        <v/>
      </c>
      <c r="W600">
        <f>IF(K600="","",G100)</f>
        <v/>
      </c>
      <c r="X600">
        <f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>
      <c r="K601">
        <f>IF(H101="","",IF(SUMPRODUCT(--($C$2:$C$501=H101))&gt;0,"",H101))</f>
        <v/>
      </c>
      <c r="L601">
        <f>IF(K601="","",IF(ISNUMBER('List 2'!A101),'List 2'!A101,TRIM('List 2'!A101)))</f>
        <v/>
      </c>
      <c r="M601">
        <f>IF(K601="","",IF(ISNUMBER('List 2'!C101),'List 2'!C101,TRIM('List 2'!C101)))</f>
        <v/>
      </c>
      <c r="N601">
        <f>IF(K601="","",IF(ISNUMBER('List 2'!D101),'List 2'!D101,TRIM('List 2'!D101)))</f>
        <v/>
      </c>
      <c r="O601">
        <f>IF(K601="","",0)</f>
        <v/>
      </c>
      <c r="P601">
        <f>IF(K601="","",I101)</f>
        <v/>
      </c>
      <c r="Q601">
        <f>IF(K601="","",FALSE)</f>
        <v/>
      </c>
      <c r="R601">
        <f>IF(K601="","",TRUE)</f>
        <v/>
      </c>
      <c r="S601">
        <f>IF(K601="","",IF(AND(Q601,R601),IF(O601=P601,"Match","Qty Different"),IF(Q601,"Only in List 1","Only in List 2")))</f>
        <v/>
      </c>
      <c r="T601">
        <f>IF(K601="","",IF(ISNUMBER(--L601),TEXT(--L601,"000000000000.000"),LOWER(L601)))</f>
        <v/>
      </c>
      <c r="U601">
        <f>IF(K601="","",IF(ISNUMBER(--M601),TEXT(--M601,"000000000000.000"),LOWER(M601)))</f>
        <v/>
      </c>
      <c r="V601">
        <f>IF(K601="","",LOWER(N601))</f>
        <v/>
      </c>
      <c r="W601">
        <f>IF(K601="","",G101)</f>
        <v/>
      </c>
      <c r="X601">
        <f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>
      <c r="K602">
        <f>IF(H102="","",IF(SUMPRODUCT(--($C$2:$C$501=H102))&gt;0,"",H102))</f>
        <v/>
      </c>
      <c r="L602">
        <f>IF(K602="","",IF(ISNUMBER('List 2'!A102),'List 2'!A102,TRIM('List 2'!A102)))</f>
        <v/>
      </c>
      <c r="M602">
        <f>IF(K602="","",IF(ISNUMBER('List 2'!C102),'List 2'!C102,TRIM('List 2'!C102)))</f>
        <v/>
      </c>
      <c r="N602">
        <f>IF(K602="","",IF(ISNUMBER('List 2'!D102),'List 2'!D102,TRIM('List 2'!D102)))</f>
        <v/>
      </c>
      <c r="O602">
        <f>IF(K602="","",0)</f>
        <v/>
      </c>
      <c r="P602">
        <f>IF(K602="","",I102)</f>
        <v/>
      </c>
      <c r="Q602">
        <f>IF(K602="","",FALSE)</f>
        <v/>
      </c>
      <c r="R602">
        <f>IF(K602="","",TRUE)</f>
        <v/>
      </c>
      <c r="S602">
        <f>IF(K602="","",IF(AND(Q602,R602),IF(O602=P602,"Match","Qty Different"),IF(Q602,"Only in List 1","Only in List 2")))</f>
        <v/>
      </c>
      <c r="T602">
        <f>IF(K602="","",IF(ISNUMBER(--L602),TEXT(--L602,"000000000000.000"),LOWER(L602)))</f>
        <v/>
      </c>
      <c r="U602">
        <f>IF(K602="","",IF(ISNUMBER(--M602),TEXT(--M602,"000000000000.000"),LOWER(M602)))</f>
        <v/>
      </c>
      <c r="V602">
        <f>IF(K602="","",LOWER(N602))</f>
        <v/>
      </c>
      <c r="W602">
        <f>IF(K602="","",G102)</f>
        <v/>
      </c>
      <c r="X602">
        <f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>
      <c r="K603">
        <f>IF(H103="","",IF(SUMPRODUCT(--($C$2:$C$501=H103))&gt;0,"",H103))</f>
        <v/>
      </c>
      <c r="L603">
        <f>IF(K603="","",IF(ISNUMBER('List 2'!A103),'List 2'!A103,TRIM('List 2'!A103)))</f>
        <v/>
      </c>
      <c r="M603">
        <f>IF(K603="","",IF(ISNUMBER('List 2'!C103),'List 2'!C103,TRIM('List 2'!C103)))</f>
        <v/>
      </c>
      <c r="N603">
        <f>IF(K603="","",IF(ISNUMBER('List 2'!D103),'List 2'!D103,TRIM('List 2'!D103)))</f>
        <v/>
      </c>
      <c r="O603">
        <f>IF(K603="","",0)</f>
        <v/>
      </c>
      <c r="P603">
        <f>IF(K603="","",I103)</f>
        <v/>
      </c>
      <c r="Q603">
        <f>IF(K603="","",FALSE)</f>
        <v/>
      </c>
      <c r="R603">
        <f>IF(K603="","",TRUE)</f>
        <v/>
      </c>
      <c r="S603">
        <f>IF(K603="","",IF(AND(Q603,R603),IF(O603=P603,"Match","Qty Different"),IF(Q603,"Only in List 1","Only in List 2")))</f>
        <v/>
      </c>
      <c r="T603">
        <f>IF(K603="","",IF(ISNUMBER(--L603),TEXT(--L603,"000000000000.000"),LOWER(L603)))</f>
        <v/>
      </c>
      <c r="U603">
        <f>IF(K603="","",IF(ISNUMBER(--M603),TEXT(--M603,"000000000000.000"),LOWER(M603)))</f>
        <v/>
      </c>
      <c r="V603">
        <f>IF(K603="","",LOWER(N603))</f>
        <v/>
      </c>
      <c r="W603">
        <f>IF(K603="","",G103)</f>
        <v/>
      </c>
      <c r="X603">
        <f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>
      <c r="K604">
        <f>IF(H104="","",IF(SUMPRODUCT(--($C$2:$C$501=H104))&gt;0,"",H104))</f>
        <v/>
      </c>
      <c r="L604">
        <f>IF(K604="","",IF(ISNUMBER('List 2'!A104),'List 2'!A104,TRIM('List 2'!A104)))</f>
        <v/>
      </c>
      <c r="M604">
        <f>IF(K604="","",IF(ISNUMBER('List 2'!C104),'List 2'!C104,TRIM('List 2'!C104)))</f>
        <v/>
      </c>
      <c r="N604">
        <f>IF(K604="","",IF(ISNUMBER('List 2'!D104),'List 2'!D104,TRIM('List 2'!D104)))</f>
        <v/>
      </c>
      <c r="O604">
        <f>IF(K604="","",0)</f>
        <v/>
      </c>
      <c r="P604">
        <f>IF(K604="","",I104)</f>
        <v/>
      </c>
      <c r="Q604">
        <f>IF(K604="","",FALSE)</f>
        <v/>
      </c>
      <c r="R604">
        <f>IF(K604="","",TRUE)</f>
        <v/>
      </c>
      <c r="S604">
        <f>IF(K604="","",IF(AND(Q604,R604),IF(O604=P604,"Match","Qty Different"),IF(Q604,"Only in List 1","Only in List 2")))</f>
        <v/>
      </c>
      <c r="T604">
        <f>IF(K604="","",IF(ISNUMBER(--L604),TEXT(--L604,"000000000000.000"),LOWER(L604)))</f>
        <v/>
      </c>
      <c r="U604">
        <f>IF(K604="","",IF(ISNUMBER(--M604),TEXT(--M604,"000000000000.000"),LOWER(M604)))</f>
        <v/>
      </c>
      <c r="V604">
        <f>IF(K604="","",LOWER(N604))</f>
        <v/>
      </c>
      <c r="W604">
        <f>IF(K604="","",G104)</f>
        <v/>
      </c>
      <c r="X604">
        <f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>
      <c r="K605">
        <f>IF(H105="","",IF(SUMPRODUCT(--($C$2:$C$501=H105))&gt;0,"",H105))</f>
        <v/>
      </c>
      <c r="L605">
        <f>IF(K605="","",IF(ISNUMBER('List 2'!A105),'List 2'!A105,TRIM('List 2'!A105)))</f>
        <v/>
      </c>
      <c r="M605">
        <f>IF(K605="","",IF(ISNUMBER('List 2'!C105),'List 2'!C105,TRIM('List 2'!C105)))</f>
        <v/>
      </c>
      <c r="N605">
        <f>IF(K605="","",IF(ISNUMBER('List 2'!D105),'List 2'!D105,TRIM('List 2'!D105)))</f>
        <v/>
      </c>
      <c r="O605">
        <f>IF(K605="","",0)</f>
        <v/>
      </c>
      <c r="P605">
        <f>IF(K605="","",I105)</f>
        <v/>
      </c>
      <c r="Q605">
        <f>IF(K605="","",FALSE)</f>
        <v/>
      </c>
      <c r="R605">
        <f>IF(K605="","",TRUE)</f>
        <v/>
      </c>
      <c r="S605">
        <f>IF(K605="","",IF(AND(Q605,R605),IF(O605=P605,"Match","Qty Different"),IF(Q605,"Only in List 1","Only in List 2")))</f>
        <v/>
      </c>
      <c r="T605">
        <f>IF(K605="","",IF(ISNUMBER(--L605),TEXT(--L605,"000000000000.000"),LOWER(L605)))</f>
        <v/>
      </c>
      <c r="U605">
        <f>IF(K605="","",IF(ISNUMBER(--M605),TEXT(--M605,"000000000000.000"),LOWER(M605)))</f>
        <v/>
      </c>
      <c r="V605">
        <f>IF(K605="","",LOWER(N605))</f>
        <v/>
      </c>
      <c r="W605">
        <f>IF(K605="","",G105)</f>
        <v/>
      </c>
      <c r="X605">
        <f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>
      <c r="K606">
        <f>IF(H106="","",IF(SUMPRODUCT(--($C$2:$C$501=H106))&gt;0,"",H106))</f>
        <v/>
      </c>
      <c r="L606">
        <f>IF(K606="","",IF(ISNUMBER('List 2'!A106),'List 2'!A106,TRIM('List 2'!A106)))</f>
        <v/>
      </c>
      <c r="M606">
        <f>IF(K606="","",IF(ISNUMBER('List 2'!C106),'List 2'!C106,TRIM('List 2'!C106)))</f>
        <v/>
      </c>
      <c r="N606">
        <f>IF(K606="","",IF(ISNUMBER('List 2'!D106),'List 2'!D106,TRIM('List 2'!D106)))</f>
        <v/>
      </c>
      <c r="O606">
        <f>IF(K606="","",0)</f>
        <v/>
      </c>
      <c r="P606">
        <f>IF(K606="","",I106)</f>
        <v/>
      </c>
      <c r="Q606">
        <f>IF(K606="","",FALSE)</f>
        <v/>
      </c>
      <c r="R606">
        <f>IF(K606="","",TRUE)</f>
        <v/>
      </c>
      <c r="S606">
        <f>IF(K606="","",IF(AND(Q606,R606),IF(O606=P606,"Match","Qty Different"),IF(Q606,"Only in List 1","Only in List 2")))</f>
        <v/>
      </c>
      <c r="T606">
        <f>IF(K606="","",IF(ISNUMBER(--L606),TEXT(--L606,"000000000000.000"),LOWER(L606)))</f>
        <v/>
      </c>
      <c r="U606">
        <f>IF(K606="","",IF(ISNUMBER(--M606),TEXT(--M606,"000000000000.000"),LOWER(M606)))</f>
        <v/>
      </c>
      <c r="V606">
        <f>IF(K606="","",LOWER(N606))</f>
        <v/>
      </c>
      <c r="W606">
        <f>IF(K606="","",G106)</f>
        <v/>
      </c>
      <c r="X606">
        <f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>
      <c r="K607">
        <f>IF(H107="","",IF(SUMPRODUCT(--($C$2:$C$501=H107))&gt;0,"",H107))</f>
        <v/>
      </c>
      <c r="L607">
        <f>IF(K607="","",IF(ISNUMBER('List 2'!A107),'List 2'!A107,TRIM('List 2'!A107)))</f>
        <v/>
      </c>
      <c r="M607">
        <f>IF(K607="","",IF(ISNUMBER('List 2'!C107),'List 2'!C107,TRIM('List 2'!C107)))</f>
        <v/>
      </c>
      <c r="N607">
        <f>IF(K607="","",IF(ISNUMBER('List 2'!D107),'List 2'!D107,TRIM('List 2'!D107)))</f>
        <v/>
      </c>
      <c r="O607">
        <f>IF(K607="","",0)</f>
        <v/>
      </c>
      <c r="P607">
        <f>IF(K607="","",I107)</f>
        <v/>
      </c>
      <c r="Q607">
        <f>IF(K607="","",FALSE)</f>
        <v/>
      </c>
      <c r="R607">
        <f>IF(K607="","",TRUE)</f>
        <v/>
      </c>
      <c r="S607">
        <f>IF(K607="","",IF(AND(Q607,R607),IF(O607=P607,"Match","Qty Different"),IF(Q607,"Only in List 1","Only in List 2")))</f>
        <v/>
      </c>
      <c r="T607">
        <f>IF(K607="","",IF(ISNUMBER(--L607),TEXT(--L607,"000000000000.000"),LOWER(L607)))</f>
        <v/>
      </c>
      <c r="U607">
        <f>IF(K607="","",IF(ISNUMBER(--M607),TEXT(--M607,"000000000000.000"),LOWER(M607)))</f>
        <v/>
      </c>
      <c r="V607">
        <f>IF(K607="","",LOWER(N607))</f>
        <v/>
      </c>
      <c r="W607">
        <f>IF(K607="","",G107)</f>
        <v/>
      </c>
      <c r="X607">
        <f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>
      <c r="K608">
        <f>IF(H108="","",IF(SUMPRODUCT(--($C$2:$C$501=H108))&gt;0,"",H108))</f>
        <v/>
      </c>
      <c r="L608">
        <f>IF(K608="","",IF(ISNUMBER('List 2'!A108),'List 2'!A108,TRIM('List 2'!A108)))</f>
        <v/>
      </c>
      <c r="M608">
        <f>IF(K608="","",IF(ISNUMBER('List 2'!C108),'List 2'!C108,TRIM('List 2'!C108)))</f>
        <v/>
      </c>
      <c r="N608">
        <f>IF(K608="","",IF(ISNUMBER('List 2'!D108),'List 2'!D108,TRIM('List 2'!D108)))</f>
        <v/>
      </c>
      <c r="O608">
        <f>IF(K608="","",0)</f>
        <v/>
      </c>
      <c r="P608">
        <f>IF(K608="","",I108)</f>
        <v/>
      </c>
      <c r="Q608">
        <f>IF(K608="","",FALSE)</f>
        <v/>
      </c>
      <c r="R608">
        <f>IF(K608="","",TRUE)</f>
        <v/>
      </c>
      <c r="S608">
        <f>IF(K608="","",IF(AND(Q608,R608),IF(O608=P608,"Match","Qty Different"),IF(Q608,"Only in List 1","Only in List 2")))</f>
        <v/>
      </c>
      <c r="T608">
        <f>IF(K608="","",IF(ISNUMBER(--L608),TEXT(--L608,"000000000000.000"),LOWER(L608)))</f>
        <v/>
      </c>
      <c r="U608">
        <f>IF(K608="","",IF(ISNUMBER(--M608),TEXT(--M608,"000000000000.000"),LOWER(M608)))</f>
        <v/>
      </c>
      <c r="V608">
        <f>IF(K608="","",LOWER(N608))</f>
        <v/>
      </c>
      <c r="W608">
        <f>IF(K608="","",G108)</f>
        <v/>
      </c>
      <c r="X608">
        <f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>
      <c r="K609">
        <f>IF(H109="","",IF(SUMPRODUCT(--($C$2:$C$501=H109))&gt;0,"",H109))</f>
        <v/>
      </c>
      <c r="L609">
        <f>IF(K609="","",IF(ISNUMBER('List 2'!A109),'List 2'!A109,TRIM('List 2'!A109)))</f>
        <v/>
      </c>
      <c r="M609">
        <f>IF(K609="","",IF(ISNUMBER('List 2'!C109),'List 2'!C109,TRIM('List 2'!C109)))</f>
        <v/>
      </c>
      <c r="N609">
        <f>IF(K609="","",IF(ISNUMBER('List 2'!D109),'List 2'!D109,TRIM('List 2'!D109)))</f>
        <v/>
      </c>
      <c r="O609">
        <f>IF(K609="","",0)</f>
        <v/>
      </c>
      <c r="P609">
        <f>IF(K609="","",I109)</f>
        <v/>
      </c>
      <c r="Q609">
        <f>IF(K609="","",FALSE)</f>
        <v/>
      </c>
      <c r="R609">
        <f>IF(K609="","",TRUE)</f>
        <v/>
      </c>
      <c r="S609">
        <f>IF(K609="","",IF(AND(Q609,R609),IF(O609=P609,"Match","Qty Different"),IF(Q609,"Only in List 1","Only in List 2")))</f>
        <v/>
      </c>
      <c r="T609">
        <f>IF(K609="","",IF(ISNUMBER(--L609),TEXT(--L609,"000000000000.000"),LOWER(L609)))</f>
        <v/>
      </c>
      <c r="U609">
        <f>IF(K609="","",IF(ISNUMBER(--M609),TEXT(--M609,"000000000000.000"),LOWER(M609)))</f>
        <v/>
      </c>
      <c r="V609">
        <f>IF(K609="","",LOWER(N609))</f>
        <v/>
      </c>
      <c r="W609">
        <f>IF(K609="","",G109)</f>
        <v/>
      </c>
      <c r="X609">
        <f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>
      <c r="K610">
        <f>IF(H110="","",IF(SUMPRODUCT(--($C$2:$C$501=H110))&gt;0,"",H110))</f>
        <v/>
      </c>
      <c r="L610">
        <f>IF(K610="","",IF(ISNUMBER('List 2'!A110),'List 2'!A110,TRIM('List 2'!A110)))</f>
        <v/>
      </c>
      <c r="M610">
        <f>IF(K610="","",IF(ISNUMBER('List 2'!C110),'List 2'!C110,TRIM('List 2'!C110)))</f>
        <v/>
      </c>
      <c r="N610">
        <f>IF(K610="","",IF(ISNUMBER('List 2'!D110),'List 2'!D110,TRIM('List 2'!D110)))</f>
        <v/>
      </c>
      <c r="O610">
        <f>IF(K610="","",0)</f>
        <v/>
      </c>
      <c r="P610">
        <f>IF(K610="","",I110)</f>
        <v/>
      </c>
      <c r="Q610">
        <f>IF(K610="","",FALSE)</f>
        <v/>
      </c>
      <c r="R610">
        <f>IF(K610="","",TRUE)</f>
        <v/>
      </c>
      <c r="S610">
        <f>IF(K610="","",IF(AND(Q610,R610),IF(O610=P610,"Match","Qty Different"),IF(Q610,"Only in List 1","Only in List 2")))</f>
        <v/>
      </c>
      <c r="T610">
        <f>IF(K610="","",IF(ISNUMBER(--L610),TEXT(--L610,"000000000000.000"),LOWER(L610)))</f>
        <v/>
      </c>
      <c r="U610">
        <f>IF(K610="","",IF(ISNUMBER(--M610),TEXT(--M610,"000000000000.000"),LOWER(M610)))</f>
        <v/>
      </c>
      <c r="V610">
        <f>IF(K610="","",LOWER(N610))</f>
        <v/>
      </c>
      <c r="W610">
        <f>IF(K610="","",G110)</f>
        <v/>
      </c>
      <c r="X610">
        <f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>
      <c r="K611">
        <f>IF(H111="","",IF(SUMPRODUCT(--($C$2:$C$501=H111))&gt;0,"",H111))</f>
        <v/>
      </c>
      <c r="L611">
        <f>IF(K611="","",IF(ISNUMBER('List 2'!A111),'List 2'!A111,TRIM('List 2'!A111)))</f>
        <v/>
      </c>
      <c r="M611">
        <f>IF(K611="","",IF(ISNUMBER('List 2'!C111),'List 2'!C111,TRIM('List 2'!C111)))</f>
        <v/>
      </c>
      <c r="N611">
        <f>IF(K611="","",IF(ISNUMBER('List 2'!D111),'List 2'!D111,TRIM('List 2'!D111)))</f>
        <v/>
      </c>
      <c r="O611">
        <f>IF(K611="","",0)</f>
        <v/>
      </c>
      <c r="P611">
        <f>IF(K611="","",I111)</f>
        <v/>
      </c>
      <c r="Q611">
        <f>IF(K611="","",FALSE)</f>
        <v/>
      </c>
      <c r="R611">
        <f>IF(K611="","",TRUE)</f>
        <v/>
      </c>
      <c r="S611">
        <f>IF(K611="","",IF(AND(Q611,R611),IF(O611=P611,"Match","Qty Different"),IF(Q611,"Only in List 1","Only in List 2")))</f>
        <v/>
      </c>
      <c r="T611">
        <f>IF(K611="","",IF(ISNUMBER(--L611),TEXT(--L611,"000000000000.000"),LOWER(L611)))</f>
        <v/>
      </c>
      <c r="U611">
        <f>IF(K611="","",IF(ISNUMBER(--M611),TEXT(--M611,"000000000000.000"),LOWER(M611)))</f>
        <v/>
      </c>
      <c r="V611">
        <f>IF(K611="","",LOWER(N611))</f>
        <v/>
      </c>
      <c r="W611">
        <f>IF(K611="","",G111)</f>
        <v/>
      </c>
      <c r="X611">
        <f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>
      <c r="K612">
        <f>IF(H112="","",IF(SUMPRODUCT(--($C$2:$C$501=H112))&gt;0,"",H112))</f>
        <v/>
      </c>
      <c r="L612">
        <f>IF(K612="","",IF(ISNUMBER('List 2'!A112),'List 2'!A112,TRIM('List 2'!A112)))</f>
        <v/>
      </c>
      <c r="M612">
        <f>IF(K612="","",IF(ISNUMBER('List 2'!C112),'List 2'!C112,TRIM('List 2'!C112)))</f>
        <v/>
      </c>
      <c r="N612">
        <f>IF(K612="","",IF(ISNUMBER('List 2'!D112),'List 2'!D112,TRIM('List 2'!D112)))</f>
        <v/>
      </c>
      <c r="O612">
        <f>IF(K612="","",0)</f>
        <v/>
      </c>
      <c r="P612">
        <f>IF(K612="","",I112)</f>
        <v/>
      </c>
      <c r="Q612">
        <f>IF(K612="","",FALSE)</f>
        <v/>
      </c>
      <c r="R612">
        <f>IF(K612="","",TRUE)</f>
        <v/>
      </c>
      <c r="S612">
        <f>IF(K612="","",IF(AND(Q612,R612),IF(O612=P612,"Match","Qty Different"),IF(Q612,"Only in List 1","Only in List 2")))</f>
        <v/>
      </c>
      <c r="T612">
        <f>IF(K612="","",IF(ISNUMBER(--L612),TEXT(--L612,"000000000000.000"),LOWER(L612)))</f>
        <v/>
      </c>
      <c r="U612">
        <f>IF(K612="","",IF(ISNUMBER(--M612),TEXT(--M612,"000000000000.000"),LOWER(M612)))</f>
        <v/>
      </c>
      <c r="V612">
        <f>IF(K612="","",LOWER(N612))</f>
        <v/>
      </c>
      <c r="W612">
        <f>IF(K612="","",G112)</f>
        <v/>
      </c>
      <c r="X612">
        <f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>
      <c r="K613">
        <f>IF(H113="","",IF(SUMPRODUCT(--($C$2:$C$501=H113))&gt;0,"",H113))</f>
        <v/>
      </c>
      <c r="L613">
        <f>IF(K613="","",IF(ISNUMBER('List 2'!A113),'List 2'!A113,TRIM('List 2'!A113)))</f>
        <v/>
      </c>
      <c r="M613">
        <f>IF(K613="","",IF(ISNUMBER('List 2'!C113),'List 2'!C113,TRIM('List 2'!C113)))</f>
        <v/>
      </c>
      <c r="N613">
        <f>IF(K613="","",IF(ISNUMBER('List 2'!D113),'List 2'!D113,TRIM('List 2'!D113)))</f>
        <v/>
      </c>
      <c r="O613">
        <f>IF(K613="","",0)</f>
        <v/>
      </c>
      <c r="P613">
        <f>IF(K613="","",I113)</f>
        <v/>
      </c>
      <c r="Q613">
        <f>IF(K613="","",FALSE)</f>
        <v/>
      </c>
      <c r="R613">
        <f>IF(K613="","",TRUE)</f>
        <v/>
      </c>
      <c r="S613">
        <f>IF(K613="","",IF(AND(Q613,R613),IF(O613=P613,"Match","Qty Different"),IF(Q613,"Only in List 1","Only in List 2")))</f>
        <v/>
      </c>
      <c r="T613">
        <f>IF(K613="","",IF(ISNUMBER(--L613),TEXT(--L613,"000000000000.000"),LOWER(L613)))</f>
        <v/>
      </c>
      <c r="U613">
        <f>IF(K613="","",IF(ISNUMBER(--M613),TEXT(--M613,"000000000000.000"),LOWER(M613)))</f>
        <v/>
      </c>
      <c r="V613">
        <f>IF(K613="","",LOWER(N613))</f>
        <v/>
      </c>
      <c r="W613">
        <f>IF(K613="","",G113)</f>
        <v/>
      </c>
      <c r="X613">
        <f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>
      <c r="K614">
        <f>IF(H114="","",IF(SUMPRODUCT(--($C$2:$C$501=H114))&gt;0,"",H114))</f>
        <v/>
      </c>
      <c r="L614">
        <f>IF(K614="","",IF(ISNUMBER('List 2'!A114),'List 2'!A114,TRIM('List 2'!A114)))</f>
        <v/>
      </c>
      <c r="M614">
        <f>IF(K614="","",IF(ISNUMBER('List 2'!C114),'List 2'!C114,TRIM('List 2'!C114)))</f>
        <v/>
      </c>
      <c r="N614">
        <f>IF(K614="","",IF(ISNUMBER('List 2'!D114),'List 2'!D114,TRIM('List 2'!D114)))</f>
        <v/>
      </c>
      <c r="O614">
        <f>IF(K614="","",0)</f>
        <v/>
      </c>
      <c r="P614">
        <f>IF(K614="","",I114)</f>
        <v/>
      </c>
      <c r="Q614">
        <f>IF(K614="","",FALSE)</f>
        <v/>
      </c>
      <c r="R614">
        <f>IF(K614="","",TRUE)</f>
        <v/>
      </c>
      <c r="S614">
        <f>IF(K614="","",IF(AND(Q614,R614),IF(O614=P614,"Match","Qty Different"),IF(Q614,"Only in List 1","Only in List 2")))</f>
        <v/>
      </c>
      <c r="T614">
        <f>IF(K614="","",IF(ISNUMBER(--L614),TEXT(--L614,"000000000000.000"),LOWER(L614)))</f>
        <v/>
      </c>
      <c r="U614">
        <f>IF(K614="","",IF(ISNUMBER(--M614),TEXT(--M614,"000000000000.000"),LOWER(M614)))</f>
        <v/>
      </c>
      <c r="V614">
        <f>IF(K614="","",LOWER(N614))</f>
        <v/>
      </c>
      <c r="W614">
        <f>IF(K614="","",G114)</f>
        <v/>
      </c>
      <c r="X614">
        <f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>
      <c r="K615">
        <f>IF(H115="","",IF(SUMPRODUCT(--($C$2:$C$501=H115))&gt;0,"",H115))</f>
        <v/>
      </c>
      <c r="L615">
        <f>IF(K615="","",IF(ISNUMBER('List 2'!A115),'List 2'!A115,TRIM('List 2'!A115)))</f>
        <v/>
      </c>
      <c r="M615">
        <f>IF(K615="","",IF(ISNUMBER('List 2'!C115),'List 2'!C115,TRIM('List 2'!C115)))</f>
        <v/>
      </c>
      <c r="N615">
        <f>IF(K615="","",IF(ISNUMBER('List 2'!D115),'List 2'!D115,TRIM('List 2'!D115)))</f>
        <v/>
      </c>
      <c r="O615">
        <f>IF(K615="","",0)</f>
        <v/>
      </c>
      <c r="P615">
        <f>IF(K615="","",I115)</f>
        <v/>
      </c>
      <c r="Q615">
        <f>IF(K615="","",FALSE)</f>
        <v/>
      </c>
      <c r="R615">
        <f>IF(K615="","",TRUE)</f>
        <v/>
      </c>
      <c r="S615">
        <f>IF(K615="","",IF(AND(Q615,R615),IF(O615=P615,"Match","Qty Different"),IF(Q615,"Only in List 1","Only in List 2")))</f>
        <v/>
      </c>
      <c r="T615">
        <f>IF(K615="","",IF(ISNUMBER(--L615),TEXT(--L615,"000000000000.000"),LOWER(L615)))</f>
        <v/>
      </c>
      <c r="U615">
        <f>IF(K615="","",IF(ISNUMBER(--M615),TEXT(--M615,"000000000000.000"),LOWER(M615)))</f>
        <v/>
      </c>
      <c r="V615">
        <f>IF(K615="","",LOWER(N615))</f>
        <v/>
      </c>
      <c r="W615">
        <f>IF(K615="","",G115)</f>
        <v/>
      </c>
      <c r="X615">
        <f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>
      <c r="K616">
        <f>IF(H116="","",IF(SUMPRODUCT(--($C$2:$C$501=H116))&gt;0,"",H116))</f>
        <v/>
      </c>
      <c r="L616">
        <f>IF(K616="","",IF(ISNUMBER('List 2'!A116),'List 2'!A116,TRIM('List 2'!A116)))</f>
        <v/>
      </c>
      <c r="M616">
        <f>IF(K616="","",IF(ISNUMBER('List 2'!C116),'List 2'!C116,TRIM('List 2'!C116)))</f>
        <v/>
      </c>
      <c r="N616">
        <f>IF(K616="","",IF(ISNUMBER('List 2'!D116),'List 2'!D116,TRIM('List 2'!D116)))</f>
        <v/>
      </c>
      <c r="O616">
        <f>IF(K616="","",0)</f>
        <v/>
      </c>
      <c r="P616">
        <f>IF(K616="","",I116)</f>
        <v/>
      </c>
      <c r="Q616">
        <f>IF(K616="","",FALSE)</f>
        <v/>
      </c>
      <c r="R616">
        <f>IF(K616="","",TRUE)</f>
        <v/>
      </c>
      <c r="S616">
        <f>IF(K616="","",IF(AND(Q616,R616),IF(O616=P616,"Match","Qty Different"),IF(Q616,"Only in List 1","Only in List 2")))</f>
        <v/>
      </c>
      <c r="T616">
        <f>IF(K616="","",IF(ISNUMBER(--L616),TEXT(--L616,"000000000000.000"),LOWER(L616)))</f>
        <v/>
      </c>
      <c r="U616">
        <f>IF(K616="","",IF(ISNUMBER(--M616),TEXT(--M616,"000000000000.000"),LOWER(M616)))</f>
        <v/>
      </c>
      <c r="V616">
        <f>IF(K616="","",LOWER(N616))</f>
        <v/>
      </c>
      <c r="W616">
        <f>IF(K616="","",G116)</f>
        <v/>
      </c>
      <c r="X616">
        <f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>
      <c r="K617">
        <f>IF(H117="","",IF(SUMPRODUCT(--($C$2:$C$501=H117))&gt;0,"",H117))</f>
        <v/>
      </c>
      <c r="L617">
        <f>IF(K617="","",IF(ISNUMBER('List 2'!A117),'List 2'!A117,TRIM('List 2'!A117)))</f>
        <v/>
      </c>
      <c r="M617">
        <f>IF(K617="","",IF(ISNUMBER('List 2'!C117),'List 2'!C117,TRIM('List 2'!C117)))</f>
        <v/>
      </c>
      <c r="N617">
        <f>IF(K617="","",IF(ISNUMBER('List 2'!D117),'List 2'!D117,TRIM('List 2'!D117)))</f>
        <v/>
      </c>
      <c r="O617">
        <f>IF(K617="","",0)</f>
        <v/>
      </c>
      <c r="P617">
        <f>IF(K617="","",I117)</f>
        <v/>
      </c>
      <c r="Q617">
        <f>IF(K617="","",FALSE)</f>
        <v/>
      </c>
      <c r="R617">
        <f>IF(K617="","",TRUE)</f>
        <v/>
      </c>
      <c r="S617">
        <f>IF(K617="","",IF(AND(Q617,R617),IF(O617=P617,"Match","Qty Different"),IF(Q617,"Only in List 1","Only in List 2")))</f>
        <v/>
      </c>
      <c r="T617">
        <f>IF(K617="","",IF(ISNUMBER(--L617),TEXT(--L617,"000000000000.000"),LOWER(L617)))</f>
        <v/>
      </c>
      <c r="U617">
        <f>IF(K617="","",IF(ISNUMBER(--M617),TEXT(--M617,"000000000000.000"),LOWER(M617)))</f>
        <v/>
      </c>
      <c r="V617">
        <f>IF(K617="","",LOWER(N617))</f>
        <v/>
      </c>
      <c r="W617">
        <f>IF(K617="","",G117)</f>
        <v/>
      </c>
      <c r="X617">
        <f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>
      <c r="K618">
        <f>IF(H118="","",IF(SUMPRODUCT(--($C$2:$C$501=H118))&gt;0,"",H118))</f>
        <v/>
      </c>
      <c r="L618">
        <f>IF(K618="","",IF(ISNUMBER('List 2'!A118),'List 2'!A118,TRIM('List 2'!A118)))</f>
        <v/>
      </c>
      <c r="M618">
        <f>IF(K618="","",IF(ISNUMBER('List 2'!C118),'List 2'!C118,TRIM('List 2'!C118)))</f>
        <v/>
      </c>
      <c r="N618">
        <f>IF(K618="","",IF(ISNUMBER('List 2'!D118),'List 2'!D118,TRIM('List 2'!D118)))</f>
        <v/>
      </c>
      <c r="O618">
        <f>IF(K618="","",0)</f>
        <v/>
      </c>
      <c r="P618">
        <f>IF(K618="","",I118)</f>
        <v/>
      </c>
      <c r="Q618">
        <f>IF(K618="","",FALSE)</f>
        <v/>
      </c>
      <c r="R618">
        <f>IF(K618="","",TRUE)</f>
        <v/>
      </c>
      <c r="S618">
        <f>IF(K618="","",IF(AND(Q618,R618),IF(O618=P618,"Match","Qty Different"),IF(Q618,"Only in List 1","Only in List 2")))</f>
        <v/>
      </c>
      <c r="T618">
        <f>IF(K618="","",IF(ISNUMBER(--L618),TEXT(--L618,"000000000000.000"),LOWER(L618)))</f>
        <v/>
      </c>
      <c r="U618">
        <f>IF(K618="","",IF(ISNUMBER(--M618),TEXT(--M618,"000000000000.000"),LOWER(M618)))</f>
        <v/>
      </c>
      <c r="V618">
        <f>IF(K618="","",LOWER(N618))</f>
        <v/>
      </c>
      <c r="W618">
        <f>IF(K618="","",G118)</f>
        <v/>
      </c>
      <c r="X618">
        <f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>
      <c r="K619">
        <f>IF(H119="","",IF(SUMPRODUCT(--($C$2:$C$501=H119))&gt;0,"",H119))</f>
        <v/>
      </c>
      <c r="L619">
        <f>IF(K619="","",IF(ISNUMBER('List 2'!A119),'List 2'!A119,TRIM('List 2'!A119)))</f>
        <v/>
      </c>
      <c r="M619">
        <f>IF(K619="","",IF(ISNUMBER('List 2'!C119),'List 2'!C119,TRIM('List 2'!C119)))</f>
        <v/>
      </c>
      <c r="N619">
        <f>IF(K619="","",IF(ISNUMBER('List 2'!D119),'List 2'!D119,TRIM('List 2'!D119)))</f>
        <v/>
      </c>
      <c r="O619">
        <f>IF(K619="","",0)</f>
        <v/>
      </c>
      <c r="P619">
        <f>IF(K619="","",I119)</f>
        <v/>
      </c>
      <c r="Q619">
        <f>IF(K619="","",FALSE)</f>
        <v/>
      </c>
      <c r="R619">
        <f>IF(K619="","",TRUE)</f>
        <v/>
      </c>
      <c r="S619">
        <f>IF(K619="","",IF(AND(Q619,R619),IF(O619=P619,"Match","Qty Different"),IF(Q619,"Only in List 1","Only in List 2")))</f>
        <v/>
      </c>
      <c r="T619">
        <f>IF(K619="","",IF(ISNUMBER(--L619),TEXT(--L619,"000000000000.000"),LOWER(L619)))</f>
        <v/>
      </c>
      <c r="U619">
        <f>IF(K619="","",IF(ISNUMBER(--M619),TEXT(--M619,"000000000000.000"),LOWER(M619)))</f>
        <v/>
      </c>
      <c r="V619">
        <f>IF(K619="","",LOWER(N619))</f>
        <v/>
      </c>
      <c r="W619">
        <f>IF(K619="","",G119)</f>
        <v/>
      </c>
      <c r="X619">
        <f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>
      <c r="K620">
        <f>IF(H120="","",IF(SUMPRODUCT(--($C$2:$C$501=H120))&gt;0,"",H120))</f>
        <v/>
      </c>
      <c r="L620">
        <f>IF(K620="","",IF(ISNUMBER('List 2'!A120),'List 2'!A120,TRIM('List 2'!A120)))</f>
        <v/>
      </c>
      <c r="M620">
        <f>IF(K620="","",IF(ISNUMBER('List 2'!C120),'List 2'!C120,TRIM('List 2'!C120)))</f>
        <v/>
      </c>
      <c r="N620">
        <f>IF(K620="","",IF(ISNUMBER('List 2'!D120),'List 2'!D120,TRIM('List 2'!D120)))</f>
        <v/>
      </c>
      <c r="O620">
        <f>IF(K620="","",0)</f>
        <v/>
      </c>
      <c r="P620">
        <f>IF(K620="","",I120)</f>
        <v/>
      </c>
      <c r="Q620">
        <f>IF(K620="","",FALSE)</f>
        <v/>
      </c>
      <c r="R620">
        <f>IF(K620="","",TRUE)</f>
        <v/>
      </c>
      <c r="S620">
        <f>IF(K620="","",IF(AND(Q620,R620),IF(O620=P620,"Match","Qty Different"),IF(Q620,"Only in List 1","Only in List 2")))</f>
        <v/>
      </c>
      <c r="T620">
        <f>IF(K620="","",IF(ISNUMBER(--L620),TEXT(--L620,"000000000000.000"),LOWER(L620)))</f>
        <v/>
      </c>
      <c r="U620">
        <f>IF(K620="","",IF(ISNUMBER(--M620),TEXT(--M620,"000000000000.000"),LOWER(M620)))</f>
        <v/>
      </c>
      <c r="V620">
        <f>IF(K620="","",LOWER(N620))</f>
        <v/>
      </c>
      <c r="W620">
        <f>IF(K620="","",G120)</f>
        <v/>
      </c>
      <c r="X620">
        <f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>
      <c r="K621">
        <f>IF(H121="","",IF(SUMPRODUCT(--($C$2:$C$501=H121))&gt;0,"",H121))</f>
        <v/>
      </c>
      <c r="L621">
        <f>IF(K621="","",IF(ISNUMBER('List 2'!A121),'List 2'!A121,TRIM('List 2'!A121)))</f>
        <v/>
      </c>
      <c r="M621">
        <f>IF(K621="","",IF(ISNUMBER('List 2'!C121),'List 2'!C121,TRIM('List 2'!C121)))</f>
        <v/>
      </c>
      <c r="N621">
        <f>IF(K621="","",IF(ISNUMBER('List 2'!D121),'List 2'!D121,TRIM('List 2'!D121)))</f>
        <v/>
      </c>
      <c r="O621">
        <f>IF(K621="","",0)</f>
        <v/>
      </c>
      <c r="P621">
        <f>IF(K621="","",I121)</f>
        <v/>
      </c>
      <c r="Q621">
        <f>IF(K621="","",FALSE)</f>
        <v/>
      </c>
      <c r="R621">
        <f>IF(K621="","",TRUE)</f>
        <v/>
      </c>
      <c r="S621">
        <f>IF(K621="","",IF(AND(Q621,R621),IF(O621=P621,"Match","Qty Different"),IF(Q621,"Only in List 1","Only in List 2")))</f>
        <v/>
      </c>
      <c r="T621">
        <f>IF(K621="","",IF(ISNUMBER(--L621),TEXT(--L621,"000000000000.000"),LOWER(L621)))</f>
        <v/>
      </c>
      <c r="U621">
        <f>IF(K621="","",IF(ISNUMBER(--M621),TEXT(--M621,"000000000000.000"),LOWER(M621)))</f>
        <v/>
      </c>
      <c r="V621">
        <f>IF(K621="","",LOWER(N621))</f>
        <v/>
      </c>
      <c r="W621">
        <f>IF(K621="","",G121)</f>
        <v/>
      </c>
      <c r="X621">
        <f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>
      <c r="K622">
        <f>IF(H122="","",IF(SUMPRODUCT(--($C$2:$C$501=H122))&gt;0,"",H122))</f>
        <v/>
      </c>
      <c r="L622">
        <f>IF(K622="","",IF(ISNUMBER('List 2'!A122),'List 2'!A122,TRIM('List 2'!A122)))</f>
        <v/>
      </c>
      <c r="M622">
        <f>IF(K622="","",IF(ISNUMBER('List 2'!C122),'List 2'!C122,TRIM('List 2'!C122)))</f>
        <v/>
      </c>
      <c r="N622">
        <f>IF(K622="","",IF(ISNUMBER('List 2'!D122),'List 2'!D122,TRIM('List 2'!D122)))</f>
        <v/>
      </c>
      <c r="O622">
        <f>IF(K622="","",0)</f>
        <v/>
      </c>
      <c r="P622">
        <f>IF(K622="","",I122)</f>
        <v/>
      </c>
      <c r="Q622">
        <f>IF(K622="","",FALSE)</f>
        <v/>
      </c>
      <c r="R622">
        <f>IF(K622="","",TRUE)</f>
        <v/>
      </c>
      <c r="S622">
        <f>IF(K622="","",IF(AND(Q622,R622),IF(O622=P622,"Match","Qty Different"),IF(Q622,"Only in List 1","Only in List 2")))</f>
        <v/>
      </c>
      <c r="T622">
        <f>IF(K622="","",IF(ISNUMBER(--L622),TEXT(--L622,"000000000000.000"),LOWER(L622)))</f>
        <v/>
      </c>
      <c r="U622">
        <f>IF(K622="","",IF(ISNUMBER(--M622),TEXT(--M622,"000000000000.000"),LOWER(M622)))</f>
        <v/>
      </c>
      <c r="V622">
        <f>IF(K622="","",LOWER(N622))</f>
        <v/>
      </c>
      <c r="W622">
        <f>IF(K622="","",G122)</f>
        <v/>
      </c>
      <c r="X622">
        <f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>
      <c r="K623">
        <f>IF(H123="","",IF(SUMPRODUCT(--($C$2:$C$501=H123))&gt;0,"",H123))</f>
        <v/>
      </c>
      <c r="L623">
        <f>IF(K623="","",IF(ISNUMBER('List 2'!A123),'List 2'!A123,TRIM('List 2'!A123)))</f>
        <v/>
      </c>
      <c r="M623">
        <f>IF(K623="","",IF(ISNUMBER('List 2'!C123),'List 2'!C123,TRIM('List 2'!C123)))</f>
        <v/>
      </c>
      <c r="N623">
        <f>IF(K623="","",IF(ISNUMBER('List 2'!D123),'List 2'!D123,TRIM('List 2'!D123)))</f>
        <v/>
      </c>
      <c r="O623">
        <f>IF(K623="","",0)</f>
        <v/>
      </c>
      <c r="P623">
        <f>IF(K623="","",I123)</f>
        <v/>
      </c>
      <c r="Q623">
        <f>IF(K623="","",FALSE)</f>
        <v/>
      </c>
      <c r="R623">
        <f>IF(K623="","",TRUE)</f>
        <v/>
      </c>
      <c r="S623">
        <f>IF(K623="","",IF(AND(Q623,R623),IF(O623=P623,"Match","Qty Different"),IF(Q623,"Only in List 1","Only in List 2")))</f>
        <v/>
      </c>
      <c r="T623">
        <f>IF(K623="","",IF(ISNUMBER(--L623),TEXT(--L623,"000000000000.000"),LOWER(L623)))</f>
        <v/>
      </c>
      <c r="U623">
        <f>IF(K623="","",IF(ISNUMBER(--M623),TEXT(--M623,"000000000000.000"),LOWER(M623)))</f>
        <v/>
      </c>
      <c r="V623">
        <f>IF(K623="","",LOWER(N623))</f>
        <v/>
      </c>
      <c r="W623">
        <f>IF(K623="","",G123)</f>
        <v/>
      </c>
      <c r="X623">
        <f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>
      <c r="K624">
        <f>IF(H124="","",IF(SUMPRODUCT(--($C$2:$C$501=H124))&gt;0,"",H124))</f>
        <v/>
      </c>
      <c r="L624">
        <f>IF(K624="","",IF(ISNUMBER('List 2'!A124),'List 2'!A124,TRIM('List 2'!A124)))</f>
        <v/>
      </c>
      <c r="M624">
        <f>IF(K624="","",IF(ISNUMBER('List 2'!C124),'List 2'!C124,TRIM('List 2'!C124)))</f>
        <v/>
      </c>
      <c r="N624">
        <f>IF(K624="","",IF(ISNUMBER('List 2'!D124),'List 2'!D124,TRIM('List 2'!D124)))</f>
        <v/>
      </c>
      <c r="O624">
        <f>IF(K624="","",0)</f>
        <v/>
      </c>
      <c r="P624">
        <f>IF(K624="","",I124)</f>
        <v/>
      </c>
      <c r="Q624">
        <f>IF(K624="","",FALSE)</f>
        <v/>
      </c>
      <c r="R624">
        <f>IF(K624="","",TRUE)</f>
        <v/>
      </c>
      <c r="S624">
        <f>IF(K624="","",IF(AND(Q624,R624),IF(O624=P624,"Match","Qty Different"),IF(Q624,"Only in List 1","Only in List 2")))</f>
        <v/>
      </c>
      <c r="T624">
        <f>IF(K624="","",IF(ISNUMBER(--L624),TEXT(--L624,"000000000000.000"),LOWER(L624)))</f>
        <v/>
      </c>
      <c r="U624">
        <f>IF(K624="","",IF(ISNUMBER(--M624),TEXT(--M624,"000000000000.000"),LOWER(M624)))</f>
        <v/>
      </c>
      <c r="V624">
        <f>IF(K624="","",LOWER(N624))</f>
        <v/>
      </c>
      <c r="W624">
        <f>IF(K624="","",G124)</f>
        <v/>
      </c>
      <c r="X624">
        <f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>
      <c r="K625">
        <f>IF(H125="","",IF(SUMPRODUCT(--($C$2:$C$501=H125))&gt;0,"",H125))</f>
        <v/>
      </c>
      <c r="L625">
        <f>IF(K625="","",IF(ISNUMBER('List 2'!A125),'List 2'!A125,TRIM('List 2'!A125)))</f>
        <v/>
      </c>
      <c r="M625">
        <f>IF(K625="","",IF(ISNUMBER('List 2'!C125),'List 2'!C125,TRIM('List 2'!C125)))</f>
        <v/>
      </c>
      <c r="N625">
        <f>IF(K625="","",IF(ISNUMBER('List 2'!D125),'List 2'!D125,TRIM('List 2'!D125)))</f>
        <v/>
      </c>
      <c r="O625">
        <f>IF(K625="","",0)</f>
        <v/>
      </c>
      <c r="P625">
        <f>IF(K625="","",I125)</f>
        <v/>
      </c>
      <c r="Q625">
        <f>IF(K625="","",FALSE)</f>
        <v/>
      </c>
      <c r="R625">
        <f>IF(K625="","",TRUE)</f>
        <v/>
      </c>
      <c r="S625">
        <f>IF(K625="","",IF(AND(Q625,R625),IF(O625=P625,"Match","Qty Different"),IF(Q625,"Only in List 1","Only in List 2")))</f>
        <v/>
      </c>
      <c r="T625">
        <f>IF(K625="","",IF(ISNUMBER(--L625),TEXT(--L625,"000000000000.000"),LOWER(L625)))</f>
        <v/>
      </c>
      <c r="U625">
        <f>IF(K625="","",IF(ISNUMBER(--M625),TEXT(--M625,"000000000000.000"),LOWER(M625)))</f>
        <v/>
      </c>
      <c r="V625">
        <f>IF(K625="","",LOWER(N625))</f>
        <v/>
      </c>
      <c r="W625">
        <f>IF(K625="","",G125)</f>
        <v/>
      </c>
      <c r="X625">
        <f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>
      <c r="K626">
        <f>IF(H126="","",IF(SUMPRODUCT(--($C$2:$C$501=H126))&gt;0,"",H126))</f>
        <v/>
      </c>
      <c r="L626">
        <f>IF(K626="","",IF(ISNUMBER('List 2'!A126),'List 2'!A126,TRIM('List 2'!A126)))</f>
        <v/>
      </c>
      <c r="M626">
        <f>IF(K626="","",IF(ISNUMBER('List 2'!C126),'List 2'!C126,TRIM('List 2'!C126)))</f>
        <v/>
      </c>
      <c r="N626">
        <f>IF(K626="","",IF(ISNUMBER('List 2'!D126),'List 2'!D126,TRIM('List 2'!D126)))</f>
        <v/>
      </c>
      <c r="O626">
        <f>IF(K626="","",0)</f>
        <v/>
      </c>
      <c r="P626">
        <f>IF(K626="","",I126)</f>
        <v/>
      </c>
      <c r="Q626">
        <f>IF(K626="","",FALSE)</f>
        <v/>
      </c>
      <c r="R626">
        <f>IF(K626="","",TRUE)</f>
        <v/>
      </c>
      <c r="S626">
        <f>IF(K626="","",IF(AND(Q626,R626),IF(O626=P626,"Match","Qty Different"),IF(Q626,"Only in List 1","Only in List 2")))</f>
        <v/>
      </c>
      <c r="T626">
        <f>IF(K626="","",IF(ISNUMBER(--L626),TEXT(--L626,"000000000000.000"),LOWER(L626)))</f>
        <v/>
      </c>
      <c r="U626">
        <f>IF(K626="","",IF(ISNUMBER(--M626),TEXT(--M626,"000000000000.000"),LOWER(M626)))</f>
        <v/>
      </c>
      <c r="V626">
        <f>IF(K626="","",LOWER(N626))</f>
        <v/>
      </c>
      <c r="W626">
        <f>IF(K626="","",G126)</f>
        <v/>
      </c>
      <c r="X626">
        <f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>
      <c r="K627">
        <f>IF(H127="","",IF(SUMPRODUCT(--($C$2:$C$501=H127))&gt;0,"",H127))</f>
        <v/>
      </c>
      <c r="L627">
        <f>IF(K627="","",IF(ISNUMBER('List 2'!A127),'List 2'!A127,TRIM('List 2'!A127)))</f>
        <v/>
      </c>
      <c r="M627">
        <f>IF(K627="","",IF(ISNUMBER('List 2'!C127),'List 2'!C127,TRIM('List 2'!C127)))</f>
        <v/>
      </c>
      <c r="N627">
        <f>IF(K627="","",IF(ISNUMBER('List 2'!D127),'List 2'!D127,TRIM('List 2'!D127)))</f>
        <v/>
      </c>
      <c r="O627">
        <f>IF(K627="","",0)</f>
        <v/>
      </c>
      <c r="P627">
        <f>IF(K627="","",I127)</f>
        <v/>
      </c>
      <c r="Q627">
        <f>IF(K627="","",FALSE)</f>
        <v/>
      </c>
      <c r="R627">
        <f>IF(K627="","",TRUE)</f>
        <v/>
      </c>
      <c r="S627">
        <f>IF(K627="","",IF(AND(Q627,R627),IF(O627=P627,"Match","Qty Different"),IF(Q627,"Only in List 1","Only in List 2")))</f>
        <v/>
      </c>
      <c r="T627">
        <f>IF(K627="","",IF(ISNUMBER(--L627),TEXT(--L627,"000000000000.000"),LOWER(L627)))</f>
        <v/>
      </c>
      <c r="U627">
        <f>IF(K627="","",IF(ISNUMBER(--M627),TEXT(--M627,"000000000000.000"),LOWER(M627)))</f>
        <v/>
      </c>
      <c r="V627">
        <f>IF(K627="","",LOWER(N627))</f>
        <v/>
      </c>
      <c r="W627">
        <f>IF(K627="","",G127)</f>
        <v/>
      </c>
      <c r="X627">
        <f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>
      <c r="K628">
        <f>IF(H128="","",IF(SUMPRODUCT(--($C$2:$C$501=H128))&gt;0,"",H128))</f>
        <v/>
      </c>
      <c r="L628">
        <f>IF(K628="","",IF(ISNUMBER('List 2'!A128),'List 2'!A128,TRIM('List 2'!A128)))</f>
        <v/>
      </c>
      <c r="M628">
        <f>IF(K628="","",IF(ISNUMBER('List 2'!C128),'List 2'!C128,TRIM('List 2'!C128)))</f>
        <v/>
      </c>
      <c r="N628">
        <f>IF(K628="","",IF(ISNUMBER('List 2'!D128),'List 2'!D128,TRIM('List 2'!D128)))</f>
        <v/>
      </c>
      <c r="O628">
        <f>IF(K628="","",0)</f>
        <v/>
      </c>
      <c r="P628">
        <f>IF(K628="","",I128)</f>
        <v/>
      </c>
      <c r="Q628">
        <f>IF(K628="","",FALSE)</f>
        <v/>
      </c>
      <c r="R628">
        <f>IF(K628="","",TRUE)</f>
        <v/>
      </c>
      <c r="S628">
        <f>IF(K628="","",IF(AND(Q628,R628),IF(O628=P628,"Match","Qty Different"),IF(Q628,"Only in List 1","Only in List 2")))</f>
        <v/>
      </c>
      <c r="T628">
        <f>IF(K628="","",IF(ISNUMBER(--L628),TEXT(--L628,"000000000000.000"),LOWER(L628)))</f>
        <v/>
      </c>
      <c r="U628">
        <f>IF(K628="","",IF(ISNUMBER(--M628),TEXT(--M628,"000000000000.000"),LOWER(M628)))</f>
        <v/>
      </c>
      <c r="V628">
        <f>IF(K628="","",LOWER(N628))</f>
        <v/>
      </c>
      <c r="W628">
        <f>IF(K628="","",G128)</f>
        <v/>
      </c>
      <c r="X628">
        <f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>
      <c r="K629">
        <f>IF(H129="","",IF(SUMPRODUCT(--($C$2:$C$501=H129))&gt;0,"",H129))</f>
        <v/>
      </c>
      <c r="L629">
        <f>IF(K629="","",IF(ISNUMBER('List 2'!A129),'List 2'!A129,TRIM('List 2'!A129)))</f>
        <v/>
      </c>
      <c r="M629">
        <f>IF(K629="","",IF(ISNUMBER('List 2'!C129),'List 2'!C129,TRIM('List 2'!C129)))</f>
        <v/>
      </c>
      <c r="N629">
        <f>IF(K629="","",IF(ISNUMBER('List 2'!D129),'List 2'!D129,TRIM('List 2'!D129)))</f>
        <v/>
      </c>
      <c r="O629">
        <f>IF(K629="","",0)</f>
        <v/>
      </c>
      <c r="P629">
        <f>IF(K629="","",I129)</f>
        <v/>
      </c>
      <c r="Q629">
        <f>IF(K629="","",FALSE)</f>
        <v/>
      </c>
      <c r="R629">
        <f>IF(K629="","",TRUE)</f>
        <v/>
      </c>
      <c r="S629">
        <f>IF(K629="","",IF(AND(Q629,R629),IF(O629=P629,"Match","Qty Different"),IF(Q629,"Only in List 1","Only in List 2")))</f>
        <v/>
      </c>
      <c r="T629">
        <f>IF(K629="","",IF(ISNUMBER(--L629),TEXT(--L629,"000000000000.000"),LOWER(L629)))</f>
        <v/>
      </c>
      <c r="U629">
        <f>IF(K629="","",IF(ISNUMBER(--M629),TEXT(--M629,"000000000000.000"),LOWER(M629)))</f>
        <v/>
      </c>
      <c r="V629">
        <f>IF(K629="","",LOWER(N629))</f>
        <v/>
      </c>
      <c r="W629">
        <f>IF(K629="","",G129)</f>
        <v/>
      </c>
      <c r="X629">
        <f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>
      <c r="K630">
        <f>IF(H130="","",IF(SUMPRODUCT(--($C$2:$C$501=H130))&gt;0,"",H130))</f>
        <v/>
      </c>
      <c r="L630">
        <f>IF(K630="","",IF(ISNUMBER('List 2'!A130),'List 2'!A130,TRIM('List 2'!A130)))</f>
        <v/>
      </c>
      <c r="M630">
        <f>IF(K630="","",IF(ISNUMBER('List 2'!C130),'List 2'!C130,TRIM('List 2'!C130)))</f>
        <v/>
      </c>
      <c r="N630">
        <f>IF(K630="","",IF(ISNUMBER('List 2'!D130),'List 2'!D130,TRIM('List 2'!D130)))</f>
        <v/>
      </c>
      <c r="O630">
        <f>IF(K630="","",0)</f>
        <v/>
      </c>
      <c r="P630">
        <f>IF(K630="","",I130)</f>
        <v/>
      </c>
      <c r="Q630">
        <f>IF(K630="","",FALSE)</f>
        <v/>
      </c>
      <c r="R630">
        <f>IF(K630="","",TRUE)</f>
        <v/>
      </c>
      <c r="S630">
        <f>IF(K630="","",IF(AND(Q630,R630),IF(O630=P630,"Match","Qty Different"),IF(Q630,"Only in List 1","Only in List 2")))</f>
        <v/>
      </c>
      <c r="T630">
        <f>IF(K630="","",IF(ISNUMBER(--L630),TEXT(--L630,"000000000000.000"),LOWER(L630)))</f>
        <v/>
      </c>
      <c r="U630">
        <f>IF(K630="","",IF(ISNUMBER(--M630),TEXT(--M630,"000000000000.000"),LOWER(M630)))</f>
        <v/>
      </c>
      <c r="V630">
        <f>IF(K630="","",LOWER(N630))</f>
        <v/>
      </c>
      <c r="W630">
        <f>IF(K630="","",G130)</f>
        <v/>
      </c>
      <c r="X630">
        <f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>
      <c r="K631">
        <f>IF(H131="","",IF(SUMPRODUCT(--($C$2:$C$501=H131))&gt;0,"",H131))</f>
        <v/>
      </c>
      <c r="L631">
        <f>IF(K631="","",IF(ISNUMBER('List 2'!A131),'List 2'!A131,TRIM('List 2'!A131)))</f>
        <v/>
      </c>
      <c r="M631">
        <f>IF(K631="","",IF(ISNUMBER('List 2'!C131),'List 2'!C131,TRIM('List 2'!C131)))</f>
        <v/>
      </c>
      <c r="N631">
        <f>IF(K631="","",IF(ISNUMBER('List 2'!D131),'List 2'!D131,TRIM('List 2'!D131)))</f>
        <v/>
      </c>
      <c r="O631">
        <f>IF(K631="","",0)</f>
        <v/>
      </c>
      <c r="P631">
        <f>IF(K631="","",I131)</f>
        <v/>
      </c>
      <c r="Q631">
        <f>IF(K631="","",FALSE)</f>
        <v/>
      </c>
      <c r="R631">
        <f>IF(K631="","",TRUE)</f>
        <v/>
      </c>
      <c r="S631">
        <f>IF(K631="","",IF(AND(Q631,R631),IF(O631=P631,"Match","Qty Different"),IF(Q631,"Only in List 1","Only in List 2")))</f>
        <v/>
      </c>
      <c r="T631">
        <f>IF(K631="","",IF(ISNUMBER(--L631),TEXT(--L631,"000000000000.000"),LOWER(L631)))</f>
        <v/>
      </c>
      <c r="U631">
        <f>IF(K631="","",IF(ISNUMBER(--M631),TEXT(--M631,"000000000000.000"),LOWER(M631)))</f>
        <v/>
      </c>
      <c r="V631">
        <f>IF(K631="","",LOWER(N631))</f>
        <v/>
      </c>
      <c r="W631">
        <f>IF(K631="","",G131)</f>
        <v/>
      </c>
      <c r="X631">
        <f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>
      <c r="K632">
        <f>IF(H132="","",IF(SUMPRODUCT(--($C$2:$C$501=H132))&gt;0,"",H132))</f>
        <v/>
      </c>
      <c r="L632">
        <f>IF(K632="","",IF(ISNUMBER('List 2'!A132),'List 2'!A132,TRIM('List 2'!A132)))</f>
        <v/>
      </c>
      <c r="M632">
        <f>IF(K632="","",IF(ISNUMBER('List 2'!C132),'List 2'!C132,TRIM('List 2'!C132)))</f>
        <v/>
      </c>
      <c r="N632">
        <f>IF(K632="","",IF(ISNUMBER('List 2'!D132),'List 2'!D132,TRIM('List 2'!D132)))</f>
        <v/>
      </c>
      <c r="O632">
        <f>IF(K632="","",0)</f>
        <v/>
      </c>
      <c r="P632">
        <f>IF(K632="","",I132)</f>
        <v/>
      </c>
      <c r="Q632">
        <f>IF(K632="","",FALSE)</f>
        <v/>
      </c>
      <c r="R632">
        <f>IF(K632="","",TRUE)</f>
        <v/>
      </c>
      <c r="S632">
        <f>IF(K632="","",IF(AND(Q632,R632),IF(O632=P632,"Match","Qty Different"),IF(Q632,"Only in List 1","Only in List 2")))</f>
        <v/>
      </c>
      <c r="T632">
        <f>IF(K632="","",IF(ISNUMBER(--L632),TEXT(--L632,"000000000000.000"),LOWER(L632)))</f>
        <v/>
      </c>
      <c r="U632">
        <f>IF(K632="","",IF(ISNUMBER(--M632),TEXT(--M632,"000000000000.000"),LOWER(M632)))</f>
        <v/>
      </c>
      <c r="V632">
        <f>IF(K632="","",LOWER(N632))</f>
        <v/>
      </c>
      <c r="W632">
        <f>IF(K632="","",G132)</f>
        <v/>
      </c>
      <c r="X632">
        <f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>
      <c r="K633">
        <f>IF(H133="","",IF(SUMPRODUCT(--($C$2:$C$501=H133))&gt;0,"",H133))</f>
        <v/>
      </c>
      <c r="L633">
        <f>IF(K633="","",IF(ISNUMBER('List 2'!A133),'List 2'!A133,TRIM('List 2'!A133)))</f>
        <v/>
      </c>
      <c r="M633">
        <f>IF(K633="","",IF(ISNUMBER('List 2'!C133),'List 2'!C133,TRIM('List 2'!C133)))</f>
        <v/>
      </c>
      <c r="N633">
        <f>IF(K633="","",IF(ISNUMBER('List 2'!D133),'List 2'!D133,TRIM('List 2'!D133)))</f>
        <v/>
      </c>
      <c r="O633">
        <f>IF(K633="","",0)</f>
        <v/>
      </c>
      <c r="P633">
        <f>IF(K633="","",I133)</f>
        <v/>
      </c>
      <c r="Q633">
        <f>IF(K633="","",FALSE)</f>
        <v/>
      </c>
      <c r="R633">
        <f>IF(K633="","",TRUE)</f>
        <v/>
      </c>
      <c r="S633">
        <f>IF(K633="","",IF(AND(Q633,R633),IF(O633=P633,"Match","Qty Different"),IF(Q633,"Only in List 1","Only in List 2")))</f>
        <v/>
      </c>
      <c r="T633">
        <f>IF(K633="","",IF(ISNUMBER(--L633),TEXT(--L633,"000000000000.000"),LOWER(L633)))</f>
        <v/>
      </c>
      <c r="U633">
        <f>IF(K633="","",IF(ISNUMBER(--M633),TEXT(--M633,"000000000000.000"),LOWER(M633)))</f>
        <v/>
      </c>
      <c r="V633">
        <f>IF(K633="","",LOWER(N633))</f>
        <v/>
      </c>
      <c r="W633">
        <f>IF(K633="","",G133)</f>
        <v/>
      </c>
      <c r="X633">
        <f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>
      <c r="K634">
        <f>IF(H134="","",IF(SUMPRODUCT(--($C$2:$C$501=H134))&gt;0,"",H134))</f>
        <v/>
      </c>
      <c r="L634">
        <f>IF(K634="","",IF(ISNUMBER('List 2'!A134),'List 2'!A134,TRIM('List 2'!A134)))</f>
        <v/>
      </c>
      <c r="M634">
        <f>IF(K634="","",IF(ISNUMBER('List 2'!C134),'List 2'!C134,TRIM('List 2'!C134)))</f>
        <v/>
      </c>
      <c r="N634">
        <f>IF(K634="","",IF(ISNUMBER('List 2'!D134),'List 2'!D134,TRIM('List 2'!D134)))</f>
        <v/>
      </c>
      <c r="O634">
        <f>IF(K634="","",0)</f>
        <v/>
      </c>
      <c r="P634">
        <f>IF(K634="","",I134)</f>
        <v/>
      </c>
      <c r="Q634">
        <f>IF(K634="","",FALSE)</f>
        <v/>
      </c>
      <c r="R634">
        <f>IF(K634="","",TRUE)</f>
        <v/>
      </c>
      <c r="S634">
        <f>IF(K634="","",IF(AND(Q634,R634),IF(O634=P634,"Match","Qty Different"),IF(Q634,"Only in List 1","Only in List 2")))</f>
        <v/>
      </c>
      <c r="T634">
        <f>IF(K634="","",IF(ISNUMBER(--L634),TEXT(--L634,"000000000000.000"),LOWER(L634)))</f>
        <v/>
      </c>
      <c r="U634">
        <f>IF(K634="","",IF(ISNUMBER(--M634),TEXT(--M634,"000000000000.000"),LOWER(M634)))</f>
        <v/>
      </c>
      <c r="V634">
        <f>IF(K634="","",LOWER(N634))</f>
        <v/>
      </c>
      <c r="W634">
        <f>IF(K634="","",G134)</f>
        <v/>
      </c>
      <c r="X634">
        <f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>
      <c r="K635">
        <f>IF(H135="","",IF(SUMPRODUCT(--($C$2:$C$501=H135))&gt;0,"",H135))</f>
        <v/>
      </c>
      <c r="L635">
        <f>IF(K635="","",IF(ISNUMBER('List 2'!A135),'List 2'!A135,TRIM('List 2'!A135)))</f>
        <v/>
      </c>
      <c r="M635">
        <f>IF(K635="","",IF(ISNUMBER('List 2'!C135),'List 2'!C135,TRIM('List 2'!C135)))</f>
        <v/>
      </c>
      <c r="N635">
        <f>IF(K635="","",IF(ISNUMBER('List 2'!D135),'List 2'!D135,TRIM('List 2'!D135)))</f>
        <v/>
      </c>
      <c r="O635">
        <f>IF(K635="","",0)</f>
        <v/>
      </c>
      <c r="P635">
        <f>IF(K635="","",I135)</f>
        <v/>
      </c>
      <c r="Q635">
        <f>IF(K635="","",FALSE)</f>
        <v/>
      </c>
      <c r="R635">
        <f>IF(K635="","",TRUE)</f>
        <v/>
      </c>
      <c r="S635">
        <f>IF(K635="","",IF(AND(Q635,R635),IF(O635=P635,"Match","Qty Different"),IF(Q635,"Only in List 1","Only in List 2")))</f>
        <v/>
      </c>
      <c r="T635">
        <f>IF(K635="","",IF(ISNUMBER(--L635),TEXT(--L635,"000000000000.000"),LOWER(L635)))</f>
        <v/>
      </c>
      <c r="U635">
        <f>IF(K635="","",IF(ISNUMBER(--M635),TEXT(--M635,"000000000000.000"),LOWER(M635)))</f>
        <v/>
      </c>
      <c r="V635">
        <f>IF(K635="","",LOWER(N635))</f>
        <v/>
      </c>
      <c r="W635">
        <f>IF(K635="","",G135)</f>
        <v/>
      </c>
      <c r="X635">
        <f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>
      <c r="K636">
        <f>IF(H136="","",IF(SUMPRODUCT(--($C$2:$C$501=H136))&gt;0,"",H136))</f>
        <v/>
      </c>
      <c r="L636">
        <f>IF(K636="","",IF(ISNUMBER('List 2'!A136),'List 2'!A136,TRIM('List 2'!A136)))</f>
        <v/>
      </c>
      <c r="M636">
        <f>IF(K636="","",IF(ISNUMBER('List 2'!C136),'List 2'!C136,TRIM('List 2'!C136)))</f>
        <v/>
      </c>
      <c r="N636">
        <f>IF(K636="","",IF(ISNUMBER('List 2'!D136),'List 2'!D136,TRIM('List 2'!D136)))</f>
        <v/>
      </c>
      <c r="O636">
        <f>IF(K636="","",0)</f>
        <v/>
      </c>
      <c r="P636">
        <f>IF(K636="","",I136)</f>
        <v/>
      </c>
      <c r="Q636">
        <f>IF(K636="","",FALSE)</f>
        <v/>
      </c>
      <c r="R636">
        <f>IF(K636="","",TRUE)</f>
        <v/>
      </c>
      <c r="S636">
        <f>IF(K636="","",IF(AND(Q636,R636),IF(O636=P636,"Match","Qty Different"),IF(Q636,"Only in List 1","Only in List 2")))</f>
        <v/>
      </c>
      <c r="T636">
        <f>IF(K636="","",IF(ISNUMBER(--L636),TEXT(--L636,"000000000000.000"),LOWER(L636)))</f>
        <v/>
      </c>
      <c r="U636">
        <f>IF(K636="","",IF(ISNUMBER(--M636),TEXT(--M636,"000000000000.000"),LOWER(M636)))</f>
        <v/>
      </c>
      <c r="V636">
        <f>IF(K636="","",LOWER(N636))</f>
        <v/>
      </c>
      <c r="W636">
        <f>IF(K636="","",G136)</f>
        <v/>
      </c>
      <c r="X636">
        <f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>
      <c r="K637">
        <f>IF(H137="","",IF(SUMPRODUCT(--($C$2:$C$501=H137))&gt;0,"",H137))</f>
        <v/>
      </c>
      <c r="L637">
        <f>IF(K637="","",IF(ISNUMBER('List 2'!A137),'List 2'!A137,TRIM('List 2'!A137)))</f>
        <v/>
      </c>
      <c r="M637">
        <f>IF(K637="","",IF(ISNUMBER('List 2'!C137),'List 2'!C137,TRIM('List 2'!C137)))</f>
        <v/>
      </c>
      <c r="N637">
        <f>IF(K637="","",IF(ISNUMBER('List 2'!D137),'List 2'!D137,TRIM('List 2'!D137)))</f>
        <v/>
      </c>
      <c r="O637">
        <f>IF(K637="","",0)</f>
        <v/>
      </c>
      <c r="P637">
        <f>IF(K637="","",I137)</f>
        <v/>
      </c>
      <c r="Q637">
        <f>IF(K637="","",FALSE)</f>
        <v/>
      </c>
      <c r="R637">
        <f>IF(K637="","",TRUE)</f>
        <v/>
      </c>
      <c r="S637">
        <f>IF(K637="","",IF(AND(Q637,R637),IF(O637=P637,"Match","Qty Different"),IF(Q637,"Only in List 1","Only in List 2")))</f>
        <v/>
      </c>
      <c r="T637">
        <f>IF(K637="","",IF(ISNUMBER(--L637),TEXT(--L637,"000000000000.000"),LOWER(L637)))</f>
        <v/>
      </c>
      <c r="U637">
        <f>IF(K637="","",IF(ISNUMBER(--M637),TEXT(--M637,"000000000000.000"),LOWER(M637)))</f>
        <v/>
      </c>
      <c r="V637">
        <f>IF(K637="","",LOWER(N637))</f>
        <v/>
      </c>
      <c r="W637">
        <f>IF(K637="","",G137)</f>
        <v/>
      </c>
      <c r="X637">
        <f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>
      <c r="K638">
        <f>IF(H138="","",IF(SUMPRODUCT(--($C$2:$C$501=H138))&gt;0,"",H138))</f>
        <v/>
      </c>
      <c r="L638">
        <f>IF(K638="","",IF(ISNUMBER('List 2'!A138),'List 2'!A138,TRIM('List 2'!A138)))</f>
        <v/>
      </c>
      <c r="M638">
        <f>IF(K638="","",IF(ISNUMBER('List 2'!C138),'List 2'!C138,TRIM('List 2'!C138)))</f>
        <v/>
      </c>
      <c r="N638">
        <f>IF(K638="","",IF(ISNUMBER('List 2'!D138),'List 2'!D138,TRIM('List 2'!D138)))</f>
        <v/>
      </c>
      <c r="O638">
        <f>IF(K638="","",0)</f>
        <v/>
      </c>
      <c r="P638">
        <f>IF(K638="","",I138)</f>
        <v/>
      </c>
      <c r="Q638">
        <f>IF(K638="","",FALSE)</f>
        <v/>
      </c>
      <c r="R638">
        <f>IF(K638="","",TRUE)</f>
        <v/>
      </c>
      <c r="S638">
        <f>IF(K638="","",IF(AND(Q638,R638),IF(O638=P638,"Match","Qty Different"),IF(Q638,"Only in List 1","Only in List 2")))</f>
        <v/>
      </c>
      <c r="T638">
        <f>IF(K638="","",IF(ISNUMBER(--L638),TEXT(--L638,"000000000000.000"),LOWER(L638)))</f>
        <v/>
      </c>
      <c r="U638">
        <f>IF(K638="","",IF(ISNUMBER(--M638),TEXT(--M638,"000000000000.000"),LOWER(M638)))</f>
        <v/>
      </c>
      <c r="V638">
        <f>IF(K638="","",LOWER(N638))</f>
        <v/>
      </c>
      <c r="W638">
        <f>IF(K638="","",G138)</f>
        <v/>
      </c>
      <c r="X638">
        <f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>
      <c r="K639">
        <f>IF(H139="","",IF(SUMPRODUCT(--($C$2:$C$501=H139))&gt;0,"",H139))</f>
        <v/>
      </c>
      <c r="L639">
        <f>IF(K639="","",IF(ISNUMBER('List 2'!A139),'List 2'!A139,TRIM('List 2'!A139)))</f>
        <v/>
      </c>
      <c r="M639">
        <f>IF(K639="","",IF(ISNUMBER('List 2'!C139),'List 2'!C139,TRIM('List 2'!C139)))</f>
        <v/>
      </c>
      <c r="N639">
        <f>IF(K639="","",IF(ISNUMBER('List 2'!D139),'List 2'!D139,TRIM('List 2'!D139)))</f>
        <v/>
      </c>
      <c r="O639">
        <f>IF(K639="","",0)</f>
        <v/>
      </c>
      <c r="P639">
        <f>IF(K639="","",I139)</f>
        <v/>
      </c>
      <c r="Q639">
        <f>IF(K639="","",FALSE)</f>
        <v/>
      </c>
      <c r="R639">
        <f>IF(K639="","",TRUE)</f>
        <v/>
      </c>
      <c r="S639">
        <f>IF(K639="","",IF(AND(Q639,R639),IF(O639=P639,"Match","Qty Different"),IF(Q639,"Only in List 1","Only in List 2")))</f>
        <v/>
      </c>
      <c r="T639">
        <f>IF(K639="","",IF(ISNUMBER(--L639),TEXT(--L639,"000000000000.000"),LOWER(L639)))</f>
        <v/>
      </c>
      <c r="U639">
        <f>IF(K639="","",IF(ISNUMBER(--M639),TEXT(--M639,"000000000000.000"),LOWER(M639)))</f>
        <v/>
      </c>
      <c r="V639">
        <f>IF(K639="","",LOWER(N639))</f>
        <v/>
      </c>
      <c r="W639">
        <f>IF(K639="","",G139)</f>
        <v/>
      </c>
      <c r="X639">
        <f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>
      <c r="K640">
        <f>IF(H140="","",IF(SUMPRODUCT(--($C$2:$C$501=H140))&gt;0,"",H140))</f>
        <v/>
      </c>
      <c r="L640">
        <f>IF(K640="","",IF(ISNUMBER('List 2'!A140),'List 2'!A140,TRIM('List 2'!A140)))</f>
        <v/>
      </c>
      <c r="M640">
        <f>IF(K640="","",IF(ISNUMBER('List 2'!C140),'List 2'!C140,TRIM('List 2'!C140)))</f>
        <v/>
      </c>
      <c r="N640">
        <f>IF(K640="","",IF(ISNUMBER('List 2'!D140),'List 2'!D140,TRIM('List 2'!D140)))</f>
        <v/>
      </c>
      <c r="O640">
        <f>IF(K640="","",0)</f>
        <v/>
      </c>
      <c r="P640">
        <f>IF(K640="","",I140)</f>
        <v/>
      </c>
      <c r="Q640">
        <f>IF(K640="","",FALSE)</f>
        <v/>
      </c>
      <c r="R640">
        <f>IF(K640="","",TRUE)</f>
        <v/>
      </c>
      <c r="S640">
        <f>IF(K640="","",IF(AND(Q640,R640),IF(O640=P640,"Match","Qty Different"),IF(Q640,"Only in List 1","Only in List 2")))</f>
        <v/>
      </c>
      <c r="T640">
        <f>IF(K640="","",IF(ISNUMBER(--L640),TEXT(--L640,"000000000000.000"),LOWER(L640)))</f>
        <v/>
      </c>
      <c r="U640">
        <f>IF(K640="","",IF(ISNUMBER(--M640),TEXT(--M640,"000000000000.000"),LOWER(M640)))</f>
        <v/>
      </c>
      <c r="V640">
        <f>IF(K640="","",LOWER(N640))</f>
        <v/>
      </c>
      <c r="W640">
        <f>IF(K640="","",G140)</f>
        <v/>
      </c>
      <c r="X640">
        <f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>
      <c r="K641">
        <f>IF(H141="","",IF(SUMPRODUCT(--($C$2:$C$501=H141))&gt;0,"",H141))</f>
        <v/>
      </c>
      <c r="L641">
        <f>IF(K641="","",IF(ISNUMBER('List 2'!A141),'List 2'!A141,TRIM('List 2'!A141)))</f>
        <v/>
      </c>
      <c r="M641">
        <f>IF(K641="","",IF(ISNUMBER('List 2'!C141),'List 2'!C141,TRIM('List 2'!C141)))</f>
        <v/>
      </c>
      <c r="N641">
        <f>IF(K641="","",IF(ISNUMBER('List 2'!D141),'List 2'!D141,TRIM('List 2'!D141)))</f>
        <v/>
      </c>
      <c r="O641">
        <f>IF(K641="","",0)</f>
        <v/>
      </c>
      <c r="P641">
        <f>IF(K641="","",I141)</f>
        <v/>
      </c>
      <c r="Q641">
        <f>IF(K641="","",FALSE)</f>
        <v/>
      </c>
      <c r="R641">
        <f>IF(K641="","",TRUE)</f>
        <v/>
      </c>
      <c r="S641">
        <f>IF(K641="","",IF(AND(Q641,R641),IF(O641=P641,"Match","Qty Different"),IF(Q641,"Only in List 1","Only in List 2")))</f>
        <v/>
      </c>
      <c r="T641">
        <f>IF(K641="","",IF(ISNUMBER(--L641),TEXT(--L641,"000000000000.000"),LOWER(L641)))</f>
        <v/>
      </c>
      <c r="U641">
        <f>IF(K641="","",IF(ISNUMBER(--M641),TEXT(--M641,"000000000000.000"),LOWER(M641)))</f>
        <v/>
      </c>
      <c r="V641">
        <f>IF(K641="","",LOWER(N641))</f>
        <v/>
      </c>
      <c r="W641">
        <f>IF(K641="","",G141)</f>
        <v/>
      </c>
      <c r="X641">
        <f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>
      <c r="K642">
        <f>IF(H142="","",IF(SUMPRODUCT(--($C$2:$C$501=H142))&gt;0,"",H142))</f>
        <v/>
      </c>
      <c r="L642">
        <f>IF(K642="","",IF(ISNUMBER('List 2'!A142),'List 2'!A142,TRIM('List 2'!A142)))</f>
        <v/>
      </c>
      <c r="M642">
        <f>IF(K642="","",IF(ISNUMBER('List 2'!C142),'List 2'!C142,TRIM('List 2'!C142)))</f>
        <v/>
      </c>
      <c r="N642">
        <f>IF(K642="","",IF(ISNUMBER('List 2'!D142),'List 2'!D142,TRIM('List 2'!D142)))</f>
        <v/>
      </c>
      <c r="O642">
        <f>IF(K642="","",0)</f>
        <v/>
      </c>
      <c r="P642">
        <f>IF(K642="","",I142)</f>
        <v/>
      </c>
      <c r="Q642">
        <f>IF(K642="","",FALSE)</f>
        <v/>
      </c>
      <c r="R642">
        <f>IF(K642="","",TRUE)</f>
        <v/>
      </c>
      <c r="S642">
        <f>IF(K642="","",IF(AND(Q642,R642),IF(O642=P642,"Match","Qty Different"),IF(Q642,"Only in List 1","Only in List 2")))</f>
        <v/>
      </c>
      <c r="T642">
        <f>IF(K642="","",IF(ISNUMBER(--L642),TEXT(--L642,"000000000000.000"),LOWER(L642)))</f>
        <v/>
      </c>
      <c r="U642">
        <f>IF(K642="","",IF(ISNUMBER(--M642),TEXT(--M642,"000000000000.000"),LOWER(M642)))</f>
        <v/>
      </c>
      <c r="V642">
        <f>IF(K642="","",LOWER(N642))</f>
        <v/>
      </c>
      <c r="W642">
        <f>IF(K642="","",G142)</f>
        <v/>
      </c>
      <c r="X642">
        <f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>
      <c r="K643">
        <f>IF(H143="","",IF(SUMPRODUCT(--($C$2:$C$501=H143))&gt;0,"",H143))</f>
        <v/>
      </c>
      <c r="L643">
        <f>IF(K643="","",IF(ISNUMBER('List 2'!A143),'List 2'!A143,TRIM('List 2'!A143)))</f>
        <v/>
      </c>
      <c r="M643">
        <f>IF(K643="","",IF(ISNUMBER('List 2'!C143),'List 2'!C143,TRIM('List 2'!C143)))</f>
        <v/>
      </c>
      <c r="N643">
        <f>IF(K643="","",IF(ISNUMBER('List 2'!D143),'List 2'!D143,TRIM('List 2'!D143)))</f>
        <v/>
      </c>
      <c r="O643">
        <f>IF(K643="","",0)</f>
        <v/>
      </c>
      <c r="P643">
        <f>IF(K643="","",I143)</f>
        <v/>
      </c>
      <c r="Q643">
        <f>IF(K643="","",FALSE)</f>
        <v/>
      </c>
      <c r="R643">
        <f>IF(K643="","",TRUE)</f>
        <v/>
      </c>
      <c r="S643">
        <f>IF(K643="","",IF(AND(Q643,R643),IF(O643=P643,"Match","Qty Different"),IF(Q643,"Only in List 1","Only in List 2")))</f>
        <v/>
      </c>
      <c r="T643">
        <f>IF(K643="","",IF(ISNUMBER(--L643),TEXT(--L643,"000000000000.000"),LOWER(L643)))</f>
        <v/>
      </c>
      <c r="U643">
        <f>IF(K643="","",IF(ISNUMBER(--M643),TEXT(--M643,"000000000000.000"),LOWER(M643)))</f>
        <v/>
      </c>
      <c r="V643">
        <f>IF(K643="","",LOWER(N643))</f>
        <v/>
      </c>
      <c r="W643">
        <f>IF(K643="","",G143)</f>
        <v/>
      </c>
      <c r="X643">
        <f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>
      <c r="K644">
        <f>IF(H144="","",IF(SUMPRODUCT(--($C$2:$C$501=H144))&gt;0,"",H144))</f>
        <v/>
      </c>
      <c r="L644">
        <f>IF(K644="","",IF(ISNUMBER('List 2'!A144),'List 2'!A144,TRIM('List 2'!A144)))</f>
        <v/>
      </c>
      <c r="M644">
        <f>IF(K644="","",IF(ISNUMBER('List 2'!C144),'List 2'!C144,TRIM('List 2'!C144)))</f>
        <v/>
      </c>
      <c r="N644">
        <f>IF(K644="","",IF(ISNUMBER('List 2'!D144),'List 2'!D144,TRIM('List 2'!D144)))</f>
        <v/>
      </c>
      <c r="O644">
        <f>IF(K644="","",0)</f>
        <v/>
      </c>
      <c r="P644">
        <f>IF(K644="","",I144)</f>
        <v/>
      </c>
      <c r="Q644">
        <f>IF(K644="","",FALSE)</f>
        <v/>
      </c>
      <c r="R644">
        <f>IF(K644="","",TRUE)</f>
        <v/>
      </c>
      <c r="S644">
        <f>IF(K644="","",IF(AND(Q644,R644),IF(O644=P644,"Match","Qty Different"),IF(Q644,"Only in List 1","Only in List 2")))</f>
        <v/>
      </c>
      <c r="T644">
        <f>IF(K644="","",IF(ISNUMBER(--L644),TEXT(--L644,"000000000000.000"),LOWER(L644)))</f>
        <v/>
      </c>
      <c r="U644">
        <f>IF(K644="","",IF(ISNUMBER(--M644),TEXT(--M644,"000000000000.000"),LOWER(M644)))</f>
        <v/>
      </c>
      <c r="V644">
        <f>IF(K644="","",LOWER(N644))</f>
        <v/>
      </c>
      <c r="W644">
        <f>IF(K644="","",G144)</f>
        <v/>
      </c>
      <c r="X644">
        <f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>
      <c r="K645">
        <f>IF(H145="","",IF(SUMPRODUCT(--($C$2:$C$501=H145))&gt;0,"",H145))</f>
        <v/>
      </c>
      <c r="L645">
        <f>IF(K645="","",IF(ISNUMBER('List 2'!A145),'List 2'!A145,TRIM('List 2'!A145)))</f>
        <v/>
      </c>
      <c r="M645">
        <f>IF(K645="","",IF(ISNUMBER('List 2'!C145),'List 2'!C145,TRIM('List 2'!C145)))</f>
        <v/>
      </c>
      <c r="N645">
        <f>IF(K645="","",IF(ISNUMBER('List 2'!D145),'List 2'!D145,TRIM('List 2'!D145)))</f>
        <v/>
      </c>
      <c r="O645">
        <f>IF(K645="","",0)</f>
        <v/>
      </c>
      <c r="P645">
        <f>IF(K645="","",I145)</f>
        <v/>
      </c>
      <c r="Q645">
        <f>IF(K645="","",FALSE)</f>
        <v/>
      </c>
      <c r="R645">
        <f>IF(K645="","",TRUE)</f>
        <v/>
      </c>
      <c r="S645">
        <f>IF(K645="","",IF(AND(Q645,R645),IF(O645=P645,"Match","Qty Different"),IF(Q645,"Only in List 1","Only in List 2")))</f>
        <v/>
      </c>
      <c r="T645">
        <f>IF(K645="","",IF(ISNUMBER(--L645),TEXT(--L645,"000000000000.000"),LOWER(L645)))</f>
        <v/>
      </c>
      <c r="U645">
        <f>IF(K645="","",IF(ISNUMBER(--M645),TEXT(--M645,"000000000000.000"),LOWER(M645)))</f>
        <v/>
      </c>
      <c r="V645">
        <f>IF(K645="","",LOWER(N645))</f>
        <v/>
      </c>
      <c r="W645">
        <f>IF(K645="","",G145)</f>
        <v/>
      </c>
      <c r="X645">
        <f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>
      <c r="K646">
        <f>IF(H146="","",IF(SUMPRODUCT(--($C$2:$C$501=H146))&gt;0,"",H146))</f>
        <v/>
      </c>
      <c r="L646">
        <f>IF(K646="","",IF(ISNUMBER('List 2'!A146),'List 2'!A146,TRIM('List 2'!A146)))</f>
        <v/>
      </c>
      <c r="M646">
        <f>IF(K646="","",IF(ISNUMBER('List 2'!C146),'List 2'!C146,TRIM('List 2'!C146)))</f>
        <v/>
      </c>
      <c r="N646">
        <f>IF(K646="","",IF(ISNUMBER('List 2'!D146),'List 2'!D146,TRIM('List 2'!D146)))</f>
        <v/>
      </c>
      <c r="O646">
        <f>IF(K646="","",0)</f>
        <v/>
      </c>
      <c r="P646">
        <f>IF(K646="","",I146)</f>
        <v/>
      </c>
      <c r="Q646">
        <f>IF(K646="","",FALSE)</f>
        <v/>
      </c>
      <c r="R646">
        <f>IF(K646="","",TRUE)</f>
        <v/>
      </c>
      <c r="S646">
        <f>IF(K646="","",IF(AND(Q646,R646),IF(O646=P646,"Match","Qty Different"),IF(Q646,"Only in List 1","Only in List 2")))</f>
        <v/>
      </c>
      <c r="T646">
        <f>IF(K646="","",IF(ISNUMBER(--L646),TEXT(--L646,"000000000000.000"),LOWER(L646)))</f>
        <v/>
      </c>
      <c r="U646">
        <f>IF(K646="","",IF(ISNUMBER(--M646),TEXT(--M646,"000000000000.000"),LOWER(M646)))</f>
        <v/>
      </c>
      <c r="V646">
        <f>IF(K646="","",LOWER(N646))</f>
        <v/>
      </c>
      <c r="W646">
        <f>IF(K646="","",G146)</f>
        <v/>
      </c>
      <c r="X646">
        <f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>
      <c r="K647">
        <f>IF(H147="","",IF(SUMPRODUCT(--($C$2:$C$501=H147))&gt;0,"",H147))</f>
        <v/>
      </c>
      <c r="L647">
        <f>IF(K647="","",IF(ISNUMBER('List 2'!A147),'List 2'!A147,TRIM('List 2'!A147)))</f>
        <v/>
      </c>
      <c r="M647">
        <f>IF(K647="","",IF(ISNUMBER('List 2'!C147),'List 2'!C147,TRIM('List 2'!C147)))</f>
        <v/>
      </c>
      <c r="N647">
        <f>IF(K647="","",IF(ISNUMBER('List 2'!D147),'List 2'!D147,TRIM('List 2'!D147)))</f>
        <v/>
      </c>
      <c r="O647">
        <f>IF(K647="","",0)</f>
        <v/>
      </c>
      <c r="P647">
        <f>IF(K647="","",I147)</f>
        <v/>
      </c>
      <c r="Q647">
        <f>IF(K647="","",FALSE)</f>
        <v/>
      </c>
      <c r="R647">
        <f>IF(K647="","",TRUE)</f>
        <v/>
      </c>
      <c r="S647">
        <f>IF(K647="","",IF(AND(Q647,R647),IF(O647=P647,"Match","Qty Different"),IF(Q647,"Only in List 1","Only in List 2")))</f>
        <v/>
      </c>
      <c r="T647">
        <f>IF(K647="","",IF(ISNUMBER(--L647),TEXT(--L647,"000000000000.000"),LOWER(L647)))</f>
        <v/>
      </c>
      <c r="U647">
        <f>IF(K647="","",IF(ISNUMBER(--M647),TEXT(--M647,"000000000000.000"),LOWER(M647)))</f>
        <v/>
      </c>
      <c r="V647">
        <f>IF(K647="","",LOWER(N647))</f>
        <v/>
      </c>
      <c r="W647">
        <f>IF(K647="","",G147)</f>
        <v/>
      </c>
      <c r="X647">
        <f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>
      <c r="K648">
        <f>IF(H148="","",IF(SUMPRODUCT(--($C$2:$C$501=H148))&gt;0,"",H148))</f>
        <v/>
      </c>
      <c r="L648">
        <f>IF(K648="","",IF(ISNUMBER('List 2'!A148),'List 2'!A148,TRIM('List 2'!A148)))</f>
        <v/>
      </c>
      <c r="M648">
        <f>IF(K648="","",IF(ISNUMBER('List 2'!C148),'List 2'!C148,TRIM('List 2'!C148)))</f>
        <v/>
      </c>
      <c r="N648">
        <f>IF(K648="","",IF(ISNUMBER('List 2'!D148),'List 2'!D148,TRIM('List 2'!D148)))</f>
        <v/>
      </c>
      <c r="O648">
        <f>IF(K648="","",0)</f>
        <v/>
      </c>
      <c r="P648">
        <f>IF(K648="","",I148)</f>
        <v/>
      </c>
      <c r="Q648">
        <f>IF(K648="","",FALSE)</f>
        <v/>
      </c>
      <c r="R648">
        <f>IF(K648="","",TRUE)</f>
        <v/>
      </c>
      <c r="S648">
        <f>IF(K648="","",IF(AND(Q648,R648),IF(O648=P648,"Match","Qty Different"),IF(Q648,"Only in List 1","Only in List 2")))</f>
        <v/>
      </c>
      <c r="T648">
        <f>IF(K648="","",IF(ISNUMBER(--L648),TEXT(--L648,"000000000000.000"),LOWER(L648)))</f>
        <v/>
      </c>
      <c r="U648">
        <f>IF(K648="","",IF(ISNUMBER(--M648),TEXT(--M648,"000000000000.000"),LOWER(M648)))</f>
        <v/>
      </c>
      <c r="V648">
        <f>IF(K648="","",LOWER(N648))</f>
        <v/>
      </c>
      <c r="W648">
        <f>IF(K648="","",G148)</f>
        <v/>
      </c>
      <c r="X648">
        <f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>
      <c r="K649">
        <f>IF(H149="","",IF(SUMPRODUCT(--($C$2:$C$501=H149))&gt;0,"",H149))</f>
        <v/>
      </c>
      <c r="L649">
        <f>IF(K649="","",IF(ISNUMBER('List 2'!A149),'List 2'!A149,TRIM('List 2'!A149)))</f>
        <v/>
      </c>
      <c r="M649">
        <f>IF(K649="","",IF(ISNUMBER('List 2'!C149),'List 2'!C149,TRIM('List 2'!C149)))</f>
        <v/>
      </c>
      <c r="N649">
        <f>IF(K649="","",IF(ISNUMBER('List 2'!D149),'List 2'!D149,TRIM('List 2'!D149)))</f>
        <v/>
      </c>
      <c r="O649">
        <f>IF(K649="","",0)</f>
        <v/>
      </c>
      <c r="P649">
        <f>IF(K649="","",I149)</f>
        <v/>
      </c>
      <c r="Q649">
        <f>IF(K649="","",FALSE)</f>
        <v/>
      </c>
      <c r="R649">
        <f>IF(K649="","",TRUE)</f>
        <v/>
      </c>
      <c r="S649">
        <f>IF(K649="","",IF(AND(Q649,R649),IF(O649=P649,"Match","Qty Different"),IF(Q649,"Only in List 1","Only in List 2")))</f>
        <v/>
      </c>
      <c r="T649">
        <f>IF(K649="","",IF(ISNUMBER(--L649),TEXT(--L649,"000000000000.000"),LOWER(L649)))</f>
        <v/>
      </c>
      <c r="U649">
        <f>IF(K649="","",IF(ISNUMBER(--M649),TEXT(--M649,"000000000000.000"),LOWER(M649)))</f>
        <v/>
      </c>
      <c r="V649">
        <f>IF(K649="","",LOWER(N649))</f>
        <v/>
      </c>
      <c r="W649">
        <f>IF(K649="","",G149)</f>
        <v/>
      </c>
      <c r="X649">
        <f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>
      <c r="K650">
        <f>IF(H150="","",IF(SUMPRODUCT(--($C$2:$C$501=H150))&gt;0,"",H150))</f>
        <v/>
      </c>
      <c r="L650">
        <f>IF(K650="","",IF(ISNUMBER('List 2'!A150),'List 2'!A150,TRIM('List 2'!A150)))</f>
        <v/>
      </c>
      <c r="M650">
        <f>IF(K650="","",IF(ISNUMBER('List 2'!C150),'List 2'!C150,TRIM('List 2'!C150)))</f>
        <v/>
      </c>
      <c r="N650">
        <f>IF(K650="","",IF(ISNUMBER('List 2'!D150),'List 2'!D150,TRIM('List 2'!D150)))</f>
        <v/>
      </c>
      <c r="O650">
        <f>IF(K650="","",0)</f>
        <v/>
      </c>
      <c r="P650">
        <f>IF(K650="","",I150)</f>
        <v/>
      </c>
      <c r="Q650">
        <f>IF(K650="","",FALSE)</f>
        <v/>
      </c>
      <c r="R650">
        <f>IF(K650="","",TRUE)</f>
        <v/>
      </c>
      <c r="S650">
        <f>IF(K650="","",IF(AND(Q650,R650),IF(O650=P650,"Match","Qty Different"),IF(Q650,"Only in List 1","Only in List 2")))</f>
        <v/>
      </c>
      <c r="T650">
        <f>IF(K650="","",IF(ISNUMBER(--L650),TEXT(--L650,"000000000000.000"),LOWER(L650)))</f>
        <v/>
      </c>
      <c r="U650">
        <f>IF(K650="","",IF(ISNUMBER(--M650),TEXT(--M650,"000000000000.000"),LOWER(M650)))</f>
        <v/>
      </c>
      <c r="V650">
        <f>IF(K650="","",LOWER(N650))</f>
        <v/>
      </c>
      <c r="W650">
        <f>IF(K650="","",G150)</f>
        <v/>
      </c>
      <c r="X650">
        <f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>
      <c r="K651">
        <f>IF(H151="","",IF(SUMPRODUCT(--($C$2:$C$501=H151))&gt;0,"",H151))</f>
        <v/>
      </c>
      <c r="L651">
        <f>IF(K651="","",IF(ISNUMBER('List 2'!A151),'List 2'!A151,TRIM('List 2'!A151)))</f>
        <v/>
      </c>
      <c r="M651">
        <f>IF(K651="","",IF(ISNUMBER('List 2'!C151),'List 2'!C151,TRIM('List 2'!C151)))</f>
        <v/>
      </c>
      <c r="N651">
        <f>IF(K651="","",IF(ISNUMBER('List 2'!D151),'List 2'!D151,TRIM('List 2'!D151)))</f>
        <v/>
      </c>
      <c r="O651">
        <f>IF(K651="","",0)</f>
        <v/>
      </c>
      <c r="P651">
        <f>IF(K651="","",I151)</f>
        <v/>
      </c>
      <c r="Q651">
        <f>IF(K651="","",FALSE)</f>
        <v/>
      </c>
      <c r="R651">
        <f>IF(K651="","",TRUE)</f>
        <v/>
      </c>
      <c r="S651">
        <f>IF(K651="","",IF(AND(Q651,R651),IF(O651=P651,"Match","Qty Different"),IF(Q651,"Only in List 1","Only in List 2")))</f>
        <v/>
      </c>
      <c r="T651">
        <f>IF(K651="","",IF(ISNUMBER(--L651),TEXT(--L651,"000000000000.000"),LOWER(L651)))</f>
        <v/>
      </c>
      <c r="U651">
        <f>IF(K651="","",IF(ISNUMBER(--M651),TEXT(--M651,"000000000000.000"),LOWER(M651)))</f>
        <v/>
      </c>
      <c r="V651">
        <f>IF(K651="","",LOWER(N651))</f>
        <v/>
      </c>
      <c r="W651">
        <f>IF(K651="","",G151)</f>
        <v/>
      </c>
      <c r="X651">
        <f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>
      <c r="K652">
        <f>IF(H152="","",IF(SUMPRODUCT(--($C$2:$C$501=H152))&gt;0,"",H152))</f>
        <v/>
      </c>
      <c r="L652">
        <f>IF(K652="","",IF(ISNUMBER('List 2'!A152),'List 2'!A152,TRIM('List 2'!A152)))</f>
        <v/>
      </c>
      <c r="M652">
        <f>IF(K652="","",IF(ISNUMBER('List 2'!C152),'List 2'!C152,TRIM('List 2'!C152)))</f>
        <v/>
      </c>
      <c r="N652">
        <f>IF(K652="","",IF(ISNUMBER('List 2'!D152),'List 2'!D152,TRIM('List 2'!D152)))</f>
        <v/>
      </c>
      <c r="O652">
        <f>IF(K652="","",0)</f>
        <v/>
      </c>
      <c r="P652">
        <f>IF(K652="","",I152)</f>
        <v/>
      </c>
      <c r="Q652">
        <f>IF(K652="","",FALSE)</f>
        <v/>
      </c>
      <c r="R652">
        <f>IF(K652="","",TRUE)</f>
        <v/>
      </c>
      <c r="S652">
        <f>IF(K652="","",IF(AND(Q652,R652),IF(O652=P652,"Match","Qty Different"),IF(Q652,"Only in List 1","Only in List 2")))</f>
        <v/>
      </c>
      <c r="T652">
        <f>IF(K652="","",IF(ISNUMBER(--L652),TEXT(--L652,"000000000000.000"),LOWER(L652)))</f>
        <v/>
      </c>
      <c r="U652">
        <f>IF(K652="","",IF(ISNUMBER(--M652),TEXT(--M652,"000000000000.000"),LOWER(M652)))</f>
        <v/>
      </c>
      <c r="V652">
        <f>IF(K652="","",LOWER(N652))</f>
        <v/>
      </c>
      <c r="W652">
        <f>IF(K652="","",G152)</f>
        <v/>
      </c>
      <c r="X652">
        <f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>
      <c r="K653">
        <f>IF(H153="","",IF(SUMPRODUCT(--($C$2:$C$501=H153))&gt;0,"",H153))</f>
        <v/>
      </c>
      <c r="L653">
        <f>IF(K653="","",IF(ISNUMBER('List 2'!A153),'List 2'!A153,TRIM('List 2'!A153)))</f>
        <v/>
      </c>
      <c r="M653">
        <f>IF(K653="","",IF(ISNUMBER('List 2'!C153),'List 2'!C153,TRIM('List 2'!C153)))</f>
        <v/>
      </c>
      <c r="N653">
        <f>IF(K653="","",IF(ISNUMBER('List 2'!D153),'List 2'!D153,TRIM('List 2'!D153)))</f>
        <v/>
      </c>
      <c r="O653">
        <f>IF(K653="","",0)</f>
        <v/>
      </c>
      <c r="P653">
        <f>IF(K653="","",I153)</f>
        <v/>
      </c>
      <c r="Q653">
        <f>IF(K653="","",FALSE)</f>
        <v/>
      </c>
      <c r="R653">
        <f>IF(K653="","",TRUE)</f>
        <v/>
      </c>
      <c r="S653">
        <f>IF(K653="","",IF(AND(Q653,R653),IF(O653=P653,"Match","Qty Different"),IF(Q653,"Only in List 1","Only in List 2")))</f>
        <v/>
      </c>
      <c r="T653">
        <f>IF(K653="","",IF(ISNUMBER(--L653),TEXT(--L653,"000000000000.000"),LOWER(L653)))</f>
        <v/>
      </c>
      <c r="U653">
        <f>IF(K653="","",IF(ISNUMBER(--M653),TEXT(--M653,"000000000000.000"),LOWER(M653)))</f>
        <v/>
      </c>
      <c r="V653">
        <f>IF(K653="","",LOWER(N653))</f>
        <v/>
      </c>
      <c r="W653">
        <f>IF(K653="","",G153)</f>
        <v/>
      </c>
      <c r="X653">
        <f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>
      <c r="K654">
        <f>IF(H154="","",IF(SUMPRODUCT(--($C$2:$C$501=H154))&gt;0,"",H154))</f>
        <v/>
      </c>
      <c r="L654">
        <f>IF(K654="","",IF(ISNUMBER('List 2'!A154),'List 2'!A154,TRIM('List 2'!A154)))</f>
        <v/>
      </c>
      <c r="M654">
        <f>IF(K654="","",IF(ISNUMBER('List 2'!C154),'List 2'!C154,TRIM('List 2'!C154)))</f>
        <v/>
      </c>
      <c r="N654">
        <f>IF(K654="","",IF(ISNUMBER('List 2'!D154),'List 2'!D154,TRIM('List 2'!D154)))</f>
        <v/>
      </c>
      <c r="O654">
        <f>IF(K654="","",0)</f>
        <v/>
      </c>
      <c r="P654">
        <f>IF(K654="","",I154)</f>
        <v/>
      </c>
      <c r="Q654">
        <f>IF(K654="","",FALSE)</f>
        <v/>
      </c>
      <c r="R654">
        <f>IF(K654="","",TRUE)</f>
        <v/>
      </c>
      <c r="S654">
        <f>IF(K654="","",IF(AND(Q654,R654),IF(O654=P654,"Match","Qty Different"),IF(Q654,"Only in List 1","Only in List 2")))</f>
        <v/>
      </c>
      <c r="T654">
        <f>IF(K654="","",IF(ISNUMBER(--L654),TEXT(--L654,"000000000000.000"),LOWER(L654)))</f>
        <v/>
      </c>
      <c r="U654">
        <f>IF(K654="","",IF(ISNUMBER(--M654),TEXT(--M654,"000000000000.000"),LOWER(M654)))</f>
        <v/>
      </c>
      <c r="V654">
        <f>IF(K654="","",LOWER(N654))</f>
        <v/>
      </c>
      <c r="W654">
        <f>IF(K654="","",G154)</f>
        <v/>
      </c>
      <c r="X654">
        <f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>
      <c r="K655">
        <f>IF(H155="","",IF(SUMPRODUCT(--($C$2:$C$501=H155))&gt;0,"",H155))</f>
        <v/>
      </c>
      <c r="L655">
        <f>IF(K655="","",IF(ISNUMBER('List 2'!A155),'List 2'!A155,TRIM('List 2'!A155)))</f>
        <v/>
      </c>
      <c r="M655">
        <f>IF(K655="","",IF(ISNUMBER('List 2'!C155),'List 2'!C155,TRIM('List 2'!C155)))</f>
        <v/>
      </c>
      <c r="N655">
        <f>IF(K655="","",IF(ISNUMBER('List 2'!D155),'List 2'!D155,TRIM('List 2'!D155)))</f>
        <v/>
      </c>
      <c r="O655">
        <f>IF(K655="","",0)</f>
        <v/>
      </c>
      <c r="P655">
        <f>IF(K655="","",I155)</f>
        <v/>
      </c>
      <c r="Q655">
        <f>IF(K655="","",FALSE)</f>
        <v/>
      </c>
      <c r="R655">
        <f>IF(K655="","",TRUE)</f>
        <v/>
      </c>
      <c r="S655">
        <f>IF(K655="","",IF(AND(Q655,R655),IF(O655=P655,"Match","Qty Different"),IF(Q655,"Only in List 1","Only in List 2")))</f>
        <v/>
      </c>
      <c r="T655">
        <f>IF(K655="","",IF(ISNUMBER(--L655),TEXT(--L655,"000000000000.000"),LOWER(L655)))</f>
        <v/>
      </c>
      <c r="U655">
        <f>IF(K655="","",IF(ISNUMBER(--M655),TEXT(--M655,"000000000000.000"),LOWER(M655)))</f>
        <v/>
      </c>
      <c r="V655">
        <f>IF(K655="","",LOWER(N655))</f>
        <v/>
      </c>
      <c r="W655">
        <f>IF(K655="","",G155)</f>
        <v/>
      </c>
      <c r="X655">
        <f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>
      <c r="K656">
        <f>IF(H156="","",IF(SUMPRODUCT(--($C$2:$C$501=H156))&gt;0,"",H156))</f>
        <v/>
      </c>
      <c r="L656">
        <f>IF(K656="","",IF(ISNUMBER('List 2'!A156),'List 2'!A156,TRIM('List 2'!A156)))</f>
        <v/>
      </c>
      <c r="M656">
        <f>IF(K656="","",IF(ISNUMBER('List 2'!C156),'List 2'!C156,TRIM('List 2'!C156)))</f>
        <v/>
      </c>
      <c r="N656">
        <f>IF(K656="","",IF(ISNUMBER('List 2'!D156),'List 2'!D156,TRIM('List 2'!D156)))</f>
        <v/>
      </c>
      <c r="O656">
        <f>IF(K656="","",0)</f>
        <v/>
      </c>
      <c r="P656">
        <f>IF(K656="","",I156)</f>
        <v/>
      </c>
      <c r="Q656">
        <f>IF(K656="","",FALSE)</f>
        <v/>
      </c>
      <c r="R656">
        <f>IF(K656="","",TRUE)</f>
        <v/>
      </c>
      <c r="S656">
        <f>IF(K656="","",IF(AND(Q656,R656),IF(O656=P656,"Match","Qty Different"),IF(Q656,"Only in List 1","Only in List 2")))</f>
        <v/>
      </c>
      <c r="T656">
        <f>IF(K656="","",IF(ISNUMBER(--L656),TEXT(--L656,"000000000000.000"),LOWER(L656)))</f>
        <v/>
      </c>
      <c r="U656">
        <f>IF(K656="","",IF(ISNUMBER(--M656),TEXT(--M656,"000000000000.000"),LOWER(M656)))</f>
        <v/>
      </c>
      <c r="V656">
        <f>IF(K656="","",LOWER(N656))</f>
        <v/>
      </c>
      <c r="W656">
        <f>IF(K656="","",G156)</f>
        <v/>
      </c>
      <c r="X656">
        <f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>
      <c r="K657">
        <f>IF(H157="","",IF(SUMPRODUCT(--($C$2:$C$501=H157))&gt;0,"",H157))</f>
        <v/>
      </c>
      <c r="L657">
        <f>IF(K657="","",IF(ISNUMBER('List 2'!A157),'List 2'!A157,TRIM('List 2'!A157)))</f>
        <v/>
      </c>
      <c r="M657">
        <f>IF(K657="","",IF(ISNUMBER('List 2'!C157),'List 2'!C157,TRIM('List 2'!C157)))</f>
        <v/>
      </c>
      <c r="N657">
        <f>IF(K657="","",IF(ISNUMBER('List 2'!D157),'List 2'!D157,TRIM('List 2'!D157)))</f>
        <v/>
      </c>
      <c r="O657">
        <f>IF(K657="","",0)</f>
        <v/>
      </c>
      <c r="P657">
        <f>IF(K657="","",I157)</f>
        <v/>
      </c>
      <c r="Q657">
        <f>IF(K657="","",FALSE)</f>
        <v/>
      </c>
      <c r="R657">
        <f>IF(K657="","",TRUE)</f>
        <v/>
      </c>
      <c r="S657">
        <f>IF(K657="","",IF(AND(Q657,R657),IF(O657=P657,"Match","Qty Different"),IF(Q657,"Only in List 1","Only in List 2")))</f>
        <v/>
      </c>
      <c r="T657">
        <f>IF(K657="","",IF(ISNUMBER(--L657),TEXT(--L657,"000000000000.000"),LOWER(L657)))</f>
        <v/>
      </c>
      <c r="U657">
        <f>IF(K657="","",IF(ISNUMBER(--M657),TEXT(--M657,"000000000000.000"),LOWER(M657)))</f>
        <v/>
      </c>
      <c r="V657">
        <f>IF(K657="","",LOWER(N657))</f>
        <v/>
      </c>
      <c r="W657">
        <f>IF(K657="","",G157)</f>
        <v/>
      </c>
      <c r="X657">
        <f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>
      <c r="K658">
        <f>IF(H158="","",IF(SUMPRODUCT(--($C$2:$C$501=H158))&gt;0,"",H158))</f>
        <v/>
      </c>
      <c r="L658">
        <f>IF(K658="","",IF(ISNUMBER('List 2'!A158),'List 2'!A158,TRIM('List 2'!A158)))</f>
        <v/>
      </c>
      <c r="M658">
        <f>IF(K658="","",IF(ISNUMBER('List 2'!C158),'List 2'!C158,TRIM('List 2'!C158)))</f>
        <v/>
      </c>
      <c r="N658">
        <f>IF(K658="","",IF(ISNUMBER('List 2'!D158),'List 2'!D158,TRIM('List 2'!D158)))</f>
        <v/>
      </c>
      <c r="O658">
        <f>IF(K658="","",0)</f>
        <v/>
      </c>
      <c r="P658">
        <f>IF(K658="","",I158)</f>
        <v/>
      </c>
      <c r="Q658">
        <f>IF(K658="","",FALSE)</f>
        <v/>
      </c>
      <c r="R658">
        <f>IF(K658="","",TRUE)</f>
        <v/>
      </c>
      <c r="S658">
        <f>IF(K658="","",IF(AND(Q658,R658),IF(O658=P658,"Match","Qty Different"),IF(Q658,"Only in List 1","Only in List 2")))</f>
        <v/>
      </c>
      <c r="T658">
        <f>IF(K658="","",IF(ISNUMBER(--L658),TEXT(--L658,"000000000000.000"),LOWER(L658)))</f>
        <v/>
      </c>
      <c r="U658">
        <f>IF(K658="","",IF(ISNUMBER(--M658),TEXT(--M658,"000000000000.000"),LOWER(M658)))</f>
        <v/>
      </c>
      <c r="V658">
        <f>IF(K658="","",LOWER(N658))</f>
        <v/>
      </c>
      <c r="W658">
        <f>IF(K658="","",G158)</f>
        <v/>
      </c>
      <c r="X658">
        <f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>
      <c r="K659">
        <f>IF(H159="","",IF(SUMPRODUCT(--($C$2:$C$501=H159))&gt;0,"",H159))</f>
        <v/>
      </c>
      <c r="L659">
        <f>IF(K659="","",IF(ISNUMBER('List 2'!A159),'List 2'!A159,TRIM('List 2'!A159)))</f>
        <v/>
      </c>
      <c r="M659">
        <f>IF(K659="","",IF(ISNUMBER('List 2'!C159),'List 2'!C159,TRIM('List 2'!C159)))</f>
        <v/>
      </c>
      <c r="N659">
        <f>IF(K659="","",IF(ISNUMBER('List 2'!D159),'List 2'!D159,TRIM('List 2'!D159)))</f>
        <v/>
      </c>
      <c r="O659">
        <f>IF(K659="","",0)</f>
        <v/>
      </c>
      <c r="P659">
        <f>IF(K659="","",I159)</f>
        <v/>
      </c>
      <c r="Q659">
        <f>IF(K659="","",FALSE)</f>
        <v/>
      </c>
      <c r="R659">
        <f>IF(K659="","",TRUE)</f>
        <v/>
      </c>
      <c r="S659">
        <f>IF(K659="","",IF(AND(Q659,R659),IF(O659=P659,"Match","Qty Different"),IF(Q659,"Only in List 1","Only in List 2")))</f>
        <v/>
      </c>
      <c r="T659">
        <f>IF(K659="","",IF(ISNUMBER(--L659),TEXT(--L659,"000000000000.000"),LOWER(L659)))</f>
        <v/>
      </c>
      <c r="U659">
        <f>IF(K659="","",IF(ISNUMBER(--M659),TEXT(--M659,"000000000000.000"),LOWER(M659)))</f>
        <v/>
      </c>
      <c r="V659">
        <f>IF(K659="","",LOWER(N659))</f>
        <v/>
      </c>
      <c r="W659">
        <f>IF(K659="","",G159)</f>
        <v/>
      </c>
      <c r="X659">
        <f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>
      <c r="K660">
        <f>IF(H160="","",IF(SUMPRODUCT(--($C$2:$C$501=H160))&gt;0,"",H160))</f>
        <v/>
      </c>
      <c r="L660">
        <f>IF(K660="","",IF(ISNUMBER('List 2'!A160),'List 2'!A160,TRIM('List 2'!A160)))</f>
        <v/>
      </c>
      <c r="M660">
        <f>IF(K660="","",IF(ISNUMBER('List 2'!C160),'List 2'!C160,TRIM('List 2'!C160)))</f>
        <v/>
      </c>
      <c r="N660">
        <f>IF(K660="","",IF(ISNUMBER('List 2'!D160),'List 2'!D160,TRIM('List 2'!D160)))</f>
        <v/>
      </c>
      <c r="O660">
        <f>IF(K660="","",0)</f>
        <v/>
      </c>
      <c r="P660">
        <f>IF(K660="","",I160)</f>
        <v/>
      </c>
      <c r="Q660">
        <f>IF(K660="","",FALSE)</f>
        <v/>
      </c>
      <c r="R660">
        <f>IF(K660="","",TRUE)</f>
        <v/>
      </c>
      <c r="S660">
        <f>IF(K660="","",IF(AND(Q660,R660),IF(O660=P660,"Match","Qty Different"),IF(Q660,"Only in List 1","Only in List 2")))</f>
        <v/>
      </c>
      <c r="T660">
        <f>IF(K660="","",IF(ISNUMBER(--L660),TEXT(--L660,"000000000000.000"),LOWER(L660)))</f>
        <v/>
      </c>
      <c r="U660">
        <f>IF(K660="","",IF(ISNUMBER(--M660),TEXT(--M660,"000000000000.000"),LOWER(M660)))</f>
        <v/>
      </c>
      <c r="V660">
        <f>IF(K660="","",LOWER(N660))</f>
        <v/>
      </c>
      <c r="W660">
        <f>IF(K660="","",G160)</f>
        <v/>
      </c>
      <c r="X660">
        <f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>
      <c r="K661">
        <f>IF(H161="","",IF(SUMPRODUCT(--($C$2:$C$501=H161))&gt;0,"",H161))</f>
        <v/>
      </c>
      <c r="L661">
        <f>IF(K661="","",IF(ISNUMBER('List 2'!A161),'List 2'!A161,TRIM('List 2'!A161)))</f>
        <v/>
      </c>
      <c r="M661">
        <f>IF(K661="","",IF(ISNUMBER('List 2'!C161),'List 2'!C161,TRIM('List 2'!C161)))</f>
        <v/>
      </c>
      <c r="N661">
        <f>IF(K661="","",IF(ISNUMBER('List 2'!D161),'List 2'!D161,TRIM('List 2'!D161)))</f>
        <v/>
      </c>
      <c r="O661">
        <f>IF(K661="","",0)</f>
        <v/>
      </c>
      <c r="P661">
        <f>IF(K661="","",I161)</f>
        <v/>
      </c>
      <c r="Q661">
        <f>IF(K661="","",FALSE)</f>
        <v/>
      </c>
      <c r="R661">
        <f>IF(K661="","",TRUE)</f>
        <v/>
      </c>
      <c r="S661">
        <f>IF(K661="","",IF(AND(Q661,R661),IF(O661=P661,"Match","Qty Different"),IF(Q661,"Only in List 1","Only in List 2")))</f>
        <v/>
      </c>
      <c r="T661">
        <f>IF(K661="","",IF(ISNUMBER(--L661),TEXT(--L661,"000000000000.000"),LOWER(L661)))</f>
        <v/>
      </c>
      <c r="U661">
        <f>IF(K661="","",IF(ISNUMBER(--M661),TEXT(--M661,"000000000000.000"),LOWER(M661)))</f>
        <v/>
      </c>
      <c r="V661">
        <f>IF(K661="","",LOWER(N661))</f>
        <v/>
      </c>
      <c r="W661">
        <f>IF(K661="","",G161)</f>
        <v/>
      </c>
      <c r="X661">
        <f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>
      <c r="K662">
        <f>IF(H162="","",IF(SUMPRODUCT(--($C$2:$C$501=H162))&gt;0,"",H162))</f>
        <v/>
      </c>
      <c r="L662">
        <f>IF(K662="","",IF(ISNUMBER('List 2'!A162),'List 2'!A162,TRIM('List 2'!A162)))</f>
        <v/>
      </c>
      <c r="M662">
        <f>IF(K662="","",IF(ISNUMBER('List 2'!C162),'List 2'!C162,TRIM('List 2'!C162)))</f>
        <v/>
      </c>
      <c r="N662">
        <f>IF(K662="","",IF(ISNUMBER('List 2'!D162),'List 2'!D162,TRIM('List 2'!D162)))</f>
        <v/>
      </c>
      <c r="O662">
        <f>IF(K662="","",0)</f>
        <v/>
      </c>
      <c r="P662">
        <f>IF(K662="","",I162)</f>
        <v/>
      </c>
      <c r="Q662">
        <f>IF(K662="","",FALSE)</f>
        <v/>
      </c>
      <c r="R662">
        <f>IF(K662="","",TRUE)</f>
        <v/>
      </c>
      <c r="S662">
        <f>IF(K662="","",IF(AND(Q662,R662),IF(O662=P662,"Match","Qty Different"),IF(Q662,"Only in List 1","Only in List 2")))</f>
        <v/>
      </c>
      <c r="T662">
        <f>IF(K662="","",IF(ISNUMBER(--L662),TEXT(--L662,"000000000000.000"),LOWER(L662)))</f>
        <v/>
      </c>
      <c r="U662">
        <f>IF(K662="","",IF(ISNUMBER(--M662),TEXT(--M662,"000000000000.000"),LOWER(M662)))</f>
        <v/>
      </c>
      <c r="V662">
        <f>IF(K662="","",LOWER(N662))</f>
        <v/>
      </c>
      <c r="W662">
        <f>IF(K662="","",G162)</f>
        <v/>
      </c>
      <c r="X662">
        <f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>
      <c r="K663">
        <f>IF(H163="","",IF(SUMPRODUCT(--($C$2:$C$501=H163))&gt;0,"",H163))</f>
        <v/>
      </c>
      <c r="L663">
        <f>IF(K663="","",IF(ISNUMBER('List 2'!A163),'List 2'!A163,TRIM('List 2'!A163)))</f>
        <v/>
      </c>
      <c r="M663">
        <f>IF(K663="","",IF(ISNUMBER('List 2'!C163),'List 2'!C163,TRIM('List 2'!C163)))</f>
        <v/>
      </c>
      <c r="N663">
        <f>IF(K663="","",IF(ISNUMBER('List 2'!D163),'List 2'!D163,TRIM('List 2'!D163)))</f>
        <v/>
      </c>
      <c r="O663">
        <f>IF(K663="","",0)</f>
        <v/>
      </c>
      <c r="P663">
        <f>IF(K663="","",I163)</f>
        <v/>
      </c>
      <c r="Q663">
        <f>IF(K663="","",FALSE)</f>
        <v/>
      </c>
      <c r="R663">
        <f>IF(K663="","",TRUE)</f>
        <v/>
      </c>
      <c r="S663">
        <f>IF(K663="","",IF(AND(Q663,R663),IF(O663=P663,"Match","Qty Different"),IF(Q663,"Only in List 1","Only in List 2")))</f>
        <v/>
      </c>
      <c r="T663">
        <f>IF(K663="","",IF(ISNUMBER(--L663),TEXT(--L663,"000000000000.000"),LOWER(L663)))</f>
        <v/>
      </c>
      <c r="U663">
        <f>IF(K663="","",IF(ISNUMBER(--M663),TEXT(--M663,"000000000000.000"),LOWER(M663)))</f>
        <v/>
      </c>
      <c r="V663">
        <f>IF(K663="","",LOWER(N663))</f>
        <v/>
      </c>
      <c r="W663">
        <f>IF(K663="","",G163)</f>
        <v/>
      </c>
      <c r="X663">
        <f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>
      <c r="K664">
        <f>IF(H164="","",IF(SUMPRODUCT(--($C$2:$C$501=H164))&gt;0,"",H164))</f>
        <v/>
      </c>
      <c r="L664">
        <f>IF(K664="","",IF(ISNUMBER('List 2'!A164),'List 2'!A164,TRIM('List 2'!A164)))</f>
        <v/>
      </c>
      <c r="M664">
        <f>IF(K664="","",IF(ISNUMBER('List 2'!C164),'List 2'!C164,TRIM('List 2'!C164)))</f>
        <v/>
      </c>
      <c r="N664">
        <f>IF(K664="","",IF(ISNUMBER('List 2'!D164),'List 2'!D164,TRIM('List 2'!D164)))</f>
        <v/>
      </c>
      <c r="O664">
        <f>IF(K664="","",0)</f>
        <v/>
      </c>
      <c r="P664">
        <f>IF(K664="","",I164)</f>
        <v/>
      </c>
      <c r="Q664">
        <f>IF(K664="","",FALSE)</f>
        <v/>
      </c>
      <c r="R664">
        <f>IF(K664="","",TRUE)</f>
        <v/>
      </c>
      <c r="S664">
        <f>IF(K664="","",IF(AND(Q664,R664),IF(O664=P664,"Match","Qty Different"),IF(Q664,"Only in List 1","Only in List 2")))</f>
        <v/>
      </c>
      <c r="T664">
        <f>IF(K664="","",IF(ISNUMBER(--L664),TEXT(--L664,"000000000000.000"),LOWER(L664)))</f>
        <v/>
      </c>
      <c r="U664">
        <f>IF(K664="","",IF(ISNUMBER(--M664),TEXT(--M664,"000000000000.000"),LOWER(M664)))</f>
        <v/>
      </c>
      <c r="V664">
        <f>IF(K664="","",LOWER(N664))</f>
        <v/>
      </c>
      <c r="W664">
        <f>IF(K664="","",G164)</f>
        <v/>
      </c>
      <c r="X664">
        <f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>
      <c r="K665">
        <f>IF(H165="","",IF(SUMPRODUCT(--($C$2:$C$501=H165))&gt;0,"",H165))</f>
        <v/>
      </c>
      <c r="L665">
        <f>IF(K665="","",IF(ISNUMBER('List 2'!A165),'List 2'!A165,TRIM('List 2'!A165)))</f>
        <v/>
      </c>
      <c r="M665">
        <f>IF(K665="","",IF(ISNUMBER('List 2'!C165),'List 2'!C165,TRIM('List 2'!C165)))</f>
        <v/>
      </c>
      <c r="N665">
        <f>IF(K665="","",IF(ISNUMBER('List 2'!D165),'List 2'!D165,TRIM('List 2'!D165)))</f>
        <v/>
      </c>
      <c r="O665">
        <f>IF(K665="","",0)</f>
        <v/>
      </c>
      <c r="P665">
        <f>IF(K665="","",I165)</f>
        <v/>
      </c>
      <c r="Q665">
        <f>IF(K665="","",FALSE)</f>
        <v/>
      </c>
      <c r="R665">
        <f>IF(K665="","",TRUE)</f>
        <v/>
      </c>
      <c r="S665">
        <f>IF(K665="","",IF(AND(Q665,R665),IF(O665=P665,"Match","Qty Different"),IF(Q665,"Only in List 1","Only in List 2")))</f>
        <v/>
      </c>
      <c r="T665">
        <f>IF(K665="","",IF(ISNUMBER(--L665),TEXT(--L665,"000000000000.000"),LOWER(L665)))</f>
        <v/>
      </c>
      <c r="U665">
        <f>IF(K665="","",IF(ISNUMBER(--M665),TEXT(--M665,"000000000000.000"),LOWER(M665)))</f>
        <v/>
      </c>
      <c r="V665">
        <f>IF(K665="","",LOWER(N665))</f>
        <v/>
      </c>
      <c r="W665">
        <f>IF(K665="","",G165)</f>
        <v/>
      </c>
      <c r="X665">
        <f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>
      <c r="K666">
        <f>IF(H166="","",IF(SUMPRODUCT(--($C$2:$C$501=H166))&gt;0,"",H166))</f>
        <v/>
      </c>
      <c r="L666">
        <f>IF(K666="","",IF(ISNUMBER('List 2'!A166),'List 2'!A166,TRIM('List 2'!A166)))</f>
        <v/>
      </c>
      <c r="M666">
        <f>IF(K666="","",IF(ISNUMBER('List 2'!C166),'List 2'!C166,TRIM('List 2'!C166)))</f>
        <v/>
      </c>
      <c r="N666">
        <f>IF(K666="","",IF(ISNUMBER('List 2'!D166),'List 2'!D166,TRIM('List 2'!D166)))</f>
        <v/>
      </c>
      <c r="O666">
        <f>IF(K666="","",0)</f>
        <v/>
      </c>
      <c r="P666">
        <f>IF(K666="","",I166)</f>
        <v/>
      </c>
      <c r="Q666">
        <f>IF(K666="","",FALSE)</f>
        <v/>
      </c>
      <c r="R666">
        <f>IF(K666="","",TRUE)</f>
        <v/>
      </c>
      <c r="S666">
        <f>IF(K666="","",IF(AND(Q666,R666),IF(O666=P666,"Match","Qty Different"),IF(Q666,"Only in List 1","Only in List 2")))</f>
        <v/>
      </c>
      <c r="T666">
        <f>IF(K666="","",IF(ISNUMBER(--L666),TEXT(--L666,"000000000000.000"),LOWER(L666)))</f>
        <v/>
      </c>
      <c r="U666">
        <f>IF(K666="","",IF(ISNUMBER(--M666),TEXT(--M666,"000000000000.000"),LOWER(M666)))</f>
        <v/>
      </c>
      <c r="V666">
        <f>IF(K666="","",LOWER(N666))</f>
        <v/>
      </c>
      <c r="W666">
        <f>IF(K666="","",G166)</f>
        <v/>
      </c>
      <c r="X666">
        <f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>
      <c r="K667">
        <f>IF(H167="","",IF(SUMPRODUCT(--($C$2:$C$501=H167))&gt;0,"",H167))</f>
        <v/>
      </c>
      <c r="L667">
        <f>IF(K667="","",IF(ISNUMBER('List 2'!A167),'List 2'!A167,TRIM('List 2'!A167)))</f>
        <v/>
      </c>
      <c r="M667">
        <f>IF(K667="","",IF(ISNUMBER('List 2'!C167),'List 2'!C167,TRIM('List 2'!C167)))</f>
        <v/>
      </c>
      <c r="N667">
        <f>IF(K667="","",IF(ISNUMBER('List 2'!D167),'List 2'!D167,TRIM('List 2'!D167)))</f>
        <v/>
      </c>
      <c r="O667">
        <f>IF(K667="","",0)</f>
        <v/>
      </c>
      <c r="P667">
        <f>IF(K667="","",I167)</f>
        <v/>
      </c>
      <c r="Q667">
        <f>IF(K667="","",FALSE)</f>
        <v/>
      </c>
      <c r="R667">
        <f>IF(K667="","",TRUE)</f>
        <v/>
      </c>
      <c r="S667">
        <f>IF(K667="","",IF(AND(Q667,R667),IF(O667=P667,"Match","Qty Different"),IF(Q667,"Only in List 1","Only in List 2")))</f>
        <v/>
      </c>
      <c r="T667">
        <f>IF(K667="","",IF(ISNUMBER(--L667),TEXT(--L667,"000000000000.000"),LOWER(L667)))</f>
        <v/>
      </c>
      <c r="U667">
        <f>IF(K667="","",IF(ISNUMBER(--M667),TEXT(--M667,"000000000000.000"),LOWER(M667)))</f>
        <v/>
      </c>
      <c r="V667">
        <f>IF(K667="","",LOWER(N667))</f>
        <v/>
      </c>
      <c r="W667">
        <f>IF(K667="","",G167)</f>
        <v/>
      </c>
      <c r="X667">
        <f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>
      <c r="K668">
        <f>IF(H168="","",IF(SUMPRODUCT(--($C$2:$C$501=H168))&gt;0,"",H168))</f>
        <v/>
      </c>
      <c r="L668">
        <f>IF(K668="","",IF(ISNUMBER('List 2'!A168),'List 2'!A168,TRIM('List 2'!A168)))</f>
        <v/>
      </c>
      <c r="M668">
        <f>IF(K668="","",IF(ISNUMBER('List 2'!C168),'List 2'!C168,TRIM('List 2'!C168)))</f>
        <v/>
      </c>
      <c r="N668">
        <f>IF(K668="","",IF(ISNUMBER('List 2'!D168),'List 2'!D168,TRIM('List 2'!D168)))</f>
        <v/>
      </c>
      <c r="O668">
        <f>IF(K668="","",0)</f>
        <v/>
      </c>
      <c r="P668">
        <f>IF(K668="","",I168)</f>
        <v/>
      </c>
      <c r="Q668">
        <f>IF(K668="","",FALSE)</f>
        <v/>
      </c>
      <c r="R668">
        <f>IF(K668="","",TRUE)</f>
        <v/>
      </c>
      <c r="S668">
        <f>IF(K668="","",IF(AND(Q668,R668),IF(O668=P668,"Match","Qty Different"),IF(Q668,"Only in List 1","Only in List 2")))</f>
        <v/>
      </c>
      <c r="T668">
        <f>IF(K668="","",IF(ISNUMBER(--L668),TEXT(--L668,"000000000000.000"),LOWER(L668)))</f>
        <v/>
      </c>
      <c r="U668">
        <f>IF(K668="","",IF(ISNUMBER(--M668),TEXT(--M668,"000000000000.000"),LOWER(M668)))</f>
        <v/>
      </c>
      <c r="V668">
        <f>IF(K668="","",LOWER(N668))</f>
        <v/>
      </c>
      <c r="W668">
        <f>IF(K668="","",G168)</f>
        <v/>
      </c>
      <c r="X668">
        <f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>
      <c r="K669">
        <f>IF(H169="","",IF(SUMPRODUCT(--($C$2:$C$501=H169))&gt;0,"",H169))</f>
        <v/>
      </c>
      <c r="L669">
        <f>IF(K669="","",IF(ISNUMBER('List 2'!A169),'List 2'!A169,TRIM('List 2'!A169)))</f>
        <v/>
      </c>
      <c r="M669">
        <f>IF(K669="","",IF(ISNUMBER('List 2'!C169),'List 2'!C169,TRIM('List 2'!C169)))</f>
        <v/>
      </c>
      <c r="N669">
        <f>IF(K669="","",IF(ISNUMBER('List 2'!D169),'List 2'!D169,TRIM('List 2'!D169)))</f>
        <v/>
      </c>
      <c r="O669">
        <f>IF(K669="","",0)</f>
        <v/>
      </c>
      <c r="P669">
        <f>IF(K669="","",I169)</f>
        <v/>
      </c>
      <c r="Q669">
        <f>IF(K669="","",FALSE)</f>
        <v/>
      </c>
      <c r="R669">
        <f>IF(K669="","",TRUE)</f>
        <v/>
      </c>
      <c r="S669">
        <f>IF(K669="","",IF(AND(Q669,R669),IF(O669=P669,"Match","Qty Different"),IF(Q669,"Only in List 1","Only in List 2")))</f>
        <v/>
      </c>
      <c r="T669">
        <f>IF(K669="","",IF(ISNUMBER(--L669),TEXT(--L669,"000000000000.000"),LOWER(L669)))</f>
        <v/>
      </c>
      <c r="U669">
        <f>IF(K669="","",IF(ISNUMBER(--M669),TEXT(--M669,"000000000000.000"),LOWER(M669)))</f>
        <v/>
      </c>
      <c r="V669">
        <f>IF(K669="","",LOWER(N669))</f>
        <v/>
      </c>
      <c r="W669">
        <f>IF(K669="","",G169)</f>
        <v/>
      </c>
      <c r="X669">
        <f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>
      <c r="K670">
        <f>IF(H170="","",IF(SUMPRODUCT(--($C$2:$C$501=H170))&gt;0,"",H170))</f>
        <v/>
      </c>
      <c r="L670">
        <f>IF(K670="","",IF(ISNUMBER('List 2'!A170),'List 2'!A170,TRIM('List 2'!A170)))</f>
        <v/>
      </c>
      <c r="M670">
        <f>IF(K670="","",IF(ISNUMBER('List 2'!C170),'List 2'!C170,TRIM('List 2'!C170)))</f>
        <v/>
      </c>
      <c r="N670">
        <f>IF(K670="","",IF(ISNUMBER('List 2'!D170),'List 2'!D170,TRIM('List 2'!D170)))</f>
        <v/>
      </c>
      <c r="O670">
        <f>IF(K670="","",0)</f>
        <v/>
      </c>
      <c r="P670">
        <f>IF(K670="","",I170)</f>
        <v/>
      </c>
      <c r="Q670">
        <f>IF(K670="","",FALSE)</f>
        <v/>
      </c>
      <c r="R670">
        <f>IF(K670="","",TRUE)</f>
        <v/>
      </c>
      <c r="S670">
        <f>IF(K670="","",IF(AND(Q670,R670),IF(O670=P670,"Match","Qty Different"),IF(Q670,"Only in List 1","Only in List 2")))</f>
        <v/>
      </c>
      <c r="T670">
        <f>IF(K670="","",IF(ISNUMBER(--L670),TEXT(--L670,"000000000000.000"),LOWER(L670)))</f>
        <v/>
      </c>
      <c r="U670">
        <f>IF(K670="","",IF(ISNUMBER(--M670),TEXT(--M670,"000000000000.000"),LOWER(M670)))</f>
        <v/>
      </c>
      <c r="V670">
        <f>IF(K670="","",LOWER(N670))</f>
        <v/>
      </c>
      <c r="W670">
        <f>IF(K670="","",G170)</f>
        <v/>
      </c>
      <c r="X670">
        <f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>
      <c r="K671">
        <f>IF(H171="","",IF(SUMPRODUCT(--($C$2:$C$501=H171))&gt;0,"",H171))</f>
        <v/>
      </c>
      <c r="L671">
        <f>IF(K671="","",IF(ISNUMBER('List 2'!A171),'List 2'!A171,TRIM('List 2'!A171)))</f>
        <v/>
      </c>
      <c r="M671">
        <f>IF(K671="","",IF(ISNUMBER('List 2'!C171),'List 2'!C171,TRIM('List 2'!C171)))</f>
        <v/>
      </c>
      <c r="N671">
        <f>IF(K671="","",IF(ISNUMBER('List 2'!D171),'List 2'!D171,TRIM('List 2'!D171)))</f>
        <v/>
      </c>
      <c r="O671">
        <f>IF(K671="","",0)</f>
        <v/>
      </c>
      <c r="P671">
        <f>IF(K671="","",I171)</f>
        <v/>
      </c>
      <c r="Q671">
        <f>IF(K671="","",FALSE)</f>
        <v/>
      </c>
      <c r="R671">
        <f>IF(K671="","",TRUE)</f>
        <v/>
      </c>
      <c r="S671">
        <f>IF(K671="","",IF(AND(Q671,R671),IF(O671=P671,"Match","Qty Different"),IF(Q671,"Only in List 1","Only in List 2")))</f>
        <v/>
      </c>
      <c r="T671">
        <f>IF(K671="","",IF(ISNUMBER(--L671),TEXT(--L671,"000000000000.000"),LOWER(L671)))</f>
        <v/>
      </c>
      <c r="U671">
        <f>IF(K671="","",IF(ISNUMBER(--M671),TEXT(--M671,"000000000000.000"),LOWER(M671)))</f>
        <v/>
      </c>
      <c r="V671">
        <f>IF(K671="","",LOWER(N671))</f>
        <v/>
      </c>
      <c r="W671">
        <f>IF(K671="","",G171)</f>
        <v/>
      </c>
      <c r="X671">
        <f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>
      <c r="K672">
        <f>IF(H172="","",IF(SUMPRODUCT(--($C$2:$C$501=H172))&gt;0,"",H172))</f>
        <v/>
      </c>
      <c r="L672">
        <f>IF(K672="","",IF(ISNUMBER('List 2'!A172),'List 2'!A172,TRIM('List 2'!A172)))</f>
        <v/>
      </c>
      <c r="M672">
        <f>IF(K672="","",IF(ISNUMBER('List 2'!C172),'List 2'!C172,TRIM('List 2'!C172)))</f>
        <v/>
      </c>
      <c r="N672">
        <f>IF(K672="","",IF(ISNUMBER('List 2'!D172),'List 2'!D172,TRIM('List 2'!D172)))</f>
        <v/>
      </c>
      <c r="O672">
        <f>IF(K672="","",0)</f>
        <v/>
      </c>
      <c r="P672">
        <f>IF(K672="","",I172)</f>
        <v/>
      </c>
      <c r="Q672">
        <f>IF(K672="","",FALSE)</f>
        <v/>
      </c>
      <c r="R672">
        <f>IF(K672="","",TRUE)</f>
        <v/>
      </c>
      <c r="S672">
        <f>IF(K672="","",IF(AND(Q672,R672),IF(O672=P672,"Match","Qty Different"),IF(Q672,"Only in List 1","Only in List 2")))</f>
        <v/>
      </c>
      <c r="T672">
        <f>IF(K672="","",IF(ISNUMBER(--L672),TEXT(--L672,"000000000000.000"),LOWER(L672)))</f>
        <v/>
      </c>
      <c r="U672">
        <f>IF(K672="","",IF(ISNUMBER(--M672),TEXT(--M672,"000000000000.000"),LOWER(M672)))</f>
        <v/>
      </c>
      <c r="V672">
        <f>IF(K672="","",LOWER(N672))</f>
        <v/>
      </c>
      <c r="W672">
        <f>IF(K672="","",G172)</f>
        <v/>
      </c>
      <c r="X672">
        <f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>
      <c r="K673">
        <f>IF(H173="","",IF(SUMPRODUCT(--($C$2:$C$501=H173))&gt;0,"",H173))</f>
        <v/>
      </c>
      <c r="L673">
        <f>IF(K673="","",IF(ISNUMBER('List 2'!A173),'List 2'!A173,TRIM('List 2'!A173)))</f>
        <v/>
      </c>
      <c r="M673">
        <f>IF(K673="","",IF(ISNUMBER('List 2'!C173),'List 2'!C173,TRIM('List 2'!C173)))</f>
        <v/>
      </c>
      <c r="N673">
        <f>IF(K673="","",IF(ISNUMBER('List 2'!D173),'List 2'!D173,TRIM('List 2'!D173)))</f>
        <v/>
      </c>
      <c r="O673">
        <f>IF(K673="","",0)</f>
        <v/>
      </c>
      <c r="P673">
        <f>IF(K673="","",I173)</f>
        <v/>
      </c>
      <c r="Q673">
        <f>IF(K673="","",FALSE)</f>
        <v/>
      </c>
      <c r="R673">
        <f>IF(K673="","",TRUE)</f>
        <v/>
      </c>
      <c r="S673">
        <f>IF(K673="","",IF(AND(Q673,R673),IF(O673=P673,"Match","Qty Different"),IF(Q673,"Only in List 1","Only in List 2")))</f>
        <v/>
      </c>
      <c r="T673">
        <f>IF(K673="","",IF(ISNUMBER(--L673),TEXT(--L673,"000000000000.000"),LOWER(L673)))</f>
        <v/>
      </c>
      <c r="U673">
        <f>IF(K673="","",IF(ISNUMBER(--M673),TEXT(--M673,"000000000000.000"),LOWER(M673)))</f>
        <v/>
      </c>
      <c r="V673">
        <f>IF(K673="","",LOWER(N673))</f>
        <v/>
      </c>
      <c r="W673">
        <f>IF(K673="","",G173)</f>
        <v/>
      </c>
      <c r="X673">
        <f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>
      <c r="K674">
        <f>IF(H174="","",IF(SUMPRODUCT(--($C$2:$C$501=H174))&gt;0,"",H174))</f>
        <v/>
      </c>
      <c r="L674">
        <f>IF(K674="","",IF(ISNUMBER('List 2'!A174),'List 2'!A174,TRIM('List 2'!A174)))</f>
        <v/>
      </c>
      <c r="M674">
        <f>IF(K674="","",IF(ISNUMBER('List 2'!C174),'List 2'!C174,TRIM('List 2'!C174)))</f>
        <v/>
      </c>
      <c r="N674">
        <f>IF(K674="","",IF(ISNUMBER('List 2'!D174),'List 2'!D174,TRIM('List 2'!D174)))</f>
        <v/>
      </c>
      <c r="O674">
        <f>IF(K674="","",0)</f>
        <v/>
      </c>
      <c r="P674">
        <f>IF(K674="","",I174)</f>
        <v/>
      </c>
      <c r="Q674">
        <f>IF(K674="","",FALSE)</f>
        <v/>
      </c>
      <c r="R674">
        <f>IF(K674="","",TRUE)</f>
        <v/>
      </c>
      <c r="S674">
        <f>IF(K674="","",IF(AND(Q674,R674),IF(O674=P674,"Match","Qty Different"),IF(Q674,"Only in List 1","Only in List 2")))</f>
        <v/>
      </c>
      <c r="T674">
        <f>IF(K674="","",IF(ISNUMBER(--L674),TEXT(--L674,"000000000000.000"),LOWER(L674)))</f>
        <v/>
      </c>
      <c r="U674">
        <f>IF(K674="","",IF(ISNUMBER(--M674),TEXT(--M674,"000000000000.000"),LOWER(M674)))</f>
        <v/>
      </c>
      <c r="V674">
        <f>IF(K674="","",LOWER(N674))</f>
        <v/>
      </c>
      <c r="W674">
        <f>IF(K674="","",G174)</f>
        <v/>
      </c>
      <c r="X674">
        <f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>
      <c r="K675">
        <f>IF(H175="","",IF(SUMPRODUCT(--($C$2:$C$501=H175))&gt;0,"",H175))</f>
        <v/>
      </c>
      <c r="L675">
        <f>IF(K675="","",IF(ISNUMBER('List 2'!A175),'List 2'!A175,TRIM('List 2'!A175)))</f>
        <v/>
      </c>
      <c r="M675">
        <f>IF(K675="","",IF(ISNUMBER('List 2'!C175),'List 2'!C175,TRIM('List 2'!C175)))</f>
        <v/>
      </c>
      <c r="N675">
        <f>IF(K675="","",IF(ISNUMBER('List 2'!D175),'List 2'!D175,TRIM('List 2'!D175)))</f>
        <v/>
      </c>
      <c r="O675">
        <f>IF(K675="","",0)</f>
        <v/>
      </c>
      <c r="P675">
        <f>IF(K675="","",I175)</f>
        <v/>
      </c>
      <c r="Q675">
        <f>IF(K675="","",FALSE)</f>
        <v/>
      </c>
      <c r="R675">
        <f>IF(K675="","",TRUE)</f>
        <v/>
      </c>
      <c r="S675">
        <f>IF(K675="","",IF(AND(Q675,R675),IF(O675=P675,"Match","Qty Different"),IF(Q675,"Only in List 1","Only in List 2")))</f>
        <v/>
      </c>
      <c r="T675">
        <f>IF(K675="","",IF(ISNUMBER(--L675),TEXT(--L675,"000000000000.000"),LOWER(L675)))</f>
        <v/>
      </c>
      <c r="U675">
        <f>IF(K675="","",IF(ISNUMBER(--M675),TEXT(--M675,"000000000000.000"),LOWER(M675)))</f>
        <v/>
      </c>
      <c r="V675">
        <f>IF(K675="","",LOWER(N675))</f>
        <v/>
      </c>
      <c r="W675">
        <f>IF(K675="","",G175)</f>
        <v/>
      </c>
      <c r="X675">
        <f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>
      <c r="K676">
        <f>IF(H176="","",IF(SUMPRODUCT(--($C$2:$C$501=H176))&gt;0,"",H176))</f>
        <v/>
      </c>
      <c r="L676">
        <f>IF(K676="","",IF(ISNUMBER('List 2'!A176),'List 2'!A176,TRIM('List 2'!A176)))</f>
        <v/>
      </c>
      <c r="M676">
        <f>IF(K676="","",IF(ISNUMBER('List 2'!C176),'List 2'!C176,TRIM('List 2'!C176)))</f>
        <v/>
      </c>
      <c r="N676">
        <f>IF(K676="","",IF(ISNUMBER('List 2'!D176),'List 2'!D176,TRIM('List 2'!D176)))</f>
        <v/>
      </c>
      <c r="O676">
        <f>IF(K676="","",0)</f>
        <v/>
      </c>
      <c r="P676">
        <f>IF(K676="","",I176)</f>
        <v/>
      </c>
      <c r="Q676">
        <f>IF(K676="","",FALSE)</f>
        <v/>
      </c>
      <c r="R676">
        <f>IF(K676="","",TRUE)</f>
        <v/>
      </c>
      <c r="S676">
        <f>IF(K676="","",IF(AND(Q676,R676),IF(O676=P676,"Match","Qty Different"),IF(Q676,"Only in List 1","Only in List 2")))</f>
        <v/>
      </c>
      <c r="T676">
        <f>IF(K676="","",IF(ISNUMBER(--L676),TEXT(--L676,"000000000000.000"),LOWER(L676)))</f>
        <v/>
      </c>
      <c r="U676">
        <f>IF(K676="","",IF(ISNUMBER(--M676),TEXT(--M676,"000000000000.000"),LOWER(M676)))</f>
        <v/>
      </c>
      <c r="V676">
        <f>IF(K676="","",LOWER(N676))</f>
        <v/>
      </c>
      <c r="W676">
        <f>IF(K676="","",G176)</f>
        <v/>
      </c>
      <c r="X676">
        <f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>
      <c r="K677">
        <f>IF(H177="","",IF(SUMPRODUCT(--($C$2:$C$501=H177))&gt;0,"",H177))</f>
        <v/>
      </c>
      <c r="L677">
        <f>IF(K677="","",IF(ISNUMBER('List 2'!A177),'List 2'!A177,TRIM('List 2'!A177)))</f>
        <v/>
      </c>
      <c r="M677">
        <f>IF(K677="","",IF(ISNUMBER('List 2'!C177),'List 2'!C177,TRIM('List 2'!C177)))</f>
        <v/>
      </c>
      <c r="N677">
        <f>IF(K677="","",IF(ISNUMBER('List 2'!D177),'List 2'!D177,TRIM('List 2'!D177)))</f>
        <v/>
      </c>
      <c r="O677">
        <f>IF(K677="","",0)</f>
        <v/>
      </c>
      <c r="P677">
        <f>IF(K677="","",I177)</f>
        <v/>
      </c>
      <c r="Q677">
        <f>IF(K677="","",FALSE)</f>
        <v/>
      </c>
      <c r="R677">
        <f>IF(K677="","",TRUE)</f>
        <v/>
      </c>
      <c r="S677">
        <f>IF(K677="","",IF(AND(Q677,R677),IF(O677=P677,"Match","Qty Different"),IF(Q677,"Only in List 1","Only in List 2")))</f>
        <v/>
      </c>
      <c r="T677">
        <f>IF(K677="","",IF(ISNUMBER(--L677),TEXT(--L677,"000000000000.000"),LOWER(L677)))</f>
        <v/>
      </c>
      <c r="U677">
        <f>IF(K677="","",IF(ISNUMBER(--M677),TEXT(--M677,"000000000000.000"),LOWER(M677)))</f>
        <v/>
      </c>
      <c r="V677">
        <f>IF(K677="","",LOWER(N677))</f>
        <v/>
      </c>
      <c r="W677">
        <f>IF(K677="","",G177)</f>
        <v/>
      </c>
      <c r="X677">
        <f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>
      <c r="K678">
        <f>IF(H178="","",IF(SUMPRODUCT(--($C$2:$C$501=H178))&gt;0,"",H178))</f>
        <v/>
      </c>
      <c r="L678">
        <f>IF(K678="","",IF(ISNUMBER('List 2'!A178),'List 2'!A178,TRIM('List 2'!A178)))</f>
        <v/>
      </c>
      <c r="M678">
        <f>IF(K678="","",IF(ISNUMBER('List 2'!C178),'List 2'!C178,TRIM('List 2'!C178)))</f>
        <v/>
      </c>
      <c r="N678">
        <f>IF(K678="","",IF(ISNUMBER('List 2'!D178),'List 2'!D178,TRIM('List 2'!D178)))</f>
        <v/>
      </c>
      <c r="O678">
        <f>IF(K678="","",0)</f>
        <v/>
      </c>
      <c r="P678">
        <f>IF(K678="","",I178)</f>
        <v/>
      </c>
      <c r="Q678">
        <f>IF(K678="","",FALSE)</f>
        <v/>
      </c>
      <c r="R678">
        <f>IF(K678="","",TRUE)</f>
        <v/>
      </c>
      <c r="S678">
        <f>IF(K678="","",IF(AND(Q678,R678),IF(O678=P678,"Match","Qty Different"),IF(Q678,"Only in List 1","Only in List 2")))</f>
        <v/>
      </c>
      <c r="T678">
        <f>IF(K678="","",IF(ISNUMBER(--L678),TEXT(--L678,"000000000000.000"),LOWER(L678)))</f>
        <v/>
      </c>
      <c r="U678">
        <f>IF(K678="","",IF(ISNUMBER(--M678),TEXT(--M678,"000000000000.000"),LOWER(M678)))</f>
        <v/>
      </c>
      <c r="V678">
        <f>IF(K678="","",LOWER(N678))</f>
        <v/>
      </c>
      <c r="W678">
        <f>IF(K678="","",G178)</f>
        <v/>
      </c>
      <c r="X678">
        <f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>
      <c r="K679">
        <f>IF(H179="","",IF(SUMPRODUCT(--($C$2:$C$501=H179))&gt;0,"",H179))</f>
        <v/>
      </c>
      <c r="L679">
        <f>IF(K679="","",IF(ISNUMBER('List 2'!A179),'List 2'!A179,TRIM('List 2'!A179)))</f>
        <v/>
      </c>
      <c r="M679">
        <f>IF(K679="","",IF(ISNUMBER('List 2'!C179),'List 2'!C179,TRIM('List 2'!C179)))</f>
        <v/>
      </c>
      <c r="N679">
        <f>IF(K679="","",IF(ISNUMBER('List 2'!D179),'List 2'!D179,TRIM('List 2'!D179)))</f>
        <v/>
      </c>
      <c r="O679">
        <f>IF(K679="","",0)</f>
        <v/>
      </c>
      <c r="P679">
        <f>IF(K679="","",I179)</f>
        <v/>
      </c>
      <c r="Q679">
        <f>IF(K679="","",FALSE)</f>
        <v/>
      </c>
      <c r="R679">
        <f>IF(K679="","",TRUE)</f>
        <v/>
      </c>
      <c r="S679">
        <f>IF(K679="","",IF(AND(Q679,R679),IF(O679=P679,"Match","Qty Different"),IF(Q679,"Only in List 1","Only in List 2")))</f>
        <v/>
      </c>
      <c r="T679">
        <f>IF(K679="","",IF(ISNUMBER(--L679),TEXT(--L679,"000000000000.000"),LOWER(L679)))</f>
        <v/>
      </c>
      <c r="U679">
        <f>IF(K679="","",IF(ISNUMBER(--M679),TEXT(--M679,"000000000000.000"),LOWER(M679)))</f>
        <v/>
      </c>
      <c r="V679">
        <f>IF(K679="","",LOWER(N679))</f>
        <v/>
      </c>
      <c r="W679">
        <f>IF(K679="","",G179)</f>
        <v/>
      </c>
      <c r="X679">
        <f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>
      <c r="K680">
        <f>IF(H180="","",IF(SUMPRODUCT(--($C$2:$C$501=H180))&gt;0,"",H180))</f>
        <v/>
      </c>
      <c r="L680">
        <f>IF(K680="","",IF(ISNUMBER('List 2'!A180),'List 2'!A180,TRIM('List 2'!A180)))</f>
        <v/>
      </c>
      <c r="M680">
        <f>IF(K680="","",IF(ISNUMBER('List 2'!C180),'List 2'!C180,TRIM('List 2'!C180)))</f>
        <v/>
      </c>
      <c r="N680">
        <f>IF(K680="","",IF(ISNUMBER('List 2'!D180),'List 2'!D180,TRIM('List 2'!D180)))</f>
        <v/>
      </c>
      <c r="O680">
        <f>IF(K680="","",0)</f>
        <v/>
      </c>
      <c r="P680">
        <f>IF(K680="","",I180)</f>
        <v/>
      </c>
      <c r="Q680">
        <f>IF(K680="","",FALSE)</f>
        <v/>
      </c>
      <c r="R680">
        <f>IF(K680="","",TRUE)</f>
        <v/>
      </c>
      <c r="S680">
        <f>IF(K680="","",IF(AND(Q680,R680),IF(O680=P680,"Match","Qty Different"),IF(Q680,"Only in List 1","Only in List 2")))</f>
        <v/>
      </c>
      <c r="T680">
        <f>IF(K680="","",IF(ISNUMBER(--L680),TEXT(--L680,"000000000000.000"),LOWER(L680)))</f>
        <v/>
      </c>
      <c r="U680">
        <f>IF(K680="","",IF(ISNUMBER(--M680),TEXT(--M680,"000000000000.000"),LOWER(M680)))</f>
        <v/>
      </c>
      <c r="V680">
        <f>IF(K680="","",LOWER(N680))</f>
        <v/>
      </c>
      <c r="W680">
        <f>IF(K680="","",G180)</f>
        <v/>
      </c>
      <c r="X680">
        <f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>
      <c r="K681">
        <f>IF(H181="","",IF(SUMPRODUCT(--($C$2:$C$501=H181))&gt;0,"",H181))</f>
        <v/>
      </c>
      <c r="L681">
        <f>IF(K681="","",IF(ISNUMBER('List 2'!A181),'List 2'!A181,TRIM('List 2'!A181)))</f>
        <v/>
      </c>
      <c r="M681">
        <f>IF(K681="","",IF(ISNUMBER('List 2'!C181),'List 2'!C181,TRIM('List 2'!C181)))</f>
        <v/>
      </c>
      <c r="N681">
        <f>IF(K681="","",IF(ISNUMBER('List 2'!D181),'List 2'!D181,TRIM('List 2'!D181)))</f>
        <v/>
      </c>
      <c r="O681">
        <f>IF(K681="","",0)</f>
        <v/>
      </c>
      <c r="P681">
        <f>IF(K681="","",I181)</f>
        <v/>
      </c>
      <c r="Q681">
        <f>IF(K681="","",FALSE)</f>
        <v/>
      </c>
      <c r="R681">
        <f>IF(K681="","",TRUE)</f>
        <v/>
      </c>
      <c r="S681">
        <f>IF(K681="","",IF(AND(Q681,R681),IF(O681=P681,"Match","Qty Different"),IF(Q681,"Only in List 1","Only in List 2")))</f>
        <v/>
      </c>
      <c r="T681">
        <f>IF(K681="","",IF(ISNUMBER(--L681),TEXT(--L681,"000000000000.000"),LOWER(L681)))</f>
        <v/>
      </c>
      <c r="U681">
        <f>IF(K681="","",IF(ISNUMBER(--M681),TEXT(--M681,"000000000000.000"),LOWER(M681)))</f>
        <v/>
      </c>
      <c r="V681">
        <f>IF(K681="","",LOWER(N681))</f>
        <v/>
      </c>
      <c r="W681">
        <f>IF(K681="","",G181)</f>
        <v/>
      </c>
      <c r="X681">
        <f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>
      <c r="K682">
        <f>IF(H182="","",IF(SUMPRODUCT(--($C$2:$C$501=H182))&gt;0,"",H182))</f>
        <v/>
      </c>
      <c r="L682">
        <f>IF(K682="","",IF(ISNUMBER('List 2'!A182),'List 2'!A182,TRIM('List 2'!A182)))</f>
        <v/>
      </c>
      <c r="M682">
        <f>IF(K682="","",IF(ISNUMBER('List 2'!C182),'List 2'!C182,TRIM('List 2'!C182)))</f>
        <v/>
      </c>
      <c r="N682">
        <f>IF(K682="","",IF(ISNUMBER('List 2'!D182),'List 2'!D182,TRIM('List 2'!D182)))</f>
        <v/>
      </c>
      <c r="O682">
        <f>IF(K682="","",0)</f>
        <v/>
      </c>
      <c r="P682">
        <f>IF(K682="","",I182)</f>
        <v/>
      </c>
      <c r="Q682">
        <f>IF(K682="","",FALSE)</f>
        <v/>
      </c>
      <c r="R682">
        <f>IF(K682="","",TRUE)</f>
        <v/>
      </c>
      <c r="S682">
        <f>IF(K682="","",IF(AND(Q682,R682),IF(O682=P682,"Match","Qty Different"),IF(Q682,"Only in List 1","Only in List 2")))</f>
        <v/>
      </c>
      <c r="T682">
        <f>IF(K682="","",IF(ISNUMBER(--L682),TEXT(--L682,"000000000000.000"),LOWER(L682)))</f>
        <v/>
      </c>
      <c r="U682">
        <f>IF(K682="","",IF(ISNUMBER(--M682),TEXT(--M682,"000000000000.000"),LOWER(M682)))</f>
        <v/>
      </c>
      <c r="V682">
        <f>IF(K682="","",LOWER(N682))</f>
        <v/>
      </c>
      <c r="W682">
        <f>IF(K682="","",G182)</f>
        <v/>
      </c>
      <c r="X682">
        <f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>
      <c r="K683">
        <f>IF(H183="","",IF(SUMPRODUCT(--($C$2:$C$501=H183))&gt;0,"",H183))</f>
        <v/>
      </c>
      <c r="L683">
        <f>IF(K683="","",IF(ISNUMBER('List 2'!A183),'List 2'!A183,TRIM('List 2'!A183)))</f>
        <v/>
      </c>
      <c r="M683">
        <f>IF(K683="","",IF(ISNUMBER('List 2'!C183),'List 2'!C183,TRIM('List 2'!C183)))</f>
        <v/>
      </c>
      <c r="N683">
        <f>IF(K683="","",IF(ISNUMBER('List 2'!D183),'List 2'!D183,TRIM('List 2'!D183)))</f>
        <v/>
      </c>
      <c r="O683">
        <f>IF(K683="","",0)</f>
        <v/>
      </c>
      <c r="P683">
        <f>IF(K683="","",I183)</f>
        <v/>
      </c>
      <c r="Q683">
        <f>IF(K683="","",FALSE)</f>
        <v/>
      </c>
      <c r="R683">
        <f>IF(K683="","",TRUE)</f>
        <v/>
      </c>
      <c r="S683">
        <f>IF(K683="","",IF(AND(Q683,R683),IF(O683=P683,"Match","Qty Different"),IF(Q683,"Only in List 1","Only in List 2")))</f>
        <v/>
      </c>
      <c r="T683">
        <f>IF(K683="","",IF(ISNUMBER(--L683),TEXT(--L683,"000000000000.000"),LOWER(L683)))</f>
        <v/>
      </c>
      <c r="U683">
        <f>IF(K683="","",IF(ISNUMBER(--M683),TEXT(--M683,"000000000000.000"),LOWER(M683)))</f>
        <v/>
      </c>
      <c r="V683">
        <f>IF(K683="","",LOWER(N683))</f>
        <v/>
      </c>
      <c r="W683">
        <f>IF(K683="","",G183)</f>
        <v/>
      </c>
      <c r="X683">
        <f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>
      <c r="K684">
        <f>IF(H184="","",IF(SUMPRODUCT(--($C$2:$C$501=H184))&gt;0,"",H184))</f>
        <v/>
      </c>
      <c r="L684">
        <f>IF(K684="","",IF(ISNUMBER('List 2'!A184),'List 2'!A184,TRIM('List 2'!A184)))</f>
        <v/>
      </c>
      <c r="M684">
        <f>IF(K684="","",IF(ISNUMBER('List 2'!C184),'List 2'!C184,TRIM('List 2'!C184)))</f>
        <v/>
      </c>
      <c r="N684">
        <f>IF(K684="","",IF(ISNUMBER('List 2'!D184),'List 2'!D184,TRIM('List 2'!D184)))</f>
        <v/>
      </c>
      <c r="O684">
        <f>IF(K684="","",0)</f>
        <v/>
      </c>
      <c r="P684">
        <f>IF(K684="","",I184)</f>
        <v/>
      </c>
      <c r="Q684">
        <f>IF(K684="","",FALSE)</f>
        <v/>
      </c>
      <c r="R684">
        <f>IF(K684="","",TRUE)</f>
        <v/>
      </c>
      <c r="S684">
        <f>IF(K684="","",IF(AND(Q684,R684),IF(O684=P684,"Match","Qty Different"),IF(Q684,"Only in List 1","Only in List 2")))</f>
        <v/>
      </c>
      <c r="T684">
        <f>IF(K684="","",IF(ISNUMBER(--L684),TEXT(--L684,"000000000000.000"),LOWER(L684)))</f>
        <v/>
      </c>
      <c r="U684">
        <f>IF(K684="","",IF(ISNUMBER(--M684),TEXT(--M684,"000000000000.000"),LOWER(M684)))</f>
        <v/>
      </c>
      <c r="V684">
        <f>IF(K684="","",LOWER(N684))</f>
        <v/>
      </c>
      <c r="W684">
        <f>IF(K684="","",G184)</f>
        <v/>
      </c>
      <c r="X684">
        <f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>
      <c r="K685">
        <f>IF(H185="","",IF(SUMPRODUCT(--($C$2:$C$501=H185))&gt;0,"",H185))</f>
        <v/>
      </c>
      <c r="L685">
        <f>IF(K685="","",IF(ISNUMBER('List 2'!A185),'List 2'!A185,TRIM('List 2'!A185)))</f>
        <v/>
      </c>
      <c r="M685">
        <f>IF(K685="","",IF(ISNUMBER('List 2'!C185),'List 2'!C185,TRIM('List 2'!C185)))</f>
        <v/>
      </c>
      <c r="N685">
        <f>IF(K685="","",IF(ISNUMBER('List 2'!D185),'List 2'!D185,TRIM('List 2'!D185)))</f>
        <v/>
      </c>
      <c r="O685">
        <f>IF(K685="","",0)</f>
        <v/>
      </c>
      <c r="P685">
        <f>IF(K685="","",I185)</f>
        <v/>
      </c>
      <c r="Q685">
        <f>IF(K685="","",FALSE)</f>
        <v/>
      </c>
      <c r="R685">
        <f>IF(K685="","",TRUE)</f>
        <v/>
      </c>
      <c r="S685">
        <f>IF(K685="","",IF(AND(Q685,R685),IF(O685=P685,"Match","Qty Different"),IF(Q685,"Only in List 1","Only in List 2")))</f>
        <v/>
      </c>
      <c r="T685">
        <f>IF(K685="","",IF(ISNUMBER(--L685),TEXT(--L685,"000000000000.000"),LOWER(L685)))</f>
        <v/>
      </c>
      <c r="U685">
        <f>IF(K685="","",IF(ISNUMBER(--M685),TEXT(--M685,"000000000000.000"),LOWER(M685)))</f>
        <v/>
      </c>
      <c r="V685">
        <f>IF(K685="","",LOWER(N685))</f>
        <v/>
      </c>
      <c r="W685">
        <f>IF(K685="","",G185)</f>
        <v/>
      </c>
      <c r="X685">
        <f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>
      <c r="K686">
        <f>IF(H186="","",IF(SUMPRODUCT(--($C$2:$C$501=H186))&gt;0,"",H186))</f>
        <v/>
      </c>
      <c r="L686">
        <f>IF(K686="","",IF(ISNUMBER('List 2'!A186),'List 2'!A186,TRIM('List 2'!A186)))</f>
        <v/>
      </c>
      <c r="M686">
        <f>IF(K686="","",IF(ISNUMBER('List 2'!C186),'List 2'!C186,TRIM('List 2'!C186)))</f>
        <v/>
      </c>
      <c r="N686">
        <f>IF(K686="","",IF(ISNUMBER('List 2'!D186),'List 2'!D186,TRIM('List 2'!D186)))</f>
        <v/>
      </c>
      <c r="O686">
        <f>IF(K686="","",0)</f>
        <v/>
      </c>
      <c r="P686">
        <f>IF(K686="","",I186)</f>
        <v/>
      </c>
      <c r="Q686">
        <f>IF(K686="","",FALSE)</f>
        <v/>
      </c>
      <c r="R686">
        <f>IF(K686="","",TRUE)</f>
        <v/>
      </c>
      <c r="S686">
        <f>IF(K686="","",IF(AND(Q686,R686),IF(O686=P686,"Match","Qty Different"),IF(Q686,"Only in List 1","Only in List 2")))</f>
        <v/>
      </c>
      <c r="T686">
        <f>IF(K686="","",IF(ISNUMBER(--L686),TEXT(--L686,"000000000000.000"),LOWER(L686)))</f>
        <v/>
      </c>
      <c r="U686">
        <f>IF(K686="","",IF(ISNUMBER(--M686),TEXT(--M686,"000000000000.000"),LOWER(M686)))</f>
        <v/>
      </c>
      <c r="V686">
        <f>IF(K686="","",LOWER(N686))</f>
        <v/>
      </c>
      <c r="W686">
        <f>IF(K686="","",G186)</f>
        <v/>
      </c>
      <c r="X686">
        <f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>
      <c r="K687">
        <f>IF(H187="","",IF(SUMPRODUCT(--($C$2:$C$501=H187))&gt;0,"",H187))</f>
        <v/>
      </c>
      <c r="L687">
        <f>IF(K687="","",IF(ISNUMBER('List 2'!A187),'List 2'!A187,TRIM('List 2'!A187)))</f>
        <v/>
      </c>
      <c r="M687">
        <f>IF(K687="","",IF(ISNUMBER('List 2'!C187),'List 2'!C187,TRIM('List 2'!C187)))</f>
        <v/>
      </c>
      <c r="N687">
        <f>IF(K687="","",IF(ISNUMBER('List 2'!D187),'List 2'!D187,TRIM('List 2'!D187)))</f>
        <v/>
      </c>
      <c r="O687">
        <f>IF(K687="","",0)</f>
        <v/>
      </c>
      <c r="P687">
        <f>IF(K687="","",I187)</f>
        <v/>
      </c>
      <c r="Q687">
        <f>IF(K687="","",FALSE)</f>
        <v/>
      </c>
      <c r="R687">
        <f>IF(K687="","",TRUE)</f>
        <v/>
      </c>
      <c r="S687">
        <f>IF(K687="","",IF(AND(Q687,R687),IF(O687=P687,"Match","Qty Different"),IF(Q687,"Only in List 1","Only in List 2")))</f>
        <v/>
      </c>
      <c r="T687">
        <f>IF(K687="","",IF(ISNUMBER(--L687),TEXT(--L687,"000000000000.000"),LOWER(L687)))</f>
        <v/>
      </c>
      <c r="U687">
        <f>IF(K687="","",IF(ISNUMBER(--M687),TEXT(--M687,"000000000000.000"),LOWER(M687)))</f>
        <v/>
      </c>
      <c r="V687">
        <f>IF(K687="","",LOWER(N687))</f>
        <v/>
      </c>
      <c r="W687">
        <f>IF(K687="","",G187)</f>
        <v/>
      </c>
      <c r="X687">
        <f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>
      <c r="K688">
        <f>IF(H188="","",IF(SUMPRODUCT(--($C$2:$C$501=H188))&gt;0,"",H188))</f>
        <v/>
      </c>
      <c r="L688">
        <f>IF(K688="","",IF(ISNUMBER('List 2'!A188),'List 2'!A188,TRIM('List 2'!A188)))</f>
        <v/>
      </c>
      <c r="M688">
        <f>IF(K688="","",IF(ISNUMBER('List 2'!C188),'List 2'!C188,TRIM('List 2'!C188)))</f>
        <v/>
      </c>
      <c r="N688">
        <f>IF(K688="","",IF(ISNUMBER('List 2'!D188),'List 2'!D188,TRIM('List 2'!D188)))</f>
        <v/>
      </c>
      <c r="O688">
        <f>IF(K688="","",0)</f>
        <v/>
      </c>
      <c r="P688">
        <f>IF(K688="","",I188)</f>
        <v/>
      </c>
      <c r="Q688">
        <f>IF(K688="","",FALSE)</f>
        <v/>
      </c>
      <c r="R688">
        <f>IF(K688="","",TRUE)</f>
        <v/>
      </c>
      <c r="S688">
        <f>IF(K688="","",IF(AND(Q688,R688),IF(O688=P688,"Match","Qty Different"),IF(Q688,"Only in List 1","Only in List 2")))</f>
        <v/>
      </c>
      <c r="T688">
        <f>IF(K688="","",IF(ISNUMBER(--L688),TEXT(--L688,"000000000000.000"),LOWER(L688)))</f>
        <v/>
      </c>
      <c r="U688">
        <f>IF(K688="","",IF(ISNUMBER(--M688),TEXT(--M688,"000000000000.000"),LOWER(M688)))</f>
        <v/>
      </c>
      <c r="V688">
        <f>IF(K688="","",LOWER(N688))</f>
        <v/>
      </c>
      <c r="W688">
        <f>IF(K688="","",G188)</f>
        <v/>
      </c>
      <c r="X688">
        <f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>
      <c r="K689">
        <f>IF(H189="","",IF(SUMPRODUCT(--($C$2:$C$501=H189))&gt;0,"",H189))</f>
        <v/>
      </c>
      <c r="L689">
        <f>IF(K689="","",IF(ISNUMBER('List 2'!A189),'List 2'!A189,TRIM('List 2'!A189)))</f>
        <v/>
      </c>
      <c r="M689">
        <f>IF(K689="","",IF(ISNUMBER('List 2'!C189),'List 2'!C189,TRIM('List 2'!C189)))</f>
        <v/>
      </c>
      <c r="N689">
        <f>IF(K689="","",IF(ISNUMBER('List 2'!D189),'List 2'!D189,TRIM('List 2'!D189)))</f>
        <v/>
      </c>
      <c r="O689">
        <f>IF(K689="","",0)</f>
        <v/>
      </c>
      <c r="P689">
        <f>IF(K689="","",I189)</f>
        <v/>
      </c>
      <c r="Q689">
        <f>IF(K689="","",FALSE)</f>
        <v/>
      </c>
      <c r="R689">
        <f>IF(K689="","",TRUE)</f>
        <v/>
      </c>
      <c r="S689">
        <f>IF(K689="","",IF(AND(Q689,R689),IF(O689=P689,"Match","Qty Different"),IF(Q689,"Only in List 1","Only in List 2")))</f>
        <v/>
      </c>
      <c r="T689">
        <f>IF(K689="","",IF(ISNUMBER(--L689),TEXT(--L689,"000000000000.000"),LOWER(L689)))</f>
        <v/>
      </c>
      <c r="U689">
        <f>IF(K689="","",IF(ISNUMBER(--M689),TEXT(--M689,"000000000000.000"),LOWER(M689)))</f>
        <v/>
      </c>
      <c r="V689">
        <f>IF(K689="","",LOWER(N689))</f>
        <v/>
      </c>
      <c r="W689">
        <f>IF(K689="","",G189)</f>
        <v/>
      </c>
      <c r="X689">
        <f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>
      <c r="K690">
        <f>IF(H190="","",IF(SUMPRODUCT(--($C$2:$C$501=H190))&gt;0,"",H190))</f>
        <v/>
      </c>
      <c r="L690">
        <f>IF(K690="","",IF(ISNUMBER('List 2'!A190),'List 2'!A190,TRIM('List 2'!A190)))</f>
        <v/>
      </c>
      <c r="M690">
        <f>IF(K690="","",IF(ISNUMBER('List 2'!C190),'List 2'!C190,TRIM('List 2'!C190)))</f>
        <v/>
      </c>
      <c r="N690">
        <f>IF(K690="","",IF(ISNUMBER('List 2'!D190),'List 2'!D190,TRIM('List 2'!D190)))</f>
        <v/>
      </c>
      <c r="O690">
        <f>IF(K690="","",0)</f>
        <v/>
      </c>
      <c r="P690">
        <f>IF(K690="","",I190)</f>
        <v/>
      </c>
      <c r="Q690">
        <f>IF(K690="","",FALSE)</f>
        <v/>
      </c>
      <c r="R690">
        <f>IF(K690="","",TRUE)</f>
        <v/>
      </c>
      <c r="S690">
        <f>IF(K690="","",IF(AND(Q690,R690),IF(O690=P690,"Match","Qty Different"),IF(Q690,"Only in List 1","Only in List 2")))</f>
        <v/>
      </c>
      <c r="T690">
        <f>IF(K690="","",IF(ISNUMBER(--L690),TEXT(--L690,"000000000000.000"),LOWER(L690)))</f>
        <v/>
      </c>
      <c r="U690">
        <f>IF(K690="","",IF(ISNUMBER(--M690),TEXT(--M690,"000000000000.000"),LOWER(M690)))</f>
        <v/>
      </c>
      <c r="V690">
        <f>IF(K690="","",LOWER(N690))</f>
        <v/>
      </c>
      <c r="W690">
        <f>IF(K690="","",G190)</f>
        <v/>
      </c>
      <c r="X690">
        <f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>
      <c r="K691">
        <f>IF(H191="","",IF(SUMPRODUCT(--($C$2:$C$501=H191))&gt;0,"",H191))</f>
        <v/>
      </c>
      <c r="L691">
        <f>IF(K691="","",IF(ISNUMBER('List 2'!A191),'List 2'!A191,TRIM('List 2'!A191)))</f>
        <v/>
      </c>
      <c r="M691">
        <f>IF(K691="","",IF(ISNUMBER('List 2'!C191),'List 2'!C191,TRIM('List 2'!C191)))</f>
        <v/>
      </c>
      <c r="N691">
        <f>IF(K691="","",IF(ISNUMBER('List 2'!D191),'List 2'!D191,TRIM('List 2'!D191)))</f>
        <v/>
      </c>
      <c r="O691">
        <f>IF(K691="","",0)</f>
        <v/>
      </c>
      <c r="P691">
        <f>IF(K691="","",I191)</f>
        <v/>
      </c>
      <c r="Q691">
        <f>IF(K691="","",FALSE)</f>
        <v/>
      </c>
      <c r="R691">
        <f>IF(K691="","",TRUE)</f>
        <v/>
      </c>
      <c r="S691">
        <f>IF(K691="","",IF(AND(Q691,R691),IF(O691=P691,"Match","Qty Different"),IF(Q691,"Only in List 1","Only in List 2")))</f>
        <v/>
      </c>
      <c r="T691">
        <f>IF(K691="","",IF(ISNUMBER(--L691),TEXT(--L691,"000000000000.000"),LOWER(L691)))</f>
        <v/>
      </c>
      <c r="U691">
        <f>IF(K691="","",IF(ISNUMBER(--M691),TEXT(--M691,"000000000000.000"),LOWER(M691)))</f>
        <v/>
      </c>
      <c r="V691">
        <f>IF(K691="","",LOWER(N691))</f>
        <v/>
      </c>
      <c r="W691">
        <f>IF(K691="","",G191)</f>
        <v/>
      </c>
      <c r="X691">
        <f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>
      <c r="K692">
        <f>IF(H192="","",IF(SUMPRODUCT(--($C$2:$C$501=H192))&gt;0,"",H192))</f>
        <v/>
      </c>
      <c r="L692">
        <f>IF(K692="","",IF(ISNUMBER('List 2'!A192),'List 2'!A192,TRIM('List 2'!A192)))</f>
        <v/>
      </c>
      <c r="M692">
        <f>IF(K692="","",IF(ISNUMBER('List 2'!C192),'List 2'!C192,TRIM('List 2'!C192)))</f>
        <v/>
      </c>
      <c r="N692">
        <f>IF(K692="","",IF(ISNUMBER('List 2'!D192),'List 2'!D192,TRIM('List 2'!D192)))</f>
        <v/>
      </c>
      <c r="O692">
        <f>IF(K692="","",0)</f>
        <v/>
      </c>
      <c r="P692">
        <f>IF(K692="","",I192)</f>
        <v/>
      </c>
      <c r="Q692">
        <f>IF(K692="","",FALSE)</f>
        <v/>
      </c>
      <c r="R692">
        <f>IF(K692="","",TRUE)</f>
        <v/>
      </c>
      <c r="S692">
        <f>IF(K692="","",IF(AND(Q692,R692),IF(O692=P692,"Match","Qty Different"),IF(Q692,"Only in List 1","Only in List 2")))</f>
        <v/>
      </c>
      <c r="T692">
        <f>IF(K692="","",IF(ISNUMBER(--L692),TEXT(--L692,"000000000000.000"),LOWER(L692)))</f>
        <v/>
      </c>
      <c r="U692">
        <f>IF(K692="","",IF(ISNUMBER(--M692),TEXT(--M692,"000000000000.000"),LOWER(M692)))</f>
        <v/>
      </c>
      <c r="V692">
        <f>IF(K692="","",LOWER(N692))</f>
        <v/>
      </c>
      <c r="W692">
        <f>IF(K692="","",G192)</f>
        <v/>
      </c>
      <c r="X692">
        <f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>
      <c r="K693">
        <f>IF(H193="","",IF(SUMPRODUCT(--($C$2:$C$501=H193))&gt;0,"",H193))</f>
        <v/>
      </c>
      <c r="L693">
        <f>IF(K693="","",IF(ISNUMBER('List 2'!A193),'List 2'!A193,TRIM('List 2'!A193)))</f>
        <v/>
      </c>
      <c r="M693">
        <f>IF(K693="","",IF(ISNUMBER('List 2'!C193),'List 2'!C193,TRIM('List 2'!C193)))</f>
        <v/>
      </c>
      <c r="N693">
        <f>IF(K693="","",IF(ISNUMBER('List 2'!D193),'List 2'!D193,TRIM('List 2'!D193)))</f>
        <v/>
      </c>
      <c r="O693">
        <f>IF(K693="","",0)</f>
        <v/>
      </c>
      <c r="P693">
        <f>IF(K693="","",I193)</f>
        <v/>
      </c>
      <c r="Q693">
        <f>IF(K693="","",FALSE)</f>
        <v/>
      </c>
      <c r="R693">
        <f>IF(K693="","",TRUE)</f>
        <v/>
      </c>
      <c r="S693">
        <f>IF(K693="","",IF(AND(Q693,R693),IF(O693=P693,"Match","Qty Different"),IF(Q693,"Only in List 1","Only in List 2")))</f>
        <v/>
      </c>
      <c r="T693">
        <f>IF(K693="","",IF(ISNUMBER(--L693),TEXT(--L693,"000000000000.000"),LOWER(L693)))</f>
        <v/>
      </c>
      <c r="U693">
        <f>IF(K693="","",IF(ISNUMBER(--M693),TEXT(--M693,"000000000000.000"),LOWER(M693)))</f>
        <v/>
      </c>
      <c r="V693">
        <f>IF(K693="","",LOWER(N693))</f>
        <v/>
      </c>
      <c r="W693">
        <f>IF(K693="","",G193)</f>
        <v/>
      </c>
      <c r="X693">
        <f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>
      <c r="K694">
        <f>IF(H194="","",IF(SUMPRODUCT(--($C$2:$C$501=H194))&gt;0,"",H194))</f>
        <v/>
      </c>
      <c r="L694">
        <f>IF(K694="","",IF(ISNUMBER('List 2'!A194),'List 2'!A194,TRIM('List 2'!A194)))</f>
        <v/>
      </c>
      <c r="M694">
        <f>IF(K694="","",IF(ISNUMBER('List 2'!C194),'List 2'!C194,TRIM('List 2'!C194)))</f>
        <v/>
      </c>
      <c r="N694">
        <f>IF(K694="","",IF(ISNUMBER('List 2'!D194),'List 2'!D194,TRIM('List 2'!D194)))</f>
        <v/>
      </c>
      <c r="O694">
        <f>IF(K694="","",0)</f>
        <v/>
      </c>
      <c r="P694">
        <f>IF(K694="","",I194)</f>
        <v/>
      </c>
      <c r="Q694">
        <f>IF(K694="","",FALSE)</f>
        <v/>
      </c>
      <c r="R694">
        <f>IF(K694="","",TRUE)</f>
        <v/>
      </c>
      <c r="S694">
        <f>IF(K694="","",IF(AND(Q694,R694),IF(O694=P694,"Match","Qty Different"),IF(Q694,"Only in List 1","Only in List 2")))</f>
        <v/>
      </c>
      <c r="T694">
        <f>IF(K694="","",IF(ISNUMBER(--L694),TEXT(--L694,"000000000000.000"),LOWER(L694)))</f>
        <v/>
      </c>
      <c r="U694">
        <f>IF(K694="","",IF(ISNUMBER(--M694),TEXT(--M694,"000000000000.000"),LOWER(M694)))</f>
        <v/>
      </c>
      <c r="V694">
        <f>IF(K694="","",LOWER(N694))</f>
        <v/>
      </c>
      <c r="W694">
        <f>IF(K694="","",G194)</f>
        <v/>
      </c>
      <c r="X694">
        <f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>
      <c r="K695">
        <f>IF(H195="","",IF(SUMPRODUCT(--($C$2:$C$501=H195))&gt;0,"",H195))</f>
        <v/>
      </c>
      <c r="L695">
        <f>IF(K695="","",IF(ISNUMBER('List 2'!A195),'List 2'!A195,TRIM('List 2'!A195)))</f>
        <v/>
      </c>
      <c r="M695">
        <f>IF(K695="","",IF(ISNUMBER('List 2'!C195),'List 2'!C195,TRIM('List 2'!C195)))</f>
        <v/>
      </c>
      <c r="N695">
        <f>IF(K695="","",IF(ISNUMBER('List 2'!D195),'List 2'!D195,TRIM('List 2'!D195)))</f>
        <v/>
      </c>
      <c r="O695">
        <f>IF(K695="","",0)</f>
        <v/>
      </c>
      <c r="P695">
        <f>IF(K695="","",I195)</f>
        <v/>
      </c>
      <c r="Q695">
        <f>IF(K695="","",FALSE)</f>
        <v/>
      </c>
      <c r="R695">
        <f>IF(K695="","",TRUE)</f>
        <v/>
      </c>
      <c r="S695">
        <f>IF(K695="","",IF(AND(Q695,R695),IF(O695=P695,"Match","Qty Different"),IF(Q695,"Only in List 1","Only in List 2")))</f>
        <v/>
      </c>
      <c r="T695">
        <f>IF(K695="","",IF(ISNUMBER(--L695),TEXT(--L695,"000000000000.000"),LOWER(L695)))</f>
        <v/>
      </c>
      <c r="U695">
        <f>IF(K695="","",IF(ISNUMBER(--M695),TEXT(--M695,"000000000000.000"),LOWER(M695)))</f>
        <v/>
      </c>
      <c r="V695">
        <f>IF(K695="","",LOWER(N695))</f>
        <v/>
      </c>
      <c r="W695">
        <f>IF(K695="","",G195)</f>
        <v/>
      </c>
      <c r="X695">
        <f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>
      <c r="K696">
        <f>IF(H196="","",IF(SUMPRODUCT(--($C$2:$C$501=H196))&gt;0,"",H196))</f>
        <v/>
      </c>
      <c r="L696">
        <f>IF(K696="","",IF(ISNUMBER('List 2'!A196),'List 2'!A196,TRIM('List 2'!A196)))</f>
        <v/>
      </c>
      <c r="M696">
        <f>IF(K696="","",IF(ISNUMBER('List 2'!C196),'List 2'!C196,TRIM('List 2'!C196)))</f>
        <v/>
      </c>
      <c r="N696">
        <f>IF(K696="","",IF(ISNUMBER('List 2'!D196),'List 2'!D196,TRIM('List 2'!D196)))</f>
        <v/>
      </c>
      <c r="O696">
        <f>IF(K696="","",0)</f>
        <v/>
      </c>
      <c r="P696">
        <f>IF(K696="","",I196)</f>
        <v/>
      </c>
      <c r="Q696">
        <f>IF(K696="","",FALSE)</f>
        <v/>
      </c>
      <c r="R696">
        <f>IF(K696="","",TRUE)</f>
        <v/>
      </c>
      <c r="S696">
        <f>IF(K696="","",IF(AND(Q696,R696),IF(O696=P696,"Match","Qty Different"),IF(Q696,"Only in List 1","Only in List 2")))</f>
        <v/>
      </c>
      <c r="T696">
        <f>IF(K696="","",IF(ISNUMBER(--L696),TEXT(--L696,"000000000000.000"),LOWER(L696)))</f>
        <v/>
      </c>
      <c r="U696">
        <f>IF(K696="","",IF(ISNUMBER(--M696),TEXT(--M696,"000000000000.000"),LOWER(M696)))</f>
        <v/>
      </c>
      <c r="V696">
        <f>IF(K696="","",LOWER(N696))</f>
        <v/>
      </c>
      <c r="W696">
        <f>IF(K696="","",G196)</f>
        <v/>
      </c>
      <c r="X696">
        <f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>
      <c r="K697">
        <f>IF(H197="","",IF(SUMPRODUCT(--($C$2:$C$501=H197))&gt;0,"",H197))</f>
        <v/>
      </c>
      <c r="L697">
        <f>IF(K697="","",IF(ISNUMBER('List 2'!A197),'List 2'!A197,TRIM('List 2'!A197)))</f>
        <v/>
      </c>
      <c r="M697">
        <f>IF(K697="","",IF(ISNUMBER('List 2'!C197),'List 2'!C197,TRIM('List 2'!C197)))</f>
        <v/>
      </c>
      <c r="N697">
        <f>IF(K697="","",IF(ISNUMBER('List 2'!D197),'List 2'!D197,TRIM('List 2'!D197)))</f>
        <v/>
      </c>
      <c r="O697">
        <f>IF(K697="","",0)</f>
        <v/>
      </c>
      <c r="P697">
        <f>IF(K697="","",I197)</f>
        <v/>
      </c>
      <c r="Q697">
        <f>IF(K697="","",FALSE)</f>
        <v/>
      </c>
      <c r="R697">
        <f>IF(K697="","",TRUE)</f>
        <v/>
      </c>
      <c r="S697">
        <f>IF(K697="","",IF(AND(Q697,R697),IF(O697=P697,"Match","Qty Different"),IF(Q697,"Only in List 1","Only in List 2")))</f>
        <v/>
      </c>
      <c r="T697">
        <f>IF(K697="","",IF(ISNUMBER(--L697),TEXT(--L697,"000000000000.000"),LOWER(L697)))</f>
        <v/>
      </c>
      <c r="U697">
        <f>IF(K697="","",IF(ISNUMBER(--M697),TEXT(--M697,"000000000000.000"),LOWER(M697)))</f>
        <v/>
      </c>
      <c r="V697">
        <f>IF(K697="","",LOWER(N697))</f>
        <v/>
      </c>
      <c r="W697">
        <f>IF(K697="","",G197)</f>
        <v/>
      </c>
      <c r="X697">
        <f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>
      <c r="K698">
        <f>IF(H198="","",IF(SUMPRODUCT(--($C$2:$C$501=H198))&gt;0,"",H198))</f>
        <v/>
      </c>
      <c r="L698">
        <f>IF(K698="","",IF(ISNUMBER('List 2'!A198),'List 2'!A198,TRIM('List 2'!A198)))</f>
        <v/>
      </c>
      <c r="M698">
        <f>IF(K698="","",IF(ISNUMBER('List 2'!C198),'List 2'!C198,TRIM('List 2'!C198)))</f>
        <v/>
      </c>
      <c r="N698">
        <f>IF(K698="","",IF(ISNUMBER('List 2'!D198),'List 2'!D198,TRIM('List 2'!D198)))</f>
        <v/>
      </c>
      <c r="O698">
        <f>IF(K698="","",0)</f>
        <v/>
      </c>
      <c r="P698">
        <f>IF(K698="","",I198)</f>
        <v/>
      </c>
      <c r="Q698">
        <f>IF(K698="","",FALSE)</f>
        <v/>
      </c>
      <c r="R698">
        <f>IF(K698="","",TRUE)</f>
        <v/>
      </c>
      <c r="S698">
        <f>IF(K698="","",IF(AND(Q698,R698),IF(O698=P698,"Match","Qty Different"),IF(Q698,"Only in List 1","Only in List 2")))</f>
        <v/>
      </c>
      <c r="T698">
        <f>IF(K698="","",IF(ISNUMBER(--L698),TEXT(--L698,"000000000000.000"),LOWER(L698)))</f>
        <v/>
      </c>
      <c r="U698">
        <f>IF(K698="","",IF(ISNUMBER(--M698),TEXT(--M698,"000000000000.000"),LOWER(M698)))</f>
        <v/>
      </c>
      <c r="V698">
        <f>IF(K698="","",LOWER(N698))</f>
        <v/>
      </c>
      <c r="W698">
        <f>IF(K698="","",G198)</f>
        <v/>
      </c>
      <c r="X698">
        <f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>
      <c r="K699">
        <f>IF(H199="","",IF(SUMPRODUCT(--($C$2:$C$501=H199))&gt;0,"",H199))</f>
        <v/>
      </c>
      <c r="L699">
        <f>IF(K699="","",IF(ISNUMBER('List 2'!A199),'List 2'!A199,TRIM('List 2'!A199)))</f>
        <v/>
      </c>
      <c r="M699">
        <f>IF(K699="","",IF(ISNUMBER('List 2'!C199),'List 2'!C199,TRIM('List 2'!C199)))</f>
        <v/>
      </c>
      <c r="N699">
        <f>IF(K699="","",IF(ISNUMBER('List 2'!D199),'List 2'!D199,TRIM('List 2'!D199)))</f>
        <v/>
      </c>
      <c r="O699">
        <f>IF(K699="","",0)</f>
        <v/>
      </c>
      <c r="P699">
        <f>IF(K699="","",I199)</f>
        <v/>
      </c>
      <c r="Q699">
        <f>IF(K699="","",FALSE)</f>
        <v/>
      </c>
      <c r="R699">
        <f>IF(K699="","",TRUE)</f>
        <v/>
      </c>
      <c r="S699">
        <f>IF(K699="","",IF(AND(Q699,R699),IF(O699=P699,"Match","Qty Different"),IF(Q699,"Only in List 1","Only in List 2")))</f>
        <v/>
      </c>
      <c r="T699">
        <f>IF(K699="","",IF(ISNUMBER(--L699),TEXT(--L699,"000000000000.000"),LOWER(L699)))</f>
        <v/>
      </c>
      <c r="U699">
        <f>IF(K699="","",IF(ISNUMBER(--M699),TEXT(--M699,"000000000000.000"),LOWER(M699)))</f>
        <v/>
      </c>
      <c r="V699">
        <f>IF(K699="","",LOWER(N699))</f>
        <v/>
      </c>
      <c r="W699">
        <f>IF(K699="","",G199)</f>
        <v/>
      </c>
      <c r="X699">
        <f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>
      <c r="K700">
        <f>IF(H200="","",IF(SUMPRODUCT(--($C$2:$C$501=H200))&gt;0,"",H200))</f>
        <v/>
      </c>
      <c r="L700">
        <f>IF(K700="","",IF(ISNUMBER('List 2'!A200),'List 2'!A200,TRIM('List 2'!A200)))</f>
        <v/>
      </c>
      <c r="M700">
        <f>IF(K700="","",IF(ISNUMBER('List 2'!C200),'List 2'!C200,TRIM('List 2'!C200)))</f>
        <v/>
      </c>
      <c r="N700">
        <f>IF(K700="","",IF(ISNUMBER('List 2'!D200),'List 2'!D200,TRIM('List 2'!D200)))</f>
        <v/>
      </c>
      <c r="O700">
        <f>IF(K700="","",0)</f>
        <v/>
      </c>
      <c r="P700">
        <f>IF(K700="","",I200)</f>
        <v/>
      </c>
      <c r="Q700">
        <f>IF(K700="","",FALSE)</f>
        <v/>
      </c>
      <c r="R700">
        <f>IF(K700="","",TRUE)</f>
        <v/>
      </c>
      <c r="S700">
        <f>IF(K700="","",IF(AND(Q700,R700),IF(O700=P700,"Match","Qty Different"),IF(Q700,"Only in List 1","Only in List 2")))</f>
        <v/>
      </c>
      <c r="T700">
        <f>IF(K700="","",IF(ISNUMBER(--L700),TEXT(--L700,"000000000000.000"),LOWER(L700)))</f>
        <v/>
      </c>
      <c r="U700">
        <f>IF(K700="","",IF(ISNUMBER(--M700),TEXT(--M700,"000000000000.000"),LOWER(M700)))</f>
        <v/>
      </c>
      <c r="V700">
        <f>IF(K700="","",LOWER(N700))</f>
        <v/>
      </c>
      <c r="W700">
        <f>IF(K700="","",G200)</f>
        <v/>
      </c>
      <c r="X700">
        <f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>
      <c r="K701">
        <f>IF(H201="","",IF(SUMPRODUCT(--($C$2:$C$501=H201))&gt;0,"",H201))</f>
        <v/>
      </c>
      <c r="L701">
        <f>IF(K701="","",IF(ISNUMBER('List 2'!A201),'List 2'!A201,TRIM('List 2'!A201)))</f>
        <v/>
      </c>
      <c r="M701">
        <f>IF(K701="","",IF(ISNUMBER('List 2'!C201),'List 2'!C201,TRIM('List 2'!C201)))</f>
        <v/>
      </c>
      <c r="N701">
        <f>IF(K701="","",IF(ISNUMBER('List 2'!D201),'List 2'!D201,TRIM('List 2'!D201)))</f>
        <v/>
      </c>
      <c r="O701">
        <f>IF(K701="","",0)</f>
        <v/>
      </c>
      <c r="P701">
        <f>IF(K701="","",I201)</f>
        <v/>
      </c>
      <c r="Q701">
        <f>IF(K701="","",FALSE)</f>
        <v/>
      </c>
      <c r="R701">
        <f>IF(K701="","",TRUE)</f>
        <v/>
      </c>
      <c r="S701">
        <f>IF(K701="","",IF(AND(Q701,R701),IF(O701=P701,"Match","Qty Different"),IF(Q701,"Only in List 1","Only in List 2")))</f>
        <v/>
      </c>
      <c r="T701">
        <f>IF(K701="","",IF(ISNUMBER(--L701),TEXT(--L701,"000000000000.000"),LOWER(L701)))</f>
        <v/>
      </c>
      <c r="U701">
        <f>IF(K701="","",IF(ISNUMBER(--M701),TEXT(--M701,"000000000000.000"),LOWER(M701)))</f>
        <v/>
      </c>
      <c r="V701">
        <f>IF(K701="","",LOWER(N701))</f>
        <v/>
      </c>
      <c r="W701">
        <f>IF(K701="","",G201)</f>
        <v/>
      </c>
      <c r="X701">
        <f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>
      <c r="K702">
        <f>IF(H202="","",IF(SUMPRODUCT(--($C$2:$C$501=H202))&gt;0,"",H202))</f>
        <v/>
      </c>
      <c r="L702">
        <f>IF(K702="","",IF(ISNUMBER('List 2'!A202),'List 2'!A202,TRIM('List 2'!A202)))</f>
        <v/>
      </c>
      <c r="M702">
        <f>IF(K702="","",IF(ISNUMBER('List 2'!C202),'List 2'!C202,TRIM('List 2'!C202)))</f>
        <v/>
      </c>
      <c r="N702">
        <f>IF(K702="","",IF(ISNUMBER('List 2'!D202),'List 2'!D202,TRIM('List 2'!D202)))</f>
        <v/>
      </c>
      <c r="O702">
        <f>IF(K702="","",0)</f>
        <v/>
      </c>
      <c r="P702">
        <f>IF(K702="","",I202)</f>
        <v/>
      </c>
      <c r="Q702">
        <f>IF(K702="","",FALSE)</f>
        <v/>
      </c>
      <c r="R702">
        <f>IF(K702="","",TRUE)</f>
        <v/>
      </c>
      <c r="S702">
        <f>IF(K702="","",IF(AND(Q702,R702),IF(O702=P702,"Match","Qty Different"),IF(Q702,"Only in List 1","Only in List 2")))</f>
        <v/>
      </c>
      <c r="T702">
        <f>IF(K702="","",IF(ISNUMBER(--L702),TEXT(--L702,"000000000000.000"),LOWER(L702)))</f>
        <v/>
      </c>
      <c r="U702">
        <f>IF(K702="","",IF(ISNUMBER(--M702),TEXT(--M702,"000000000000.000"),LOWER(M702)))</f>
        <v/>
      </c>
      <c r="V702">
        <f>IF(K702="","",LOWER(N702))</f>
        <v/>
      </c>
      <c r="W702">
        <f>IF(K702="","",G202)</f>
        <v/>
      </c>
      <c r="X702">
        <f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>
      <c r="K703">
        <f>IF(H203="","",IF(SUMPRODUCT(--($C$2:$C$501=H203))&gt;0,"",H203))</f>
        <v/>
      </c>
      <c r="L703">
        <f>IF(K703="","",IF(ISNUMBER('List 2'!A203),'List 2'!A203,TRIM('List 2'!A203)))</f>
        <v/>
      </c>
      <c r="M703">
        <f>IF(K703="","",IF(ISNUMBER('List 2'!C203),'List 2'!C203,TRIM('List 2'!C203)))</f>
        <v/>
      </c>
      <c r="N703">
        <f>IF(K703="","",IF(ISNUMBER('List 2'!D203),'List 2'!D203,TRIM('List 2'!D203)))</f>
        <v/>
      </c>
      <c r="O703">
        <f>IF(K703="","",0)</f>
        <v/>
      </c>
      <c r="P703">
        <f>IF(K703="","",I203)</f>
        <v/>
      </c>
      <c r="Q703">
        <f>IF(K703="","",FALSE)</f>
        <v/>
      </c>
      <c r="R703">
        <f>IF(K703="","",TRUE)</f>
        <v/>
      </c>
      <c r="S703">
        <f>IF(K703="","",IF(AND(Q703,R703),IF(O703=P703,"Match","Qty Different"),IF(Q703,"Only in List 1","Only in List 2")))</f>
        <v/>
      </c>
      <c r="T703">
        <f>IF(K703="","",IF(ISNUMBER(--L703),TEXT(--L703,"000000000000.000"),LOWER(L703)))</f>
        <v/>
      </c>
      <c r="U703">
        <f>IF(K703="","",IF(ISNUMBER(--M703),TEXT(--M703,"000000000000.000"),LOWER(M703)))</f>
        <v/>
      </c>
      <c r="V703">
        <f>IF(K703="","",LOWER(N703))</f>
        <v/>
      </c>
      <c r="W703">
        <f>IF(K703="","",G203)</f>
        <v/>
      </c>
      <c r="X703">
        <f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>
      <c r="K704">
        <f>IF(H204="","",IF(SUMPRODUCT(--($C$2:$C$501=H204))&gt;0,"",H204))</f>
        <v/>
      </c>
      <c r="L704">
        <f>IF(K704="","",IF(ISNUMBER('List 2'!A204),'List 2'!A204,TRIM('List 2'!A204)))</f>
        <v/>
      </c>
      <c r="M704">
        <f>IF(K704="","",IF(ISNUMBER('List 2'!C204),'List 2'!C204,TRIM('List 2'!C204)))</f>
        <v/>
      </c>
      <c r="N704">
        <f>IF(K704="","",IF(ISNUMBER('List 2'!D204),'List 2'!D204,TRIM('List 2'!D204)))</f>
        <v/>
      </c>
      <c r="O704">
        <f>IF(K704="","",0)</f>
        <v/>
      </c>
      <c r="P704">
        <f>IF(K704="","",I204)</f>
        <v/>
      </c>
      <c r="Q704">
        <f>IF(K704="","",FALSE)</f>
        <v/>
      </c>
      <c r="R704">
        <f>IF(K704="","",TRUE)</f>
        <v/>
      </c>
      <c r="S704">
        <f>IF(K704="","",IF(AND(Q704,R704),IF(O704=P704,"Match","Qty Different"),IF(Q704,"Only in List 1","Only in List 2")))</f>
        <v/>
      </c>
      <c r="T704">
        <f>IF(K704="","",IF(ISNUMBER(--L704),TEXT(--L704,"000000000000.000"),LOWER(L704)))</f>
        <v/>
      </c>
      <c r="U704">
        <f>IF(K704="","",IF(ISNUMBER(--M704),TEXT(--M704,"000000000000.000"),LOWER(M704)))</f>
        <v/>
      </c>
      <c r="V704">
        <f>IF(K704="","",LOWER(N704))</f>
        <v/>
      </c>
      <c r="W704">
        <f>IF(K704="","",G204)</f>
        <v/>
      </c>
      <c r="X704">
        <f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>
      <c r="K705">
        <f>IF(H205="","",IF(SUMPRODUCT(--($C$2:$C$501=H205))&gt;0,"",H205))</f>
        <v/>
      </c>
      <c r="L705">
        <f>IF(K705="","",IF(ISNUMBER('List 2'!A205),'List 2'!A205,TRIM('List 2'!A205)))</f>
        <v/>
      </c>
      <c r="M705">
        <f>IF(K705="","",IF(ISNUMBER('List 2'!C205),'List 2'!C205,TRIM('List 2'!C205)))</f>
        <v/>
      </c>
      <c r="N705">
        <f>IF(K705="","",IF(ISNUMBER('List 2'!D205),'List 2'!D205,TRIM('List 2'!D205)))</f>
        <v/>
      </c>
      <c r="O705">
        <f>IF(K705="","",0)</f>
        <v/>
      </c>
      <c r="P705">
        <f>IF(K705="","",I205)</f>
        <v/>
      </c>
      <c r="Q705">
        <f>IF(K705="","",FALSE)</f>
        <v/>
      </c>
      <c r="R705">
        <f>IF(K705="","",TRUE)</f>
        <v/>
      </c>
      <c r="S705">
        <f>IF(K705="","",IF(AND(Q705,R705),IF(O705=P705,"Match","Qty Different"),IF(Q705,"Only in List 1","Only in List 2")))</f>
        <v/>
      </c>
      <c r="T705">
        <f>IF(K705="","",IF(ISNUMBER(--L705),TEXT(--L705,"000000000000.000"),LOWER(L705)))</f>
        <v/>
      </c>
      <c r="U705">
        <f>IF(K705="","",IF(ISNUMBER(--M705),TEXT(--M705,"000000000000.000"),LOWER(M705)))</f>
        <v/>
      </c>
      <c r="V705">
        <f>IF(K705="","",LOWER(N705))</f>
        <v/>
      </c>
      <c r="W705">
        <f>IF(K705="","",G205)</f>
        <v/>
      </c>
      <c r="X705">
        <f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>
      <c r="K706">
        <f>IF(H206="","",IF(SUMPRODUCT(--($C$2:$C$501=H206))&gt;0,"",H206))</f>
        <v/>
      </c>
      <c r="L706">
        <f>IF(K706="","",IF(ISNUMBER('List 2'!A206),'List 2'!A206,TRIM('List 2'!A206)))</f>
        <v/>
      </c>
      <c r="M706">
        <f>IF(K706="","",IF(ISNUMBER('List 2'!C206),'List 2'!C206,TRIM('List 2'!C206)))</f>
        <v/>
      </c>
      <c r="N706">
        <f>IF(K706="","",IF(ISNUMBER('List 2'!D206),'List 2'!D206,TRIM('List 2'!D206)))</f>
        <v/>
      </c>
      <c r="O706">
        <f>IF(K706="","",0)</f>
        <v/>
      </c>
      <c r="P706">
        <f>IF(K706="","",I206)</f>
        <v/>
      </c>
      <c r="Q706">
        <f>IF(K706="","",FALSE)</f>
        <v/>
      </c>
      <c r="R706">
        <f>IF(K706="","",TRUE)</f>
        <v/>
      </c>
      <c r="S706">
        <f>IF(K706="","",IF(AND(Q706,R706),IF(O706=P706,"Match","Qty Different"),IF(Q706,"Only in List 1","Only in List 2")))</f>
        <v/>
      </c>
      <c r="T706">
        <f>IF(K706="","",IF(ISNUMBER(--L706),TEXT(--L706,"000000000000.000"),LOWER(L706)))</f>
        <v/>
      </c>
      <c r="U706">
        <f>IF(K706="","",IF(ISNUMBER(--M706),TEXT(--M706,"000000000000.000"),LOWER(M706)))</f>
        <v/>
      </c>
      <c r="V706">
        <f>IF(K706="","",LOWER(N706))</f>
        <v/>
      </c>
      <c r="W706">
        <f>IF(K706="","",G206)</f>
        <v/>
      </c>
      <c r="X706">
        <f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>
      <c r="K707">
        <f>IF(H207="","",IF(SUMPRODUCT(--($C$2:$C$501=H207))&gt;0,"",H207))</f>
        <v/>
      </c>
      <c r="L707">
        <f>IF(K707="","",IF(ISNUMBER('List 2'!A207),'List 2'!A207,TRIM('List 2'!A207)))</f>
        <v/>
      </c>
      <c r="M707">
        <f>IF(K707="","",IF(ISNUMBER('List 2'!C207),'List 2'!C207,TRIM('List 2'!C207)))</f>
        <v/>
      </c>
      <c r="N707">
        <f>IF(K707="","",IF(ISNUMBER('List 2'!D207),'List 2'!D207,TRIM('List 2'!D207)))</f>
        <v/>
      </c>
      <c r="O707">
        <f>IF(K707="","",0)</f>
        <v/>
      </c>
      <c r="P707">
        <f>IF(K707="","",I207)</f>
        <v/>
      </c>
      <c r="Q707">
        <f>IF(K707="","",FALSE)</f>
        <v/>
      </c>
      <c r="R707">
        <f>IF(K707="","",TRUE)</f>
        <v/>
      </c>
      <c r="S707">
        <f>IF(K707="","",IF(AND(Q707,R707),IF(O707=P707,"Match","Qty Different"),IF(Q707,"Only in List 1","Only in List 2")))</f>
        <v/>
      </c>
      <c r="T707">
        <f>IF(K707="","",IF(ISNUMBER(--L707),TEXT(--L707,"000000000000.000"),LOWER(L707)))</f>
        <v/>
      </c>
      <c r="U707">
        <f>IF(K707="","",IF(ISNUMBER(--M707),TEXT(--M707,"000000000000.000"),LOWER(M707)))</f>
        <v/>
      </c>
      <c r="V707">
        <f>IF(K707="","",LOWER(N707))</f>
        <v/>
      </c>
      <c r="W707">
        <f>IF(K707="","",G207)</f>
        <v/>
      </c>
      <c r="X707">
        <f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>
      <c r="K708">
        <f>IF(H208="","",IF(SUMPRODUCT(--($C$2:$C$501=H208))&gt;0,"",H208))</f>
        <v/>
      </c>
      <c r="L708">
        <f>IF(K708="","",IF(ISNUMBER('List 2'!A208),'List 2'!A208,TRIM('List 2'!A208)))</f>
        <v/>
      </c>
      <c r="M708">
        <f>IF(K708="","",IF(ISNUMBER('List 2'!C208),'List 2'!C208,TRIM('List 2'!C208)))</f>
        <v/>
      </c>
      <c r="N708">
        <f>IF(K708="","",IF(ISNUMBER('List 2'!D208),'List 2'!D208,TRIM('List 2'!D208)))</f>
        <v/>
      </c>
      <c r="O708">
        <f>IF(K708="","",0)</f>
        <v/>
      </c>
      <c r="P708">
        <f>IF(K708="","",I208)</f>
        <v/>
      </c>
      <c r="Q708">
        <f>IF(K708="","",FALSE)</f>
        <v/>
      </c>
      <c r="R708">
        <f>IF(K708="","",TRUE)</f>
        <v/>
      </c>
      <c r="S708">
        <f>IF(K708="","",IF(AND(Q708,R708),IF(O708=P708,"Match","Qty Different"),IF(Q708,"Only in List 1","Only in List 2")))</f>
        <v/>
      </c>
      <c r="T708">
        <f>IF(K708="","",IF(ISNUMBER(--L708),TEXT(--L708,"000000000000.000"),LOWER(L708)))</f>
        <v/>
      </c>
      <c r="U708">
        <f>IF(K708="","",IF(ISNUMBER(--M708),TEXT(--M708,"000000000000.000"),LOWER(M708)))</f>
        <v/>
      </c>
      <c r="V708">
        <f>IF(K708="","",LOWER(N708))</f>
        <v/>
      </c>
      <c r="W708">
        <f>IF(K708="","",G208)</f>
        <v/>
      </c>
      <c r="X708">
        <f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>
      <c r="K709">
        <f>IF(H209="","",IF(SUMPRODUCT(--($C$2:$C$501=H209))&gt;0,"",H209))</f>
        <v/>
      </c>
      <c r="L709">
        <f>IF(K709="","",IF(ISNUMBER('List 2'!A209),'List 2'!A209,TRIM('List 2'!A209)))</f>
        <v/>
      </c>
      <c r="M709">
        <f>IF(K709="","",IF(ISNUMBER('List 2'!C209),'List 2'!C209,TRIM('List 2'!C209)))</f>
        <v/>
      </c>
      <c r="N709">
        <f>IF(K709="","",IF(ISNUMBER('List 2'!D209),'List 2'!D209,TRIM('List 2'!D209)))</f>
        <v/>
      </c>
      <c r="O709">
        <f>IF(K709="","",0)</f>
        <v/>
      </c>
      <c r="P709">
        <f>IF(K709="","",I209)</f>
        <v/>
      </c>
      <c r="Q709">
        <f>IF(K709="","",FALSE)</f>
        <v/>
      </c>
      <c r="R709">
        <f>IF(K709="","",TRUE)</f>
        <v/>
      </c>
      <c r="S709">
        <f>IF(K709="","",IF(AND(Q709,R709),IF(O709=P709,"Match","Qty Different"),IF(Q709,"Only in List 1","Only in List 2")))</f>
        <v/>
      </c>
      <c r="T709">
        <f>IF(K709="","",IF(ISNUMBER(--L709),TEXT(--L709,"000000000000.000"),LOWER(L709)))</f>
        <v/>
      </c>
      <c r="U709">
        <f>IF(K709="","",IF(ISNUMBER(--M709),TEXT(--M709,"000000000000.000"),LOWER(M709)))</f>
        <v/>
      </c>
      <c r="V709">
        <f>IF(K709="","",LOWER(N709))</f>
        <v/>
      </c>
      <c r="W709">
        <f>IF(K709="","",G209)</f>
        <v/>
      </c>
      <c r="X709">
        <f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>
      <c r="K710">
        <f>IF(H210="","",IF(SUMPRODUCT(--($C$2:$C$501=H210))&gt;0,"",H210))</f>
        <v/>
      </c>
      <c r="L710">
        <f>IF(K710="","",IF(ISNUMBER('List 2'!A210),'List 2'!A210,TRIM('List 2'!A210)))</f>
        <v/>
      </c>
      <c r="M710">
        <f>IF(K710="","",IF(ISNUMBER('List 2'!C210),'List 2'!C210,TRIM('List 2'!C210)))</f>
        <v/>
      </c>
      <c r="N710">
        <f>IF(K710="","",IF(ISNUMBER('List 2'!D210),'List 2'!D210,TRIM('List 2'!D210)))</f>
        <v/>
      </c>
      <c r="O710">
        <f>IF(K710="","",0)</f>
        <v/>
      </c>
      <c r="P710">
        <f>IF(K710="","",I210)</f>
        <v/>
      </c>
      <c r="Q710">
        <f>IF(K710="","",FALSE)</f>
        <v/>
      </c>
      <c r="R710">
        <f>IF(K710="","",TRUE)</f>
        <v/>
      </c>
      <c r="S710">
        <f>IF(K710="","",IF(AND(Q710,R710),IF(O710=P710,"Match","Qty Different"),IF(Q710,"Only in List 1","Only in List 2")))</f>
        <v/>
      </c>
      <c r="T710">
        <f>IF(K710="","",IF(ISNUMBER(--L710),TEXT(--L710,"000000000000.000"),LOWER(L710)))</f>
        <v/>
      </c>
      <c r="U710">
        <f>IF(K710="","",IF(ISNUMBER(--M710),TEXT(--M710,"000000000000.000"),LOWER(M710)))</f>
        <v/>
      </c>
      <c r="V710">
        <f>IF(K710="","",LOWER(N710))</f>
        <v/>
      </c>
      <c r="W710">
        <f>IF(K710="","",G210)</f>
        <v/>
      </c>
      <c r="X710">
        <f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>
      <c r="K711">
        <f>IF(H211="","",IF(SUMPRODUCT(--($C$2:$C$501=H211))&gt;0,"",H211))</f>
        <v/>
      </c>
      <c r="L711">
        <f>IF(K711="","",IF(ISNUMBER('List 2'!A211),'List 2'!A211,TRIM('List 2'!A211)))</f>
        <v/>
      </c>
      <c r="M711">
        <f>IF(K711="","",IF(ISNUMBER('List 2'!C211),'List 2'!C211,TRIM('List 2'!C211)))</f>
        <v/>
      </c>
      <c r="N711">
        <f>IF(K711="","",IF(ISNUMBER('List 2'!D211),'List 2'!D211,TRIM('List 2'!D211)))</f>
        <v/>
      </c>
      <c r="O711">
        <f>IF(K711="","",0)</f>
        <v/>
      </c>
      <c r="P711">
        <f>IF(K711="","",I211)</f>
        <v/>
      </c>
      <c r="Q711">
        <f>IF(K711="","",FALSE)</f>
        <v/>
      </c>
      <c r="R711">
        <f>IF(K711="","",TRUE)</f>
        <v/>
      </c>
      <c r="S711">
        <f>IF(K711="","",IF(AND(Q711,R711),IF(O711=P711,"Match","Qty Different"),IF(Q711,"Only in List 1","Only in List 2")))</f>
        <v/>
      </c>
      <c r="T711">
        <f>IF(K711="","",IF(ISNUMBER(--L711),TEXT(--L711,"000000000000.000"),LOWER(L711)))</f>
        <v/>
      </c>
      <c r="U711">
        <f>IF(K711="","",IF(ISNUMBER(--M711),TEXT(--M711,"000000000000.000"),LOWER(M711)))</f>
        <v/>
      </c>
      <c r="V711">
        <f>IF(K711="","",LOWER(N711))</f>
        <v/>
      </c>
      <c r="W711">
        <f>IF(K711="","",G211)</f>
        <v/>
      </c>
      <c r="X711">
        <f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>
      <c r="K712">
        <f>IF(H212="","",IF(SUMPRODUCT(--($C$2:$C$501=H212))&gt;0,"",H212))</f>
        <v/>
      </c>
      <c r="L712">
        <f>IF(K712="","",IF(ISNUMBER('List 2'!A212),'List 2'!A212,TRIM('List 2'!A212)))</f>
        <v/>
      </c>
      <c r="M712">
        <f>IF(K712="","",IF(ISNUMBER('List 2'!C212),'List 2'!C212,TRIM('List 2'!C212)))</f>
        <v/>
      </c>
      <c r="N712">
        <f>IF(K712="","",IF(ISNUMBER('List 2'!D212),'List 2'!D212,TRIM('List 2'!D212)))</f>
        <v/>
      </c>
      <c r="O712">
        <f>IF(K712="","",0)</f>
        <v/>
      </c>
      <c r="P712">
        <f>IF(K712="","",I212)</f>
        <v/>
      </c>
      <c r="Q712">
        <f>IF(K712="","",FALSE)</f>
        <v/>
      </c>
      <c r="R712">
        <f>IF(K712="","",TRUE)</f>
        <v/>
      </c>
      <c r="S712">
        <f>IF(K712="","",IF(AND(Q712,R712),IF(O712=P712,"Match","Qty Different"),IF(Q712,"Only in List 1","Only in List 2")))</f>
        <v/>
      </c>
      <c r="T712">
        <f>IF(K712="","",IF(ISNUMBER(--L712),TEXT(--L712,"000000000000.000"),LOWER(L712)))</f>
        <v/>
      </c>
      <c r="U712">
        <f>IF(K712="","",IF(ISNUMBER(--M712),TEXT(--M712,"000000000000.000"),LOWER(M712)))</f>
        <v/>
      </c>
      <c r="V712">
        <f>IF(K712="","",LOWER(N712))</f>
        <v/>
      </c>
      <c r="W712">
        <f>IF(K712="","",G212)</f>
        <v/>
      </c>
      <c r="X712">
        <f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>
      <c r="K713">
        <f>IF(H213="","",IF(SUMPRODUCT(--($C$2:$C$501=H213))&gt;0,"",H213))</f>
        <v/>
      </c>
      <c r="L713">
        <f>IF(K713="","",IF(ISNUMBER('List 2'!A213),'List 2'!A213,TRIM('List 2'!A213)))</f>
        <v/>
      </c>
      <c r="M713">
        <f>IF(K713="","",IF(ISNUMBER('List 2'!C213),'List 2'!C213,TRIM('List 2'!C213)))</f>
        <v/>
      </c>
      <c r="N713">
        <f>IF(K713="","",IF(ISNUMBER('List 2'!D213),'List 2'!D213,TRIM('List 2'!D213)))</f>
        <v/>
      </c>
      <c r="O713">
        <f>IF(K713="","",0)</f>
        <v/>
      </c>
      <c r="P713">
        <f>IF(K713="","",I213)</f>
        <v/>
      </c>
      <c r="Q713">
        <f>IF(K713="","",FALSE)</f>
        <v/>
      </c>
      <c r="R713">
        <f>IF(K713="","",TRUE)</f>
        <v/>
      </c>
      <c r="S713">
        <f>IF(K713="","",IF(AND(Q713,R713),IF(O713=P713,"Match","Qty Different"),IF(Q713,"Only in List 1","Only in List 2")))</f>
        <v/>
      </c>
      <c r="T713">
        <f>IF(K713="","",IF(ISNUMBER(--L713),TEXT(--L713,"000000000000.000"),LOWER(L713)))</f>
        <v/>
      </c>
      <c r="U713">
        <f>IF(K713="","",IF(ISNUMBER(--M713),TEXT(--M713,"000000000000.000"),LOWER(M713)))</f>
        <v/>
      </c>
      <c r="V713">
        <f>IF(K713="","",LOWER(N713))</f>
        <v/>
      </c>
      <c r="W713">
        <f>IF(K713="","",G213)</f>
        <v/>
      </c>
      <c r="X713">
        <f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>
      <c r="K714">
        <f>IF(H214="","",IF(SUMPRODUCT(--($C$2:$C$501=H214))&gt;0,"",H214))</f>
        <v/>
      </c>
      <c r="L714">
        <f>IF(K714="","",IF(ISNUMBER('List 2'!A214),'List 2'!A214,TRIM('List 2'!A214)))</f>
        <v/>
      </c>
      <c r="M714">
        <f>IF(K714="","",IF(ISNUMBER('List 2'!C214),'List 2'!C214,TRIM('List 2'!C214)))</f>
        <v/>
      </c>
      <c r="N714">
        <f>IF(K714="","",IF(ISNUMBER('List 2'!D214),'List 2'!D214,TRIM('List 2'!D214)))</f>
        <v/>
      </c>
      <c r="O714">
        <f>IF(K714="","",0)</f>
        <v/>
      </c>
      <c r="P714">
        <f>IF(K714="","",I214)</f>
        <v/>
      </c>
      <c r="Q714">
        <f>IF(K714="","",FALSE)</f>
        <v/>
      </c>
      <c r="R714">
        <f>IF(K714="","",TRUE)</f>
        <v/>
      </c>
      <c r="S714">
        <f>IF(K714="","",IF(AND(Q714,R714),IF(O714=P714,"Match","Qty Different"),IF(Q714,"Only in List 1","Only in List 2")))</f>
        <v/>
      </c>
      <c r="T714">
        <f>IF(K714="","",IF(ISNUMBER(--L714),TEXT(--L714,"000000000000.000"),LOWER(L714)))</f>
        <v/>
      </c>
      <c r="U714">
        <f>IF(K714="","",IF(ISNUMBER(--M714),TEXT(--M714,"000000000000.000"),LOWER(M714)))</f>
        <v/>
      </c>
      <c r="V714">
        <f>IF(K714="","",LOWER(N714))</f>
        <v/>
      </c>
      <c r="W714">
        <f>IF(K714="","",G214)</f>
        <v/>
      </c>
      <c r="X714">
        <f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>
      <c r="K715">
        <f>IF(H215="","",IF(SUMPRODUCT(--($C$2:$C$501=H215))&gt;0,"",H215))</f>
        <v/>
      </c>
      <c r="L715">
        <f>IF(K715="","",IF(ISNUMBER('List 2'!A215),'List 2'!A215,TRIM('List 2'!A215)))</f>
        <v/>
      </c>
      <c r="M715">
        <f>IF(K715="","",IF(ISNUMBER('List 2'!C215),'List 2'!C215,TRIM('List 2'!C215)))</f>
        <v/>
      </c>
      <c r="N715">
        <f>IF(K715="","",IF(ISNUMBER('List 2'!D215),'List 2'!D215,TRIM('List 2'!D215)))</f>
        <v/>
      </c>
      <c r="O715">
        <f>IF(K715="","",0)</f>
        <v/>
      </c>
      <c r="P715">
        <f>IF(K715="","",I215)</f>
        <v/>
      </c>
      <c r="Q715">
        <f>IF(K715="","",FALSE)</f>
        <v/>
      </c>
      <c r="R715">
        <f>IF(K715="","",TRUE)</f>
        <v/>
      </c>
      <c r="S715">
        <f>IF(K715="","",IF(AND(Q715,R715),IF(O715=P715,"Match","Qty Different"),IF(Q715,"Only in List 1","Only in List 2")))</f>
        <v/>
      </c>
      <c r="T715">
        <f>IF(K715="","",IF(ISNUMBER(--L715),TEXT(--L715,"000000000000.000"),LOWER(L715)))</f>
        <v/>
      </c>
      <c r="U715">
        <f>IF(K715="","",IF(ISNUMBER(--M715),TEXT(--M715,"000000000000.000"),LOWER(M715)))</f>
        <v/>
      </c>
      <c r="V715">
        <f>IF(K715="","",LOWER(N715))</f>
        <v/>
      </c>
      <c r="W715">
        <f>IF(K715="","",G215)</f>
        <v/>
      </c>
      <c r="X715">
        <f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>
      <c r="K716">
        <f>IF(H216="","",IF(SUMPRODUCT(--($C$2:$C$501=H216))&gt;0,"",H216))</f>
        <v/>
      </c>
      <c r="L716">
        <f>IF(K716="","",IF(ISNUMBER('List 2'!A216),'List 2'!A216,TRIM('List 2'!A216)))</f>
        <v/>
      </c>
      <c r="M716">
        <f>IF(K716="","",IF(ISNUMBER('List 2'!C216),'List 2'!C216,TRIM('List 2'!C216)))</f>
        <v/>
      </c>
      <c r="N716">
        <f>IF(K716="","",IF(ISNUMBER('List 2'!D216),'List 2'!D216,TRIM('List 2'!D216)))</f>
        <v/>
      </c>
      <c r="O716">
        <f>IF(K716="","",0)</f>
        <v/>
      </c>
      <c r="P716">
        <f>IF(K716="","",I216)</f>
        <v/>
      </c>
      <c r="Q716">
        <f>IF(K716="","",FALSE)</f>
        <v/>
      </c>
      <c r="R716">
        <f>IF(K716="","",TRUE)</f>
        <v/>
      </c>
      <c r="S716">
        <f>IF(K716="","",IF(AND(Q716,R716),IF(O716=P716,"Match","Qty Different"),IF(Q716,"Only in List 1","Only in List 2")))</f>
        <v/>
      </c>
      <c r="T716">
        <f>IF(K716="","",IF(ISNUMBER(--L716),TEXT(--L716,"000000000000.000"),LOWER(L716)))</f>
        <v/>
      </c>
      <c r="U716">
        <f>IF(K716="","",IF(ISNUMBER(--M716),TEXT(--M716,"000000000000.000"),LOWER(M716)))</f>
        <v/>
      </c>
      <c r="V716">
        <f>IF(K716="","",LOWER(N716))</f>
        <v/>
      </c>
      <c r="W716">
        <f>IF(K716="","",G216)</f>
        <v/>
      </c>
      <c r="X716">
        <f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>
      <c r="K717">
        <f>IF(H217="","",IF(SUMPRODUCT(--($C$2:$C$501=H217))&gt;0,"",H217))</f>
        <v/>
      </c>
      <c r="L717">
        <f>IF(K717="","",IF(ISNUMBER('List 2'!A217),'List 2'!A217,TRIM('List 2'!A217)))</f>
        <v/>
      </c>
      <c r="M717">
        <f>IF(K717="","",IF(ISNUMBER('List 2'!C217),'List 2'!C217,TRIM('List 2'!C217)))</f>
        <v/>
      </c>
      <c r="N717">
        <f>IF(K717="","",IF(ISNUMBER('List 2'!D217),'List 2'!D217,TRIM('List 2'!D217)))</f>
        <v/>
      </c>
      <c r="O717">
        <f>IF(K717="","",0)</f>
        <v/>
      </c>
      <c r="P717">
        <f>IF(K717="","",I217)</f>
        <v/>
      </c>
      <c r="Q717">
        <f>IF(K717="","",FALSE)</f>
        <v/>
      </c>
      <c r="R717">
        <f>IF(K717="","",TRUE)</f>
        <v/>
      </c>
      <c r="S717">
        <f>IF(K717="","",IF(AND(Q717,R717),IF(O717=P717,"Match","Qty Different"),IF(Q717,"Only in List 1","Only in List 2")))</f>
        <v/>
      </c>
      <c r="T717">
        <f>IF(K717="","",IF(ISNUMBER(--L717),TEXT(--L717,"000000000000.000"),LOWER(L717)))</f>
        <v/>
      </c>
      <c r="U717">
        <f>IF(K717="","",IF(ISNUMBER(--M717),TEXT(--M717,"000000000000.000"),LOWER(M717)))</f>
        <v/>
      </c>
      <c r="V717">
        <f>IF(K717="","",LOWER(N717))</f>
        <v/>
      </c>
      <c r="W717">
        <f>IF(K717="","",G217)</f>
        <v/>
      </c>
      <c r="X717">
        <f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>
      <c r="K718">
        <f>IF(H218="","",IF(SUMPRODUCT(--($C$2:$C$501=H218))&gt;0,"",H218))</f>
        <v/>
      </c>
      <c r="L718">
        <f>IF(K718="","",IF(ISNUMBER('List 2'!A218),'List 2'!A218,TRIM('List 2'!A218)))</f>
        <v/>
      </c>
      <c r="M718">
        <f>IF(K718="","",IF(ISNUMBER('List 2'!C218),'List 2'!C218,TRIM('List 2'!C218)))</f>
        <v/>
      </c>
      <c r="N718">
        <f>IF(K718="","",IF(ISNUMBER('List 2'!D218),'List 2'!D218,TRIM('List 2'!D218)))</f>
        <v/>
      </c>
      <c r="O718">
        <f>IF(K718="","",0)</f>
        <v/>
      </c>
      <c r="P718">
        <f>IF(K718="","",I218)</f>
        <v/>
      </c>
      <c r="Q718">
        <f>IF(K718="","",FALSE)</f>
        <v/>
      </c>
      <c r="R718">
        <f>IF(K718="","",TRUE)</f>
        <v/>
      </c>
      <c r="S718">
        <f>IF(K718="","",IF(AND(Q718,R718),IF(O718=P718,"Match","Qty Different"),IF(Q718,"Only in List 1","Only in List 2")))</f>
        <v/>
      </c>
      <c r="T718">
        <f>IF(K718="","",IF(ISNUMBER(--L718),TEXT(--L718,"000000000000.000"),LOWER(L718)))</f>
        <v/>
      </c>
      <c r="U718">
        <f>IF(K718="","",IF(ISNUMBER(--M718),TEXT(--M718,"000000000000.000"),LOWER(M718)))</f>
        <v/>
      </c>
      <c r="V718">
        <f>IF(K718="","",LOWER(N718))</f>
        <v/>
      </c>
      <c r="W718">
        <f>IF(K718="","",G218)</f>
        <v/>
      </c>
      <c r="X718">
        <f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>
      <c r="K719">
        <f>IF(H219="","",IF(SUMPRODUCT(--($C$2:$C$501=H219))&gt;0,"",H219))</f>
        <v/>
      </c>
      <c r="L719">
        <f>IF(K719="","",IF(ISNUMBER('List 2'!A219),'List 2'!A219,TRIM('List 2'!A219)))</f>
        <v/>
      </c>
      <c r="M719">
        <f>IF(K719="","",IF(ISNUMBER('List 2'!C219),'List 2'!C219,TRIM('List 2'!C219)))</f>
        <v/>
      </c>
      <c r="N719">
        <f>IF(K719="","",IF(ISNUMBER('List 2'!D219),'List 2'!D219,TRIM('List 2'!D219)))</f>
        <v/>
      </c>
      <c r="O719">
        <f>IF(K719="","",0)</f>
        <v/>
      </c>
      <c r="P719">
        <f>IF(K719="","",I219)</f>
        <v/>
      </c>
      <c r="Q719">
        <f>IF(K719="","",FALSE)</f>
        <v/>
      </c>
      <c r="R719">
        <f>IF(K719="","",TRUE)</f>
        <v/>
      </c>
      <c r="S719">
        <f>IF(K719="","",IF(AND(Q719,R719),IF(O719=P719,"Match","Qty Different"),IF(Q719,"Only in List 1","Only in List 2")))</f>
        <v/>
      </c>
      <c r="T719">
        <f>IF(K719="","",IF(ISNUMBER(--L719),TEXT(--L719,"000000000000.000"),LOWER(L719)))</f>
        <v/>
      </c>
      <c r="U719">
        <f>IF(K719="","",IF(ISNUMBER(--M719),TEXT(--M719,"000000000000.000"),LOWER(M719)))</f>
        <v/>
      </c>
      <c r="V719">
        <f>IF(K719="","",LOWER(N719))</f>
        <v/>
      </c>
      <c r="W719">
        <f>IF(K719="","",G219)</f>
        <v/>
      </c>
      <c r="X719">
        <f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>
      <c r="K720">
        <f>IF(H220="","",IF(SUMPRODUCT(--($C$2:$C$501=H220))&gt;0,"",H220))</f>
        <v/>
      </c>
      <c r="L720">
        <f>IF(K720="","",IF(ISNUMBER('List 2'!A220),'List 2'!A220,TRIM('List 2'!A220)))</f>
        <v/>
      </c>
      <c r="M720">
        <f>IF(K720="","",IF(ISNUMBER('List 2'!C220),'List 2'!C220,TRIM('List 2'!C220)))</f>
        <v/>
      </c>
      <c r="N720">
        <f>IF(K720="","",IF(ISNUMBER('List 2'!D220),'List 2'!D220,TRIM('List 2'!D220)))</f>
        <v/>
      </c>
      <c r="O720">
        <f>IF(K720="","",0)</f>
        <v/>
      </c>
      <c r="P720">
        <f>IF(K720="","",I220)</f>
        <v/>
      </c>
      <c r="Q720">
        <f>IF(K720="","",FALSE)</f>
        <v/>
      </c>
      <c r="R720">
        <f>IF(K720="","",TRUE)</f>
        <v/>
      </c>
      <c r="S720">
        <f>IF(K720="","",IF(AND(Q720,R720),IF(O720=P720,"Match","Qty Different"),IF(Q720,"Only in List 1","Only in List 2")))</f>
        <v/>
      </c>
      <c r="T720">
        <f>IF(K720="","",IF(ISNUMBER(--L720),TEXT(--L720,"000000000000.000"),LOWER(L720)))</f>
        <v/>
      </c>
      <c r="U720">
        <f>IF(K720="","",IF(ISNUMBER(--M720),TEXT(--M720,"000000000000.000"),LOWER(M720)))</f>
        <v/>
      </c>
      <c r="V720">
        <f>IF(K720="","",LOWER(N720))</f>
        <v/>
      </c>
      <c r="W720">
        <f>IF(K720="","",G220)</f>
        <v/>
      </c>
      <c r="X720">
        <f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>
      <c r="K721">
        <f>IF(H221="","",IF(SUMPRODUCT(--($C$2:$C$501=H221))&gt;0,"",H221))</f>
        <v/>
      </c>
      <c r="L721">
        <f>IF(K721="","",IF(ISNUMBER('List 2'!A221),'List 2'!A221,TRIM('List 2'!A221)))</f>
        <v/>
      </c>
      <c r="M721">
        <f>IF(K721="","",IF(ISNUMBER('List 2'!C221),'List 2'!C221,TRIM('List 2'!C221)))</f>
        <v/>
      </c>
      <c r="N721">
        <f>IF(K721="","",IF(ISNUMBER('List 2'!D221),'List 2'!D221,TRIM('List 2'!D221)))</f>
        <v/>
      </c>
      <c r="O721">
        <f>IF(K721="","",0)</f>
        <v/>
      </c>
      <c r="P721">
        <f>IF(K721="","",I221)</f>
        <v/>
      </c>
      <c r="Q721">
        <f>IF(K721="","",FALSE)</f>
        <v/>
      </c>
      <c r="R721">
        <f>IF(K721="","",TRUE)</f>
        <v/>
      </c>
      <c r="S721">
        <f>IF(K721="","",IF(AND(Q721,R721),IF(O721=P721,"Match","Qty Different"),IF(Q721,"Only in List 1","Only in List 2")))</f>
        <v/>
      </c>
      <c r="T721">
        <f>IF(K721="","",IF(ISNUMBER(--L721),TEXT(--L721,"000000000000.000"),LOWER(L721)))</f>
        <v/>
      </c>
      <c r="U721">
        <f>IF(K721="","",IF(ISNUMBER(--M721),TEXT(--M721,"000000000000.000"),LOWER(M721)))</f>
        <v/>
      </c>
      <c r="V721">
        <f>IF(K721="","",LOWER(N721))</f>
        <v/>
      </c>
      <c r="W721">
        <f>IF(K721="","",G221)</f>
        <v/>
      </c>
      <c r="X721">
        <f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>
      <c r="K722">
        <f>IF(H222="","",IF(SUMPRODUCT(--($C$2:$C$501=H222))&gt;0,"",H222))</f>
        <v/>
      </c>
      <c r="L722">
        <f>IF(K722="","",IF(ISNUMBER('List 2'!A222),'List 2'!A222,TRIM('List 2'!A222)))</f>
        <v/>
      </c>
      <c r="M722">
        <f>IF(K722="","",IF(ISNUMBER('List 2'!C222),'List 2'!C222,TRIM('List 2'!C222)))</f>
        <v/>
      </c>
      <c r="N722">
        <f>IF(K722="","",IF(ISNUMBER('List 2'!D222),'List 2'!D222,TRIM('List 2'!D222)))</f>
        <v/>
      </c>
      <c r="O722">
        <f>IF(K722="","",0)</f>
        <v/>
      </c>
      <c r="P722">
        <f>IF(K722="","",I222)</f>
        <v/>
      </c>
      <c r="Q722">
        <f>IF(K722="","",FALSE)</f>
        <v/>
      </c>
      <c r="R722">
        <f>IF(K722="","",TRUE)</f>
        <v/>
      </c>
      <c r="S722">
        <f>IF(K722="","",IF(AND(Q722,R722),IF(O722=P722,"Match","Qty Different"),IF(Q722,"Only in List 1","Only in List 2")))</f>
        <v/>
      </c>
      <c r="T722">
        <f>IF(K722="","",IF(ISNUMBER(--L722),TEXT(--L722,"000000000000.000"),LOWER(L722)))</f>
        <v/>
      </c>
      <c r="U722">
        <f>IF(K722="","",IF(ISNUMBER(--M722),TEXT(--M722,"000000000000.000"),LOWER(M722)))</f>
        <v/>
      </c>
      <c r="V722">
        <f>IF(K722="","",LOWER(N722))</f>
        <v/>
      </c>
      <c r="W722">
        <f>IF(K722="","",G222)</f>
        <v/>
      </c>
      <c r="X722">
        <f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>
      <c r="K723">
        <f>IF(H223="","",IF(SUMPRODUCT(--($C$2:$C$501=H223))&gt;0,"",H223))</f>
        <v/>
      </c>
      <c r="L723">
        <f>IF(K723="","",IF(ISNUMBER('List 2'!A223),'List 2'!A223,TRIM('List 2'!A223)))</f>
        <v/>
      </c>
      <c r="M723">
        <f>IF(K723="","",IF(ISNUMBER('List 2'!C223),'List 2'!C223,TRIM('List 2'!C223)))</f>
        <v/>
      </c>
      <c r="N723">
        <f>IF(K723="","",IF(ISNUMBER('List 2'!D223),'List 2'!D223,TRIM('List 2'!D223)))</f>
        <v/>
      </c>
      <c r="O723">
        <f>IF(K723="","",0)</f>
        <v/>
      </c>
      <c r="P723">
        <f>IF(K723="","",I223)</f>
        <v/>
      </c>
      <c r="Q723">
        <f>IF(K723="","",FALSE)</f>
        <v/>
      </c>
      <c r="R723">
        <f>IF(K723="","",TRUE)</f>
        <v/>
      </c>
      <c r="S723">
        <f>IF(K723="","",IF(AND(Q723,R723),IF(O723=P723,"Match","Qty Different"),IF(Q723,"Only in List 1","Only in List 2")))</f>
        <v/>
      </c>
      <c r="T723">
        <f>IF(K723="","",IF(ISNUMBER(--L723),TEXT(--L723,"000000000000.000"),LOWER(L723)))</f>
        <v/>
      </c>
      <c r="U723">
        <f>IF(K723="","",IF(ISNUMBER(--M723),TEXT(--M723,"000000000000.000"),LOWER(M723)))</f>
        <v/>
      </c>
      <c r="V723">
        <f>IF(K723="","",LOWER(N723))</f>
        <v/>
      </c>
      <c r="W723">
        <f>IF(K723="","",G223)</f>
        <v/>
      </c>
      <c r="X723">
        <f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>
      <c r="K724">
        <f>IF(H224="","",IF(SUMPRODUCT(--($C$2:$C$501=H224))&gt;0,"",H224))</f>
        <v/>
      </c>
      <c r="L724">
        <f>IF(K724="","",IF(ISNUMBER('List 2'!A224),'List 2'!A224,TRIM('List 2'!A224)))</f>
        <v/>
      </c>
      <c r="M724">
        <f>IF(K724="","",IF(ISNUMBER('List 2'!C224),'List 2'!C224,TRIM('List 2'!C224)))</f>
        <v/>
      </c>
      <c r="N724">
        <f>IF(K724="","",IF(ISNUMBER('List 2'!D224),'List 2'!D224,TRIM('List 2'!D224)))</f>
        <v/>
      </c>
      <c r="O724">
        <f>IF(K724="","",0)</f>
        <v/>
      </c>
      <c r="P724">
        <f>IF(K724="","",I224)</f>
        <v/>
      </c>
      <c r="Q724">
        <f>IF(K724="","",FALSE)</f>
        <v/>
      </c>
      <c r="R724">
        <f>IF(K724="","",TRUE)</f>
        <v/>
      </c>
      <c r="S724">
        <f>IF(K724="","",IF(AND(Q724,R724),IF(O724=P724,"Match","Qty Different"),IF(Q724,"Only in List 1","Only in List 2")))</f>
        <v/>
      </c>
      <c r="T724">
        <f>IF(K724="","",IF(ISNUMBER(--L724),TEXT(--L724,"000000000000.000"),LOWER(L724)))</f>
        <v/>
      </c>
      <c r="U724">
        <f>IF(K724="","",IF(ISNUMBER(--M724),TEXT(--M724,"000000000000.000"),LOWER(M724)))</f>
        <v/>
      </c>
      <c r="V724">
        <f>IF(K724="","",LOWER(N724))</f>
        <v/>
      </c>
      <c r="W724">
        <f>IF(K724="","",G224)</f>
        <v/>
      </c>
      <c r="X724">
        <f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>
      <c r="K725">
        <f>IF(H225="","",IF(SUMPRODUCT(--($C$2:$C$501=H225))&gt;0,"",H225))</f>
        <v/>
      </c>
      <c r="L725">
        <f>IF(K725="","",IF(ISNUMBER('List 2'!A225),'List 2'!A225,TRIM('List 2'!A225)))</f>
        <v/>
      </c>
      <c r="M725">
        <f>IF(K725="","",IF(ISNUMBER('List 2'!C225),'List 2'!C225,TRIM('List 2'!C225)))</f>
        <v/>
      </c>
      <c r="N725">
        <f>IF(K725="","",IF(ISNUMBER('List 2'!D225),'List 2'!D225,TRIM('List 2'!D225)))</f>
        <v/>
      </c>
      <c r="O725">
        <f>IF(K725="","",0)</f>
        <v/>
      </c>
      <c r="P725">
        <f>IF(K725="","",I225)</f>
        <v/>
      </c>
      <c r="Q725">
        <f>IF(K725="","",FALSE)</f>
        <v/>
      </c>
      <c r="R725">
        <f>IF(K725="","",TRUE)</f>
        <v/>
      </c>
      <c r="S725">
        <f>IF(K725="","",IF(AND(Q725,R725),IF(O725=P725,"Match","Qty Different"),IF(Q725,"Only in List 1","Only in List 2")))</f>
        <v/>
      </c>
      <c r="T725">
        <f>IF(K725="","",IF(ISNUMBER(--L725),TEXT(--L725,"000000000000.000"),LOWER(L725)))</f>
        <v/>
      </c>
      <c r="U725">
        <f>IF(K725="","",IF(ISNUMBER(--M725),TEXT(--M725,"000000000000.000"),LOWER(M725)))</f>
        <v/>
      </c>
      <c r="V725">
        <f>IF(K725="","",LOWER(N725))</f>
        <v/>
      </c>
      <c r="W725">
        <f>IF(K725="","",G225)</f>
        <v/>
      </c>
      <c r="X725">
        <f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>
      <c r="K726">
        <f>IF(H226="","",IF(SUMPRODUCT(--($C$2:$C$501=H226))&gt;0,"",H226))</f>
        <v/>
      </c>
      <c r="L726">
        <f>IF(K726="","",IF(ISNUMBER('List 2'!A226),'List 2'!A226,TRIM('List 2'!A226)))</f>
        <v/>
      </c>
      <c r="M726">
        <f>IF(K726="","",IF(ISNUMBER('List 2'!C226),'List 2'!C226,TRIM('List 2'!C226)))</f>
        <v/>
      </c>
      <c r="N726">
        <f>IF(K726="","",IF(ISNUMBER('List 2'!D226),'List 2'!D226,TRIM('List 2'!D226)))</f>
        <v/>
      </c>
      <c r="O726">
        <f>IF(K726="","",0)</f>
        <v/>
      </c>
      <c r="P726">
        <f>IF(K726="","",I226)</f>
        <v/>
      </c>
      <c r="Q726">
        <f>IF(K726="","",FALSE)</f>
        <v/>
      </c>
      <c r="R726">
        <f>IF(K726="","",TRUE)</f>
        <v/>
      </c>
      <c r="S726">
        <f>IF(K726="","",IF(AND(Q726,R726),IF(O726=P726,"Match","Qty Different"),IF(Q726,"Only in List 1","Only in List 2")))</f>
        <v/>
      </c>
      <c r="T726">
        <f>IF(K726="","",IF(ISNUMBER(--L726),TEXT(--L726,"000000000000.000"),LOWER(L726)))</f>
        <v/>
      </c>
      <c r="U726">
        <f>IF(K726="","",IF(ISNUMBER(--M726),TEXT(--M726,"000000000000.000"),LOWER(M726)))</f>
        <v/>
      </c>
      <c r="V726">
        <f>IF(K726="","",LOWER(N726))</f>
        <v/>
      </c>
      <c r="W726">
        <f>IF(K726="","",G226)</f>
        <v/>
      </c>
      <c r="X726">
        <f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>
      <c r="K727">
        <f>IF(H227="","",IF(SUMPRODUCT(--($C$2:$C$501=H227))&gt;0,"",H227))</f>
        <v/>
      </c>
      <c r="L727">
        <f>IF(K727="","",IF(ISNUMBER('List 2'!A227),'List 2'!A227,TRIM('List 2'!A227)))</f>
        <v/>
      </c>
      <c r="M727">
        <f>IF(K727="","",IF(ISNUMBER('List 2'!C227),'List 2'!C227,TRIM('List 2'!C227)))</f>
        <v/>
      </c>
      <c r="N727">
        <f>IF(K727="","",IF(ISNUMBER('List 2'!D227),'List 2'!D227,TRIM('List 2'!D227)))</f>
        <v/>
      </c>
      <c r="O727">
        <f>IF(K727="","",0)</f>
        <v/>
      </c>
      <c r="P727">
        <f>IF(K727="","",I227)</f>
        <v/>
      </c>
      <c r="Q727">
        <f>IF(K727="","",FALSE)</f>
        <v/>
      </c>
      <c r="R727">
        <f>IF(K727="","",TRUE)</f>
        <v/>
      </c>
      <c r="S727">
        <f>IF(K727="","",IF(AND(Q727,R727),IF(O727=P727,"Match","Qty Different"),IF(Q727,"Only in List 1","Only in List 2")))</f>
        <v/>
      </c>
      <c r="T727">
        <f>IF(K727="","",IF(ISNUMBER(--L727),TEXT(--L727,"000000000000.000"),LOWER(L727)))</f>
        <v/>
      </c>
      <c r="U727">
        <f>IF(K727="","",IF(ISNUMBER(--M727),TEXT(--M727,"000000000000.000"),LOWER(M727)))</f>
        <v/>
      </c>
      <c r="V727">
        <f>IF(K727="","",LOWER(N727))</f>
        <v/>
      </c>
      <c r="W727">
        <f>IF(K727="","",G227)</f>
        <v/>
      </c>
      <c r="X727">
        <f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>
      <c r="K728">
        <f>IF(H228="","",IF(SUMPRODUCT(--($C$2:$C$501=H228))&gt;0,"",H228))</f>
        <v/>
      </c>
      <c r="L728">
        <f>IF(K728="","",IF(ISNUMBER('List 2'!A228),'List 2'!A228,TRIM('List 2'!A228)))</f>
        <v/>
      </c>
      <c r="M728">
        <f>IF(K728="","",IF(ISNUMBER('List 2'!C228),'List 2'!C228,TRIM('List 2'!C228)))</f>
        <v/>
      </c>
      <c r="N728">
        <f>IF(K728="","",IF(ISNUMBER('List 2'!D228),'List 2'!D228,TRIM('List 2'!D228)))</f>
        <v/>
      </c>
      <c r="O728">
        <f>IF(K728="","",0)</f>
        <v/>
      </c>
      <c r="P728">
        <f>IF(K728="","",I228)</f>
        <v/>
      </c>
      <c r="Q728">
        <f>IF(K728="","",FALSE)</f>
        <v/>
      </c>
      <c r="R728">
        <f>IF(K728="","",TRUE)</f>
        <v/>
      </c>
      <c r="S728">
        <f>IF(K728="","",IF(AND(Q728,R728),IF(O728=P728,"Match","Qty Different"),IF(Q728,"Only in List 1","Only in List 2")))</f>
        <v/>
      </c>
      <c r="T728">
        <f>IF(K728="","",IF(ISNUMBER(--L728),TEXT(--L728,"000000000000.000"),LOWER(L728)))</f>
        <v/>
      </c>
      <c r="U728">
        <f>IF(K728="","",IF(ISNUMBER(--M728),TEXT(--M728,"000000000000.000"),LOWER(M728)))</f>
        <v/>
      </c>
      <c r="V728">
        <f>IF(K728="","",LOWER(N728))</f>
        <v/>
      </c>
      <c r="W728">
        <f>IF(K728="","",G228)</f>
        <v/>
      </c>
      <c r="X728">
        <f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>
      <c r="K729">
        <f>IF(H229="","",IF(SUMPRODUCT(--($C$2:$C$501=H229))&gt;0,"",H229))</f>
        <v/>
      </c>
      <c r="L729">
        <f>IF(K729="","",IF(ISNUMBER('List 2'!A229),'List 2'!A229,TRIM('List 2'!A229)))</f>
        <v/>
      </c>
      <c r="M729">
        <f>IF(K729="","",IF(ISNUMBER('List 2'!C229),'List 2'!C229,TRIM('List 2'!C229)))</f>
        <v/>
      </c>
      <c r="N729">
        <f>IF(K729="","",IF(ISNUMBER('List 2'!D229),'List 2'!D229,TRIM('List 2'!D229)))</f>
        <v/>
      </c>
      <c r="O729">
        <f>IF(K729="","",0)</f>
        <v/>
      </c>
      <c r="P729">
        <f>IF(K729="","",I229)</f>
        <v/>
      </c>
      <c r="Q729">
        <f>IF(K729="","",FALSE)</f>
        <v/>
      </c>
      <c r="R729">
        <f>IF(K729="","",TRUE)</f>
        <v/>
      </c>
      <c r="S729">
        <f>IF(K729="","",IF(AND(Q729,R729),IF(O729=P729,"Match","Qty Different"),IF(Q729,"Only in List 1","Only in List 2")))</f>
        <v/>
      </c>
      <c r="T729">
        <f>IF(K729="","",IF(ISNUMBER(--L729),TEXT(--L729,"000000000000.000"),LOWER(L729)))</f>
        <v/>
      </c>
      <c r="U729">
        <f>IF(K729="","",IF(ISNUMBER(--M729),TEXT(--M729,"000000000000.000"),LOWER(M729)))</f>
        <v/>
      </c>
      <c r="V729">
        <f>IF(K729="","",LOWER(N729))</f>
        <v/>
      </c>
      <c r="W729">
        <f>IF(K729="","",G229)</f>
        <v/>
      </c>
      <c r="X729">
        <f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>
      <c r="K730">
        <f>IF(H230="","",IF(SUMPRODUCT(--($C$2:$C$501=H230))&gt;0,"",H230))</f>
        <v/>
      </c>
      <c r="L730">
        <f>IF(K730="","",IF(ISNUMBER('List 2'!A230),'List 2'!A230,TRIM('List 2'!A230)))</f>
        <v/>
      </c>
      <c r="M730">
        <f>IF(K730="","",IF(ISNUMBER('List 2'!C230),'List 2'!C230,TRIM('List 2'!C230)))</f>
        <v/>
      </c>
      <c r="N730">
        <f>IF(K730="","",IF(ISNUMBER('List 2'!D230),'List 2'!D230,TRIM('List 2'!D230)))</f>
        <v/>
      </c>
      <c r="O730">
        <f>IF(K730="","",0)</f>
        <v/>
      </c>
      <c r="P730">
        <f>IF(K730="","",I230)</f>
        <v/>
      </c>
      <c r="Q730">
        <f>IF(K730="","",FALSE)</f>
        <v/>
      </c>
      <c r="R730">
        <f>IF(K730="","",TRUE)</f>
        <v/>
      </c>
      <c r="S730">
        <f>IF(K730="","",IF(AND(Q730,R730),IF(O730=P730,"Match","Qty Different"),IF(Q730,"Only in List 1","Only in List 2")))</f>
        <v/>
      </c>
      <c r="T730">
        <f>IF(K730="","",IF(ISNUMBER(--L730),TEXT(--L730,"000000000000.000"),LOWER(L730)))</f>
        <v/>
      </c>
      <c r="U730">
        <f>IF(K730="","",IF(ISNUMBER(--M730),TEXT(--M730,"000000000000.000"),LOWER(M730)))</f>
        <v/>
      </c>
      <c r="V730">
        <f>IF(K730="","",LOWER(N730))</f>
        <v/>
      </c>
      <c r="W730">
        <f>IF(K730="","",G230)</f>
        <v/>
      </c>
      <c r="X730">
        <f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>
      <c r="K731">
        <f>IF(H231="","",IF(SUMPRODUCT(--($C$2:$C$501=H231))&gt;0,"",H231))</f>
        <v/>
      </c>
      <c r="L731">
        <f>IF(K731="","",IF(ISNUMBER('List 2'!A231),'List 2'!A231,TRIM('List 2'!A231)))</f>
        <v/>
      </c>
      <c r="M731">
        <f>IF(K731="","",IF(ISNUMBER('List 2'!C231),'List 2'!C231,TRIM('List 2'!C231)))</f>
        <v/>
      </c>
      <c r="N731">
        <f>IF(K731="","",IF(ISNUMBER('List 2'!D231),'List 2'!D231,TRIM('List 2'!D231)))</f>
        <v/>
      </c>
      <c r="O731">
        <f>IF(K731="","",0)</f>
        <v/>
      </c>
      <c r="P731">
        <f>IF(K731="","",I231)</f>
        <v/>
      </c>
      <c r="Q731">
        <f>IF(K731="","",FALSE)</f>
        <v/>
      </c>
      <c r="R731">
        <f>IF(K731="","",TRUE)</f>
        <v/>
      </c>
      <c r="S731">
        <f>IF(K731="","",IF(AND(Q731,R731),IF(O731=P731,"Match","Qty Different"),IF(Q731,"Only in List 1","Only in List 2")))</f>
        <v/>
      </c>
      <c r="T731">
        <f>IF(K731="","",IF(ISNUMBER(--L731),TEXT(--L731,"000000000000.000"),LOWER(L731)))</f>
        <v/>
      </c>
      <c r="U731">
        <f>IF(K731="","",IF(ISNUMBER(--M731),TEXT(--M731,"000000000000.000"),LOWER(M731)))</f>
        <v/>
      </c>
      <c r="V731">
        <f>IF(K731="","",LOWER(N731))</f>
        <v/>
      </c>
      <c r="W731">
        <f>IF(K731="","",G231)</f>
        <v/>
      </c>
      <c r="X731">
        <f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>
      <c r="K732">
        <f>IF(H232="","",IF(SUMPRODUCT(--($C$2:$C$501=H232))&gt;0,"",H232))</f>
        <v/>
      </c>
      <c r="L732">
        <f>IF(K732="","",IF(ISNUMBER('List 2'!A232),'List 2'!A232,TRIM('List 2'!A232)))</f>
        <v/>
      </c>
      <c r="M732">
        <f>IF(K732="","",IF(ISNUMBER('List 2'!C232),'List 2'!C232,TRIM('List 2'!C232)))</f>
        <v/>
      </c>
      <c r="N732">
        <f>IF(K732="","",IF(ISNUMBER('List 2'!D232),'List 2'!D232,TRIM('List 2'!D232)))</f>
        <v/>
      </c>
      <c r="O732">
        <f>IF(K732="","",0)</f>
        <v/>
      </c>
      <c r="P732">
        <f>IF(K732="","",I232)</f>
        <v/>
      </c>
      <c r="Q732">
        <f>IF(K732="","",FALSE)</f>
        <v/>
      </c>
      <c r="R732">
        <f>IF(K732="","",TRUE)</f>
        <v/>
      </c>
      <c r="S732">
        <f>IF(K732="","",IF(AND(Q732,R732),IF(O732=P732,"Match","Qty Different"),IF(Q732,"Only in List 1","Only in List 2")))</f>
        <v/>
      </c>
      <c r="T732">
        <f>IF(K732="","",IF(ISNUMBER(--L732),TEXT(--L732,"000000000000.000"),LOWER(L732)))</f>
        <v/>
      </c>
      <c r="U732">
        <f>IF(K732="","",IF(ISNUMBER(--M732),TEXT(--M732,"000000000000.000"),LOWER(M732)))</f>
        <v/>
      </c>
      <c r="V732">
        <f>IF(K732="","",LOWER(N732))</f>
        <v/>
      </c>
      <c r="W732">
        <f>IF(K732="","",G232)</f>
        <v/>
      </c>
      <c r="X732">
        <f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>
      <c r="K733">
        <f>IF(H233="","",IF(SUMPRODUCT(--($C$2:$C$501=H233))&gt;0,"",H233))</f>
        <v/>
      </c>
      <c r="L733">
        <f>IF(K733="","",IF(ISNUMBER('List 2'!A233),'List 2'!A233,TRIM('List 2'!A233)))</f>
        <v/>
      </c>
      <c r="M733">
        <f>IF(K733="","",IF(ISNUMBER('List 2'!C233),'List 2'!C233,TRIM('List 2'!C233)))</f>
        <v/>
      </c>
      <c r="N733">
        <f>IF(K733="","",IF(ISNUMBER('List 2'!D233),'List 2'!D233,TRIM('List 2'!D233)))</f>
        <v/>
      </c>
      <c r="O733">
        <f>IF(K733="","",0)</f>
        <v/>
      </c>
      <c r="P733">
        <f>IF(K733="","",I233)</f>
        <v/>
      </c>
      <c r="Q733">
        <f>IF(K733="","",FALSE)</f>
        <v/>
      </c>
      <c r="R733">
        <f>IF(K733="","",TRUE)</f>
        <v/>
      </c>
      <c r="S733">
        <f>IF(K733="","",IF(AND(Q733,R733),IF(O733=P733,"Match","Qty Different"),IF(Q733,"Only in List 1","Only in List 2")))</f>
        <v/>
      </c>
      <c r="T733">
        <f>IF(K733="","",IF(ISNUMBER(--L733),TEXT(--L733,"000000000000.000"),LOWER(L733)))</f>
        <v/>
      </c>
      <c r="U733">
        <f>IF(K733="","",IF(ISNUMBER(--M733),TEXT(--M733,"000000000000.000"),LOWER(M733)))</f>
        <v/>
      </c>
      <c r="V733">
        <f>IF(K733="","",LOWER(N733))</f>
        <v/>
      </c>
      <c r="W733">
        <f>IF(K733="","",G233)</f>
        <v/>
      </c>
      <c r="X733">
        <f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>
      <c r="K734">
        <f>IF(H234="","",IF(SUMPRODUCT(--($C$2:$C$501=H234))&gt;0,"",H234))</f>
        <v/>
      </c>
      <c r="L734">
        <f>IF(K734="","",IF(ISNUMBER('List 2'!A234),'List 2'!A234,TRIM('List 2'!A234)))</f>
        <v/>
      </c>
      <c r="M734">
        <f>IF(K734="","",IF(ISNUMBER('List 2'!C234),'List 2'!C234,TRIM('List 2'!C234)))</f>
        <v/>
      </c>
      <c r="N734">
        <f>IF(K734="","",IF(ISNUMBER('List 2'!D234),'List 2'!D234,TRIM('List 2'!D234)))</f>
        <v/>
      </c>
      <c r="O734">
        <f>IF(K734="","",0)</f>
        <v/>
      </c>
      <c r="P734">
        <f>IF(K734="","",I234)</f>
        <v/>
      </c>
      <c r="Q734">
        <f>IF(K734="","",FALSE)</f>
        <v/>
      </c>
      <c r="R734">
        <f>IF(K734="","",TRUE)</f>
        <v/>
      </c>
      <c r="S734">
        <f>IF(K734="","",IF(AND(Q734,R734),IF(O734=P734,"Match","Qty Different"),IF(Q734,"Only in List 1","Only in List 2")))</f>
        <v/>
      </c>
      <c r="T734">
        <f>IF(K734="","",IF(ISNUMBER(--L734),TEXT(--L734,"000000000000.000"),LOWER(L734)))</f>
        <v/>
      </c>
      <c r="U734">
        <f>IF(K734="","",IF(ISNUMBER(--M734),TEXT(--M734,"000000000000.000"),LOWER(M734)))</f>
        <v/>
      </c>
      <c r="V734">
        <f>IF(K734="","",LOWER(N734))</f>
        <v/>
      </c>
      <c r="W734">
        <f>IF(K734="","",G234)</f>
        <v/>
      </c>
      <c r="X734">
        <f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>
      <c r="K735">
        <f>IF(H235="","",IF(SUMPRODUCT(--($C$2:$C$501=H235))&gt;0,"",H235))</f>
        <v/>
      </c>
      <c r="L735">
        <f>IF(K735="","",IF(ISNUMBER('List 2'!A235),'List 2'!A235,TRIM('List 2'!A235)))</f>
        <v/>
      </c>
      <c r="M735">
        <f>IF(K735="","",IF(ISNUMBER('List 2'!C235),'List 2'!C235,TRIM('List 2'!C235)))</f>
        <v/>
      </c>
      <c r="N735">
        <f>IF(K735="","",IF(ISNUMBER('List 2'!D235),'List 2'!D235,TRIM('List 2'!D235)))</f>
        <v/>
      </c>
      <c r="O735">
        <f>IF(K735="","",0)</f>
        <v/>
      </c>
      <c r="P735">
        <f>IF(K735="","",I235)</f>
        <v/>
      </c>
      <c r="Q735">
        <f>IF(K735="","",FALSE)</f>
        <v/>
      </c>
      <c r="R735">
        <f>IF(K735="","",TRUE)</f>
        <v/>
      </c>
      <c r="S735">
        <f>IF(K735="","",IF(AND(Q735,R735),IF(O735=P735,"Match","Qty Different"),IF(Q735,"Only in List 1","Only in List 2")))</f>
        <v/>
      </c>
      <c r="T735">
        <f>IF(K735="","",IF(ISNUMBER(--L735),TEXT(--L735,"000000000000.000"),LOWER(L735)))</f>
        <v/>
      </c>
      <c r="U735">
        <f>IF(K735="","",IF(ISNUMBER(--M735),TEXT(--M735,"000000000000.000"),LOWER(M735)))</f>
        <v/>
      </c>
      <c r="V735">
        <f>IF(K735="","",LOWER(N735))</f>
        <v/>
      </c>
      <c r="W735">
        <f>IF(K735="","",G235)</f>
        <v/>
      </c>
      <c r="X735">
        <f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>
      <c r="K736">
        <f>IF(H236="","",IF(SUMPRODUCT(--($C$2:$C$501=H236))&gt;0,"",H236))</f>
        <v/>
      </c>
      <c r="L736">
        <f>IF(K736="","",IF(ISNUMBER('List 2'!A236),'List 2'!A236,TRIM('List 2'!A236)))</f>
        <v/>
      </c>
      <c r="M736">
        <f>IF(K736="","",IF(ISNUMBER('List 2'!C236),'List 2'!C236,TRIM('List 2'!C236)))</f>
        <v/>
      </c>
      <c r="N736">
        <f>IF(K736="","",IF(ISNUMBER('List 2'!D236),'List 2'!D236,TRIM('List 2'!D236)))</f>
        <v/>
      </c>
      <c r="O736">
        <f>IF(K736="","",0)</f>
        <v/>
      </c>
      <c r="P736">
        <f>IF(K736="","",I236)</f>
        <v/>
      </c>
      <c r="Q736">
        <f>IF(K736="","",FALSE)</f>
        <v/>
      </c>
      <c r="R736">
        <f>IF(K736="","",TRUE)</f>
        <v/>
      </c>
      <c r="S736">
        <f>IF(K736="","",IF(AND(Q736,R736),IF(O736=P736,"Match","Qty Different"),IF(Q736,"Only in List 1","Only in List 2")))</f>
        <v/>
      </c>
      <c r="T736">
        <f>IF(K736="","",IF(ISNUMBER(--L736),TEXT(--L736,"000000000000.000"),LOWER(L736)))</f>
        <v/>
      </c>
      <c r="U736">
        <f>IF(K736="","",IF(ISNUMBER(--M736),TEXT(--M736,"000000000000.000"),LOWER(M736)))</f>
        <v/>
      </c>
      <c r="V736">
        <f>IF(K736="","",LOWER(N736))</f>
        <v/>
      </c>
      <c r="W736">
        <f>IF(K736="","",G236)</f>
        <v/>
      </c>
      <c r="X736">
        <f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>
      <c r="K737">
        <f>IF(H237="","",IF(SUMPRODUCT(--($C$2:$C$501=H237))&gt;0,"",H237))</f>
        <v/>
      </c>
      <c r="L737">
        <f>IF(K737="","",IF(ISNUMBER('List 2'!A237),'List 2'!A237,TRIM('List 2'!A237)))</f>
        <v/>
      </c>
      <c r="M737">
        <f>IF(K737="","",IF(ISNUMBER('List 2'!C237),'List 2'!C237,TRIM('List 2'!C237)))</f>
        <v/>
      </c>
      <c r="N737">
        <f>IF(K737="","",IF(ISNUMBER('List 2'!D237),'List 2'!D237,TRIM('List 2'!D237)))</f>
        <v/>
      </c>
      <c r="O737">
        <f>IF(K737="","",0)</f>
        <v/>
      </c>
      <c r="P737">
        <f>IF(K737="","",I237)</f>
        <v/>
      </c>
      <c r="Q737">
        <f>IF(K737="","",FALSE)</f>
        <v/>
      </c>
      <c r="R737">
        <f>IF(K737="","",TRUE)</f>
        <v/>
      </c>
      <c r="S737">
        <f>IF(K737="","",IF(AND(Q737,R737),IF(O737=P737,"Match","Qty Different"),IF(Q737,"Only in List 1","Only in List 2")))</f>
        <v/>
      </c>
      <c r="T737">
        <f>IF(K737="","",IF(ISNUMBER(--L737),TEXT(--L737,"000000000000.000"),LOWER(L737)))</f>
        <v/>
      </c>
      <c r="U737">
        <f>IF(K737="","",IF(ISNUMBER(--M737),TEXT(--M737,"000000000000.000"),LOWER(M737)))</f>
        <v/>
      </c>
      <c r="V737">
        <f>IF(K737="","",LOWER(N737))</f>
        <v/>
      </c>
      <c r="W737">
        <f>IF(K737="","",G237)</f>
        <v/>
      </c>
      <c r="X737">
        <f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>
      <c r="K738">
        <f>IF(H238="","",IF(SUMPRODUCT(--($C$2:$C$501=H238))&gt;0,"",H238))</f>
        <v/>
      </c>
      <c r="L738">
        <f>IF(K738="","",IF(ISNUMBER('List 2'!A238),'List 2'!A238,TRIM('List 2'!A238)))</f>
        <v/>
      </c>
      <c r="M738">
        <f>IF(K738="","",IF(ISNUMBER('List 2'!C238),'List 2'!C238,TRIM('List 2'!C238)))</f>
        <v/>
      </c>
      <c r="N738">
        <f>IF(K738="","",IF(ISNUMBER('List 2'!D238),'List 2'!D238,TRIM('List 2'!D238)))</f>
        <v/>
      </c>
      <c r="O738">
        <f>IF(K738="","",0)</f>
        <v/>
      </c>
      <c r="P738">
        <f>IF(K738="","",I238)</f>
        <v/>
      </c>
      <c r="Q738">
        <f>IF(K738="","",FALSE)</f>
        <v/>
      </c>
      <c r="R738">
        <f>IF(K738="","",TRUE)</f>
        <v/>
      </c>
      <c r="S738">
        <f>IF(K738="","",IF(AND(Q738,R738),IF(O738=P738,"Match","Qty Different"),IF(Q738,"Only in List 1","Only in List 2")))</f>
        <v/>
      </c>
      <c r="T738">
        <f>IF(K738="","",IF(ISNUMBER(--L738),TEXT(--L738,"000000000000.000"),LOWER(L738)))</f>
        <v/>
      </c>
      <c r="U738">
        <f>IF(K738="","",IF(ISNUMBER(--M738),TEXT(--M738,"000000000000.000"),LOWER(M738)))</f>
        <v/>
      </c>
      <c r="V738">
        <f>IF(K738="","",LOWER(N738))</f>
        <v/>
      </c>
      <c r="W738">
        <f>IF(K738="","",G238)</f>
        <v/>
      </c>
      <c r="X738">
        <f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>
      <c r="K739">
        <f>IF(H239="","",IF(SUMPRODUCT(--($C$2:$C$501=H239))&gt;0,"",H239))</f>
        <v/>
      </c>
      <c r="L739">
        <f>IF(K739="","",IF(ISNUMBER('List 2'!A239),'List 2'!A239,TRIM('List 2'!A239)))</f>
        <v/>
      </c>
      <c r="M739">
        <f>IF(K739="","",IF(ISNUMBER('List 2'!C239),'List 2'!C239,TRIM('List 2'!C239)))</f>
        <v/>
      </c>
      <c r="N739">
        <f>IF(K739="","",IF(ISNUMBER('List 2'!D239),'List 2'!D239,TRIM('List 2'!D239)))</f>
        <v/>
      </c>
      <c r="O739">
        <f>IF(K739="","",0)</f>
        <v/>
      </c>
      <c r="P739">
        <f>IF(K739="","",I239)</f>
        <v/>
      </c>
      <c r="Q739">
        <f>IF(K739="","",FALSE)</f>
        <v/>
      </c>
      <c r="R739">
        <f>IF(K739="","",TRUE)</f>
        <v/>
      </c>
      <c r="S739">
        <f>IF(K739="","",IF(AND(Q739,R739),IF(O739=P739,"Match","Qty Different"),IF(Q739,"Only in List 1","Only in List 2")))</f>
        <v/>
      </c>
      <c r="T739">
        <f>IF(K739="","",IF(ISNUMBER(--L739),TEXT(--L739,"000000000000.000"),LOWER(L739)))</f>
        <v/>
      </c>
      <c r="U739">
        <f>IF(K739="","",IF(ISNUMBER(--M739),TEXT(--M739,"000000000000.000"),LOWER(M739)))</f>
        <v/>
      </c>
      <c r="V739">
        <f>IF(K739="","",LOWER(N739))</f>
        <v/>
      </c>
      <c r="W739">
        <f>IF(K739="","",G239)</f>
        <v/>
      </c>
      <c r="X739">
        <f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>
      <c r="K740">
        <f>IF(H240="","",IF(SUMPRODUCT(--($C$2:$C$501=H240))&gt;0,"",H240))</f>
        <v/>
      </c>
      <c r="L740">
        <f>IF(K740="","",IF(ISNUMBER('List 2'!A240),'List 2'!A240,TRIM('List 2'!A240)))</f>
        <v/>
      </c>
      <c r="M740">
        <f>IF(K740="","",IF(ISNUMBER('List 2'!C240),'List 2'!C240,TRIM('List 2'!C240)))</f>
        <v/>
      </c>
      <c r="N740">
        <f>IF(K740="","",IF(ISNUMBER('List 2'!D240),'List 2'!D240,TRIM('List 2'!D240)))</f>
        <v/>
      </c>
      <c r="O740">
        <f>IF(K740="","",0)</f>
        <v/>
      </c>
      <c r="P740">
        <f>IF(K740="","",I240)</f>
        <v/>
      </c>
      <c r="Q740">
        <f>IF(K740="","",FALSE)</f>
        <v/>
      </c>
      <c r="R740">
        <f>IF(K740="","",TRUE)</f>
        <v/>
      </c>
      <c r="S740">
        <f>IF(K740="","",IF(AND(Q740,R740),IF(O740=P740,"Match","Qty Different"),IF(Q740,"Only in List 1","Only in List 2")))</f>
        <v/>
      </c>
      <c r="T740">
        <f>IF(K740="","",IF(ISNUMBER(--L740),TEXT(--L740,"000000000000.000"),LOWER(L740)))</f>
        <v/>
      </c>
      <c r="U740">
        <f>IF(K740="","",IF(ISNUMBER(--M740),TEXT(--M740,"000000000000.000"),LOWER(M740)))</f>
        <v/>
      </c>
      <c r="V740">
        <f>IF(K740="","",LOWER(N740))</f>
        <v/>
      </c>
      <c r="W740">
        <f>IF(K740="","",G240)</f>
        <v/>
      </c>
      <c r="X740">
        <f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>
      <c r="K741">
        <f>IF(H241="","",IF(SUMPRODUCT(--($C$2:$C$501=H241))&gt;0,"",H241))</f>
        <v/>
      </c>
      <c r="L741">
        <f>IF(K741="","",IF(ISNUMBER('List 2'!A241),'List 2'!A241,TRIM('List 2'!A241)))</f>
        <v/>
      </c>
      <c r="M741">
        <f>IF(K741="","",IF(ISNUMBER('List 2'!C241),'List 2'!C241,TRIM('List 2'!C241)))</f>
        <v/>
      </c>
      <c r="N741">
        <f>IF(K741="","",IF(ISNUMBER('List 2'!D241),'List 2'!D241,TRIM('List 2'!D241)))</f>
        <v/>
      </c>
      <c r="O741">
        <f>IF(K741="","",0)</f>
        <v/>
      </c>
      <c r="P741">
        <f>IF(K741="","",I241)</f>
        <v/>
      </c>
      <c r="Q741">
        <f>IF(K741="","",FALSE)</f>
        <v/>
      </c>
      <c r="R741">
        <f>IF(K741="","",TRUE)</f>
        <v/>
      </c>
      <c r="S741">
        <f>IF(K741="","",IF(AND(Q741,R741),IF(O741=P741,"Match","Qty Different"),IF(Q741,"Only in List 1","Only in List 2")))</f>
        <v/>
      </c>
      <c r="T741">
        <f>IF(K741="","",IF(ISNUMBER(--L741),TEXT(--L741,"000000000000.000"),LOWER(L741)))</f>
        <v/>
      </c>
      <c r="U741">
        <f>IF(K741="","",IF(ISNUMBER(--M741),TEXT(--M741,"000000000000.000"),LOWER(M741)))</f>
        <v/>
      </c>
      <c r="V741">
        <f>IF(K741="","",LOWER(N741))</f>
        <v/>
      </c>
      <c r="W741">
        <f>IF(K741="","",G241)</f>
        <v/>
      </c>
      <c r="X741">
        <f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>
      <c r="K742">
        <f>IF(H242="","",IF(SUMPRODUCT(--($C$2:$C$501=H242))&gt;0,"",H242))</f>
        <v/>
      </c>
      <c r="L742">
        <f>IF(K742="","",IF(ISNUMBER('List 2'!A242),'List 2'!A242,TRIM('List 2'!A242)))</f>
        <v/>
      </c>
      <c r="M742">
        <f>IF(K742="","",IF(ISNUMBER('List 2'!C242),'List 2'!C242,TRIM('List 2'!C242)))</f>
        <v/>
      </c>
      <c r="N742">
        <f>IF(K742="","",IF(ISNUMBER('List 2'!D242),'List 2'!D242,TRIM('List 2'!D242)))</f>
        <v/>
      </c>
      <c r="O742">
        <f>IF(K742="","",0)</f>
        <v/>
      </c>
      <c r="P742">
        <f>IF(K742="","",I242)</f>
        <v/>
      </c>
      <c r="Q742">
        <f>IF(K742="","",FALSE)</f>
        <v/>
      </c>
      <c r="R742">
        <f>IF(K742="","",TRUE)</f>
        <v/>
      </c>
      <c r="S742">
        <f>IF(K742="","",IF(AND(Q742,R742),IF(O742=P742,"Match","Qty Different"),IF(Q742,"Only in List 1","Only in List 2")))</f>
        <v/>
      </c>
      <c r="T742">
        <f>IF(K742="","",IF(ISNUMBER(--L742),TEXT(--L742,"000000000000.000"),LOWER(L742)))</f>
        <v/>
      </c>
      <c r="U742">
        <f>IF(K742="","",IF(ISNUMBER(--M742),TEXT(--M742,"000000000000.000"),LOWER(M742)))</f>
        <v/>
      </c>
      <c r="V742">
        <f>IF(K742="","",LOWER(N742))</f>
        <v/>
      </c>
      <c r="W742">
        <f>IF(K742="","",G242)</f>
        <v/>
      </c>
      <c r="X742">
        <f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>
      <c r="K743">
        <f>IF(H243="","",IF(SUMPRODUCT(--($C$2:$C$501=H243))&gt;0,"",H243))</f>
        <v/>
      </c>
      <c r="L743">
        <f>IF(K743="","",IF(ISNUMBER('List 2'!A243),'List 2'!A243,TRIM('List 2'!A243)))</f>
        <v/>
      </c>
      <c r="M743">
        <f>IF(K743="","",IF(ISNUMBER('List 2'!C243),'List 2'!C243,TRIM('List 2'!C243)))</f>
        <v/>
      </c>
      <c r="N743">
        <f>IF(K743="","",IF(ISNUMBER('List 2'!D243),'List 2'!D243,TRIM('List 2'!D243)))</f>
        <v/>
      </c>
      <c r="O743">
        <f>IF(K743="","",0)</f>
        <v/>
      </c>
      <c r="P743">
        <f>IF(K743="","",I243)</f>
        <v/>
      </c>
      <c r="Q743">
        <f>IF(K743="","",FALSE)</f>
        <v/>
      </c>
      <c r="R743">
        <f>IF(K743="","",TRUE)</f>
        <v/>
      </c>
      <c r="S743">
        <f>IF(K743="","",IF(AND(Q743,R743),IF(O743=P743,"Match","Qty Different"),IF(Q743,"Only in List 1","Only in List 2")))</f>
        <v/>
      </c>
      <c r="T743">
        <f>IF(K743="","",IF(ISNUMBER(--L743),TEXT(--L743,"000000000000.000"),LOWER(L743)))</f>
        <v/>
      </c>
      <c r="U743">
        <f>IF(K743="","",IF(ISNUMBER(--M743),TEXT(--M743,"000000000000.000"),LOWER(M743)))</f>
        <v/>
      </c>
      <c r="V743">
        <f>IF(K743="","",LOWER(N743))</f>
        <v/>
      </c>
      <c r="W743">
        <f>IF(K743="","",G243)</f>
        <v/>
      </c>
      <c r="X743">
        <f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>
      <c r="K744">
        <f>IF(H244="","",IF(SUMPRODUCT(--($C$2:$C$501=H244))&gt;0,"",H244))</f>
        <v/>
      </c>
      <c r="L744">
        <f>IF(K744="","",IF(ISNUMBER('List 2'!A244),'List 2'!A244,TRIM('List 2'!A244)))</f>
        <v/>
      </c>
      <c r="M744">
        <f>IF(K744="","",IF(ISNUMBER('List 2'!C244),'List 2'!C244,TRIM('List 2'!C244)))</f>
        <v/>
      </c>
      <c r="N744">
        <f>IF(K744="","",IF(ISNUMBER('List 2'!D244),'List 2'!D244,TRIM('List 2'!D244)))</f>
        <v/>
      </c>
      <c r="O744">
        <f>IF(K744="","",0)</f>
        <v/>
      </c>
      <c r="P744">
        <f>IF(K744="","",I244)</f>
        <v/>
      </c>
      <c r="Q744">
        <f>IF(K744="","",FALSE)</f>
        <v/>
      </c>
      <c r="R744">
        <f>IF(K744="","",TRUE)</f>
        <v/>
      </c>
      <c r="S744">
        <f>IF(K744="","",IF(AND(Q744,R744),IF(O744=P744,"Match","Qty Different"),IF(Q744,"Only in List 1","Only in List 2")))</f>
        <v/>
      </c>
      <c r="T744">
        <f>IF(K744="","",IF(ISNUMBER(--L744),TEXT(--L744,"000000000000.000"),LOWER(L744)))</f>
        <v/>
      </c>
      <c r="U744">
        <f>IF(K744="","",IF(ISNUMBER(--M744),TEXT(--M744,"000000000000.000"),LOWER(M744)))</f>
        <v/>
      </c>
      <c r="V744">
        <f>IF(K744="","",LOWER(N744))</f>
        <v/>
      </c>
      <c r="W744">
        <f>IF(K744="","",G244)</f>
        <v/>
      </c>
      <c r="X744">
        <f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>
      <c r="K745">
        <f>IF(H245="","",IF(SUMPRODUCT(--($C$2:$C$501=H245))&gt;0,"",H245))</f>
        <v/>
      </c>
      <c r="L745">
        <f>IF(K745="","",IF(ISNUMBER('List 2'!A245),'List 2'!A245,TRIM('List 2'!A245)))</f>
        <v/>
      </c>
      <c r="M745">
        <f>IF(K745="","",IF(ISNUMBER('List 2'!C245),'List 2'!C245,TRIM('List 2'!C245)))</f>
        <v/>
      </c>
      <c r="N745">
        <f>IF(K745="","",IF(ISNUMBER('List 2'!D245),'List 2'!D245,TRIM('List 2'!D245)))</f>
        <v/>
      </c>
      <c r="O745">
        <f>IF(K745="","",0)</f>
        <v/>
      </c>
      <c r="P745">
        <f>IF(K745="","",I245)</f>
        <v/>
      </c>
      <c r="Q745">
        <f>IF(K745="","",FALSE)</f>
        <v/>
      </c>
      <c r="R745">
        <f>IF(K745="","",TRUE)</f>
        <v/>
      </c>
      <c r="S745">
        <f>IF(K745="","",IF(AND(Q745,R745),IF(O745=P745,"Match","Qty Different"),IF(Q745,"Only in List 1","Only in List 2")))</f>
        <v/>
      </c>
      <c r="T745">
        <f>IF(K745="","",IF(ISNUMBER(--L745),TEXT(--L745,"000000000000.000"),LOWER(L745)))</f>
        <v/>
      </c>
      <c r="U745">
        <f>IF(K745="","",IF(ISNUMBER(--M745),TEXT(--M745,"000000000000.000"),LOWER(M745)))</f>
        <v/>
      </c>
      <c r="V745">
        <f>IF(K745="","",LOWER(N745))</f>
        <v/>
      </c>
      <c r="W745">
        <f>IF(K745="","",G245)</f>
        <v/>
      </c>
      <c r="X745">
        <f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>
      <c r="K746">
        <f>IF(H246="","",IF(SUMPRODUCT(--($C$2:$C$501=H246))&gt;0,"",H246))</f>
        <v/>
      </c>
      <c r="L746">
        <f>IF(K746="","",IF(ISNUMBER('List 2'!A246),'List 2'!A246,TRIM('List 2'!A246)))</f>
        <v/>
      </c>
      <c r="M746">
        <f>IF(K746="","",IF(ISNUMBER('List 2'!C246),'List 2'!C246,TRIM('List 2'!C246)))</f>
        <v/>
      </c>
      <c r="N746">
        <f>IF(K746="","",IF(ISNUMBER('List 2'!D246),'List 2'!D246,TRIM('List 2'!D246)))</f>
        <v/>
      </c>
      <c r="O746">
        <f>IF(K746="","",0)</f>
        <v/>
      </c>
      <c r="P746">
        <f>IF(K746="","",I246)</f>
        <v/>
      </c>
      <c r="Q746">
        <f>IF(K746="","",FALSE)</f>
        <v/>
      </c>
      <c r="R746">
        <f>IF(K746="","",TRUE)</f>
        <v/>
      </c>
      <c r="S746">
        <f>IF(K746="","",IF(AND(Q746,R746),IF(O746=P746,"Match","Qty Different"),IF(Q746,"Only in List 1","Only in List 2")))</f>
        <v/>
      </c>
      <c r="T746">
        <f>IF(K746="","",IF(ISNUMBER(--L746),TEXT(--L746,"000000000000.000"),LOWER(L746)))</f>
        <v/>
      </c>
      <c r="U746">
        <f>IF(K746="","",IF(ISNUMBER(--M746),TEXT(--M746,"000000000000.000"),LOWER(M746)))</f>
        <v/>
      </c>
      <c r="V746">
        <f>IF(K746="","",LOWER(N746))</f>
        <v/>
      </c>
      <c r="W746">
        <f>IF(K746="","",G246)</f>
        <v/>
      </c>
      <c r="X746">
        <f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>
      <c r="K747">
        <f>IF(H247="","",IF(SUMPRODUCT(--($C$2:$C$501=H247))&gt;0,"",H247))</f>
        <v/>
      </c>
      <c r="L747">
        <f>IF(K747="","",IF(ISNUMBER('List 2'!A247),'List 2'!A247,TRIM('List 2'!A247)))</f>
        <v/>
      </c>
      <c r="M747">
        <f>IF(K747="","",IF(ISNUMBER('List 2'!C247),'List 2'!C247,TRIM('List 2'!C247)))</f>
        <v/>
      </c>
      <c r="N747">
        <f>IF(K747="","",IF(ISNUMBER('List 2'!D247),'List 2'!D247,TRIM('List 2'!D247)))</f>
        <v/>
      </c>
      <c r="O747">
        <f>IF(K747="","",0)</f>
        <v/>
      </c>
      <c r="P747">
        <f>IF(K747="","",I247)</f>
        <v/>
      </c>
      <c r="Q747">
        <f>IF(K747="","",FALSE)</f>
        <v/>
      </c>
      <c r="R747">
        <f>IF(K747="","",TRUE)</f>
        <v/>
      </c>
      <c r="S747">
        <f>IF(K747="","",IF(AND(Q747,R747),IF(O747=P747,"Match","Qty Different"),IF(Q747,"Only in List 1","Only in List 2")))</f>
        <v/>
      </c>
      <c r="T747">
        <f>IF(K747="","",IF(ISNUMBER(--L747),TEXT(--L747,"000000000000.000"),LOWER(L747)))</f>
        <v/>
      </c>
      <c r="U747">
        <f>IF(K747="","",IF(ISNUMBER(--M747),TEXT(--M747,"000000000000.000"),LOWER(M747)))</f>
        <v/>
      </c>
      <c r="V747">
        <f>IF(K747="","",LOWER(N747))</f>
        <v/>
      </c>
      <c r="W747">
        <f>IF(K747="","",G247)</f>
        <v/>
      </c>
      <c r="X747">
        <f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>
      <c r="K748">
        <f>IF(H248="","",IF(SUMPRODUCT(--($C$2:$C$501=H248))&gt;0,"",H248))</f>
        <v/>
      </c>
      <c r="L748">
        <f>IF(K748="","",IF(ISNUMBER('List 2'!A248),'List 2'!A248,TRIM('List 2'!A248)))</f>
        <v/>
      </c>
      <c r="M748">
        <f>IF(K748="","",IF(ISNUMBER('List 2'!C248),'List 2'!C248,TRIM('List 2'!C248)))</f>
        <v/>
      </c>
      <c r="N748">
        <f>IF(K748="","",IF(ISNUMBER('List 2'!D248),'List 2'!D248,TRIM('List 2'!D248)))</f>
        <v/>
      </c>
      <c r="O748">
        <f>IF(K748="","",0)</f>
        <v/>
      </c>
      <c r="P748">
        <f>IF(K748="","",I248)</f>
        <v/>
      </c>
      <c r="Q748">
        <f>IF(K748="","",FALSE)</f>
        <v/>
      </c>
      <c r="R748">
        <f>IF(K748="","",TRUE)</f>
        <v/>
      </c>
      <c r="S748">
        <f>IF(K748="","",IF(AND(Q748,R748),IF(O748=P748,"Match","Qty Different"),IF(Q748,"Only in List 1","Only in List 2")))</f>
        <v/>
      </c>
      <c r="T748">
        <f>IF(K748="","",IF(ISNUMBER(--L748),TEXT(--L748,"000000000000.000"),LOWER(L748)))</f>
        <v/>
      </c>
      <c r="U748">
        <f>IF(K748="","",IF(ISNUMBER(--M748),TEXT(--M748,"000000000000.000"),LOWER(M748)))</f>
        <v/>
      </c>
      <c r="V748">
        <f>IF(K748="","",LOWER(N748))</f>
        <v/>
      </c>
      <c r="W748">
        <f>IF(K748="","",G248)</f>
        <v/>
      </c>
      <c r="X748">
        <f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>
      <c r="K749">
        <f>IF(H249="","",IF(SUMPRODUCT(--($C$2:$C$501=H249))&gt;0,"",H249))</f>
        <v/>
      </c>
      <c r="L749">
        <f>IF(K749="","",IF(ISNUMBER('List 2'!A249),'List 2'!A249,TRIM('List 2'!A249)))</f>
        <v/>
      </c>
      <c r="M749">
        <f>IF(K749="","",IF(ISNUMBER('List 2'!C249),'List 2'!C249,TRIM('List 2'!C249)))</f>
        <v/>
      </c>
      <c r="N749">
        <f>IF(K749="","",IF(ISNUMBER('List 2'!D249),'List 2'!D249,TRIM('List 2'!D249)))</f>
        <v/>
      </c>
      <c r="O749">
        <f>IF(K749="","",0)</f>
        <v/>
      </c>
      <c r="P749">
        <f>IF(K749="","",I249)</f>
        <v/>
      </c>
      <c r="Q749">
        <f>IF(K749="","",FALSE)</f>
        <v/>
      </c>
      <c r="R749">
        <f>IF(K749="","",TRUE)</f>
        <v/>
      </c>
      <c r="S749">
        <f>IF(K749="","",IF(AND(Q749,R749),IF(O749=P749,"Match","Qty Different"),IF(Q749,"Only in List 1","Only in List 2")))</f>
        <v/>
      </c>
      <c r="T749">
        <f>IF(K749="","",IF(ISNUMBER(--L749),TEXT(--L749,"000000000000.000"),LOWER(L749)))</f>
        <v/>
      </c>
      <c r="U749">
        <f>IF(K749="","",IF(ISNUMBER(--M749),TEXT(--M749,"000000000000.000"),LOWER(M749)))</f>
        <v/>
      </c>
      <c r="V749">
        <f>IF(K749="","",LOWER(N749))</f>
        <v/>
      </c>
      <c r="W749">
        <f>IF(K749="","",G249)</f>
        <v/>
      </c>
      <c r="X749">
        <f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>
      <c r="K750">
        <f>IF(H250="","",IF(SUMPRODUCT(--($C$2:$C$501=H250))&gt;0,"",H250))</f>
        <v/>
      </c>
      <c r="L750">
        <f>IF(K750="","",IF(ISNUMBER('List 2'!A250),'List 2'!A250,TRIM('List 2'!A250)))</f>
        <v/>
      </c>
      <c r="M750">
        <f>IF(K750="","",IF(ISNUMBER('List 2'!C250),'List 2'!C250,TRIM('List 2'!C250)))</f>
        <v/>
      </c>
      <c r="N750">
        <f>IF(K750="","",IF(ISNUMBER('List 2'!D250),'List 2'!D250,TRIM('List 2'!D250)))</f>
        <v/>
      </c>
      <c r="O750">
        <f>IF(K750="","",0)</f>
        <v/>
      </c>
      <c r="P750">
        <f>IF(K750="","",I250)</f>
        <v/>
      </c>
      <c r="Q750">
        <f>IF(K750="","",FALSE)</f>
        <v/>
      </c>
      <c r="R750">
        <f>IF(K750="","",TRUE)</f>
        <v/>
      </c>
      <c r="S750">
        <f>IF(K750="","",IF(AND(Q750,R750),IF(O750=P750,"Match","Qty Different"),IF(Q750,"Only in List 1","Only in List 2")))</f>
        <v/>
      </c>
      <c r="T750">
        <f>IF(K750="","",IF(ISNUMBER(--L750),TEXT(--L750,"000000000000.000"),LOWER(L750)))</f>
        <v/>
      </c>
      <c r="U750">
        <f>IF(K750="","",IF(ISNUMBER(--M750),TEXT(--M750,"000000000000.000"),LOWER(M750)))</f>
        <v/>
      </c>
      <c r="V750">
        <f>IF(K750="","",LOWER(N750))</f>
        <v/>
      </c>
      <c r="W750">
        <f>IF(K750="","",G250)</f>
        <v/>
      </c>
      <c r="X750">
        <f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>
      <c r="K751">
        <f>IF(H251="","",IF(SUMPRODUCT(--($C$2:$C$501=H251))&gt;0,"",H251))</f>
        <v/>
      </c>
      <c r="L751">
        <f>IF(K751="","",IF(ISNUMBER('List 2'!A251),'List 2'!A251,TRIM('List 2'!A251)))</f>
        <v/>
      </c>
      <c r="M751">
        <f>IF(K751="","",IF(ISNUMBER('List 2'!C251),'List 2'!C251,TRIM('List 2'!C251)))</f>
        <v/>
      </c>
      <c r="N751">
        <f>IF(K751="","",IF(ISNUMBER('List 2'!D251),'List 2'!D251,TRIM('List 2'!D251)))</f>
        <v/>
      </c>
      <c r="O751">
        <f>IF(K751="","",0)</f>
        <v/>
      </c>
      <c r="P751">
        <f>IF(K751="","",I251)</f>
        <v/>
      </c>
      <c r="Q751">
        <f>IF(K751="","",FALSE)</f>
        <v/>
      </c>
      <c r="R751">
        <f>IF(K751="","",TRUE)</f>
        <v/>
      </c>
      <c r="S751">
        <f>IF(K751="","",IF(AND(Q751,R751),IF(O751=P751,"Match","Qty Different"),IF(Q751,"Only in List 1","Only in List 2")))</f>
        <v/>
      </c>
      <c r="T751">
        <f>IF(K751="","",IF(ISNUMBER(--L751),TEXT(--L751,"000000000000.000"),LOWER(L751)))</f>
        <v/>
      </c>
      <c r="U751">
        <f>IF(K751="","",IF(ISNUMBER(--M751),TEXT(--M751,"000000000000.000"),LOWER(M751)))</f>
        <v/>
      </c>
      <c r="V751">
        <f>IF(K751="","",LOWER(N751))</f>
        <v/>
      </c>
      <c r="W751">
        <f>IF(K751="","",G251)</f>
        <v/>
      </c>
      <c r="X751">
        <f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>
      <c r="K752">
        <f>IF(H252="","",IF(SUMPRODUCT(--($C$2:$C$501=H252))&gt;0,"",H252))</f>
        <v/>
      </c>
      <c r="L752">
        <f>IF(K752="","",IF(ISNUMBER('List 2'!A252),'List 2'!A252,TRIM('List 2'!A252)))</f>
        <v/>
      </c>
      <c r="M752">
        <f>IF(K752="","",IF(ISNUMBER('List 2'!C252),'List 2'!C252,TRIM('List 2'!C252)))</f>
        <v/>
      </c>
      <c r="N752">
        <f>IF(K752="","",IF(ISNUMBER('List 2'!D252),'List 2'!D252,TRIM('List 2'!D252)))</f>
        <v/>
      </c>
      <c r="O752">
        <f>IF(K752="","",0)</f>
        <v/>
      </c>
      <c r="P752">
        <f>IF(K752="","",I252)</f>
        <v/>
      </c>
      <c r="Q752">
        <f>IF(K752="","",FALSE)</f>
        <v/>
      </c>
      <c r="R752">
        <f>IF(K752="","",TRUE)</f>
        <v/>
      </c>
      <c r="S752">
        <f>IF(K752="","",IF(AND(Q752,R752),IF(O752=P752,"Match","Qty Different"),IF(Q752,"Only in List 1","Only in List 2")))</f>
        <v/>
      </c>
      <c r="T752">
        <f>IF(K752="","",IF(ISNUMBER(--L752),TEXT(--L752,"000000000000.000"),LOWER(L752)))</f>
        <v/>
      </c>
      <c r="U752">
        <f>IF(K752="","",IF(ISNUMBER(--M752),TEXT(--M752,"000000000000.000"),LOWER(M752)))</f>
        <v/>
      </c>
      <c r="V752">
        <f>IF(K752="","",LOWER(N752))</f>
        <v/>
      </c>
      <c r="W752">
        <f>IF(K752="","",G252)</f>
        <v/>
      </c>
      <c r="X752">
        <f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>
      <c r="K753">
        <f>IF(H253="","",IF(SUMPRODUCT(--($C$2:$C$501=H253))&gt;0,"",H253))</f>
        <v/>
      </c>
      <c r="L753">
        <f>IF(K753="","",IF(ISNUMBER('List 2'!A253),'List 2'!A253,TRIM('List 2'!A253)))</f>
        <v/>
      </c>
      <c r="M753">
        <f>IF(K753="","",IF(ISNUMBER('List 2'!C253),'List 2'!C253,TRIM('List 2'!C253)))</f>
        <v/>
      </c>
      <c r="N753">
        <f>IF(K753="","",IF(ISNUMBER('List 2'!D253),'List 2'!D253,TRIM('List 2'!D253)))</f>
        <v/>
      </c>
      <c r="O753">
        <f>IF(K753="","",0)</f>
        <v/>
      </c>
      <c r="P753">
        <f>IF(K753="","",I253)</f>
        <v/>
      </c>
      <c r="Q753">
        <f>IF(K753="","",FALSE)</f>
        <v/>
      </c>
      <c r="R753">
        <f>IF(K753="","",TRUE)</f>
        <v/>
      </c>
      <c r="S753">
        <f>IF(K753="","",IF(AND(Q753,R753),IF(O753=P753,"Match","Qty Different"),IF(Q753,"Only in List 1","Only in List 2")))</f>
        <v/>
      </c>
      <c r="T753">
        <f>IF(K753="","",IF(ISNUMBER(--L753),TEXT(--L753,"000000000000.000"),LOWER(L753)))</f>
        <v/>
      </c>
      <c r="U753">
        <f>IF(K753="","",IF(ISNUMBER(--M753),TEXT(--M753,"000000000000.000"),LOWER(M753)))</f>
        <v/>
      </c>
      <c r="V753">
        <f>IF(K753="","",LOWER(N753))</f>
        <v/>
      </c>
      <c r="W753">
        <f>IF(K753="","",G253)</f>
        <v/>
      </c>
      <c r="X753">
        <f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>
      <c r="K754">
        <f>IF(H254="","",IF(SUMPRODUCT(--($C$2:$C$501=H254))&gt;0,"",H254))</f>
        <v/>
      </c>
      <c r="L754">
        <f>IF(K754="","",IF(ISNUMBER('List 2'!A254),'List 2'!A254,TRIM('List 2'!A254)))</f>
        <v/>
      </c>
      <c r="M754">
        <f>IF(K754="","",IF(ISNUMBER('List 2'!C254),'List 2'!C254,TRIM('List 2'!C254)))</f>
        <v/>
      </c>
      <c r="N754">
        <f>IF(K754="","",IF(ISNUMBER('List 2'!D254),'List 2'!D254,TRIM('List 2'!D254)))</f>
        <v/>
      </c>
      <c r="O754">
        <f>IF(K754="","",0)</f>
        <v/>
      </c>
      <c r="P754">
        <f>IF(K754="","",I254)</f>
        <v/>
      </c>
      <c r="Q754">
        <f>IF(K754="","",FALSE)</f>
        <v/>
      </c>
      <c r="R754">
        <f>IF(K754="","",TRUE)</f>
        <v/>
      </c>
      <c r="S754">
        <f>IF(K754="","",IF(AND(Q754,R754),IF(O754=P754,"Match","Qty Different"),IF(Q754,"Only in List 1","Only in List 2")))</f>
        <v/>
      </c>
      <c r="T754">
        <f>IF(K754="","",IF(ISNUMBER(--L754),TEXT(--L754,"000000000000.000"),LOWER(L754)))</f>
        <v/>
      </c>
      <c r="U754">
        <f>IF(K754="","",IF(ISNUMBER(--M754),TEXT(--M754,"000000000000.000"),LOWER(M754)))</f>
        <v/>
      </c>
      <c r="V754">
        <f>IF(K754="","",LOWER(N754))</f>
        <v/>
      </c>
      <c r="W754">
        <f>IF(K754="","",G254)</f>
        <v/>
      </c>
      <c r="X754">
        <f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>
      <c r="K755">
        <f>IF(H255="","",IF(SUMPRODUCT(--($C$2:$C$501=H255))&gt;0,"",H255))</f>
        <v/>
      </c>
      <c r="L755">
        <f>IF(K755="","",IF(ISNUMBER('List 2'!A255),'List 2'!A255,TRIM('List 2'!A255)))</f>
        <v/>
      </c>
      <c r="M755">
        <f>IF(K755="","",IF(ISNUMBER('List 2'!C255),'List 2'!C255,TRIM('List 2'!C255)))</f>
        <v/>
      </c>
      <c r="N755">
        <f>IF(K755="","",IF(ISNUMBER('List 2'!D255),'List 2'!D255,TRIM('List 2'!D255)))</f>
        <v/>
      </c>
      <c r="O755">
        <f>IF(K755="","",0)</f>
        <v/>
      </c>
      <c r="P755">
        <f>IF(K755="","",I255)</f>
        <v/>
      </c>
      <c r="Q755">
        <f>IF(K755="","",FALSE)</f>
        <v/>
      </c>
      <c r="R755">
        <f>IF(K755="","",TRUE)</f>
        <v/>
      </c>
      <c r="S755">
        <f>IF(K755="","",IF(AND(Q755,R755),IF(O755=P755,"Match","Qty Different"),IF(Q755,"Only in List 1","Only in List 2")))</f>
        <v/>
      </c>
      <c r="T755">
        <f>IF(K755="","",IF(ISNUMBER(--L755),TEXT(--L755,"000000000000.000"),LOWER(L755)))</f>
        <v/>
      </c>
      <c r="U755">
        <f>IF(K755="","",IF(ISNUMBER(--M755),TEXT(--M755,"000000000000.000"),LOWER(M755)))</f>
        <v/>
      </c>
      <c r="V755">
        <f>IF(K755="","",LOWER(N755))</f>
        <v/>
      </c>
      <c r="W755">
        <f>IF(K755="","",G255)</f>
        <v/>
      </c>
      <c r="X755">
        <f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>
      <c r="K756">
        <f>IF(H256="","",IF(SUMPRODUCT(--($C$2:$C$501=H256))&gt;0,"",H256))</f>
        <v/>
      </c>
      <c r="L756">
        <f>IF(K756="","",IF(ISNUMBER('List 2'!A256),'List 2'!A256,TRIM('List 2'!A256)))</f>
        <v/>
      </c>
      <c r="M756">
        <f>IF(K756="","",IF(ISNUMBER('List 2'!C256),'List 2'!C256,TRIM('List 2'!C256)))</f>
        <v/>
      </c>
      <c r="N756">
        <f>IF(K756="","",IF(ISNUMBER('List 2'!D256),'List 2'!D256,TRIM('List 2'!D256)))</f>
        <v/>
      </c>
      <c r="O756">
        <f>IF(K756="","",0)</f>
        <v/>
      </c>
      <c r="P756">
        <f>IF(K756="","",I256)</f>
        <v/>
      </c>
      <c r="Q756">
        <f>IF(K756="","",FALSE)</f>
        <v/>
      </c>
      <c r="R756">
        <f>IF(K756="","",TRUE)</f>
        <v/>
      </c>
      <c r="S756">
        <f>IF(K756="","",IF(AND(Q756,R756),IF(O756=P756,"Match","Qty Different"),IF(Q756,"Only in List 1","Only in List 2")))</f>
        <v/>
      </c>
      <c r="T756">
        <f>IF(K756="","",IF(ISNUMBER(--L756),TEXT(--L756,"000000000000.000"),LOWER(L756)))</f>
        <v/>
      </c>
      <c r="U756">
        <f>IF(K756="","",IF(ISNUMBER(--M756),TEXT(--M756,"000000000000.000"),LOWER(M756)))</f>
        <v/>
      </c>
      <c r="V756">
        <f>IF(K756="","",LOWER(N756))</f>
        <v/>
      </c>
      <c r="W756">
        <f>IF(K756="","",G256)</f>
        <v/>
      </c>
      <c r="X756">
        <f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>
      <c r="K757">
        <f>IF(H257="","",IF(SUMPRODUCT(--($C$2:$C$501=H257))&gt;0,"",H257))</f>
        <v/>
      </c>
      <c r="L757">
        <f>IF(K757="","",IF(ISNUMBER('List 2'!A257),'List 2'!A257,TRIM('List 2'!A257)))</f>
        <v/>
      </c>
      <c r="M757">
        <f>IF(K757="","",IF(ISNUMBER('List 2'!C257),'List 2'!C257,TRIM('List 2'!C257)))</f>
        <v/>
      </c>
      <c r="N757">
        <f>IF(K757="","",IF(ISNUMBER('List 2'!D257),'List 2'!D257,TRIM('List 2'!D257)))</f>
        <v/>
      </c>
      <c r="O757">
        <f>IF(K757="","",0)</f>
        <v/>
      </c>
      <c r="P757">
        <f>IF(K757="","",I257)</f>
        <v/>
      </c>
      <c r="Q757">
        <f>IF(K757="","",FALSE)</f>
        <v/>
      </c>
      <c r="R757">
        <f>IF(K757="","",TRUE)</f>
        <v/>
      </c>
      <c r="S757">
        <f>IF(K757="","",IF(AND(Q757,R757),IF(O757=P757,"Match","Qty Different"),IF(Q757,"Only in List 1","Only in List 2")))</f>
        <v/>
      </c>
      <c r="T757">
        <f>IF(K757="","",IF(ISNUMBER(--L757),TEXT(--L757,"000000000000.000"),LOWER(L757)))</f>
        <v/>
      </c>
      <c r="U757">
        <f>IF(K757="","",IF(ISNUMBER(--M757),TEXT(--M757,"000000000000.000"),LOWER(M757)))</f>
        <v/>
      </c>
      <c r="V757">
        <f>IF(K757="","",LOWER(N757))</f>
        <v/>
      </c>
      <c r="W757">
        <f>IF(K757="","",G257)</f>
        <v/>
      </c>
      <c r="X757">
        <f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>
      <c r="K758">
        <f>IF(H258="","",IF(SUMPRODUCT(--($C$2:$C$501=H258))&gt;0,"",H258))</f>
        <v/>
      </c>
      <c r="L758">
        <f>IF(K758="","",IF(ISNUMBER('List 2'!A258),'List 2'!A258,TRIM('List 2'!A258)))</f>
        <v/>
      </c>
      <c r="M758">
        <f>IF(K758="","",IF(ISNUMBER('List 2'!C258),'List 2'!C258,TRIM('List 2'!C258)))</f>
        <v/>
      </c>
      <c r="N758">
        <f>IF(K758="","",IF(ISNUMBER('List 2'!D258),'List 2'!D258,TRIM('List 2'!D258)))</f>
        <v/>
      </c>
      <c r="O758">
        <f>IF(K758="","",0)</f>
        <v/>
      </c>
      <c r="P758">
        <f>IF(K758="","",I258)</f>
        <v/>
      </c>
      <c r="Q758">
        <f>IF(K758="","",FALSE)</f>
        <v/>
      </c>
      <c r="R758">
        <f>IF(K758="","",TRUE)</f>
        <v/>
      </c>
      <c r="S758">
        <f>IF(K758="","",IF(AND(Q758,R758),IF(O758=P758,"Match","Qty Different"),IF(Q758,"Only in List 1","Only in List 2")))</f>
        <v/>
      </c>
      <c r="T758">
        <f>IF(K758="","",IF(ISNUMBER(--L758),TEXT(--L758,"000000000000.000"),LOWER(L758)))</f>
        <v/>
      </c>
      <c r="U758">
        <f>IF(K758="","",IF(ISNUMBER(--M758),TEXT(--M758,"000000000000.000"),LOWER(M758)))</f>
        <v/>
      </c>
      <c r="V758">
        <f>IF(K758="","",LOWER(N758))</f>
        <v/>
      </c>
      <c r="W758">
        <f>IF(K758="","",G258)</f>
        <v/>
      </c>
      <c r="X758">
        <f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>
      <c r="K759">
        <f>IF(H259="","",IF(SUMPRODUCT(--($C$2:$C$501=H259))&gt;0,"",H259))</f>
        <v/>
      </c>
      <c r="L759">
        <f>IF(K759="","",IF(ISNUMBER('List 2'!A259),'List 2'!A259,TRIM('List 2'!A259)))</f>
        <v/>
      </c>
      <c r="M759">
        <f>IF(K759="","",IF(ISNUMBER('List 2'!C259),'List 2'!C259,TRIM('List 2'!C259)))</f>
        <v/>
      </c>
      <c r="N759">
        <f>IF(K759="","",IF(ISNUMBER('List 2'!D259),'List 2'!D259,TRIM('List 2'!D259)))</f>
        <v/>
      </c>
      <c r="O759">
        <f>IF(K759="","",0)</f>
        <v/>
      </c>
      <c r="P759">
        <f>IF(K759="","",I259)</f>
        <v/>
      </c>
      <c r="Q759">
        <f>IF(K759="","",FALSE)</f>
        <v/>
      </c>
      <c r="R759">
        <f>IF(K759="","",TRUE)</f>
        <v/>
      </c>
      <c r="S759">
        <f>IF(K759="","",IF(AND(Q759,R759),IF(O759=P759,"Match","Qty Different"),IF(Q759,"Only in List 1","Only in List 2")))</f>
        <v/>
      </c>
      <c r="T759">
        <f>IF(K759="","",IF(ISNUMBER(--L759),TEXT(--L759,"000000000000.000"),LOWER(L759)))</f>
        <v/>
      </c>
      <c r="U759">
        <f>IF(K759="","",IF(ISNUMBER(--M759),TEXT(--M759,"000000000000.000"),LOWER(M759)))</f>
        <v/>
      </c>
      <c r="V759">
        <f>IF(K759="","",LOWER(N759))</f>
        <v/>
      </c>
      <c r="W759">
        <f>IF(K759="","",G259)</f>
        <v/>
      </c>
      <c r="X759">
        <f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>
      <c r="K760">
        <f>IF(H260="","",IF(SUMPRODUCT(--($C$2:$C$501=H260))&gt;0,"",H260))</f>
        <v/>
      </c>
      <c r="L760">
        <f>IF(K760="","",IF(ISNUMBER('List 2'!A260),'List 2'!A260,TRIM('List 2'!A260)))</f>
        <v/>
      </c>
      <c r="M760">
        <f>IF(K760="","",IF(ISNUMBER('List 2'!C260),'List 2'!C260,TRIM('List 2'!C260)))</f>
        <v/>
      </c>
      <c r="N760">
        <f>IF(K760="","",IF(ISNUMBER('List 2'!D260),'List 2'!D260,TRIM('List 2'!D260)))</f>
        <v/>
      </c>
      <c r="O760">
        <f>IF(K760="","",0)</f>
        <v/>
      </c>
      <c r="P760">
        <f>IF(K760="","",I260)</f>
        <v/>
      </c>
      <c r="Q760">
        <f>IF(K760="","",FALSE)</f>
        <v/>
      </c>
      <c r="R760">
        <f>IF(K760="","",TRUE)</f>
        <v/>
      </c>
      <c r="S760">
        <f>IF(K760="","",IF(AND(Q760,R760),IF(O760=P760,"Match","Qty Different"),IF(Q760,"Only in List 1","Only in List 2")))</f>
        <v/>
      </c>
      <c r="T760">
        <f>IF(K760="","",IF(ISNUMBER(--L760),TEXT(--L760,"000000000000.000"),LOWER(L760)))</f>
        <v/>
      </c>
      <c r="U760">
        <f>IF(K760="","",IF(ISNUMBER(--M760),TEXT(--M760,"000000000000.000"),LOWER(M760)))</f>
        <v/>
      </c>
      <c r="V760">
        <f>IF(K760="","",LOWER(N760))</f>
        <v/>
      </c>
      <c r="W760">
        <f>IF(K760="","",G260)</f>
        <v/>
      </c>
      <c r="X760">
        <f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>
      <c r="K761">
        <f>IF(H261="","",IF(SUMPRODUCT(--($C$2:$C$501=H261))&gt;0,"",H261))</f>
        <v/>
      </c>
      <c r="L761">
        <f>IF(K761="","",IF(ISNUMBER('List 2'!A261),'List 2'!A261,TRIM('List 2'!A261)))</f>
        <v/>
      </c>
      <c r="M761">
        <f>IF(K761="","",IF(ISNUMBER('List 2'!C261),'List 2'!C261,TRIM('List 2'!C261)))</f>
        <v/>
      </c>
      <c r="N761">
        <f>IF(K761="","",IF(ISNUMBER('List 2'!D261),'List 2'!D261,TRIM('List 2'!D261)))</f>
        <v/>
      </c>
      <c r="O761">
        <f>IF(K761="","",0)</f>
        <v/>
      </c>
      <c r="P761">
        <f>IF(K761="","",I261)</f>
        <v/>
      </c>
      <c r="Q761">
        <f>IF(K761="","",FALSE)</f>
        <v/>
      </c>
      <c r="R761">
        <f>IF(K761="","",TRUE)</f>
        <v/>
      </c>
      <c r="S761">
        <f>IF(K761="","",IF(AND(Q761,R761),IF(O761=P761,"Match","Qty Different"),IF(Q761,"Only in List 1","Only in List 2")))</f>
        <v/>
      </c>
      <c r="T761">
        <f>IF(K761="","",IF(ISNUMBER(--L761),TEXT(--L761,"000000000000.000"),LOWER(L761)))</f>
        <v/>
      </c>
      <c r="U761">
        <f>IF(K761="","",IF(ISNUMBER(--M761),TEXT(--M761,"000000000000.000"),LOWER(M761)))</f>
        <v/>
      </c>
      <c r="V761">
        <f>IF(K761="","",LOWER(N761))</f>
        <v/>
      </c>
      <c r="W761">
        <f>IF(K761="","",G261)</f>
        <v/>
      </c>
      <c r="X761">
        <f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>
      <c r="K762">
        <f>IF(H262="","",IF(SUMPRODUCT(--($C$2:$C$501=H262))&gt;0,"",H262))</f>
        <v/>
      </c>
      <c r="L762">
        <f>IF(K762="","",IF(ISNUMBER('List 2'!A262),'List 2'!A262,TRIM('List 2'!A262)))</f>
        <v/>
      </c>
      <c r="M762">
        <f>IF(K762="","",IF(ISNUMBER('List 2'!C262),'List 2'!C262,TRIM('List 2'!C262)))</f>
        <v/>
      </c>
      <c r="N762">
        <f>IF(K762="","",IF(ISNUMBER('List 2'!D262),'List 2'!D262,TRIM('List 2'!D262)))</f>
        <v/>
      </c>
      <c r="O762">
        <f>IF(K762="","",0)</f>
        <v/>
      </c>
      <c r="P762">
        <f>IF(K762="","",I262)</f>
        <v/>
      </c>
      <c r="Q762">
        <f>IF(K762="","",FALSE)</f>
        <v/>
      </c>
      <c r="R762">
        <f>IF(K762="","",TRUE)</f>
        <v/>
      </c>
      <c r="S762">
        <f>IF(K762="","",IF(AND(Q762,R762),IF(O762=P762,"Match","Qty Different"),IF(Q762,"Only in List 1","Only in List 2")))</f>
        <v/>
      </c>
      <c r="T762">
        <f>IF(K762="","",IF(ISNUMBER(--L762),TEXT(--L762,"000000000000.000"),LOWER(L762)))</f>
        <v/>
      </c>
      <c r="U762">
        <f>IF(K762="","",IF(ISNUMBER(--M762),TEXT(--M762,"000000000000.000"),LOWER(M762)))</f>
        <v/>
      </c>
      <c r="V762">
        <f>IF(K762="","",LOWER(N762))</f>
        <v/>
      </c>
      <c r="W762">
        <f>IF(K762="","",G262)</f>
        <v/>
      </c>
      <c r="X762">
        <f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>
      <c r="K763">
        <f>IF(H263="","",IF(SUMPRODUCT(--($C$2:$C$501=H263))&gt;0,"",H263))</f>
        <v/>
      </c>
      <c r="L763">
        <f>IF(K763="","",IF(ISNUMBER('List 2'!A263),'List 2'!A263,TRIM('List 2'!A263)))</f>
        <v/>
      </c>
      <c r="M763">
        <f>IF(K763="","",IF(ISNUMBER('List 2'!C263),'List 2'!C263,TRIM('List 2'!C263)))</f>
        <v/>
      </c>
      <c r="N763">
        <f>IF(K763="","",IF(ISNUMBER('List 2'!D263),'List 2'!D263,TRIM('List 2'!D263)))</f>
        <v/>
      </c>
      <c r="O763">
        <f>IF(K763="","",0)</f>
        <v/>
      </c>
      <c r="P763">
        <f>IF(K763="","",I263)</f>
        <v/>
      </c>
      <c r="Q763">
        <f>IF(K763="","",FALSE)</f>
        <v/>
      </c>
      <c r="R763">
        <f>IF(K763="","",TRUE)</f>
        <v/>
      </c>
      <c r="S763">
        <f>IF(K763="","",IF(AND(Q763,R763),IF(O763=P763,"Match","Qty Different"),IF(Q763,"Only in List 1","Only in List 2")))</f>
        <v/>
      </c>
      <c r="T763">
        <f>IF(K763="","",IF(ISNUMBER(--L763),TEXT(--L763,"000000000000.000"),LOWER(L763)))</f>
        <v/>
      </c>
      <c r="U763">
        <f>IF(K763="","",IF(ISNUMBER(--M763),TEXT(--M763,"000000000000.000"),LOWER(M763)))</f>
        <v/>
      </c>
      <c r="V763">
        <f>IF(K763="","",LOWER(N763))</f>
        <v/>
      </c>
      <c r="W763">
        <f>IF(K763="","",G263)</f>
        <v/>
      </c>
      <c r="X763">
        <f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>
      <c r="K764">
        <f>IF(H264="","",IF(SUMPRODUCT(--($C$2:$C$501=H264))&gt;0,"",H264))</f>
        <v/>
      </c>
      <c r="L764">
        <f>IF(K764="","",IF(ISNUMBER('List 2'!A264),'List 2'!A264,TRIM('List 2'!A264)))</f>
        <v/>
      </c>
      <c r="M764">
        <f>IF(K764="","",IF(ISNUMBER('List 2'!C264),'List 2'!C264,TRIM('List 2'!C264)))</f>
        <v/>
      </c>
      <c r="N764">
        <f>IF(K764="","",IF(ISNUMBER('List 2'!D264),'List 2'!D264,TRIM('List 2'!D264)))</f>
        <v/>
      </c>
      <c r="O764">
        <f>IF(K764="","",0)</f>
        <v/>
      </c>
      <c r="P764">
        <f>IF(K764="","",I264)</f>
        <v/>
      </c>
      <c r="Q764">
        <f>IF(K764="","",FALSE)</f>
        <v/>
      </c>
      <c r="R764">
        <f>IF(K764="","",TRUE)</f>
        <v/>
      </c>
      <c r="S764">
        <f>IF(K764="","",IF(AND(Q764,R764),IF(O764=P764,"Match","Qty Different"),IF(Q764,"Only in List 1","Only in List 2")))</f>
        <v/>
      </c>
      <c r="T764">
        <f>IF(K764="","",IF(ISNUMBER(--L764),TEXT(--L764,"000000000000.000"),LOWER(L764)))</f>
        <v/>
      </c>
      <c r="U764">
        <f>IF(K764="","",IF(ISNUMBER(--M764),TEXT(--M764,"000000000000.000"),LOWER(M764)))</f>
        <v/>
      </c>
      <c r="V764">
        <f>IF(K764="","",LOWER(N764))</f>
        <v/>
      </c>
      <c r="W764">
        <f>IF(K764="","",G264)</f>
        <v/>
      </c>
      <c r="X764">
        <f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>
      <c r="K765">
        <f>IF(H265="","",IF(SUMPRODUCT(--($C$2:$C$501=H265))&gt;0,"",H265))</f>
        <v/>
      </c>
      <c r="L765">
        <f>IF(K765="","",IF(ISNUMBER('List 2'!A265),'List 2'!A265,TRIM('List 2'!A265)))</f>
        <v/>
      </c>
      <c r="M765">
        <f>IF(K765="","",IF(ISNUMBER('List 2'!C265),'List 2'!C265,TRIM('List 2'!C265)))</f>
        <v/>
      </c>
      <c r="N765">
        <f>IF(K765="","",IF(ISNUMBER('List 2'!D265),'List 2'!D265,TRIM('List 2'!D265)))</f>
        <v/>
      </c>
      <c r="O765">
        <f>IF(K765="","",0)</f>
        <v/>
      </c>
      <c r="P765">
        <f>IF(K765="","",I265)</f>
        <v/>
      </c>
      <c r="Q765">
        <f>IF(K765="","",FALSE)</f>
        <v/>
      </c>
      <c r="R765">
        <f>IF(K765="","",TRUE)</f>
        <v/>
      </c>
      <c r="S765">
        <f>IF(K765="","",IF(AND(Q765,R765),IF(O765=P765,"Match","Qty Different"),IF(Q765,"Only in List 1","Only in List 2")))</f>
        <v/>
      </c>
      <c r="T765">
        <f>IF(K765="","",IF(ISNUMBER(--L765),TEXT(--L765,"000000000000.000"),LOWER(L765)))</f>
        <v/>
      </c>
      <c r="U765">
        <f>IF(K765="","",IF(ISNUMBER(--M765),TEXT(--M765,"000000000000.000"),LOWER(M765)))</f>
        <v/>
      </c>
      <c r="V765">
        <f>IF(K765="","",LOWER(N765))</f>
        <v/>
      </c>
      <c r="W765">
        <f>IF(K765="","",G265)</f>
        <v/>
      </c>
      <c r="X765">
        <f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>
      <c r="K766">
        <f>IF(H266="","",IF(SUMPRODUCT(--($C$2:$C$501=H266))&gt;0,"",H266))</f>
        <v/>
      </c>
      <c r="L766">
        <f>IF(K766="","",IF(ISNUMBER('List 2'!A266),'List 2'!A266,TRIM('List 2'!A266)))</f>
        <v/>
      </c>
      <c r="M766">
        <f>IF(K766="","",IF(ISNUMBER('List 2'!C266),'List 2'!C266,TRIM('List 2'!C266)))</f>
        <v/>
      </c>
      <c r="N766">
        <f>IF(K766="","",IF(ISNUMBER('List 2'!D266),'List 2'!D266,TRIM('List 2'!D266)))</f>
        <v/>
      </c>
      <c r="O766">
        <f>IF(K766="","",0)</f>
        <v/>
      </c>
      <c r="P766">
        <f>IF(K766="","",I266)</f>
        <v/>
      </c>
      <c r="Q766">
        <f>IF(K766="","",FALSE)</f>
        <v/>
      </c>
      <c r="R766">
        <f>IF(K766="","",TRUE)</f>
        <v/>
      </c>
      <c r="S766">
        <f>IF(K766="","",IF(AND(Q766,R766),IF(O766=P766,"Match","Qty Different"),IF(Q766,"Only in List 1","Only in List 2")))</f>
        <v/>
      </c>
      <c r="T766">
        <f>IF(K766="","",IF(ISNUMBER(--L766),TEXT(--L766,"000000000000.000"),LOWER(L766)))</f>
        <v/>
      </c>
      <c r="U766">
        <f>IF(K766="","",IF(ISNUMBER(--M766),TEXT(--M766,"000000000000.000"),LOWER(M766)))</f>
        <v/>
      </c>
      <c r="V766">
        <f>IF(K766="","",LOWER(N766))</f>
        <v/>
      </c>
      <c r="W766">
        <f>IF(K766="","",G266)</f>
        <v/>
      </c>
      <c r="X766">
        <f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>
      <c r="K767">
        <f>IF(H267="","",IF(SUMPRODUCT(--($C$2:$C$501=H267))&gt;0,"",H267))</f>
        <v/>
      </c>
      <c r="L767">
        <f>IF(K767="","",IF(ISNUMBER('List 2'!A267),'List 2'!A267,TRIM('List 2'!A267)))</f>
        <v/>
      </c>
      <c r="M767">
        <f>IF(K767="","",IF(ISNUMBER('List 2'!C267),'List 2'!C267,TRIM('List 2'!C267)))</f>
        <v/>
      </c>
      <c r="N767">
        <f>IF(K767="","",IF(ISNUMBER('List 2'!D267),'List 2'!D267,TRIM('List 2'!D267)))</f>
        <v/>
      </c>
      <c r="O767">
        <f>IF(K767="","",0)</f>
        <v/>
      </c>
      <c r="P767">
        <f>IF(K767="","",I267)</f>
        <v/>
      </c>
      <c r="Q767">
        <f>IF(K767="","",FALSE)</f>
        <v/>
      </c>
      <c r="R767">
        <f>IF(K767="","",TRUE)</f>
        <v/>
      </c>
      <c r="S767">
        <f>IF(K767="","",IF(AND(Q767,R767),IF(O767=P767,"Match","Qty Different"),IF(Q767,"Only in List 1","Only in List 2")))</f>
        <v/>
      </c>
      <c r="T767">
        <f>IF(K767="","",IF(ISNUMBER(--L767),TEXT(--L767,"000000000000.000"),LOWER(L767)))</f>
        <v/>
      </c>
      <c r="U767">
        <f>IF(K767="","",IF(ISNUMBER(--M767),TEXT(--M767,"000000000000.000"),LOWER(M767)))</f>
        <v/>
      </c>
      <c r="V767">
        <f>IF(K767="","",LOWER(N767))</f>
        <v/>
      </c>
      <c r="W767">
        <f>IF(K767="","",G267)</f>
        <v/>
      </c>
      <c r="X767">
        <f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>
      <c r="K768">
        <f>IF(H268="","",IF(SUMPRODUCT(--($C$2:$C$501=H268))&gt;0,"",H268))</f>
        <v/>
      </c>
      <c r="L768">
        <f>IF(K768="","",IF(ISNUMBER('List 2'!A268),'List 2'!A268,TRIM('List 2'!A268)))</f>
        <v/>
      </c>
      <c r="M768">
        <f>IF(K768="","",IF(ISNUMBER('List 2'!C268),'List 2'!C268,TRIM('List 2'!C268)))</f>
        <v/>
      </c>
      <c r="N768">
        <f>IF(K768="","",IF(ISNUMBER('List 2'!D268),'List 2'!D268,TRIM('List 2'!D268)))</f>
        <v/>
      </c>
      <c r="O768">
        <f>IF(K768="","",0)</f>
        <v/>
      </c>
      <c r="P768">
        <f>IF(K768="","",I268)</f>
        <v/>
      </c>
      <c r="Q768">
        <f>IF(K768="","",FALSE)</f>
        <v/>
      </c>
      <c r="R768">
        <f>IF(K768="","",TRUE)</f>
        <v/>
      </c>
      <c r="S768">
        <f>IF(K768="","",IF(AND(Q768,R768),IF(O768=P768,"Match","Qty Different"),IF(Q768,"Only in List 1","Only in List 2")))</f>
        <v/>
      </c>
      <c r="T768">
        <f>IF(K768="","",IF(ISNUMBER(--L768),TEXT(--L768,"000000000000.000"),LOWER(L768)))</f>
        <v/>
      </c>
      <c r="U768">
        <f>IF(K768="","",IF(ISNUMBER(--M768),TEXT(--M768,"000000000000.000"),LOWER(M768)))</f>
        <v/>
      </c>
      <c r="V768">
        <f>IF(K768="","",LOWER(N768))</f>
        <v/>
      </c>
      <c r="W768">
        <f>IF(K768="","",G268)</f>
        <v/>
      </c>
      <c r="X768">
        <f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>
      <c r="K769">
        <f>IF(H269="","",IF(SUMPRODUCT(--($C$2:$C$501=H269))&gt;0,"",H269))</f>
        <v/>
      </c>
      <c r="L769">
        <f>IF(K769="","",IF(ISNUMBER('List 2'!A269),'List 2'!A269,TRIM('List 2'!A269)))</f>
        <v/>
      </c>
      <c r="M769">
        <f>IF(K769="","",IF(ISNUMBER('List 2'!C269),'List 2'!C269,TRIM('List 2'!C269)))</f>
        <v/>
      </c>
      <c r="N769">
        <f>IF(K769="","",IF(ISNUMBER('List 2'!D269),'List 2'!D269,TRIM('List 2'!D269)))</f>
        <v/>
      </c>
      <c r="O769">
        <f>IF(K769="","",0)</f>
        <v/>
      </c>
      <c r="P769">
        <f>IF(K769="","",I269)</f>
        <v/>
      </c>
      <c r="Q769">
        <f>IF(K769="","",FALSE)</f>
        <v/>
      </c>
      <c r="R769">
        <f>IF(K769="","",TRUE)</f>
        <v/>
      </c>
      <c r="S769">
        <f>IF(K769="","",IF(AND(Q769,R769),IF(O769=P769,"Match","Qty Different"),IF(Q769,"Only in List 1","Only in List 2")))</f>
        <v/>
      </c>
      <c r="T769">
        <f>IF(K769="","",IF(ISNUMBER(--L769),TEXT(--L769,"000000000000.000"),LOWER(L769)))</f>
        <v/>
      </c>
      <c r="U769">
        <f>IF(K769="","",IF(ISNUMBER(--M769),TEXT(--M769,"000000000000.000"),LOWER(M769)))</f>
        <v/>
      </c>
      <c r="V769">
        <f>IF(K769="","",LOWER(N769))</f>
        <v/>
      </c>
      <c r="W769">
        <f>IF(K769="","",G269)</f>
        <v/>
      </c>
      <c r="X769">
        <f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>
      <c r="K770">
        <f>IF(H270="","",IF(SUMPRODUCT(--($C$2:$C$501=H270))&gt;0,"",H270))</f>
        <v/>
      </c>
      <c r="L770">
        <f>IF(K770="","",IF(ISNUMBER('List 2'!A270),'List 2'!A270,TRIM('List 2'!A270)))</f>
        <v/>
      </c>
      <c r="M770">
        <f>IF(K770="","",IF(ISNUMBER('List 2'!C270),'List 2'!C270,TRIM('List 2'!C270)))</f>
        <v/>
      </c>
      <c r="N770">
        <f>IF(K770="","",IF(ISNUMBER('List 2'!D270),'List 2'!D270,TRIM('List 2'!D270)))</f>
        <v/>
      </c>
      <c r="O770">
        <f>IF(K770="","",0)</f>
        <v/>
      </c>
      <c r="P770">
        <f>IF(K770="","",I270)</f>
        <v/>
      </c>
      <c r="Q770">
        <f>IF(K770="","",FALSE)</f>
        <v/>
      </c>
      <c r="R770">
        <f>IF(K770="","",TRUE)</f>
        <v/>
      </c>
      <c r="S770">
        <f>IF(K770="","",IF(AND(Q770,R770),IF(O770=P770,"Match","Qty Different"),IF(Q770,"Only in List 1","Only in List 2")))</f>
        <v/>
      </c>
      <c r="T770">
        <f>IF(K770="","",IF(ISNUMBER(--L770),TEXT(--L770,"000000000000.000"),LOWER(L770)))</f>
        <v/>
      </c>
      <c r="U770">
        <f>IF(K770="","",IF(ISNUMBER(--M770),TEXT(--M770,"000000000000.000"),LOWER(M770)))</f>
        <v/>
      </c>
      <c r="V770">
        <f>IF(K770="","",LOWER(N770))</f>
        <v/>
      </c>
      <c r="W770">
        <f>IF(K770="","",G270)</f>
        <v/>
      </c>
      <c r="X770">
        <f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>
      <c r="K771">
        <f>IF(H271="","",IF(SUMPRODUCT(--($C$2:$C$501=H271))&gt;0,"",H271))</f>
        <v/>
      </c>
      <c r="L771">
        <f>IF(K771="","",IF(ISNUMBER('List 2'!A271),'List 2'!A271,TRIM('List 2'!A271)))</f>
        <v/>
      </c>
      <c r="M771">
        <f>IF(K771="","",IF(ISNUMBER('List 2'!C271),'List 2'!C271,TRIM('List 2'!C271)))</f>
        <v/>
      </c>
      <c r="N771">
        <f>IF(K771="","",IF(ISNUMBER('List 2'!D271),'List 2'!D271,TRIM('List 2'!D271)))</f>
        <v/>
      </c>
      <c r="O771">
        <f>IF(K771="","",0)</f>
        <v/>
      </c>
      <c r="P771">
        <f>IF(K771="","",I271)</f>
        <v/>
      </c>
      <c r="Q771">
        <f>IF(K771="","",FALSE)</f>
        <v/>
      </c>
      <c r="R771">
        <f>IF(K771="","",TRUE)</f>
        <v/>
      </c>
      <c r="S771">
        <f>IF(K771="","",IF(AND(Q771,R771),IF(O771=P771,"Match","Qty Different"),IF(Q771,"Only in List 1","Only in List 2")))</f>
        <v/>
      </c>
      <c r="T771">
        <f>IF(K771="","",IF(ISNUMBER(--L771),TEXT(--L771,"000000000000.000"),LOWER(L771)))</f>
        <v/>
      </c>
      <c r="U771">
        <f>IF(K771="","",IF(ISNUMBER(--M771),TEXT(--M771,"000000000000.000"),LOWER(M771)))</f>
        <v/>
      </c>
      <c r="V771">
        <f>IF(K771="","",LOWER(N771))</f>
        <v/>
      </c>
      <c r="W771">
        <f>IF(K771="","",G271)</f>
        <v/>
      </c>
      <c r="X771">
        <f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>
      <c r="K772">
        <f>IF(H272="","",IF(SUMPRODUCT(--($C$2:$C$501=H272))&gt;0,"",H272))</f>
        <v/>
      </c>
      <c r="L772">
        <f>IF(K772="","",IF(ISNUMBER('List 2'!A272),'List 2'!A272,TRIM('List 2'!A272)))</f>
        <v/>
      </c>
      <c r="M772">
        <f>IF(K772="","",IF(ISNUMBER('List 2'!C272),'List 2'!C272,TRIM('List 2'!C272)))</f>
        <v/>
      </c>
      <c r="N772">
        <f>IF(K772="","",IF(ISNUMBER('List 2'!D272),'List 2'!D272,TRIM('List 2'!D272)))</f>
        <v/>
      </c>
      <c r="O772">
        <f>IF(K772="","",0)</f>
        <v/>
      </c>
      <c r="P772">
        <f>IF(K772="","",I272)</f>
        <v/>
      </c>
      <c r="Q772">
        <f>IF(K772="","",FALSE)</f>
        <v/>
      </c>
      <c r="R772">
        <f>IF(K772="","",TRUE)</f>
        <v/>
      </c>
      <c r="S772">
        <f>IF(K772="","",IF(AND(Q772,R772),IF(O772=P772,"Match","Qty Different"),IF(Q772,"Only in List 1","Only in List 2")))</f>
        <v/>
      </c>
      <c r="T772">
        <f>IF(K772="","",IF(ISNUMBER(--L772),TEXT(--L772,"000000000000.000"),LOWER(L772)))</f>
        <v/>
      </c>
      <c r="U772">
        <f>IF(K772="","",IF(ISNUMBER(--M772),TEXT(--M772,"000000000000.000"),LOWER(M772)))</f>
        <v/>
      </c>
      <c r="V772">
        <f>IF(K772="","",LOWER(N772))</f>
        <v/>
      </c>
      <c r="W772">
        <f>IF(K772="","",G272)</f>
        <v/>
      </c>
      <c r="X772">
        <f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>
      <c r="K773">
        <f>IF(H273="","",IF(SUMPRODUCT(--($C$2:$C$501=H273))&gt;0,"",H273))</f>
        <v/>
      </c>
      <c r="L773">
        <f>IF(K773="","",IF(ISNUMBER('List 2'!A273),'List 2'!A273,TRIM('List 2'!A273)))</f>
        <v/>
      </c>
      <c r="M773">
        <f>IF(K773="","",IF(ISNUMBER('List 2'!C273),'List 2'!C273,TRIM('List 2'!C273)))</f>
        <v/>
      </c>
      <c r="N773">
        <f>IF(K773="","",IF(ISNUMBER('List 2'!D273),'List 2'!D273,TRIM('List 2'!D273)))</f>
        <v/>
      </c>
      <c r="O773">
        <f>IF(K773="","",0)</f>
        <v/>
      </c>
      <c r="P773">
        <f>IF(K773="","",I273)</f>
        <v/>
      </c>
      <c r="Q773">
        <f>IF(K773="","",FALSE)</f>
        <v/>
      </c>
      <c r="R773">
        <f>IF(K773="","",TRUE)</f>
        <v/>
      </c>
      <c r="S773">
        <f>IF(K773="","",IF(AND(Q773,R773),IF(O773=P773,"Match","Qty Different"),IF(Q773,"Only in List 1","Only in List 2")))</f>
        <v/>
      </c>
      <c r="T773">
        <f>IF(K773="","",IF(ISNUMBER(--L773),TEXT(--L773,"000000000000.000"),LOWER(L773)))</f>
        <v/>
      </c>
      <c r="U773">
        <f>IF(K773="","",IF(ISNUMBER(--M773),TEXT(--M773,"000000000000.000"),LOWER(M773)))</f>
        <v/>
      </c>
      <c r="V773">
        <f>IF(K773="","",LOWER(N773))</f>
        <v/>
      </c>
      <c r="W773">
        <f>IF(K773="","",G273)</f>
        <v/>
      </c>
      <c r="X773">
        <f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>
      <c r="K774">
        <f>IF(H274="","",IF(SUMPRODUCT(--($C$2:$C$501=H274))&gt;0,"",H274))</f>
        <v/>
      </c>
      <c r="L774">
        <f>IF(K774="","",IF(ISNUMBER('List 2'!A274),'List 2'!A274,TRIM('List 2'!A274)))</f>
        <v/>
      </c>
      <c r="M774">
        <f>IF(K774="","",IF(ISNUMBER('List 2'!C274),'List 2'!C274,TRIM('List 2'!C274)))</f>
        <v/>
      </c>
      <c r="N774">
        <f>IF(K774="","",IF(ISNUMBER('List 2'!D274),'List 2'!D274,TRIM('List 2'!D274)))</f>
        <v/>
      </c>
      <c r="O774">
        <f>IF(K774="","",0)</f>
        <v/>
      </c>
      <c r="P774">
        <f>IF(K774="","",I274)</f>
        <v/>
      </c>
      <c r="Q774">
        <f>IF(K774="","",FALSE)</f>
        <v/>
      </c>
      <c r="R774">
        <f>IF(K774="","",TRUE)</f>
        <v/>
      </c>
      <c r="S774">
        <f>IF(K774="","",IF(AND(Q774,R774),IF(O774=P774,"Match","Qty Different"),IF(Q774,"Only in List 1","Only in List 2")))</f>
        <v/>
      </c>
      <c r="T774">
        <f>IF(K774="","",IF(ISNUMBER(--L774),TEXT(--L774,"000000000000.000"),LOWER(L774)))</f>
        <v/>
      </c>
      <c r="U774">
        <f>IF(K774="","",IF(ISNUMBER(--M774),TEXT(--M774,"000000000000.000"),LOWER(M774)))</f>
        <v/>
      </c>
      <c r="V774">
        <f>IF(K774="","",LOWER(N774))</f>
        <v/>
      </c>
      <c r="W774">
        <f>IF(K774="","",G274)</f>
        <v/>
      </c>
      <c r="X774">
        <f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>
      <c r="K775">
        <f>IF(H275="","",IF(SUMPRODUCT(--($C$2:$C$501=H275))&gt;0,"",H275))</f>
        <v/>
      </c>
      <c r="L775">
        <f>IF(K775="","",IF(ISNUMBER('List 2'!A275),'List 2'!A275,TRIM('List 2'!A275)))</f>
        <v/>
      </c>
      <c r="M775">
        <f>IF(K775="","",IF(ISNUMBER('List 2'!C275),'List 2'!C275,TRIM('List 2'!C275)))</f>
        <v/>
      </c>
      <c r="N775">
        <f>IF(K775="","",IF(ISNUMBER('List 2'!D275),'List 2'!D275,TRIM('List 2'!D275)))</f>
        <v/>
      </c>
      <c r="O775">
        <f>IF(K775="","",0)</f>
        <v/>
      </c>
      <c r="P775">
        <f>IF(K775="","",I275)</f>
        <v/>
      </c>
      <c r="Q775">
        <f>IF(K775="","",FALSE)</f>
        <v/>
      </c>
      <c r="R775">
        <f>IF(K775="","",TRUE)</f>
        <v/>
      </c>
      <c r="S775">
        <f>IF(K775="","",IF(AND(Q775,R775),IF(O775=P775,"Match","Qty Different"),IF(Q775,"Only in List 1","Only in List 2")))</f>
        <v/>
      </c>
      <c r="T775">
        <f>IF(K775="","",IF(ISNUMBER(--L775),TEXT(--L775,"000000000000.000"),LOWER(L775)))</f>
        <v/>
      </c>
      <c r="U775">
        <f>IF(K775="","",IF(ISNUMBER(--M775),TEXT(--M775,"000000000000.000"),LOWER(M775)))</f>
        <v/>
      </c>
      <c r="V775">
        <f>IF(K775="","",LOWER(N775))</f>
        <v/>
      </c>
      <c r="W775">
        <f>IF(K775="","",G275)</f>
        <v/>
      </c>
      <c r="X775">
        <f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>
      <c r="K776">
        <f>IF(H276="","",IF(SUMPRODUCT(--($C$2:$C$501=H276))&gt;0,"",H276))</f>
        <v/>
      </c>
      <c r="L776">
        <f>IF(K776="","",IF(ISNUMBER('List 2'!A276),'List 2'!A276,TRIM('List 2'!A276)))</f>
        <v/>
      </c>
      <c r="M776">
        <f>IF(K776="","",IF(ISNUMBER('List 2'!C276),'List 2'!C276,TRIM('List 2'!C276)))</f>
        <v/>
      </c>
      <c r="N776">
        <f>IF(K776="","",IF(ISNUMBER('List 2'!D276),'List 2'!D276,TRIM('List 2'!D276)))</f>
        <v/>
      </c>
      <c r="O776">
        <f>IF(K776="","",0)</f>
        <v/>
      </c>
      <c r="P776">
        <f>IF(K776="","",I276)</f>
        <v/>
      </c>
      <c r="Q776">
        <f>IF(K776="","",FALSE)</f>
        <v/>
      </c>
      <c r="R776">
        <f>IF(K776="","",TRUE)</f>
        <v/>
      </c>
      <c r="S776">
        <f>IF(K776="","",IF(AND(Q776,R776),IF(O776=P776,"Match","Qty Different"),IF(Q776,"Only in List 1","Only in List 2")))</f>
        <v/>
      </c>
      <c r="T776">
        <f>IF(K776="","",IF(ISNUMBER(--L776),TEXT(--L776,"000000000000.000"),LOWER(L776)))</f>
        <v/>
      </c>
      <c r="U776">
        <f>IF(K776="","",IF(ISNUMBER(--M776),TEXT(--M776,"000000000000.000"),LOWER(M776)))</f>
        <v/>
      </c>
      <c r="V776">
        <f>IF(K776="","",LOWER(N776))</f>
        <v/>
      </c>
      <c r="W776">
        <f>IF(K776="","",G276)</f>
        <v/>
      </c>
      <c r="X776">
        <f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>
      <c r="K777">
        <f>IF(H277="","",IF(SUMPRODUCT(--($C$2:$C$501=H277))&gt;0,"",H277))</f>
        <v/>
      </c>
      <c r="L777">
        <f>IF(K777="","",IF(ISNUMBER('List 2'!A277),'List 2'!A277,TRIM('List 2'!A277)))</f>
        <v/>
      </c>
      <c r="M777">
        <f>IF(K777="","",IF(ISNUMBER('List 2'!C277),'List 2'!C277,TRIM('List 2'!C277)))</f>
        <v/>
      </c>
      <c r="N777">
        <f>IF(K777="","",IF(ISNUMBER('List 2'!D277),'List 2'!D277,TRIM('List 2'!D277)))</f>
        <v/>
      </c>
      <c r="O777">
        <f>IF(K777="","",0)</f>
        <v/>
      </c>
      <c r="P777">
        <f>IF(K777="","",I277)</f>
        <v/>
      </c>
      <c r="Q777">
        <f>IF(K777="","",FALSE)</f>
        <v/>
      </c>
      <c r="R777">
        <f>IF(K777="","",TRUE)</f>
        <v/>
      </c>
      <c r="S777">
        <f>IF(K777="","",IF(AND(Q777,R777),IF(O777=P777,"Match","Qty Different"),IF(Q777,"Only in List 1","Only in List 2")))</f>
        <v/>
      </c>
      <c r="T777">
        <f>IF(K777="","",IF(ISNUMBER(--L777),TEXT(--L777,"000000000000.000"),LOWER(L777)))</f>
        <v/>
      </c>
      <c r="U777">
        <f>IF(K777="","",IF(ISNUMBER(--M777),TEXT(--M777,"000000000000.000"),LOWER(M777)))</f>
        <v/>
      </c>
      <c r="V777">
        <f>IF(K777="","",LOWER(N777))</f>
        <v/>
      </c>
      <c r="W777">
        <f>IF(K777="","",G277)</f>
        <v/>
      </c>
      <c r="X777">
        <f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>
      <c r="K778">
        <f>IF(H278="","",IF(SUMPRODUCT(--($C$2:$C$501=H278))&gt;0,"",H278))</f>
        <v/>
      </c>
      <c r="L778">
        <f>IF(K778="","",IF(ISNUMBER('List 2'!A278),'List 2'!A278,TRIM('List 2'!A278)))</f>
        <v/>
      </c>
      <c r="M778">
        <f>IF(K778="","",IF(ISNUMBER('List 2'!C278),'List 2'!C278,TRIM('List 2'!C278)))</f>
        <v/>
      </c>
      <c r="N778">
        <f>IF(K778="","",IF(ISNUMBER('List 2'!D278),'List 2'!D278,TRIM('List 2'!D278)))</f>
        <v/>
      </c>
      <c r="O778">
        <f>IF(K778="","",0)</f>
        <v/>
      </c>
      <c r="P778">
        <f>IF(K778="","",I278)</f>
        <v/>
      </c>
      <c r="Q778">
        <f>IF(K778="","",FALSE)</f>
        <v/>
      </c>
      <c r="R778">
        <f>IF(K778="","",TRUE)</f>
        <v/>
      </c>
      <c r="S778">
        <f>IF(K778="","",IF(AND(Q778,R778),IF(O778=P778,"Match","Qty Different"),IF(Q778,"Only in List 1","Only in List 2")))</f>
        <v/>
      </c>
      <c r="T778">
        <f>IF(K778="","",IF(ISNUMBER(--L778),TEXT(--L778,"000000000000.000"),LOWER(L778)))</f>
        <v/>
      </c>
      <c r="U778">
        <f>IF(K778="","",IF(ISNUMBER(--M778),TEXT(--M778,"000000000000.000"),LOWER(M778)))</f>
        <v/>
      </c>
      <c r="V778">
        <f>IF(K778="","",LOWER(N778))</f>
        <v/>
      </c>
      <c r="W778">
        <f>IF(K778="","",G278)</f>
        <v/>
      </c>
      <c r="X778">
        <f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>
      <c r="K779">
        <f>IF(H279="","",IF(SUMPRODUCT(--($C$2:$C$501=H279))&gt;0,"",H279))</f>
        <v/>
      </c>
      <c r="L779">
        <f>IF(K779="","",IF(ISNUMBER('List 2'!A279),'List 2'!A279,TRIM('List 2'!A279)))</f>
        <v/>
      </c>
      <c r="M779">
        <f>IF(K779="","",IF(ISNUMBER('List 2'!C279),'List 2'!C279,TRIM('List 2'!C279)))</f>
        <v/>
      </c>
      <c r="N779">
        <f>IF(K779="","",IF(ISNUMBER('List 2'!D279),'List 2'!D279,TRIM('List 2'!D279)))</f>
        <v/>
      </c>
      <c r="O779">
        <f>IF(K779="","",0)</f>
        <v/>
      </c>
      <c r="P779">
        <f>IF(K779="","",I279)</f>
        <v/>
      </c>
      <c r="Q779">
        <f>IF(K779="","",FALSE)</f>
        <v/>
      </c>
      <c r="R779">
        <f>IF(K779="","",TRUE)</f>
        <v/>
      </c>
      <c r="S779">
        <f>IF(K779="","",IF(AND(Q779,R779),IF(O779=P779,"Match","Qty Different"),IF(Q779,"Only in List 1","Only in List 2")))</f>
        <v/>
      </c>
      <c r="T779">
        <f>IF(K779="","",IF(ISNUMBER(--L779),TEXT(--L779,"000000000000.000"),LOWER(L779)))</f>
        <v/>
      </c>
      <c r="U779">
        <f>IF(K779="","",IF(ISNUMBER(--M779),TEXT(--M779,"000000000000.000"),LOWER(M779)))</f>
        <v/>
      </c>
      <c r="V779">
        <f>IF(K779="","",LOWER(N779))</f>
        <v/>
      </c>
      <c r="W779">
        <f>IF(K779="","",G279)</f>
        <v/>
      </c>
      <c r="X779">
        <f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>
      <c r="K780">
        <f>IF(H280="","",IF(SUMPRODUCT(--($C$2:$C$501=H280))&gt;0,"",H280))</f>
        <v/>
      </c>
      <c r="L780">
        <f>IF(K780="","",IF(ISNUMBER('List 2'!A280),'List 2'!A280,TRIM('List 2'!A280)))</f>
        <v/>
      </c>
      <c r="M780">
        <f>IF(K780="","",IF(ISNUMBER('List 2'!C280),'List 2'!C280,TRIM('List 2'!C280)))</f>
        <v/>
      </c>
      <c r="N780">
        <f>IF(K780="","",IF(ISNUMBER('List 2'!D280),'List 2'!D280,TRIM('List 2'!D280)))</f>
        <v/>
      </c>
      <c r="O780">
        <f>IF(K780="","",0)</f>
        <v/>
      </c>
      <c r="P780">
        <f>IF(K780="","",I280)</f>
        <v/>
      </c>
      <c r="Q780">
        <f>IF(K780="","",FALSE)</f>
        <v/>
      </c>
      <c r="R780">
        <f>IF(K780="","",TRUE)</f>
        <v/>
      </c>
      <c r="S780">
        <f>IF(K780="","",IF(AND(Q780,R780),IF(O780=P780,"Match","Qty Different"),IF(Q780,"Only in List 1","Only in List 2")))</f>
        <v/>
      </c>
      <c r="T780">
        <f>IF(K780="","",IF(ISNUMBER(--L780),TEXT(--L780,"000000000000.000"),LOWER(L780)))</f>
        <v/>
      </c>
      <c r="U780">
        <f>IF(K780="","",IF(ISNUMBER(--M780),TEXT(--M780,"000000000000.000"),LOWER(M780)))</f>
        <v/>
      </c>
      <c r="V780">
        <f>IF(K780="","",LOWER(N780))</f>
        <v/>
      </c>
      <c r="W780">
        <f>IF(K780="","",G280)</f>
        <v/>
      </c>
      <c r="X780">
        <f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>
      <c r="K781">
        <f>IF(H281="","",IF(SUMPRODUCT(--($C$2:$C$501=H281))&gt;0,"",H281))</f>
        <v/>
      </c>
      <c r="L781">
        <f>IF(K781="","",IF(ISNUMBER('List 2'!A281),'List 2'!A281,TRIM('List 2'!A281)))</f>
        <v/>
      </c>
      <c r="M781">
        <f>IF(K781="","",IF(ISNUMBER('List 2'!C281),'List 2'!C281,TRIM('List 2'!C281)))</f>
        <v/>
      </c>
      <c r="N781">
        <f>IF(K781="","",IF(ISNUMBER('List 2'!D281),'List 2'!D281,TRIM('List 2'!D281)))</f>
        <v/>
      </c>
      <c r="O781">
        <f>IF(K781="","",0)</f>
        <v/>
      </c>
      <c r="P781">
        <f>IF(K781="","",I281)</f>
        <v/>
      </c>
      <c r="Q781">
        <f>IF(K781="","",FALSE)</f>
        <v/>
      </c>
      <c r="R781">
        <f>IF(K781="","",TRUE)</f>
        <v/>
      </c>
      <c r="S781">
        <f>IF(K781="","",IF(AND(Q781,R781),IF(O781=P781,"Match","Qty Different"),IF(Q781,"Only in List 1","Only in List 2")))</f>
        <v/>
      </c>
      <c r="T781">
        <f>IF(K781="","",IF(ISNUMBER(--L781),TEXT(--L781,"000000000000.000"),LOWER(L781)))</f>
        <v/>
      </c>
      <c r="U781">
        <f>IF(K781="","",IF(ISNUMBER(--M781),TEXT(--M781,"000000000000.000"),LOWER(M781)))</f>
        <v/>
      </c>
      <c r="V781">
        <f>IF(K781="","",LOWER(N781))</f>
        <v/>
      </c>
      <c r="W781">
        <f>IF(K781="","",G281)</f>
        <v/>
      </c>
      <c r="X781">
        <f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>
      <c r="K782">
        <f>IF(H282="","",IF(SUMPRODUCT(--($C$2:$C$501=H282))&gt;0,"",H282))</f>
        <v/>
      </c>
      <c r="L782">
        <f>IF(K782="","",IF(ISNUMBER('List 2'!A282),'List 2'!A282,TRIM('List 2'!A282)))</f>
        <v/>
      </c>
      <c r="M782">
        <f>IF(K782="","",IF(ISNUMBER('List 2'!C282),'List 2'!C282,TRIM('List 2'!C282)))</f>
        <v/>
      </c>
      <c r="N782">
        <f>IF(K782="","",IF(ISNUMBER('List 2'!D282),'List 2'!D282,TRIM('List 2'!D282)))</f>
        <v/>
      </c>
      <c r="O782">
        <f>IF(K782="","",0)</f>
        <v/>
      </c>
      <c r="P782">
        <f>IF(K782="","",I282)</f>
        <v/>
      </c>
      <c r="Q782">
        <f>IF(K782="","",FALSE)</f>
        <v/>
      </c>
      <c r="R782">
        <f>IF(K782="","",TRUE)</f>
        <v/>
      </c>
      <c r="S782">
        <f>IF(K782="","",IF(AND(Q782,R782),IF(O782=P782,"Match","Qty Different"),IF(Q782,"Only in List 1","Only in List 2")))</f>
        <v/>
      </c>
      <c r="T782">
        <f>IF(K782="","",IF(ISNUMBER(--L782),TEXT(--L782,"000000000000.000"),LOWER(L782)))</f>
        <v/>
      </c>
      <c r="U782">
        <f>IF(K782="","",IF(ISNUMBER(--M782),TEXT(--M782,"000000000000.000"),LOWER(M782)))</f>
        <v/>
      </c>
      <c r="V782">
        <f>IF(K782="","",LOWER(N782))</f>
        <v/>
      </c>
      <c r="W782">
        <f>IF(K782="","",G282)</f>
        <v/>
      </c>
      <c r="X782">
        <f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>
      <c r="K783">
        <f>IF(H283="","",IF(SUMPRODUCT(--($C$2:$C$501=H283))&gt;0,"",H283))</f>
        <v/>
      </c>
      <c r="L783">
        <f>IF(K783="","",IF(ISNUMBER('List 2'!A283),'List 2'!A283,TRIM('List 2'!A283)))</f>
        <v/>
      </c>
      <c r="M783">
        <f>IF(K783="","",IF(ISNUMBER('List 2'!C283),'List 2'!C283,TRIM('List 2'!C283)))</f>
        <v/>
      </c>
      <c r="N783">
        <f>IF(K783="","",IF(ISNUMBER('List 2'!D283),'List 2'!D283,TRIM('List 2'!D283)))</f>
        <v/>
      </c>
      <c r="O783">
        <f>IF(K783="","",0)</f>
        <v/>
      </c>
      <c r="P783">
        <f>IF(K783="","",I283)</f>
        <v/>
      </c>
      <c r="Q783">
        <f>IF(K783="","",FALSE)</f>
        <v/>
      </c>
      <c r="R783">
        <f>IF(K783="","",TRUE)</f>
        <v/>
      </c>
      <c r="S783">
        <f>IF(K783="","",IF(AND(Q783,R783),IF(O783=P783,"Match","Qty Different"),IF(Q783,"Only in List 1","Only in List 2")))</f>
        <v/>
      </c>
      <c r="T783">
        <f>IF(K783="","",IF(ISNUMBER(--L783),TEXT(--L783,"000000000000.000"),LOWER(L783)))</f>
        <v/>
      </c>
      <c r="U783">
        <f>IF(K783="","",IF(ISNUMBER(--M783),TEXT(--M783,"000000000000.000"),LOWER(M783)))</f>
        <v/>
      </c>
      <c r="V783">
        <f>IF(K783="","",LOWER(N783))</f>
        <v/>
      </c>
      <c r="W783">
        <f>IF(K783="","",G283)</f>
        <v/>
      </c>
      <c r="X783">
        <f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>
      <c r="K784">
        <f>IF(H284="","",IF(SUMPRODUCT(--($C$2:$C$501=H284))&gt;0,"",H284))</f>
        <v/>
      </c>
      <c r="L784">
        <f>IF(K784="","",IF(ISNUMBER('List 2'!A284),'List 2'!A284,TRIM('List 2'!A284)))</f>
        <v/>
      </c>
      <c r="M784">
        <f>IF(K784="","",IF(ISNUMBER('List 2'!C284),'List 2'!C284,TRIM('List 2'!C284)))</f>
        <v/>
      </c>
      <c r="N784">
        <f>IF(K784="","",IF(ISNUMBER('List 2'!D284),'List 2'!D284,TRIM('List 2'!D284)))</f>
        <v/>
      </c>
      <c r="O784">
        <f>IF(K784="","",0)</f>
        <v/>
      </c>
      <c r="P784">
        <f>IF(K784="","",I284)</f>
        <v/>
      </c>
      <c r="Q784">
        <f>IF(K784="","",FALSE)</f>
        <v/>
      </c>
      <c r="R784">
        <f>IF(K784="","",TRUE)</f>
        <v/>
      </c>
      <c r="S784">
        <f>IF(K784="","",IF(AND(Q784,R784),IF(O784=P784,"Match","Qty Different"),IF(Q784,"Only in List 1","Only in List 2")))</f>
        <v/>
      </c>
      <c r="T784">
        <f>IF(K784="","",IF(ISNUMBER(--L784),TEXT(--L784,"000000000000.000"),LOWER(L784)))</f>
        <v/>
      </c>
      <c r="U784">
        <f>IF(K784="","",IF(ISNUMBER(--M784),TEXT(--M784,"000000000000.000"),LOWER(M784)))</f>
        <v/>
      </c>
      <c r="V784">
        <f>IF(K784="","",LOWER(N784))</f>
        <v/>
      </c>
      <c r="W784">
        <f>IF(K784="","",G284)</f>
        <v/>
      </c>
      <c r="X784">
        <f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>
      <c r="K785">
        <f>IF(H285="","",IF(SUMPRODUCT(--($C$2:$C$501=H285))&gt;0,"",H285))</f>
        <v/>
      </c>
      <c r="L785">
        <f>IF(K785="","",IF(ISNUMBER('List 2'!A285),'List 2'!A285,TRIM('List 2'!A285)))</f>
        <v/>
      </c>
      <c r="M785">
        <f>IF(K785="","",IF(ISNUMBER('List 2'!C285),'List 2'!C285,TRIM('List 2'!C285)))</f>
        <v/>
      </c>
      <c r="N785">
        <f>IF(K785="","",IF(ISNUMBER('List 2'!D285),'List 2'!D285,TRIM('List 2'!D285)))</f>
        <v/>
      </c>
      <c r="O785">
        <f>IF(K785="","",0)</f>
        <v/>
      </c>
      <c r="P785">
        <f>IF(K785="","",I285)</f>
        <v/>
      </c>
      <c r="Q785">
        <f>IF(K785="","",FALSE)</f>
        <v/>
      </c>
      <c r="R785">
        <f>IF(K785="","",TRUE)</f>
        <v/>
      </c>
      <c r="S785">
        <f>IF(K785="","",IF(AND(Q785,R785),IF(O785=P785,"Match","Qty Different"),IF(Q785,"Only in List 1","Only in List 2")))</f>
        <v/>
      </c>
      <c r="T785">
        <f>IF(K785="","",IF(ISNUMBER(--L785),TEXT(--L785,"000000000000.000"),LOWER(L785)))</f>
        <v/>
      </c>
      <c r="U785">
        <f>IF(K785="","",IF(ISNUMBER(--M785),TEXT(--M785,"000000000000.000"),LOWER(M785)))</f>
        <v/>
      </c>
      <c r="V785">
        <f>IF(K785="","",LOWER(N785))</f>
        <v/>
      </c>
      <c r="W785">
        <f>IF(K785="","",G285)</f>
        <v/>
      </c>
      <c r="X785">
        <f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>
      <c r="K786">
        <f>IF(H286="","",IF(SUMPRODUCT(--($C$2:$C$501=H286))&gt;0,"",H286))</f>
        <v/>
      </c>
      <c r="L786">
        <f>IF(K786="","",IF(ISNUMBER('List 2'!A286),'List 2'!A286,TRIM('List 2'!A286)))</f>
        <v/>
      </c>
      <c r="M786">
        <f>IF(K786="","",IF(ISNUMBER('List 2'!C286),'List 2'!C286,TRIM('List 2'!C286)))</f>
        <v/>
      </c>
      <c r="N786">
        <f>IF(K786="","",IF(ISNUMBER('List 2'!D286),'List 2'!D286,TRIM('List 2'!D286)))</f>
        <v/>
      </c>
      <c r="O786">
        <f>IF(K786="","",0)</f>
        <v/>
      </c>
      <c r="P786">
        <f>IF(K786="","",I286)</f>
        <v/>
      </c>
      <c r="Q786">
        <f>IF(K786="","",FALSE)</f>
        <v/>
      </c>
      <c r="R786">
        <f>IF(K786="","",TRUE)</f>
        <v/>
      </c>
      <c r="S786">
        <f>IF(K786="","",IF(AND(Q786,R786),IF(O786=P786,"Match","Qty Different"),IF(Q786,"Only in List 1","Only in List 2")))</f>
        <v/>
      </c>
      <c r="T786">
        <f>IF(K786="","",IF(ISNUMBER(--L786),TEXT(--L786,"000000000000.000"),LOWER(L786)))</f>
        <v/>
      </c>
      <c r="U786">
        <f>IF(K786="","",IF(ISNUMBER(--M786),TEXT(--M786,"000000000000.000"),LOWER(M786)))</f>
        <v/>
      </c>
      <c r="V786">
        <f>IF(K786="","",LOWER(N786))</f>
        <v/>
      </c>
      <c r="W786">
        <f>IF(K786="","",G286)</f>
        <v/>
      </c>
      <c r="X786">
        <f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>
      <c r="K787">
        <f>IF(H287="","",IF(SUMPRODUCT(--($C$2:$C$501=H287))&gt;0,"",H287))</f>
        <v/>
      </c>
      <c r="L787">
        <f>IF(K787="","",IF(ISNUMBER('List 2'!A287),'List 2'!A287,TRIM('List 2'!A287)))</f>
        <v/>
      </c>
      <c r="M787">
        <f>IF(K787="","",IF(ISNUMBER('List 2'!C287),'List 2'!C287,TRIM('List 2'!C287)))</f>
        <v/>
      </c>
      <c r="N787">
        <f>IF(K787="","",IF(ISNUMBER('List 2'!D287),'List 2'!D287,TRIM('List 2'!D287)))</f>
        <v/>
      </c>
      <c r="O787">
        <f>IF(K787="","",0)</f>
        <v/>
      </c>
      <c r="P787">
        <f>IF(K787="","",I287)</f>
        <v/>
      </c>
      <c r="Q787">
        <f>IF(K787="","",FALSE)</f>
        <v/>
      </c>
      <c r="R787">
        <f>IF(K787="","",TRUE)</f>
        <v/>
      </c>
      <c r="S787">
        <f>IF(K787="","",IF(AND(Q787,R787),IF(O787=P787,"Match","Qty Different"),IF(Q787,"Only in List 1","Only in List 2")))</f>
        <v/>
      </c>
      <c r="T787">
        <f>IF(K787="","",IF(ISNUMBER(--L787),TEXT(--L787,"000000000000.000"),LOWER(L787)))</f>
        <v/>
      </c>
      <c r="U787">
        <f>IF(K787="","",IF(ISNUMBER(--M787),TEXT(--M787,"000000000000.000"),LOWER(M787)))</f>
        <v/>
      </c>
      <c r="V787">
        <f>IF(K787="","",LOWER(N787))</f>
        <v/>
      </c>
      <c r="W787">
        <f>IF(K787="","",G287)</f>
        <v/>
      </c>
      <c r="X787">
        <f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>
      <c r="K788">
        <f>IF(H288="","",IF(SUMPRODUCT(--($C$2:$C$501=H288))&gt;0,"",H288))</f>
        <v/>
      </c>
      <c r="L788">
        <f>IF(K788="","",IF(ISNUMBER('List 2'!A288),'List 2'!A288,TRIM('List 2'!A288)))</f>
        <v/>
      </c>
      <c r="M788">
        <f>IF(K788="","",IF(ISNUMBER('List 2'!C288),'List 2'!C288,TRIM('List 2'!C288)))</f>
        <v/>
      </c>
      <c r="N788">
        <f>IF(K788="","",IF(ISNUMBER('List 2'!D288),'List 2'!D288,TRIM('List 2'!D288)))</f>
        <v/>
      </c>
      <c r="O788">
        <f>IF(K788="","",0)</f>
        <v/>
      </c>
      <c r="P788">
        <f>IF(K788="","",I288)</f>
        <v/>
      </c>
      <c r="Q788">
        <f>IF(K788="","",FALSE)</f>
        <v/>
      </c>
      <c r="R788">
        <f>IF(K788="","",TRUE)</f>
        <v/>
      </c>
      <c r="S788">
        <f>IF(K788="","",IF(AND(Q788,R788),IF(O788=P788,"Match","Qty Different"),IF(Q788,"Only in List 1","Only in List 2")))</f>
        <v/>
      </c>
      <c r="T788">
        <f>IF(K788="","",IF(ISNUMBER(--L788),TEXT(--L788,"000000000000.000"),LOWER(L788)))</f>
        <v/>
      </c>
      <c r="U788">
        <f>IF(K788="","",IF(ISNUMBER(--M788),TEXT(--M788,"000000000000.000"),LOWER(M788)))</f>
        <v/>
      </c>
      <c r="V788">
        <f>IF(K788="","",LOWER(N788))</f>
        <v/>
      </c>
      <c r="W788">
        <f>IF(K788="","",G288)</f>
        <v/>
      </c>
      <c r="X788">
        <f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>
      <c r="K789">
        <f>IF(H289="","",IF(SUMPRODUCT(--($C$2:$C$501=H289))&gt;0,"",H289))</f>
        <v/>
      </c>
      <c r="L789">
        <f>IF(K789="","",IF(ISNUMBER('List 2'!A289),'List 2'!A289,TRIM('List 2'!A289)))</f>
        <v/>
      </c>
      <c r="M789">
        <f>IF(K789="","",IF(ISNUMBER('List 2'!C289),'List 2'!C289,TRIM('List 2'!C289)))</f>
        <v/>
      </c>
      <c r="N789">
        <f>IF(K789="","",IF(ISNUMBER('List 2'!D289),'List 2'!D289,TRIM('List 2'!D289)))</f>
        <v/>
      </c>
      <c r="O789">
        <f>IF(K789="","",0)</f>
        <v/>
      </c>
      <c r="P789">
        <f>IF(K789="","",I289)</f>
        <v/>
      </c>
      <c r="Q789">
        <f>IF(K789="","",FALSE)</f>
        <v/>
      </c>
      <c r="R789">
        <f>IF(K789="","",TRUE)</f>
        <v/>
      </c>
      <c r="S789">
        <f>IF(K789="","",IF(AND(Q789,R789),IF(O789=P789,"Match","Qty Different"),IF(Q789,"Only in List 1","Only in List 2")))</f>
        <v/>
      </c>
      <c r="T789">
        <f>IF(K789="","",IF(ISNUMBER(--L789),TEXT(--L789,"000000000000.000"),LOWER(L789)))</f>
        <v/>
      </c>
      <c r="U789">
        <f>IF(K789="","",IF(ISNUMBER(--M789),TEXT(--M789,"000000000000.000"),LOWER(M789)))</f>
        <v/>
      </c>
      <c r="V789">
        <f>IF(K789="","",LOWER(N789))</f>
        <v/>
      </c>
      <c r="W789">
        <f>IF(K789="","",G289)</f>
        <v/>
      </c>
      <c r="X789">
        <f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>
      <c r="K790">
        <f>IF(H290="","",IF(SUMPRODUCT(--($C$2:$C$501=H290))&gt;0,"",H290))</f>
        <v/>
      </c>
      <c r="L790">
        <f>IF(K790="","",IF(ISNUMBER('List 2'!A290),'List 2'!A290,TRIM('List 2'!A290)))</f>
        <v/>
      </c>
      <c r="M790">
        <f>IF(K790="","",IF(ISNUMBER('List 2'!C290),'List 2'!C290,TRIM('List 2'!C290)))</f>
        <v/>
      </c>
      <c r="N790">
        <f>IF(K790="","",IF(ISNUMBER('List 2'!D290),'List 2'!D290,TRIM('List 2'!D290)))</f>
        <v/>
      </c>
      <c r="O790">
        <f>IF(K790="","",0)</f>
        <v/>
      </c>
      <c r="P790">
        <f>IF(K790="","",I290)</f>
        <v/>
      </c>
      <c r="Q790">
        <f>IF(K790="","",FALSE)</f>
        <v/>
      </c>
      <c r="R790">
        <f>IF(K790="","",TRUE)</f>
        <v/>
      </c>
      <c r="S790">
        <f>IF(K790="","",IF(AND(Q790,R790),IF(O790=P790,"Match","Qty Different"),IF(Q790,"Only in List 1","Only in List 2")))</f>
        <v/>
      </c>
      <c r="T790">
        <f>IF(K790="","",IF(ISNUMBER(--L790),TEXT(--L790,"000000000000.000"),LOWER(L790)))</f>
        <v/>
      </c>
      <c r="U790">
        <f>IF(K790="","",IF(ISNUMBER(--M790),TEXT(--M790,"000000000000.000"),LOWER(M790)))</f>
        <v/>
      </c>
      <c r="V790">
        <f>IF(K790="","",LOWER(N790))</f>
        <v/>
      </c>
      <c r="W790">
        <f>IF(K790="","",G290)</f>
        <v/>
      </c>
      <c r="X790">
        <f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>
      <c r="K791">
        <f>IF(H291="","",IF(SUMPRODUCT(--($C$2:$C$501=H291))&gt;0,"",H291))</f>
        <v/>
      </c>
      <c r="L791">
        <f>IF(K791="","",IF(ISNUMBER('List 2'!A291),'List 2'!A291,TRIM('List 2'!A291)))</f>
        <v/>
      </c>
      <c r="M791">
        <f>IF(K791="","",IF(ISNUMBER('List 2'!C291),'List 2'!C291,TRIM('List 2'!C291)))</f>
        <v/>
      </c>
      <c r="N791">
        <f>IF(K791="","",IF(ISNUMBER('List 2'!D291),'List 2'!D291,TRIM('List 2'!D291)))</f>
        <v/>
      </c>
      <c r="O791">
        <f>IF(K791="","",0)</f>
        <v/>
      </c>
      <c r="P791">
        <f>IF(K791="","",I291)</f>
        <v/>
      </c>
      <c r="Q791">
        <f>IF(K791="","",FALSE)</f>
        <v/>
      </c>
      <c r="R791">
        <f>IF(K791="","",TRUE)</f>
        <v/>
      </c>
      <c r="S791">
        <f>IF(K791="","",IF(AND(Q791,R791),IF(O791=P791,"Match","Qty Different"),IF(Q791,"Only in List 1","Only in List 2")))</f>
        <v/>
      </c>
      <c r="T791">
        <f>IF(K791="","",IF(ISNUMBER(--L791),TEXT(--L791,"000000000000.000"),LOWER(L791)))</f>
        <v/>
      </c>
      <c r="U791">
        <f>IF(K791="","",IF(ISNUMBER(--M791),TEXT(--M791,"000000000000.000"),LOWER(M791)))</f>
        <v/>
      </c>
      <c r="V791">
        <f>IF(K791="","",LOWER(N791))</f>
        <v/>
      </c>
      <c r="W791">
        <f>IF(K791="","",G291)</f>
        <v/>
      </c>
      <c r="X791">
        <f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>
      <c r="K792">
        <f>IF(H292="","",IF(SUMPRODUCT(--($C$2:$C$501=H292))&gt;0,"",H292))</f>
        <v/>
      </c>
      <c r="L792">
        <f>IF(K792="","",IF(ISNUMBER('List 2'!A292),'List 2'!A292,TRIM('List 2'!A292)))</f>
        <v/>
      </c>
      <c r="M792">
        <f>IF(K792="","",IF(ISNUMBER('List 2'!C292),'List 2'!C292,TRIM('List 2'!C292)))</f>
        <v/>
      </c>
      <c r="N792">
        <f>IF(K792="","",IF(ISNUMBER('List 2'!D292),'List 2'!D292,TRIM('List 2'!D292)))</f>
        <v/>
      </c>
      <c r="O792">
        <f>IF(K792="","",0)</f>
        <v/>
      </c>
      <c r="P792">
        <f>IF(K792="","",I292)</f>
        <v/>
      </c>
      <c r="Q792">
        <f>IF(K792="","",FALSE)</f>
        <v/>
      </c>
      <c r="R792">
        <f>IF(K792="","",TRUE)</f>
        <v/>
      </c>
      <c r="S792">
        <f>IF(K792="","",IF(AND(Q792,R792),IF(O792=P792,"Match","Qty Different"),IF(Q792,"Only in List 1","Only in List 2")))</f>
        <v/>
      </c>
      <c r="T792">
        <f>IF(K792="","",IF(ISNUMBER(--L792),TEXT(--L792,"000000000000.000"),LOWER(L792)))</f>
        <v/>
      </c>
      <c r="U792">
        <f>IF(K792="","",IF(ISNUMBER(--M792),TEXT(--M792,"000000000000.000"),LOWER(M792)))</f>
        <v/>
      </c>
      <c r="V792">
        <f>IF(K792="","",LOWER(N792))</f>
        <v/>
      </c>
      <c r="W792">
        <f>IF(K792="","",G292)</f>
        <v/>
      </c>
      <c r="X792">
        <f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>
      <c r="K793">
        <f>IF(H293="","",IF(SUMPRODUCT(--($C$2:$C$501=H293))&gt;0,"",H293))</f>
        <v/>
      </c>
      <c r="L793">
        <f>IF(K793="","",IF(ISNUMBER('List 2'!A293),'List 2'!A293,TRIM('List 2'!A293)))</f>
        <v/>
      </c>
      <c r="M793">
        <f>IF(K793="","",IF(ISNUMBER('List 2'!C293),'List 2'!C293,TRIM('List 2'!C293)))</f>
        <v/>
      </c>
      <c r="N793">
        <f>IF(K793="","",IF(ISNUMBER('List 2'!D293),'List 2'!D293,TRIM('List 2'!D293)))</f>
        <v/>
      </c>
      <c r="O793">
        <f>IF(K793="","",0)</f>
        <v/>
      </c>
      <c r="P793">
        <f>IF(K793="","",I293)</f>
        <v/>
      </c>
      <c r="Q793">
        <f>IF(K793="","",FALSE)</f>
        <v/>
      </c>
      <c r="R793">
        <f>IF(K793="","",TRUE)</f>
        <v/>
      </c>
      <c r="S793">
        <f>IF(K793="","",IF(AND(Q793,R793),IF(O793=P793,"Match","Qty Different"),IF(Q793,"Only in List 1","Only in List 2")))</f>
        <v/>
      </c>
      <c r="T793">
        <f>IF(K793="","",IF(ISNUMBER(--L793),TEXT(--L793,"000000000000.000"),LOWER(L793)))</f>
        <v/>
      </c>
      <c r="U793">
        <f>IF(K793="","",IF(ISNUMBER(--M793),TEXT(--M793,"000000000000.000"),LOWER(M793)))</f>
        <v/>
      </c>
      <c r="V793">
        <f>IF(K793="","",LOWER(N793))</f>
        <v/>
      </c>
      <c r="W793">
        <f>IF(K793="","",G293)</f>
        <v/>
      </c>
      <c r="X793">
        <f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>
      <c r="K794">
        <f>IF(H294="","",IF(SUMPRODUCT(--($C$2:$C$501=H294))&gt;0,"",H294))</f>
        <v/>
      </c>
      <c r="L794">
        <f>IF(K794="","",IF(ISNUMBER('List 2'!A294),'List 2'!A294,TRIM('List 2'!A294)))</f>
        <v/>
      </c>
      <c r="M794">
        <f>IF(K794="","",IF(ISNUMBER('List 2'!C294),'List 2'!C294,TRIM('List 2'!C294)))</f>
        <v/>
      </c>
      <c r="N794">
        <f>IF(K794="","",IF(ISNUMBER('List 2'!D294),'List 2'!D294,TRIM('List 2'!D294)))</f>
        <v/>
      </c>
      <c r="O794">
        <f>IF(K794="","",0)</f>
        <v/>
      </c>
      <c r="P794">
        <f>IF(K794="","",I294)</f>
        <v/>
      </c>
      <c r="Q794">
        <f>IF(K794="","",FALSE)</f>
        <v/>
      </c>
      <c r="R794">
        <f>IF(K794="","",TRUE)</f>
        <v/>
      </c>
      <c r="S794">
        <f>IF(K794="","",IF(AND(Q794,R794),IF(O794=P794,"Match","Qty Different"),IF(Q794,"Only in List 1","Only in List 2")))</f>
        <v/>
      </c>
      <c r="T794">
        <f>IF(K794="","",IF(ISNUMBER(--L794),TEXT(--L794,"000000000000.000"),LOWER(L794)))</f>
        <v/>
      </c>
      <c r="U794">
        <f>IF(K794="","",IF(ISNUMBER(--M794),TEXT(--M794,"000000000000.000"),LOWER(M794)))</f>
        <v/>
      </c>
      <c r="V794">
        <f>IF(K794="","",LOWER(N794))</f>
        <v/>
      </c>
      <c r="W794">
        <f>IF(K794="","",G294)</f>
        <v/>
      </c>
      <c r="X794">
        <f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>
      <c r="K795">
        <f>IF(H295="","",IF(SUMPRODUCT(--($C$2:$C$501=H295))&gt;0,"",H295))</f>
        <v/>
      </c>
      <c r="L795">
        <f>IF(K795="","",IF(ISNUMBER('List 2'!A295),'List 2'!A295,TRIM('List 2'!A295)))</f>
        <v/>
      </c>
      <c r="M795">
        <f>IF(K795="","",IF(ISNUMBER('List 2'!C295),'List 2'!C295,TRIM('List 2'!C295)))</f>
        <v/>
      </c>
      <c r="N795">
        <f>IF(K795="","",IF(ISNUMBER('List 2'!D295),'List 2'!D295,TRIM('List 2'!D295)))</f>
        <v/>
      </c>
      <c r="O795">
        <f>IF(K795="","",0)</f>
        <v/>
      </c>
      <c r="P795">
        <f>IF(K795="","",I295)</f>
        <v/>
      </c>
      <c r="Q795">
        <f>IF(K795="","",FALSE)</f>
        <v/>
      </c>
      <c r="R795">
        <f>IF(K795="","",TRUE)</f>
        <v/>
      </c>
      <c r="S795">
        <f>IF(K795="","",IF(AND(Q795,R795),IF(O795=P795,"Match","Qty Different"),IF(Q795,"Only in List 1","Only in List 2")))</f>
        <v/>
      </c>
      <c r="T795">
        <f>IF(K795="","",IF(ISNUMBER(--L795),TEXT(--L795,"000000000000.000"),LOWER(L795)))</f>
        <v/>
      </c>
      <c r="U795">
        <f>IF(K795="","",IF(ISNUMBER(--M795),TEXT(--M795,"000000000000.000"),LOWER(M795)))</f>
        <v/>
      </c>
      <c r="V795">
        <f>IF(K795="","",LOWER(N795))</f>
        <v/>
      </c>
      <c r="W795">
        <f>IF(K795="","",G295)</f>
        <v/>
      </c>
      <c r="X795">
        <f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>
      <c r="K796">
        <f>IF(H296="","",IF(SUMPRODUCT(--($C$2:$C$501=H296))&gt;0,"",H296))</f>
        <v/>
      </c>
      <c r="L796">
        <f>IF(K796="","",IF(ISNUMBER('List 2'!A296),'List 2'!A296,TRIM('List 2'!A296)))</f>
        <v/>
      </c>
      <c r="M796">
        <f>IF(K796="","",IF(ISNUMBER('List 2'!C296),'List 2'!C296,TRIM('List 2'!C296)))</f>
        <v/>
      </c>
      <c r="N796">
        <f>IF(K796="","",IF(ISNUMBER('List 2'!D296),'List 2'!D296,TRIM('List 2'!D296)))</f>
        <v/>
      </c>
      <c r="O796">
        <f>IF(K796="","",0)</f>
        <v/>
      </c>
      <c r="P796">
        <f>IF(K796="","",I296)</f>
        <v/>
      </c>
      <c r="Q796">
        <f>IF(K796="","",FALSE)</f>
        <v/>
      </c>
      <c r="R796">
        <f>IF(K796="","",TRUE)</f>
        <v/>
      </c>
      <c r="S796">
        <f>IF(K796="","",IF(AND(Q796,R796),IF(O796=P796,"Match","Qty Different"),IF(Q796,"Only in List 1","Only in List 2")))</f>
        <v/>
      </c>
      <c r="T796">
        <f>IF(K796="","",IF(ISNUMBER(--L796),TEXT(--L796,"000000000000.000"),LOWER(L796)))</f>
        <v/>
      </c>
      <c r="U796">
        <f>IF(K796="","",IF(ISNUMBER(--M796),TEXT(--M796,"000000000000.000"),LOWER(M796)))</f>
        <v/>
      </c>
      <c r="V796">
        <f>IF(K796="","",LOWER(N796))</f>
        <v/>
      </c>
      <c r="W796">
        <f>IF(K796="","",G296)</f>
        <v/>
      </c>
      <c r="X796">
        <f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>
      <c r="K797">
        <f>IF(H297="","",IF(SUMPRODUCT(--($C$2:$C$501=H297))&gt;0,"",H297))</f>
        <v/>
      </c>
      <c r="L797">
        <f>IF(K797="","",IF(ISNUMBER('List 2'!A297),'List 2'!A297,TRIM('List 2'!A297)))</f>
        <v/>
      </c>
      <c r="M797">
        <f>IF(K797="","",IF(ISNUMBER('List 2'!C297),'List 2'!C297,TRIM('List 2'!C297)))</f>
        <v/>
      </c>
      <c r="N797">
        <f>IF(K797="","",IF(ISNUMBER('List 2'!D297),'List 2'!D297,TRIM('List 2'!D297)))</f>
        <v/>
      </c>
      <c r="O797">
        <f>IF(K797="","",0)</f>
        <v/>
      </c>
      <c r="P797">
        <f>IF(K797="","",I297)</f>
        <v/>
      </c>
      <c r="Q797">
        <f>IF(K797="","",FALSE)</f>
        <v/>
      </c>
      <c r="R797">
        <f>IF(K797="","",TRUE)</f>
        <v/>
      </c>
      <c r="S797">
        <f>IF(K797="","",IF(AND(Q797,R797),IF(O797=P797,"Match","Qty Different"),IF(Q797,"Only in List 1","Only in List 2")))</f>
        <v/>
      </c>
      <c r="T797">
        <f>IF(K797="","",IF(ISNUMBER(--L797),TEXT(--L797,"000000000000.000"),LOWER(L797)))</f>
        <v/>
      </c>
      <c r="U797">
        <f>IF(K797="","",IF(ISNUMBER(--M797),TEXT(--M797,"000000000000.000"),LOWER(M797)))</f>
        <v/>
      </c>
      <c r="V797">
        <f>IF(K797="","",LOWER(N797))</f>
        <v/>
      </c>
      <c r="W797">
        <f>IF(K797="","",G297)</f>
        <v/>
      </c>
      <c r="X797">
        <f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>
      <c r="K798">
        <f>IF(H298="","",IF(SUMPRODUCT(--($C$2:$C$501=H298))&gt;0,"",H298))</f>
        <v/>
      </c>
      <c r="L798">
        <f>IF(K798="","",IF(ISNUMBER('List 2'!A298),'List 2'!A298,TRIM('List 2'!A298)))</f>
        <v/>
      </c>
      <c r="M798">
        <f>IF(K798="","",IF(ISNUMBER('List 2'!C298),'List 2'!C298,TRIM('List 2'!C298)))</f>
        <v/>
      </c>
      <c r="N798">
        <f>IF(K798="","",IF(ISNUMBER('List 2'!D298),'List 2'!D298,TRIM('List 2'!D298)))</f>
        <v/>
      </c>
      <c r="O798">
        <f>IF(K798="","",0)</f>
        <v/>
      </c>
      <c r="P798">
        <f>IF(K798="","",I298)</f>
        <v/>
      </c>
      <c r="Q798">
        <f>IF(K798="","",FALSE)</f>
        <v/>
      </c>
      <c r="R798">
        <f>IF(K798="","",TRUE)</f>
        <v/>
      </c>
      <c r="S798">
        <f>IF(K798="","",IF(AND(Q798,R798),IF(O798=P798,"Match","Qty Different"),IF(Q798,"Only in List 1","Only in List 2")))</f>
        <v/>
      </c>
      <c r="T798">
        <f>IF(K798="","",IF(ISNUMBER(--L798),TEXT(--L798,"000000000000.000"),LOWER(L798)))</f>
        <v/>
      </c>
      <c r="U798">
        <f>IF(K798="","",IF(ISNUMBER(--M798),TEXT(--M798,"000000000000.000"),LOWER(M798)))</f>
        <v/>
      </c>
      <c r="V798">
        <f>IF(K798="","",LOWER(N798))</f>
        <v/>
      </c>
      <c r="W798">
        <f>IF(K798="","",G298)</f>
        <v/>
      </c>
      <c r="X798">
        <f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>
      <c r="K799">
        <f>IF(H299="","",IF(SUMPRODUCT(--($C$2:$C$501=H299))&gt;0,"",H299))</f>
        <v/>
      </c>
      <c r="L799">
        <f>IF(K799="","",IF(ISNUMBER('List 2'!A299),'List 2'!A299,TRIM('List 2'!A299)))</f>
        <v/>
      </c>
      <c r="M799">
        <f>IF(K799="","",IF(ISNUMBER('List 2'!C299),'List 2'!C299,TRIM('List 2'!C299)))</f>
        <v/>
      </c>
      <c r="N799">
        <f>IF(K799="","",IF(ISNUMBER('List 2'!D299),'List 2'!D299,TRIM('List 2'!D299)))</f>
        <v/>
      </c>
      <c r="O799">
        <f>IF(K799="","",0)</f>
        <v/>
      </c>
      <c r="P799">
        <f>IF(K799="","",I299)</f>
        <v/>
      </c>
      <c r="Q799">
        <f>IF(K799="","",FALSE)</f>
        <v/>
      </c>
      <c r="R799">
        <f>IF(K799="","",TRUE)</f>
        <v/>
      </c>
      <c r="S799">
        <f>IF(K799="","",IF(AND(Q799,R799),IF(O799=P799,"Match","Qty Different"),IF(Q799,"Only in List 1","Only in List 2")))</f>
        <v/>
      </c>
      <c r="T799">
        <f>IF(K799="","",IF(ISNUMBER(--L799),TEXT(--L799,"000000000000.000"),LOWER(L799)))</f>
        <v/>
      </c>
      <c r="U799">
        <f>IF(K799="","",IF(ISNUMBER(--M799),TEXT(--M799,"000000000000.000"),LOWER(M799)))</f>
        <v/>
      </c>
      <c r="V799">
        <f>IF(K799="","",LOWER(N799))</f>
        <v/>
      </c>
      <c r="W799">
        <f>IF(K799="","",G299)</f>
        <v/>
      </c>
      <c r="X799">
        <f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>
      <c r="K800">
        <f>IF(H300="","",IF(SUMPRODUCT(--($C$2:$C$501=H300))&gt;0,"",H300))</f>
        <v/>
      </c>
      <c r="L800">
        <f>IF(K800="","",IF(ISNUMBER('List 2'!A300),'List 2'!A300,TRIM('List 2'!A300)))</f>
        <v/>
      </c>
      <c r="M800">
        <f>IF(K800="","",IF(ISNUMBER('List 2'!C300),'List 2'!C300,TRIM('List 2'!C300)))</f>
        <v/>
      </c>
      <c r="N800">
        <f>IF(K800="","",IF(ISNUMBER('List 2'!D300),'List 2'!D300,TRIM('List 2'!D300)))</f>
        <v/>
      </c>
      <c r="O800">
        <f>IF(K800="","",0)</f>
        <v/>
      </c>
      <c r="P800">
        <f>IF(K800="","",I300)</f>
        <v/>
      </c>
      <c r="Q800">
        <f>IF(K800="","",FALSE)</f>
        <v/>
      </c>
      <c r="R800">
        <f>IF(K800="","",TRUE)</f>
        <v/>
      </c>
      <c r="S800">
        <f>IF(K800="","",IF(AND(Q800,R800),IF(O800=P800,"Match","Qty Different"),IF(Q800,"Only in List 1","Only in List 2")))</f>
        <v/>
      </c>
      <c r="T800">
        <f>IF(K800="","",IF(ISNUMBER(--L800),TEXT(--L800,"000000000000.000"),LOWER(L800)))</f>
        <v/>
      </c>
      <c r="U800">
        <f>IF(K800="","",IF(ISNUMBER(--M800),TEXT(--M800,"000000000000.000"),LOWER(M800)))</f>
        <v/>
      </c>
      <c r="V800">
        <f>IF(K800="","",LOWER(N800))</f>
        <v/>
      </c>
      <c r="W800">
        <f>IF(K800="","",G300)</f>
        <v/>
      </c>
      <c r="X800">
        <f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>
      <c r="K801">
        <f>IF(H301="","",IF(SUMPRODUCT(--($C$2:$C$501=H301))&gt;0,"",H301))</f>
        <v/>
      </c>
      <c r="L801">
        <f>IF(K801="","",IF(ISNUMBER('List 2'!A301),'List 2'!A301,TRIM('List 2'!A301)))</f>
        <v/>
      </c>
      <c r="M801">
        <f>IF(K801="","",IF(ISNUMBER('List 2'!C301),'List 2'!C301,TRIM('List 2'!C301)))</f>
        <v/>
      </c>
      <c r="N801">
        <f>IF(K801="","",IF(ISNUMBER('List 2'!D301),'List 2'!D301,TRIM('List 2'!D301)))</f>
        <v/>
      </c>
      <c r="O801">
        <f>IF(K801="","",0)</f>
        <v/>
      </c>
      <c r="P801">
        <f>IF(K801="","",I301)</f>
        <v/>
      </c>
      <c r="Q801">
        <f>IF(K801="","",FALSE)</f>
        <v/>
      </c>
      <c r="R801">
        <f>IF(K801="","",TRUE)</f>
        <v/>
      </c>
      <c r="S801">
        <f>IF(K801="","",IF(AND(Q801,R801),IF(O801=P801,"Match","Qty Different"),IF(Q801,"Only in List 1","Only in List 2")))</f>
        <v/>
      </c>
      <c r="T801">
        <f>IF(K801="","",IF(ISNUMBER(--L801),TEXT(--L801,"000000000000.000"),LOWER(L801)))</f>
        <v/>
      </c>
      <c r="U801">
        <f>IF(K801="","",IF(ISNUMBER(--M801),TEXT(--M801,"000000000000.000"),LOWER(M801)))</f>
        <v/>
      </c>
      <c r="V801">
        <f>IF(K801="","",LOWER(N801))</f>
        <v/>
      </c>
      <c r="W801">
        <f>IF(K801="","",G301)</f>
        <v/>
      </c>
      <c r="X801">
        <f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>
      <c r="K802">
        <f>IF(H302="","",IF(SUMPRODUCT(--($C$2:$C$501=H302))&gt;0,"",H302))</f>
        <v/>
      </c>
      <c r="L802">
        <f>IF(K802="","",IF(ISNUMBER('List 2'!A302),'List 2'!A302,TRIM('List 2'!A302)))</f>
        <v/>
      </c>
      <c r="M802">
        <f>IF(K802="","",IF(ISNUMBER('List 2'!C302),'List 2'!C302,TRIM('List 2'!C302)))</f>
        <v/>
      </c>
      <c r="N802">
        <f>IF(K802="","",IF(ISNUMBER('List 2'!D302),'List 2'!D302,TRIM('List 2'!D302)))</f>
        <v/>
      </c>
      <c r="O802">
        <f>IF(K802="","",0)</f>
        <v/>
      </c>
      <c r="P802">
        <f>IF(K802="","",I302)</f>
        <v/>
      </c>
      <c r="Q802">
        <f>IF(K802="","",FALSE)</f>
        <v/>
      </c>
      <c r="R802">
        <f>IF(K802="","",TRUE)</f>
        <v/>
      </c>
      <c r="S802">
        <f>IF(K802="","",IF(AND(Q802,R802),IF(O802=P802,"Match","Qty Different"),IF(Q802,"Only in List 1","Only in List 2")))</f>
        <v/>
      </c>
      <c r="T802">
        <f>IF(K802="","",IF(ISNUMBER(--L802),TEXT(--L802,"000000000000.000"),LOWER(L802)))</f>
        <v/>
      </c>
      <c r="U802">
        <f>IF(K802="","",IF(ISNUMBER(--M802),TEXT(--M802,"000000000000.000"),LOWER(M802)))</f>
        <v/>
      </c>
      <c r="V802">
        <f>IF(K802="","",LOWER(N802))</f>
        <v/>
      </c>
      <c r="W802">
        <f>IF(K802="","",G302)</f>
        <v/>
      </c>
      <c r="X802">
        <f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>
      <c r="K803">
        <f>IF(H303="","",IF(SUMPRODUCT(--($C$2:$C$501=H303))&gt;0,"",H303))</f>
        <v/>
      </c>
      <c r="L803">
        <f>IF(K803="","",IF(ISNUMBER('List 2'!A303),'List 2'!A303,TRIM('List 2'!A303)))</f>
        <v/>
      </c>
      <c r="M803">
        <f>IF(K803="","",IF(ISNUMBER('List 2'!C303),'List 2'!C303,TRIM('List 2'!C303)))</f>
        <v/>
      </c>
      <c r="N803">
        <f>IF(K803="","",IF(ISNUMBER('List 2'!D303),'List 2'!D303,TRIM('List 2'!D303)))</f>
        <v/>
      </c>
      <c r="O803">
        <f>IF(K803="","",0)</f>
        <v/>
      </c>
      <c r="P803">
        <f>IF(K803="","",I303)</f>
        <v/>
      </c>
      <c r="Q803">
        <f>IF(K803="","",FALSE)</f>
        <v/>
      </c>
      <c r="R803">
        <f>IF(K803="","",TRUE)</f>
        <v/>
      </c>
      <c r="S803">
        <f>IF(K803="","",IF(AND(Q803,R803),IF(O803=P803,"Match","Qty Different"),IF(Q803,"Only in List 1","Only in List 2")))</f>
        <v/>
      </c>
      <c r="T803">
        <f>IF(K803="","",IF(ISNUMBER(--L803),TEXT(--L803,"000000000000.000"),LOWER(L803)))</f>
        <v/>
      </c>
      <c r="U803">
        <f>IF(K803="","",IF(ISNUMBER(--M803),TEXT(--M803,"000000000000.000"),LOWER(M803)))</f>
        <v/>
      </c>
      <c r="V803">
        <f>IF(K803="","",LOWER(N803))</f>
        <v/>
      </c>
      <c r="W803">
        <f>IF(K803="","",G303)</f>
        <v/>
      </c>
      <c r="X803">
        <f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>
      <c r="K804">
        <f>IF(H304="","",IF(SUMPRODUCT(--($C$2:$C$501=H304))&gt;0,"",H304))</f>
        <v/>
      </c>
      <c r="L804">
        <f>IF(K804="","",IF(ISNUMBER('List 2'!A304),'List 2'!A304,TRIM('List 2'!A304)))</f>
        <v/>
      </c>
      <c r="M804">
        <f>IF(K804="","",IF(ISNUMBER('List 2'!C304),'List 2'!C304,TRIM('List 2'!C304)))</f>
        <v/>
      </c>
      <c r="N804">
        <f>IF(K804="","",IF(ISNUMBER('List 2'!D304),'List 2'!D304,TRIM('List 2'!D304)))</f>
        <v/>
      </c>
      <c r="O804">
        <f>IF(K804="","",0)</f>
        <v/>
      </c>
      <c r="P804">
        <f>IF(K804="","",I304)</f>
        <v/>
      </c>
      <c r="Q804">
        <f>IF(K804="","",FALSE)</f>
        <v/>
      </c>
      <c r="R804">
        <f>IF(K804="","",TRUE)</f>
        <v/>
      </c>
      <c r="S804">
        <f>IF(K804="","",IF(AND(Q804,R804),IF(O804=P804,"Match","Qty Different"),IF(Q804,"Only in List 1","Only in List 2")))</f>
        <v/>
      </c>
      <c r="T804">
        <f>IF(K804="","",IF(ISNUMBER(--L804),TEXT(--L804,"000000000000.000"),LOWER(L804)))</f>
        <v/>
      </c>
      <c r="U804">
        <f>IF(K804="","",IF(ISNUMBER(--M804),TEXT(--M804,"000000000000.000"),LOWER(M804)))</f>
        <v/>
      </c>
      <c r="V804">
        <f>IF(K804="","",LOWER(N804))</f>
        <v/>
      </c>
      <c r="W804">
        <f>IF(K804="","",G304)</f>
        <v/>
      </c>
      <c r="X804">
        <f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>
      <c r="K805">
        <f>IF(H305="","",IF(SUMPRODUCT(--($C$2:$C$501=H305))&gt;0,"",H305))</f>
        <v/>
      </c>
      <c r="L805">
        <f>IF(K805="","",IF(ISNUMBER('List 2'!A305),'List 2'!A305,TRIM('List 2'!A305)))</f>
        <v/>
      </c>
      <c r="M805">
        <f>IF(K805="","",IF(ISNUMBER('List 2'!C305),'List 2'!C305,TRIM('List 2'!C305)))</f>
        <v/>
      </c>
      <c r="N805">
        <f>IF(K805="","",IF(ISNUMBER('List 2'!D305),'List 2'!D305,TRIM('List 2'!D305)))</f>
        <v/>
      </c>
      <c r="O805">
        <f>IF(K805="","",0)</f>
        <v/>
      </c>
      <c r="P805">
        <f>IF(K805="","",I305)</f>
        <v/>
      </c>
      <c r="Q805">
        <f>IF(K805="","",FALSE)</f>
        <v/>
      </c>
      <c r="R805">
        <f>IF(K805="","",TRUE)</f>
        <v/>
      </c>
      <c r="S805">
        <f>IF(K805="","",IF(AND(Q805,R805),IF(O805=P805,"Match","Qty Different"),IF(Q805,"Only in List 1","Only in List 2")))</f>
        <v/>
      </c>
      <c r="T805">
        <f>IF(K805="","",IF(ISNUMBER(--L805),TEXT(--L805,"000000000000.000"),LOWER(L805)))</f>
        <v/>
      </c>
      <c r="U805">
        <f>IF(K805="","",IF(ISNUMBER(--M805),TEXT(--M805,"000000000000.000"),LOWER(M805)))</f>
        <v/>
      </c>
      <c r="V805">
        <f>IF(K805="","",LOWER(N805))</f>
        <v/>
      </c>
      <c r="W805">
        <f>IF(K805="","",G305)</f>
        <v/>
      </c>
      <c r="X805">
        <f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>
      <c r="K806">
        <f>IF(H306="","",IF(SUMPRODUCT(--($C$2:$C$501=H306))&gt;0,"",H306))</f>
        <v/>
      </c>
      <c r="L806">
        <f>IF(K806="","",IF(ISNUMBER('List 2'!A306),'List 2'!A306,TRIM('List 2'!A306)))</f>
        <v/>
      </c>
      <c r="M806">
        <f>IF(K806="","",IF(ISNUMBER('List 2'!C306),'List 2'!C306,TRIM('List 2'!C306)))</f>
        <v/>
      </c>
      <c r="N806">
        <f>IF(K806="","",IF(ISNUMBER('List 2'!D306),'List 2'!D306,TRIM('List 2'!D306)))</f>
        <v/>
      </c>
      <c r="O806">
        <f>IF(K806="","",0)</f>
        <v/>
      </c>
      <c r="P806">
        <f>IF(K806="","",I306)</f>
        <v/>
      </c>
      <c r="Q806">
        <f>IF(K806="","",FALSE)</f>
        <v/>
      </c>
      <c r="R806">
        <f>IF(K806="","",TRUE)</f>
        <v/>
      </c>
      <c r="S806">
        <f>IF(K806="","",IF(AND(Q806,R806),IF(O806=P806,"Match","Qty Different"),IF(Q806,"Only in List 1","Only in List 2")))</f>
        <v/>
      </c>
      <c r="T806">
        <f>IF(K806="","",IF(ISNUMBER(--L806),TEXT(--L806,"000000000000.000"),LOWER(L806)))</f>
        <v/>
      </c>
      <c r="U806">
        <f>IF(K806="","",IF(ISNUMBER(--M806),TEXT(--M806,"000000000000.000"),LOWER(M806)))</f>
        <v/>
      </c>
      <c r="V806">
        <f>IF(K806="","",LOWER(N806))</f>
        <v/>
      </c>
      <c r="W806">
        <f>IF(K806="","",G306)</f>
        <v/>
      </c>
      <c r="X806">
        <f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>
      <c r="K807">
        <f>IF(H307="","",IF(SUMPRODUCT(--($C$2:$C$501=H307))&gt;0,"",H307))</f>
        <v/>
      </c>
      <c r="L807">
        <f>IF(K807="","",IF(ISNUMBER('List 2'!A307),'List 2'!A307,TRIM('List 2'!A307)))</f>
        <v/>
      </c>
      <c r="M807">
        <f>IF(K807="","",IF(ISNUMBER('List 2'!C307),'List 2'!C307,TRIM('List 2'!C307)))</f>
        <v/>
      </c>
      <c r="N807">
        <f>IF(K807="","",IF(ISNUMBER('List 2'!D307),'List 2'!D307,TRIM('List 2'!D307)))</f>
        <v/>
      </c>
      <c r="O807">
        <f>IF(K807="","",0)</f>
        <v/>
      </c>
      <c r="P807">
        <f>IF(K807="","",I307)</f>
        <v/>
      </c>
      <c r="Q807">
        <f>IF(K807="","",FALSE)</f>
        <v/>
      </c>
      <c r="R807">
        <f>IF(K807="","",TRUE)</f>
        <v/>
      </c>
      <c r="S807">
        <f>IF(K807="","",IF(AND(Q807,R807),IF(O807=P807,"Match","Qty Different"),IF(Q807,"Only in List 1","Only in List 2")))</f>
        <v/>
      </c>
      <c r="T807">
        <f>IF(K807="","",IF(ISNUMBER(--L807),TEXT(--L807,"000000000000.000"),LOWER(L807)))</f>
        <v/>
      </c>
      <c r="U807">
        <f>IF(K807="","",IF(ISNUMBER(--M807),TEXT(--M807,"000000000000.000"),LOWER(M807)))</f>
        <v/>
      </c>
      <c r="V807">
        <f>IF(K807="","",LOWER(N807))</f>
        <v/>
      </c>
      <c r="W807">
        <f>IF(K807="","",G307)</f>
        <v/>
      </c>
      <c r="X807">
        <f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>
      <c r="K808">
        <f>IF(H308="","",IF(SUMPRODUCT(--($C$2:$C$501=H308))&gt;0,"",H308))</f>
        <v/>
      </c>
      <c r="L808">
        <f>IF(K808="","",IF(ISNUMBER('List 2'!A308),'List 2'!A308,TRIM('List 2'!A308)))</f>
        <v/>
      </c>
      <c r="M808">
        <f>IF(K808="","",IF(ISNUMBER('List 2'!C308),'List 2'!C308,TRIM('List 2'!C308)))</f>
        <v/>
      </c>
      <c r="N808">
        <f>IF(K808="","",IF(ISNUMBER('List 2'!D308),'List 2'!D308,TRIM('List 2'!D308)))</f>
        <v/>
      </c>
      <c r="O808">
        <f>IF(K808="","",0)</f>
        <v/>
      </c>
      <c r="P808">
        <f>IF(K808="","",I308)</f>
        <v/>
      </c>
      <c r="Q808">
        <f>IF(K808="","",FALSE)</f>
        <v/>
      </c>
      <c r="R808">
        <f>IF(K808="","",TRUE)</f>
        <v/>
      </c>
      <c r="S808">
        <f>IF(K808="","",IF(AND(Q808,R808),IF(O808=P808,"Match","Qty Different"),IF(Q808,"Only in List 1","Only in List 2")))</f>
        <v/>
      </c>
      <c r="T808">
        <f>IF(K808="","",IF(ISNUMBER(--L808),TEXT(--L808,"000000000000.000"),LOWER(L808)))</f>
        <v/>
      </c>
      <c r="U808">
        <f>IF(K808="","",IF(ISNUMBER(--M808),TEXT(--M808,"000000000000.000"),LOWER(M808)))</f>
        <v/>
      </c>
      <c r="V808">
        <f>IF(K808="","",LOWER(N808))</f>
        <v/>
      </c>
      <c r="W808">
        <f>IF(K808="","",G308)</f>
        <v/>
      </c>
      <c r="X808">
        <f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>
      <c r="K809">
        <f>IF(H309="","",IF(SUMPRODUCT(--($C$2:$C$501=H309))&gt;0,"",H309))</f>
        <v/>
      </c>
      <c r="L809">
        <f>IF(K809="","",IF(ISNUMBER('List 2'!A309),'List 2'!A309,TRIM('List 2'!A309)))</f>
        <v/>
      </c>
      <c r="M809">
        <f>IF(K809="","",IF(ISNUMBER('List 2'!C309),'List 2'!C309,TRIM('List 2'!C309)))</f>
        <v/>
      </c>
      <c r="N809">
        <f>IF(K809="","",IF(ISNUMBER('List 2'!D309),'List 2'!D309,TRIM('List 2'!D309)))</f>
        <v/>
      </c>
      <c r="O809">
        <f>IF(K809="","",0)</f>
        <v/>
      </c>
      <c r="P809">
        <f>IF(K809="","",I309)</f>
        <v/>
      </c>
      <c r="Q809">
        <f>IF(K809="","",FALSE)</f>
        <v/>
      </c>
      <c r="R809">
        <f>IF(K809="","",TRUE)</f>
        <v/>
      </c>
      <c r="S809">
        <f>IF(K809="","",IF(AND(Q809,R809),IF(O809=P809,"Match","Qty Different"),IF(Q809,"Only in List 1","Only in List 2")))</f>
        <v/>
      </c>
      <c r="T809">
        <f>IF(K809="","",IF(ISNUMBER(--L809),TEXT(--L809,"000000000000.000"),LOWER(L809)))</f>
        <v/>
      </c>
      <c r="U809">
        <f>IF(K809="","",IF(ISNUMBER(--M809),TEXT(--M809,"000000000000.000"),LOWER(M809)))</f>
        <v/>
      </c>
      <c r="V809">
        <f>IF(K809="","",LOWER(N809))</f>
        <v/>
      </c>
      <c r="W809">
        <f>IF(K809="","",G309)</f>
        <v/>
      </c>
      <c r="X809">
        <f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>
      <c r="K810">
        <f>IF(H310="","",IF(SUMPRODUCT(--($C$2:$C$501=H310))&gt;0,"",H310))</f>
        <v/>
      </c>
      <c r="L810">
        <f>IF(K810="","",IF(ISNUMBER('List 2'!A310),'List 2'!A310,TRIM('List 2'!A310)))</f>
        <v/>
      </c>
      <c r="M810">
        <f>IF(K810="","",IF(ISNUMBER('List 2'!C310),'List 2'!C310,TRIM('List 2'!C310)))</f>
        <v/>
      </c>
      <c r="N810">
        <f>IF(K810="","",IF(ISNUMBER('List 2'!D310),'List 2'!D310,TRIM('List 2'!D310)))</f>
        <v/>
      </c>
      <c r="O810">
        <f>IF(K810="","",0)</f>
        <v/>
      </c>
      <c r="P810">
        <f>IF(K810="","",I310)</f>
        <v/>
      </c>
      <c r="Q810">
        <f>IF(K810="","",FALSE)</f>
        <v/>
      </c>
      <c r="R810">
        <f>IF(K810="","",TRUE)</f>
        <v/>
      </c>
      <c r="S810">
        <f>IF(K810="","",IF(AND(Q810,R810),IF(O810=P810,"Match","Qty Different"),IF(Q810,"Only in List 1","Only in List 2")))</f>
        <v/>
      </c>
      <c r="T810">
        <f>IF(K810="","",IF(ISNUMBER(--L810),TEXT(--L810,"000000000000.000"),LOWER(L810)))</f>
        <v/>
      </c>
      <c r="U810">
        <f>IF(K810="","",IF(ISNUMBER(--M810),TEXT(--M810,"000000000000.000"),LOWER(M810)))</f>
        <v/>
      </c>
      <c r="V810">
        <f>IF(K810="","",LOWER(N810))</f>
        <v/>
      </c>
      <c r="W810">
        <f>IF(K810="","",G310)</f>
        <v/>
      </c>
      <c r="X810">
        <f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>
      <c r="K811">
        <f>IF(H311="","",IF(SUMPRODUCT(--($C$2:$C$501=H311))&gt;0,"",H311))</f>
        <v/>
      </c>
      <c r="L811">
        <f>IF(K811="","",IF(ISNUMBER('List 2'!A311),'List 2'!A311,TRIM('List 2'!A311)))</f>
        <v/>
      </c>
      <c r="M811">
        <f>IF(K811="","",IF(ISNUMBER('List 2'!C311),'List 2'!C311,TRIM('List 2'!C311)))</f>
        <v/>
      </c>
      <c r="N811">
        <f>IF(K811="","",IF(ISNUMBER('List 2'!D311),'List 2'!D311,TRIM('List 2'!D311)))</f>
        <v/>
      </c>
      <c r="O811">
        <f>IF(K811="","",0)</f>
        <v/>
      </c>
      <c r="P811">
        <f>IF(K811="","",I311)</f>
        <v/>
      </c>
      <c r="Q811">
        <f>IF(K811="","",FALSE)</f>
        <v/>
      </c>
      <c r="R811">
        <f>IF(K811="","",TRUE)</f>
        <v/>
      </c>
      <c r="S811">
        <f>IF(K811="","",IF(AND(Q811,R811),IF(O811=P811,"Match","Qty Different"),IF(Q811,"Only in List 1","Only in List 2")))</f>
        <v/>
      </c>
      <c r="T811">
        <f>IF(K811="","",IF(ISNUMBER(--L811),TEXT(--L811,"000000000000.000"),LOWER(L811)))</f>
        <v/>
      </c>
      <c r="U811">
        <f>IF(K811="","",IF(ISNUMBER(--M811),TEXT(--M811,"000000000000.000"),LOWER(M811)))</f>
        <v/>
      </c>
      <c r="V811">
        <f>IF(K811="","",LOWER(N811))</f>
        <v/>
      </c>
      <c r="W811">
        <f>IF(K811="","",G311)</f>
        <v/>
      </c>
      <c r="X811">
        <f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>
      <c r="K812">
        <f>IF(H312="","",IF(SUMPRODUCT(--($C$2:$C$501=H312))&gt;0,"",H312))</f>
        <v/>
      </c>
      <c r="L812">
        <f>IF(K812="","",IF(ISNUMBER('List 2'!A312),'List 2'!A312,TRIM('List 2'!A312)))</f>
        <v/>
      </c>
      <c r="M812">
        <f>IF(K812="","",IF(ISNUMBER('List 2'!C312),'List 2'!C312,TRIM('List 2'!C312)))</f>
        <v/>
      </c>
      <c r="N812">
        <f>IF(K812="","",IF(ISNUMBER('List 2'!D312),'List 2'!D312,TRIM('List 2'!D312)))</f>
        <v/>
      </c>
      <c r="O812">
        <f>IF(K812="","",0)</f>
        <v/>
      </c>
      <c r="P812">
        <f>IF(K812="","",I312)</f>
        <v/>
      </c>
      <c r="Q812">
        <f>IF(K812="","",FALSE)</f>
        <v/>
      </c>
      <c r="R812">
        <f>IF(K812="","",TRUE)</f>
        <v/>
      </c>
      <c r="S812">
        <f>IF(K812="","",IF(AND(Q812,R812),IF(O812=P812,"Match","Qty Different"),IF(Q812,"Only in List 1","Only in List 2")))</f>
        <v/>
      </c>
      <c r="T812">
        <f>IF(K812="","",IF(ISNUMBER(--L812),TEXT(--L812,"000000000000.000"),LOWER(L812)))</f>
        <v/>
      </c>
      <c r="U812">
        <f>IF(K812="","",IF(ISNUMBER(--M812),TEXT(--M812,"000000000000.000"),LOWER(M812)))</f>
        <v/>
      </c>
      <c r="V812">
        <f>IF(K812="","",LOWER(N812))</f>
        <v/>
      </c>
      <c r="W812">
        <f>IF(K812="","",G312)</f>
        <v/>
      </c>
      <c r="X812">
        <f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>
      <c r="K813">
        <f>IF(H313="","",IF(SUMPRODUCT(--($C$2:$C$501=H313))&gt;0,"",H313))</f>
        <v/>
      </c>
      <c r="L813">
        <f>IF(K813="","",IF(ISNUMBER('List 2'!A313),'List 2'!A313,TRIM('List 2'!A313)))</f>
        <v/>
      </c>
      <c r="M813">
        <f>IF(K813="","",IF(ISNUMBER('List 2'!C313),'List 2'!C313,TRIM('List 2'!C313)))</f>
        <v/>
      </c>
      <c r="N813">
        <f>IF(K813="","",IF(ISNUMBER('List 2'!D313),'List 2'!D313,TRIM('List 2'!D313)))</f>
        <v/>
      </c>
      <c r="O813">
        <f>IF(K813="","",0)</f>
        <v/>
      </c>
      <c r="P813">
        <f>IF(K813="","",I313)</f>
        <v/>
      </c>
      <c r="Q813">
        <f>IF(K813="","",FALSE)</f>
        <v/>
      </c>
      <c r="R813">
        <f>IF(K813="","",TRUE)</f>
        <v/>
      </c>
      <c r="S813">
        <f>IF(K813="","",IF(AND(Q813,R813),IF(O813=P813,"Match","Qty Different"),IF(Q813,"Only in List 1","Only in List 2")))</f>
        <v/>
      </c>
      <c r="T813">
        <f>IF(K813="","",IF(ISNUMBER(--L813),TEXT(--L813,"000000000000.000"),LOWER(L813)))</f>
        <v/>
      </c>
      <c r="U813">
        <f>IF(K813="","",IF(ISNUMBER(--M813),TEXT(--M813,"000000000000.000"),LOWER(M813)))</f>
        <v/>
      </c>
      <c r="V813">
        <f>IF(K813="","",LOWER(N813))</f>
        <v/>
      </c>
      <c r="W813">
        <f>IF(K813="","",G313)</f>
        <v/>
      </c>
      <c r="X813">
        <f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>
      <c r="K814">
        <f>IF(H314="","",IF(SUMPRODUCT(--($C$2:$C$501=H314))&gt;0,"",H314))</f>
        <v/>
      </c>
      <c r="L814">
        <f>IF(K814="","",IF(ISNUMBER('List 2'!A314),'List 2'!A314,TRIM('List 2'!A314)))</f>
        <v/>
      </c>
      <c r="M814">
        <f>IF(K814="","",IF(ISNUMBER('List 2'!C314),'List 2'!C314,TRIM('List 2'!C314)))</f>
        <v/>
      </c>
      <c r="N814">
        <f>IF(K814="","",IF(ISNUMBER('List 2'!D314),'List 2'!D314,TRIM('List 2'!D314)))</f>
        <v/>
      </c>
      <c r="O814">
        <f>IF(K814="","",0)</f>
        <v/>
      </c>
      <c r="P814">
        <f>IF(K814="","",I314)</f>
        <v/>
      </c>
      <c r="Q814">
        <f>IF(K814="","",FALSE)</f>
        <v/>
      </c>
      <c r="R814">
        <f>IF(K814="","",TRUE)</f>
        <v/>
      </c>
      <c r="S814">
        <f>IF(K814="","",IF(AND(Q814,R814),IF(O814=P814,"Match","Qty Different"),IF(Q814,"Only in List 1","Only in List 2")))</f>
        <v/>
      </c>
      <c r="T814">
        <f>IF(K814="","",IF(ISNUMBER(--L814),TEXT(--L814,"000000000000.000"),LOWER(L814)))</f>
        <v/>
      </c>
      <c r="U814">
        <f>IF(K814="","",IF(ISNUMBER(--M814),TEXT(--M814,"000000000000.000"),LOWER(M814)))</f>
        <v/>
      </c>
      <c r="V814">
        <f>IF(K814="","",LOWER(N814))</f>
        <v/>
      </c>
      <c r="W814">
        <f>IF(K814="","",G314)</f>
        <v/>
      </c>
      <c r="X814">
        <f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>
      <c r="K815">
        <f>IF(H315="","",IF(SUMPRODUCT(--($C$2:$C$501=H315))&gt;0,"",H315))</f>
        <v/>
      </c>
      <c r="L815">
        <f>IF(K815="","",IF(ISNUMBER('List 2'!A315),'List 2'!A315,TRIM('List 2'!A315)))</f>
        <v/>
      </c>
      <c r="M815">
        <f>IF(K815="","",IF(ISNUMBER('List 2'!C315),'List 2'!C315,TRIM('List 2'!C315)))</f>
        <v/>
      </c>
      <c r="N815">
        <f>IF(K815="","",IF(ISNUMBER('List 2'!D315),'List 2'!D315,TRIM('List 2'!D315)))</f>
        <v/>
      </c>
      <c r="O815">
        <f>IF(K815="","",0)</f>
        <v/>
      </c>
      <c r="P815">
        <f>IF(K815="","",I315)</f>
        <v/>
      </c>
      <c r="Q815">
        <f>IF(K815="","",FALSE)</f>
        <v/>
      </c>
      <c r="R815">
        <f>IF(K815="","",TRUE)</f>
        <v/>
      </c>
      <c r="S815">
        <f>IF(K815="","",IF(AND(Q815,R815),IF(O815=P815,"Match","Qty Different"),IF(Q815,"Only in List 1","Only in List 2")))</f>
        <v/>
      </c>
      <c r="T815">
        <f>IF(K815="","",IF(ISNUMBER(--L815),TEXT(--L815,"000000000000.000"),LOWER(L815)))</f>
        <v/>
      </c>
      <c r="U815">
        <f>IF(K815="","",IF(ISNUMBER(--M815),TEXT(--M815,"000000000000.000"),LOWER(M815)))</f>
        <v/>
      </c>
      <c r="V815">
        <f>IF(K815="","",LOWER(N815))</f>
        <v/>
      </c>
      <c r="W815">
        <f>IF(K815="","",G315)</f>
        <v/>
      </c>
      <c r="X815">
        <f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>
      <c r="K816">
        <f>IF(H316="","",IF(SUMPRODUCT(--($C$2:$C$501=H316))&gt;0,"",H316))</f>
        <v/>
      </c>
      <c r="L816">
        <f>IF(K816="","",IF(ISNUMBER('List 2'!A316),'List 2'!A316,TRIM('List 2'!A316)))</f>
        <v/>
      </c>
      <c r="M816">
        <f>IF(K816="","",IF(ISNUMBER('List 2'!C316),'List 2'!C316,TRIM('List 2'!C316)))</f>
        <v/>
      </c>
      <c r="N816">
        <f>IF(K816="","",IF(ISNUMBER('List 2'!D316),'List 2'!D316,TRIM('List 2'!D316)))</f>
        <v/>
      </c>
      <c r="O816">
        <f>IF(K816="","",0)</f>
        <v/>
      </c>
      <c r="P816">
        <f>IF(K816="","",I316)</f>
        <v/>
      </c>
      <c r="Q816">
        <f>IF(K816="","",FALSE)</f>
        <v/>
      </c>
      <c r="R816">
        <f>IF(K816="","",TRUE)</f>
        <v/>
      </c>
      <c r="S816">
        <f>IF(K816="","",IF(AND(Q816,R816),IF(O816=P816,"Match","Qty Different"),IF(Q816,"Only in List 1","Only in List 2")))</f>
        <v/>
      </c>
      <c r="T816">
        <f>IF(K816="","",IF(ISNUMBER(--L816),TEXT(--L816,"000000000000.000"),LOWER(L816)))</f>
        <v/>
      </c>
      <c r="U816">
        <f>IF(K816="","",IF(ISNUMBER(--M816),TEXT(--M816,"000000000000.000"),LOWER(M816)))</f>
        <v/>
      </c>
      <c r="V816">
        <f>IF(K816="","",LOWER(N816))</f>
        <v/>
      </c>
      <c r="W816">
        <f>IF(K816="","",G316)</f>
        <v/>
      </c>
      <c r="X816">
        <f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>
      <c r="K817">
        <f>IF(H317="","",IF(SUMPRODUCT(--($C$2:$C$501=H317))&gt;0,"",H317))</f>
        <v/>
      </c>
      <c r="L817">
        <f>IF(K817="","",IF(ISNUMBER('List 2'!A317),'List 2'!A317,TRIM('List 2'!A317)))</f>
        <v/>
      </c>
      <c r="M817">
        <f>IF(K817="","",IF(ISNUMBER('List 2'!C317),'List 2'!C317,TRIM('List 2'!C317)))</f>
        <v/>
      </c>
      <c r="N817">
        <f>IF(K817="","",IF(ISNUMBER('List 2'!D317),'List 2'!D317,TRIM('List 2'!D317)))</f>
        <v/>
      </c>
      <c r="O817">
        <f>IF(K817="","",0)</f>
        <v/>
      </c>
      <c r="P817">
        <f>IF(K817="","",I317)</f>
        <v/>
      </c>
      <c r="Q817">
        <f>IF(K817="","",FALSE)</f>
        <v/>
      </c>
      <c r="R817">
        <f>IF(K817="","",TRUE)</f>
        <v/>
      </c>
      <c r="S817">
        <f>IF(K817="","",IF(AND(Q817,R817),IF(O817=P817,"Match","Qty Different"),IF(Q817,"Only in List 1","Only in List 2")))</f>
        <v/>
      </c>
      <c r="T817">
        <f>IF(K817="","",IF(ISNUMBER(--L817),TEXT(--L817,"000000000000.000"),LOWER(L817)))</f>
        <v/>
      </c>
      <c r="U817">
        <f>IF(K817="","",IF(ISNUMBER(--M817),TEXT(--M817,"000000000000.000"),LOWER(M817)))</f>
        <v/>
      </c>
      <c r="V817">
        <f>IF(K817="","",LOWER(N817))</f>
        <v/>
      </c>
      <c r="W817">
        <f>IF(K817="","",G317)</f>
        <v/>
      </c>
      <c r="X817">
        <f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>
      <c r="K818">
        <f>IF(H318="","",IF(SUMPRODUCT(--($C$2:$C$501=H318))&gt;0,"",H318))</f>
        <v/>
      </c>
      <c r="L818">
        <f>IF(K818="","",IF(ISNUMBER('List 2'!A318),'List 2'!A318,TRIM('List 2'!A318)))</f>
        <v/>
      </c>
      <c r="M818">
        <f>IF(K818="","",IF(ISNUMBER('List 2'!C318),'List 2'!C318,TRIM('List 2'!C318)))</f>
        <v/>
      </c>
      <c r="N818">
        <f>IF(K818="","",IF(ISNUMBER('List 2'!D318),'List 2'!D318,TRIM('List 2'!D318)))</f>
        <v/>
      </c>
      <c r="O818">
        <f>IF(K818="","",0)</f>
        <v/>
      </c>
      <c r="P818">
        <f>IF(K818="","",I318)</f>
        <v/>
      </c>
      <c r="Q818">
        <f>IF(K818="","",FALSE)</f>
        <v/>
      </c>
      <c r="R818">
        <f>IF(K818="","",TRUE)</f>
        <v/>
      </c>
      <c r="S818">
        <f>IF(K818="","",IF(AND(Q818,R818),IF(O818=P818,"Match","Qty Different"),IF(Q818,"Only in List 1","Only in List 2")))</f>
        <v/>
      </c>
      <c r="T818">
        <f>IF(K818="","",IF(ISNUMBER(--L818),TEXT(--L818,"000000000000.000"),LOWER(L818)))</f>
        <v/>
      </c>
      <c r="U818">
        <f>IF(K818="","",IF(ISNUMBER(--M818),TEXT(--M818,"000000000000.000"),LOWER(M818)))</f>
        <v/>
      </c>
      <c r="V818">
        <f>IF(K818="","",LOWER(N818))</f>
        <v/>
      </c>
      <c r="W818">
        <f>IF(K818="","",G318)</f>
        <v/>
      </c>
      <c r="X818">
        <f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>
      <c r="K819">
        <f>IF(H319="","",IF(SUMPRODUCT(--($C$2:$C$501=H319))&gt;0,"",H319))</f>
        <v/>
      </c>
      <c r="L819">
        <f>IF(K819="","",IF(ISNUMBER('List 2'!A319),'List 2'!A319,TRIM('List 2'!A319)))</f>
        <v/>
      </c>
      <c r="M819">
        <f>IF(K819="","",IF(ISNUMBER('List 2'!C319),'List 2'!C319,TRIM('List 2'!C319)))</f>
        <v/>
      </c>
      <c r="N819">
        <f>IF(K819="","",IF(ISNUMBER('List 2'!D319),'List 2'!D319,TRIM('List 2'!D319)))</f>
        <v/>
      </c>
      <c r="O819">
        <f>IF(K819="","",0)</f>
        <v/>
      </c>
      <c r="P819">
        <f>IF(K819="","",I319)</f>
        <v/>
      </c>
      <c r="Q819">
        <f>IF(K819="","",FALSE)</f>
        <v/>
      </c>
      <c r="R819">
        <f>IF(K819="","",TRUE)</f>
        <v/>
      </c>
      <c r="S819">
        <f>IF(K819="","",IF(AND(Q819,R819),IF(O819=P819,"Match","Qty Different"),IF(Q819,"Only in List 1","Only in List 2")))</f>
        <v/>
      </c>
      <c r="T819">
        <f>IF(K819="","",IF(ISNUMBER(--L819),TEXT(--L819,"000000000000.000"),LOWER(L819)))</f>
        <v/>
      </c>
      <c r="U819">
        <f>IF(K819="","",IF(ISNUMBER(--M819),TEXT(--M819,"000000000000.000"),LOWER(M819)))</f>
        <v/>
      </c>
      <c r="V819">
        <f>IF(K819="","",LOWER(N819))</f>
        <v/>
      </c>
      <c r="W819">
        <f>IF(K819="","",G319)</f>
        <v/>
      </c>
      <c r="X819">
        <f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>
      <c r="K820">
        <f>IF(H320="","",IF(SUMPRODUCT(--($C$2:$C$501=H320))&gt;0,"",H320))</f>
        <v/>
      </c>
      <c r="L820">
        <f>IF(K820="","",IF(ISNUMBER('List 2'!A320),'List 2'!A320,TRIM('List 2'!A320)))</f>
        <v/>
      </c>
      <c r="M820">
        <f>IF(K820="","",IF(ISNUMBER('List 2'!C320),'List 2'!C320,TRIM('List 2'!C320)))</f>
        <v/>
      </c>
      <c r="N820">
        <f>IF(K820="","",IF(ISNUMBER('List 2'!D320),'List 2'!D320,TRIM('List 2'!D320)))</f>
        <v/>
      </c>
      <c r="O820">
        <f>IF(K820="","",0)</f>
        <v/>
      </c>
      <c r="P820">
        <f>IF(K820="","",I320)</f>
        <v/>
      </c>
      <c r="Q820">
        <f>IF(K820="","",FALSE)</f>
        <v/>
      </c>
      <c r="R820">
        <f>IF(K820="","",TRUE)</f>
        <v/>
      </c>
      <c r="S820">
        <f>IF(K820="","",IF(AND(Q820,R820),IF(O820=P820,"Match","Qty Different"),IF(Q820,"Only in List 1","Only in List 2")))</f>
        <v/>
      </c>
      <c r="T820">
        <f>IF(K820="","",IF(ISNUMBER(--L820),TEXT(--L820,"000000000000.000"),LOWER(L820)))</f>
        <v/>
      </c>
      <c r="U820">
        <f>IF(K820="","",IF(ISNUMBER(--M820),TEXT(--M820,"000000000000.000"),LOWER(M820)))</f>
        <v/>
      </c>
      <c r="V820">
        <f>IF(K820="","",LOWER(N820))</f>
        <v/>
      </c>
      <c r="W820">
        <f>IF(K820="","",G320)</f>
        <v/>
      </c>
      <c r="X820">
        <f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>
      <c r="K821">
        <f>IF(H321="","",IF(SUMPRODUCT(--($C$2:$C$501=H321))&gt;0,"",H321))</f>
        <v/>
      </c>
      <c r="L821">
        <f>IF(K821="","",IF(ISNUMBER('List 2'!A321),'List 2'!A321,TRIM('List 2'!A321)))</f>
        <v/>
      </c>
      <c r="M821">
        <f>IF(K821="","",IF(ISNUMBER('List 2'!C321),'List 2'!C321,TRIM('List 2'!C321)))</f>
        <v/>
      </c>
      <c r="N821">
        <f>IF(K821="","",IF(ISNUMBER('List 2'!D321),'List 2'!D321,TRIM('List 2'!D321)))</f>
        <v/>
      </c>
      <c r="O821">
        <f>IF(K821="","",0)</f>
        <v/>
      </c>
      <c r="P821">
        <f>IF(K821="","",I321)</f>
        <v/>
      </c>
      <c r="Q821">
        <f>IF(K821="","",FALSE)</f>
        <v/>
      </c>
      <c r="R821">
        <f>IF(K821="","",TRUE)</f>
        <v/>
      </c>
      <c r="S821">
        <f>IF(K821="","",IF(AND(Q821,R821),IF(O821=P821,"Match","Qty Different"),IF(Q821,"Only in List 1","Only in List 2")))</f>
        <v/>
      </c>
      <c r="T821">
        <f>IF(K821="","",IF(ISNUMBER(--L821),TEXT(--L821,"000000000000.000"),LOWER(L821)))</f>
        <v/>
      </c>
      <c r="U821">
        <f>IF(K821="","",IF(ISNUMBER(--M821),TEXT(--M821,"000000000000.000"),LOWER(M821)))</f>
        <v/>
      </c>
      <c r="V821">
        <f>IF(K821="","",LOWER(N821))</f>
        <v/>
      </c>
      <c r="W821">
        <f>IF(K821="","",G321)</f>
        <v/>
      </c>
      <c r="X821">
        <f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>
      <c r="K822">
        <f>IF(H322="","",IF(SUMPRODUCT(--($C$2:$C$501=H322))&gt;0,"",H322))</f>
        <v/>
      </c>
      <c r="L822">
        <f>IF(K822="","",IF(ISNUMBER('List 2'!A322),'List 2'!A322,TRIM('List 2'!A322)))</f>
        <v/>
      </c>
      <c r="M822">
        <f>IF(K822="","",IF(ISNUMBER('List 2'!C322),'List 2'!C322,TRIM('List 2'!C322)))</f>
        <v/>
      </c>
      <c r="N822">
        <f>IF(K822="","",IF(ISNUMBER('List 2'!D322),'List 2'!D322,TRIM('List 2'!D322)))</f>
        <v/>
      </c>
      <c r="O822">
        <f>IF(K822="","",0)</f>
        <v/>
      </c>
      <c r="P822">
        <f>IF(K822="","",I322)</f>
        <v/>
      </c>
      <c r="Q822">
        <f>IF(K822="","",FALSE)</f>
        <v/>
      </c>
      <c r="R822">
        <f>IF(K822="","",TRUE)</f>
        <v/>
      </c>
      <c r="S822">
        <f>IF(K822="","",IF(AND(Q822,R822),IF(O822=P822,"Match","Qty Different"),IF(Q822,"Only in List 1","Only in List 2")))</f>
        <v/>
      </c>
      <c r="T822">
        <f>IF(K822="","",IF(ISNUMBER(--L822),TEXT(--L822,"000000000000.000"),LOWER(L822)))</f>
        <v/>
      </c>
      <c r="U822">
        <f>IF(K822="","",IF(ISNUMBER(--M822),TEXT(--M822,"000000000000.000"),LOWER(M822)))</f>
        <v/>
      </c>
      <c r="V822">
        <f>IF(K822="","",LOWER(N822))</f>
        <v/>
      </c>
      <c r="W822">
        <f>IF(K822="","",G322)</f>
        <v/>
      </c>
      <c r="X822">
        <f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>
      <c r="K823">
        <f>IF(H323="","",IF(SUMPRODUCT(--($C$2:$C$501=H323))&gt;0,"",H323))</f>
        <v/>
      </c>
      <c r="L823">
        <f>IF(K823="","",IF(ISNUMBER('List 2'!A323),'List 2'!A323,TRIM('List 2'!A323)))</f>
        <v/>
      </c>
      <c r="M823">
        <f>IF(K823="","",IF(ISNUMBER('List 2'!C323),'List 2'!C323,TRIM('List 2'!C323)))</f>
        <v/>
      </c>
      <c r="N823">
        <f>IF(K823="","",IF(ISNUMBER('List 2'!D323),'List 2'!D323,TRIM('List 2'!D323)))</f>
        <v/>
      </c>
      <c r="O823">
        <f>IF(K823="","",0)</f>
        <v/>
      </c>
      <c r="P823">
        <f>IF(K823="","",I323)</f>
        <v/>
      </c>
      <c r="Q823">
        <f>IF(K823="","",FALSE)</f>
        <v/>
      </c>
      <c r="R823">
        <f>IF(K823="","",TRUE)</f>
        <v/>
      </c>
      <c r="S823">
        <f>IF(K823="","",IF(AND(Q823,R823),IF(O823=P823,"Match","Qty Different"),IF(Q823,"Only in List 1","Only in List 2")))</f>
        <v/>
      </c>
      <c r="T823">
        <f>IF(K823="","",IF(ISNUMBER(--L823),TEXT(--L823,"000000000000.000"),LOWER(L823)))</f>
        <v/>
      </c>
      <c r="U823">
        <f>IF(K823="","",IF(ISNUMBER(--M823),TEXT(--M823,"000000000000.000"),LOWER(M823)))</f>
        <v/>
      </c>
      <c r="V823">
        <f>IF(K823="","",LOWER(N823))</f>
        <v/>
      </c>
      <c r="W823">
        <f>IF(K823="","",G323)</f>
        <v/>
      </c>
      <c r="X823">
        <f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>
      <c r="K824">
        <f>IF(H324="","",IF(SUMPRODUCT(--($C$2:$C$501=H324))&gt;0,"",H324))</f>
        <v/>
      </c>
      <c r="L824">
        <f>IF(K824="","",IF(ISNUMBER('List 2'!A324),'List 2'!A324,TRIM('List 2'!A324)))</f>
        <v/>
      </c>
      <c r="M824">
        <f>IF(K824="","",IF(ISNUMBER('List 2'!C324),'List 2'!C324,TRIM('List 2'!C324)))</f>
        <v/>
      </c>
      <c r="N824">
        <f>IF(K824="","",IF(ISNUMBER('List 2'!D324),'List 2'!D324,TRIM('List 2'!D324)))</f>
        <v/>
      </c>
      <c r="O824">
        <f>IF(K824="","",0)</f>
        <v/>
      </c>
      <c r="P824">
        <f>IF(K824="","",I324)</f>
        <v/>
      </c>
      <c r="Q824">
        <f>IF(K824="","",FALSE)</f>
        <v/>
      </c>
      <c r="R824">
        <f>IF(K824="","",TRUE)</f>
        <v/>
      </c>
      <c r="S824">
        <f>IF(K824="","",IF(AND(Q824,R824),IF(O824=P824,"Match","Qty Different"),IF(Q824,"Only in List 1","Only in List 2")))</f>
        <v/>
      </c>
      <c r="T824">
        <f>IF(K824="","",IF(ISNUMBER(--L824),TEXT(--L824,"000000000000.000"),LOWER(L824)))</f>
        <v/>
      </c>
      <c r="U824">
        <f>IF(K824="","",IF(ISNUMBER(--M824),TEXT(--M824,"000000000000.000"),LOWER(M824)))</f>
        <v/>
      </c>
      <c r="V824">
        <f>IF(K824="","",LOWER(N824))</f>
        <v/>
      </c>
      <c r="W824">
        <f>IF(K824="","",G324)</f>
        <v/>
      </c>
      <c r="X824">
        <f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>
      <c r="K825">
        <f>IF(H325="","",IF(SUMPRODUCT(--($C$2:$C$501=H325))&gt;0,"",H325))</f>
        <v/>
      </c>
      <c r="L825">
        <f>IF(K825="","",IF(ISNUMBER('List 2'!A325),'List 2'!A325,TRIM('List 2'!A325)))</f>
        <v/>
      </c>
      <c r="M825">
        <f>IF(K825="","",IF(ISNUMBER('List 2'!C325),'List 2'!C325,TRIM('List 2'!C325)))</f>
        <v/>
      </c>
      <c r="N825">
        <f>IF(K825="","",IF(ISNUMBER('List 2'!D325),'List 2'!D325,TRIM('List 2'!D325)))</f>
        <v/>
      </c>
      <c r="O825">
        <f>IF(K825="","",0)</f>
        <v/>
      </c>
      <c r="P825">
        <f>IF(K825="","",I325)</f>
        <v/>
      </c>
      <c r="Q825">
        <f>IF(K825="","",FALSE)</f>
        <v/>
      </c>
      <c r="R825">
        <f>IF(K825="","",TRUE)</f>
        <v/>
      </c>
      <c r="S825">
        <f>IF(K825="","",IF(AND(Q825,R825),IF(O825=P825,"Match","Qty Different"),IF(Q825,"Only in List 1","Only in List 2")))</f>
        <v/>
      </c>
      <c r="T825">
        <f>IF(K825="","",IF(ISNUMBER(--L825),TEXT(--L825,"000000000000.000"),LOWER(L825)))</f>
        <v/>
      </c>
      <c r="U825">
        <f>IF(K825="","",IF(ISNUMBER(--M825),TEXT(--M825,"000000000000.000"),LOWER(M825)))</f>
        <v/>
      </c>
      <c r="V825">
        <f>IF(K825="","",LOWER(N825))</f>
        <v/>
      </c>
      <c r="W825">
        <f>IF(K825="","",G325)</f>
        <v/>
      </c>
      <c r="X825">
        <f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>
      <c r="K826">
        <f>IF(H326="","",IF(SUMPRODUCT(--($C$2:$C$501=H326))&gt;0,"",H326))</f>
        <v/>
      </c>
      <c r="L826">
        <f>IF(K826="","",IF(ISNUMBER('List 2'!A326),'List 2'!A326,TRIM('List 2'!A326)))</f>
        <v/>
      </c>
      <c r="M826">
        <f>IF(K826="","",IF(ISNUMBER('List 2'!C326),'List 2'!C326,TRIM('List 2'!C326)))</f>
        <v/>
      </c>
      <c r="N826">
        <f>IF(K826="","",IF(ISNUMBER('List 2'!D326),'List 2'!D326,TRIM('List 2'!D326)))</f>
        <v/>
      </c>
      <c r="O826">
        <f>IF(K826="","",0)</f>
        <v/>
      </c>
      <c r="P826">
        <f>IF(K826="","",I326)</f>
        <v/>
      </c>
      <c r="Q826">
        <f>IF(K826="","",FALSE)</f>
        <v/>
      </c>
      <c r="R826">
        <f>IF(K826="","",TRUE)</f>
        <v/>
      </c>
      <c r="S826">
        <f>IF(K826="","",IF(AND(Q826,R826),IF(O826=P826,"Match","Qty Different"),IF(Q826,"Only in List 1","Only in List 2")))</f>
        <v/>
      </c>
      <c r="T826">
        <f>IF(K826="","",IF(ISNUMBER(--L826),TEXT(--L826,"000000000000.000"),LOWER(L826)))</f>
        <v/>
      </c>
      <c r="U826">
        <f>IF(K826="","",IF(ISNUMBER(--M826),TEXT(--M826,"000000000000.000"),LOWER(M826)))</f>
        <v/>
      </c>
      <c r="V826">
        <f>IF(K826="","",LOWER(N826))</f>
        <v/>
      </c>
      <c r="W826">
        <f>IF(K826="","",G326)</f>
        <v/>
      </c>
      <c r="X826">
        <f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>
      <c r="K827">
        <f>IF(H327="","",IF(SUMPRODUCT(--($C$2:$C$501=H327))&gt;0,"",H327))</f>
        <v/>
      </c>
      <c r="L827">
        <f>IF(K827="","",IF(ISNUMBER('List 2'!A327),'List 2'!A327,TRIM('List 2'!A327)))</f>
        <v/>
      </c>
      <c r="M827">
        <f>IF(K827="","",IF(ISNUMBER('List 2'!C327),'List 2'!C327,TRIM('List 2'!C327)))</f>
        <v/>
      </c>
      <c r="N827">
        <f>IF(K827="","",IF(ISNUMBER('List 2'!D327),'List 2'!D327,TRIM('List 2'!D327)))</f>
        <v/>
      </c>
      <c r="O827">
        <f>IF(K827="","",0)</f>
        <v/>
      </c>
      <c r="P827">
        <f>IF(K827="","",I327)</f>
        <v/>
      </c>
      <c r="Q827">
        <f>IF(K827="","",FALSE)</f>
        <v/>
      </c>
      <c r="R827">
        <f>IF(K827="","",TRUE)</f>
        <v/>
      </c>
      <c r="S827">
        <f>IF(K827="","",IF(AND(Q827,R827),IF(O827=P827,"Match","Qty Different"),IF(Q827,"Only in List 1","Only in List 2")))</f>
        <v/>
      </c>
      <c r="T827">
        <f>IF(K827="","",IF(ISNUMBER(--L827),TEXT(--L827,"000000000000.000"),LOWER(L827)))</f>
        <v/>
      </c>
      <c r="U827">
        <f>IF(K827="","",IF(ISNUMBER(--M827),TEXT(--M827,"000000000000.000"),LOWER(M827)))</f>
        <v/>
      </c>
      <c r="V827">
        <f>IF(K827="","",LOWER(N827))</f>
        <v/>
      </c>
      <c r="W827">
        <f>IF(K827="","",G327)</f>
        <v/>
      </c>
      <c r="X827">
        <f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>
      <c r="K828">
        <f>IF(H328="","",IF(SUMPRODUCT(--($C$2:$C$501=H328))&gt;0,"",H328))</f>
        <v/>
      </c>
      <c r="L828">
        <f>IF(K828="","",IF(ISNUMBER('List 2'!A328),'List 2'!A328,TRIM('List 2'!A328)))</f>
        <v/>
      </c>
      <c r="M828">
        <f>IF(K828="","",IF(ISNUMBER('List 2'!C328),'List 2'!C328,TRIM('List 2'!C328)))</f>
        <v/>
      </c>
      <c r="N828">
        <f>IF(K828="","",IF(ISNUMBER('List 2'!D328),'List 2'!D328,TRIM('List 2'!D328)))</f>
        <v/>
      </c>
      <c r="O828">
        <f>IF(K828="","",0)</f>
        <v/>
      </c>
      <c r="P828">
        <f>IF(K828="","",I328)</f>
        <v/>
      </c>
      <c r="Q828">
        <f>IF(K828="","",FALSE)</f>
        <v/>
      </c>
      <c r="R828">
        <f>IF(K828="","",TRUE)</f>
        <v/>
      </c>
      <c r="S828">
        <f>IF(K828="","",IF(AND(Q828,R828),IF(O828=P828,"Match","Qty Different"),IF(Q828,"Only in List 1","Only in List 2")))</f>
        <v/>
      </c>
      <c r="T828">
        <f>IF(K828="","",IF(ISNUMBER(--L828),TEXT(--L828,"000000000000.000"),LOWER(L828)))</f>
        <v/>
      </c>
      <c r="U828">
        <f>IF(K828="","",IF(ISNUMBER(--M828),TEXT(--M828,"000000000000.000"),LOWER(M828)))</f>
        <v/>
      </c>
      <c r="V828">
        <f>IF(K828="","",LOWER(N828))</f>
        <v/>
      </c>
      <c r="W828">
        <f>IF(K828="","",G328)</f>
        <v/>
      </c>
      <c r="X828">
        <f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>
      <c r="K829">
        <f>IF(H329="","",IF(SUMPRODUCT(--($C$2:$C$501=H329))&gt;0,"",H329))</f>
        <v/>
      </c>
      <c r="L829">
        <f>IF(K829="","",IF(ISNUMBER('List 2'!A329),'List 2'!A329,TRIM('List 2'!A329)))</f>
        <v/>
      </c>
      <c r="M829">
        <f>IF(K829="","",IF(ISNUMBER('List 2'!C329),'List 2'!C329,TRIM('List 2'!C329)))</f>
        <v/>
      </c>
      <c r="N829">
        <f>IF(K829="","",IF(ISNUMBER('List 2'!D329),'List 2'!D329,TRIM('List 2'!D329)))</f>
        <v/>
      </c>
      <c r="O829">
        <f>IF(K829="","",0)</f>
        <v/>
      </c>
      <c r="P829">
        <f>IF(K829="","",I329)</f>
        <v/>
      </c>
      <c r="Q829">
        <f>IF(K829="","",FALSE)</f>
        <v/>
      </c>
      <c r="R829">
        <f>IF(K829="","",TRUE)</f>
        <v/>
      </c>
      <c r="S829">
        <f>IF(K829="","",IF(AND(Q829,R829),IF(O829=P829,"Match","Qty Different"),IF(Q829,"Only in List 1","Only in List 2")))</f>
        <v/>
      </c>
      <c r="T829">
        <f>IF(K829="","",IF(ISNUMBER(--L829),TEXT(--L829,"000000000000.000"),LOWER(L829)))</f>
        <v/>
      </c>
      <c r="U829">
        <f>IF(K829="","",IF(ISNUMBER(--M829),TEXT(--M829,"000000000000.000"),LOWER(M829)))</f>
        <v/>
      </c>
      <c r="V829">
        <f>IF(K829="","",LOWER(N829))</f>
        <v/>
      </c>
      <c r="W829">
        <f>IF(K829="","",G329)</f>
        <v/>
      </c>
      <c r="X829">
        <f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>
      <c r="K830">
        <f>IF(H330="","",IF(SUMPRODUCT(--($C$2:$C$501=H330))&gt;0,"",H330))</f>
        <v/>
      </c>
      <c r="L830">
        <f>IF(K830="","",IF(ISNUMBER('List 2'!A330),'List 2'!A330,TRIM('List 2'!A330)))</f>
        <v/>
      </c>
      <c r="M830">
        <f>IF(K830="","",IF(ISNUMBER('List 2'!C330),'List 2'!C330,TRIM('List 2'!C330)))</f>
        <v/>
      </c>
      <c r="N830">
        <f>IF(K830="","",IF(ISNUMBER('List 2'!D330),'List 2'!D330,TRIM('List 2'!D330)))</f>
        <v/>
      </c>
      <c r="O830">
        <f>IF(K830="","",0)</f>
        <v/>
      </c>
      <c r="P830">
        <f>IF(K830="","",I330)</f>
        <v/>
      </c>
      <c r="Q830">
        <f>IF(K830="","",FALSE)</f>
        <v/>
      </c>
      <c r="R830">
        <f>IF(K830="","",TRUE)</f>
        <v/>
      </c>
      <c r="S830">
        <f>IF(K830="","",IF(AND(Q830,R830),IF(O830=P830,"Match","Qty Different"),IF(Q830,"Only in List 1","Only in List 2")))</f>
        <v/>
      </c>
      <c r="T830">
        <f>IF(K830="","",IF(ISNUMBER(--L830),TEXT(--L830,"000000000000.000"),LOWER(L830)))</f>
        <v/>
      </c>
      <c r="U830">
        <f>IF(K830="","",IF(ISNUMBER(--M830),TEXT(--M830,"000000000000.000"),LOWER(M830)))</f>
        <v/>
      </c>
      <c r="V830">
        <f>IF(K830="","",LOWER(N830))</f>
        <v/>
      </c>
      <c r="W830">
        <f>IF(K830="","",G330)</f>
        <v/>
      </c>
      <c r="X830">
        <f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>
      <c r="K831">
        <f>IF(H331="","",IF(SUMPRODUCT(--($C$2:$C$501=H331))&gt;0,"",H331))</f>
        <v/>
      </c>
      <c r="L831">
        <f>IF(K831="","",IF(ISNUMBER('List 2'!A331),'List 2'!A331,TRIM('List 2'!A331)))</f>
        <v/>
      </c>
      <c r="M831">
        <f>IF(K831="","",IF(ISNUMBER('List 2'!C331),'List 2'!C331,TRIM('List 2'!C331)))</f>
        <v/>
      </c>
      <c r="N831">
        <f>IF(K831="","",IF(ISNUMBER('List 2'!D331),'List 2'!D331,TRIM('List 2'!D331)))</f>
        <v/>
      </c>
      <c r="O831">
        <f>IF(K831="","",0)</f>
        <v/>
      </c>
      <c r="P831">
        <f>IF(K831="","",I331)</f>
        <v/>
      </c>
      <c r="Q831">
        <f>IF(K831="","",FALSE)</f>
        <v/>
      </c>
      <c r="R831">
        <f>IF(K831="","",TRUE)</f>
        <v/>
      </c>
      <c r="S831">
        <f>IF(K831="","",IF(AND(Q831,R831),IF(O831=P831,"Match","Qty Different"),IF(Q831,"Only in List 1","Only in List 2")))</f>
        <v/>
      </c>
      <c r="T831">
        <f>IF(K831="","",IF(ISNUMBER(--L831),TEXT(--L831,"000000000000.000"),LOWER(L831)))</f>
        <v/>
      </c>
      <c r="U831">
        <f>IF(K831="","",IF(ISNUMBER(--M831),TEXT(--M831,"000000000000.000"),LOWER(M831)))</f>
        <v/>
      </c>
      <c r="V831">
        <f>IF(K831="","",LOWER(N831))</f>
        <v/>
      </c>
      <c r="W831">
        <f>IF(K831="","",G331)</f>
        <v/>
      </c>
      <c r="X831">
        <f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>
      <c r="K832">
        <f>IF(H332="","",IF(SUMPRODUCT(--($C$2:$C$501=H332))&gt;0,"",H332))</f>
        <v/>
      </c>
      <c r="L832">
        <f>IF(K832="","",IF(ISNUMBER('List 2'!A332),'List 2'!A332,TRIM('List 2'!A332)))</f>
        <v/>
      </c>
      <c r="M832">
        <f>IF(K832="","",IF(ISNUMBER('List 2'!C332),'List 2'!C332,TRIM('List 2'!C332)))</f>
        <v/>
      </c>
      <c r="N832">
        <f>IF(K832="","",IF(ISNUMBER('List 2'!D332),'List 2'!D332,TRIM('List 2'!D332)))</f>
        <v/>
      </c>
      <c r="O832">
        <f>IF(K832="","",0)</f>
        <v/>
      </c>
      <c r="P832">
        <f>IF(K832="","",I332)</f>
        <v/>
      </c>
      <c r="Q832">
        <f>IF(K832="","",FALSE)</f>
        <v/>
      </c>
      <c r="R832">
        <f>IF(K832="","",TRUE)</f>
        <v/>
      </c>
      <c r="S832">
        <f>IF(K832="","",IF(AND(Q832,R832),IF(O832=P832,"Match","Qty Different"),IF(Q832,"Only in List 1","Only in List 2")))</f>
        <v/>
      </c>
      <c r="T832">
        <f>IF(K832="","",IF(ISNUMBER(--L832),TEXT(--L832,"000000000000.000"),LOWER(L832)))</f>
        <v/>
      </c>
      <c r="U832">
        <f>IF(K832="","",IF(ISNUMBER(--M832),TEXT(--M832,"000000000000.000"),LOWER(M832)))</f>
        <v/>
      </c>
      <c r="V832">
        <f>IF(K832="","",LOWER(N832))</f>
        <v/>
      </c>
      <c r="W832">
        <f>IF(K832="","",G332)</f>
        <v/>
      </c>
      <c r="X832">
        <f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>
      <c r="K833">
        <f>IF(H333="","",IF(SUMPRODUCT(--($C$2:$C$501=H333))&gt;0,"",H333))</f>
        <v/>
      </c>
      <c r="L833">
        <f>IF(K833="","",IF(ISNUMBER('List 2'!A333),'List 2'!A333,TRIM('List 2'!A333)))</f>
        <v/>
      </c>
      <c r="M833">
        <f>IF(K833="","",IF(ISNUMBER('List 2'!C333),'List 2'!C333,TRIM('List 2'!C333)))</f>
        <v/>
      </c>
      <c r="N833">
        <f>IF(K833="","",IF(ISNUMBER('List 2'!D333),'List 2'!D333,TRIM('List 2'!D333)))</f>
        <v/>
      </c>
      <c r="O833">
        <f>IF(K833="","",0)</f>
        <v/>
      </c>
      <c r="P833">
        <f>IF(K833="","",I333)</f>
        <v/>
      </c>
      <c r="Q833">
        <f>IF(K833="","",FALSE)</f>
        <v/>
      </c>
      <c r="R833">
        <f>IF(K833="","",TRUE)</f>
        <v/>
      </c>
      <c r="S833">
        <f>IF(K833="","",IF(AND(Q833,R833),IF(O833=P833,"Match","Qty Different"),IF(Q833,"Only in List 1","Only in List 2")))</f>
        <v/>
      </c>
      <c r="T833">
        <f>IF(K833="","",IF(ISNUMBER(--L833),TEXT(--L833,"000000000000.000"),LOWER(L833)))</f>
        <v/>
      </c>
      <c r="U833">
        <f>IF(K833="","",IF(ISNUMBER(--M833),TEXT(--M833,"000000000000.000"),LOWER(M833)))</f>
        <v/>
      </c>
      <c r="V833">
        <f>IF(K833="","",LOWER(N833))</f>
        <v/>
      </c>
      <c r="W833">
        <f>IF(K833="","",G333)</f>
        <v/>
      </c>
      <c r="X833">
        <f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>
      <c r="K834">
        <f>IF(H334="","",IF(SUMPRODUCT(--($C$2:$C$501=H334))&gt;0,"",H334))</f>
        <v/>
      </c>
      <c r="L834">
        <f>IF(K834="","",IF(ISNUMBER('List 2'!A334),'List 2'!A334,TRIM('List 2'!A334)))</f>
        <v/>
      </c>
      <c r="M834">
        <f>IF(K834="","",IF(ISNUMBER('List 2'!C334),'List 2'!C334,TRIM('List 2'!C334)))</f>
        <v/>
      </c>
      <c r="N834">
        <f>IF(K834="","",IF(ISNUMBER('List 2'!D334),'List 2'!D334,TRIM('List 2'!D334)))</f>
        <v/>
      </c>
      <c r="O834">
        <f>IF(K834="","",0)</f>
        <v/>
      </c>
      <c r="P834">
        <f>IF(K834="","",I334)</f>
        <v/>
      </c>
      <c r="Q834">
        <f>IF(K834="","",FALSE)</f>
        <v/>
      </c>
      <c r="R834">
        <f>IF(K834="","",TRUE)</f>
        <v/>
      </c>
      <c r="S834">
        <f>IF(K834="","",IF(AND(Q834,R834),IF(O834=P834,"Match","Qty Different"),IF(Q834,"Only in List 1","Only in List 2")))</f>
        <v/>
      </c>
      <c r="T834">
        <f>IF(K834="","",IF(ISNUMBER(--L834),TEXT(--L834,"000000000000.000"),LOWER(L834)))</f>
        <v/>
      </c>
      <c r="U834">
        <f>IF(K834="","",IF(ISNUMBER(--M834),TEXT(--M834,"000000000000.000"),LOWER(M834)))</f>
        <v/>
      </c>
      <c r="V834">
        <f>IF(K834="","",LOWER(N834))</f>
        <v/>
      </c>
      <c r="W834">
        <f>IF(K834="","",G334)</f>
        <v/>
      </c>
      <c r="X834">
        <f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>
      <c r="K835">
        <f>IF(H335="","",IF(SUMPRODUCT(--($C$2:$C$501=H335))&gt;0,"",H335))</f>
        <v/>
      </c>
      <c r="L835">
        <f>IF(K835="","",IF(ISNUMBER('List 2'!A335),'List 2'!A335,TRIM('List 2'!A335)))</f>
        <v/>
      </c>
      <c r="M835">
        <f>IF(K835="","",IF(ISNUMBER('List 2'!C335),'List 2'!C335,TRIM('List 2'!C335)))</f>
        <v/>
      </c>
      <c r="N835">
        <f>IF(K835="","",IF(ISNUMBER('List 2'!D335),'List 2'!D335,TRIM('List 2'!D335)))</f>
        <v/>
      </c>
      <c r="O835">
        <f>IF(K835="","",0)</f>
        <v/>
      </c>
      <c r="P835">
        <f>IF(K835="","",I335)</f>
        <v/>
      </c>
      <c r="Q835">
        <f>IF(K835="","",FALSE)</f>
        <v/>
      </c>
      <c r="R835">
        <f>IF(K835="","",TRUE)</f>
        <v/>
      </c>
      <c r="S835">
        <f>IF(K835="","",IF(AND(Q835,R835),IF(O835=P835,"Match","Qty Different"),IF(Q835,"Only in List 1","Only in List 2")))</f>
        <v/>
      </c>
      <c r="T835">
        <f>IF(K835="","",IF(ISNUMBER(--L835),TEXT(--L835,"000000000000.000"),LOWER(L835)))</f>
        <v/>
      </c>
      <c r="U835">
        <f>IF(K835="","",IF(ISNUMBER(--M835),TEXT(--M835,"000000000000.000"),LOWER(M835)))</f>
        <v/>
      </c>
      <c r="V835">
        <f>IF(K835="","",LOWER(N835))</f>
        <v/>
      </c>
      <c r="W835">
        <f>IF(K835="","",G335)</f>
        <v/>
      </c>
      <c r="X835">
        <f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>
      <c r="K836">
        <f>IF(H336="","",IF(SUMPRODUCT(--($C$2:$C$501=H336))&gt;0,"",H336))</f>
        <v/>
      </c>
      <c r="L836">
        <f>IF(K836="","",IF(ISNUMBER('List 2'!A336),'List 2'!A336,TRIM('List 2'!A336)))</f>
        <v/>
      </c>
      <c r="M836">
        <f>IF(K836="","",IF(ISNUMBER('List 2'!C336),'List 2'!C336,TRIM('List 2'!C336)))</f>
        <v/>
      </c>
      <c r="N836">
        <f>IF(K836="","",IF(ISNUMBER('List 2'!D336),'List 2'!D336,TRIM('List 2'!D336)))</f>
        <v/>
      </c>
      <c r="O836">
        <f>IF(K836="","",0)</f>
        <v/>
      </c>
      <c r="P836">
        <f>IF(K836="","",I336)</f>
        <v/>
      </c>
      <c r="Q836">
        <f>IF(K836="","",FALSE)</f>
        <v/>
      </c>
      <c r="R836">
        <f>IF(K836="","",TRUE)</f>
        <v/>
      </c>
      <c r="S836">
        <f>IF(K836="","",IF(AND(Q836,R836),IF(O836=P836,"Match","Qty Different"),IF(Q836,"Only in List 1","Only in List 2")))</f>
        <v/>
      </c>
      <c r="T836">
        <f>IF(K836="","",IF(ISNUMBER(--L836),TEXT(--L836,"000000000000.000"),LOWER(L836)))</f>
        <v/>
      </c>
      <c r="U836">
        <f>IF(K836="","",IF(ISNUMBER(--M836),TEXT(--M836,"000000000000.000"),LOWER(M836)))</f>
        <v/>
      </c>
      <c r="V836">
        <f>IF(K836="","",LOWER(N836))</f>
        <v/>
      </c>
      <c r="W836">
        <f>IF(K836="","",G336)</f>
        <v/>
      </c>
      <c r="X836">
        <f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>
      <c r="K837">
        <f>IF(H337="","",IF(SUMPRODUCT(--($C$2:$C$501=H337))&gt;0,"",H337))</f>
        <v/>
      </c>
      <c r="L837">
        <f>IF(K837="","",IF(ISNUMBER('List 2'!A337),'List 2'!A337,TRIM('List 2'!A337)))</f>
        <v/>
      </c>
      <c r="M837">
        <f>IF(K837="","",IF(ISNUMBER('List 2'!C337),'List 2'!C337,TRIM('List 2'!C337)))</f>
        <v/>
      </c>
      <c r="N837">
        <f>IF(K837="","",IF(ISNUMBER('List 2'!D337),'List 2'!D337,TRIM('List 2'!D337)))</f>
        <v/>
      </c>
      <c r="O837">
        <f>IF(K837="","",0)</f>
        <v/>
      </c>
      <c r="P837">
        <f>IF(K837="","",I337)</f>
        <v/>
      </c>
      <c r="Q837">
        <f>IF(K837="","",FALSE)</f>
        <v/>
      </c>
      <c r="R837">
        <f>IF(K837="","",TRUE)</f>
        <v/>
      </c>
      <c r="S837">
        <f>IF(K837="","",IF(AND(Q837,R837),IF(O837=P837,"Match","Qty Different"),IF(Q837,"Only in List 1","Only in List 2")))</f>
        <v/>
      </c>
      <c r="T837">
        <f>IF(K837="","",IF(ISNUMBER(--L837),TEXT(--L837,"000000000000.000"),LOWER(L837)))</f>
        <v/>
      </c>
      <c r="U837">
        <f>IF(K837="","",IF(ISNUMBER(--M837),TEXT(--M837,"000000000000.000"),LOWER(M837)))</f>
        <v/>
      </c>
      <c r="V837">
        <f>IF(K837="","",LOWER(N837))</f>
        <v/>
      </c>
      <c r="W837">
        <f>IF(K837="","",G337)</f>
        <v/>
      </c>
      <c r="X837">
        <f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>
      <c r="K838">
        <f>IF(H338="","",IF(SUMPRODUCT(--($C$2:$C$501=H338))&gt;0,"",H338))</f>
        <v/>
      </c>
      <c r="L838">
        <f>IF(K838="","",IF(ISNUMBER('List 2'!A338),'List 2'!A338,TRIM('List 2'!A338)))</f>
        <v/>
      </c>
      <c r="M838">
        <f>IF(K838="","",IF(ISNUMBER('List 2'!C338),'List 2'!C338,TRIM('List 2'!C338)))</f>
        <v/>
      </c>
      <c r="N838">
        <f>IF(K838="","",IF(ISNUMBER('List 2'!D338),'List 2'!D338,TRIM('List 2'!D338)))</f>
        <v/>
      </c>
      <c r="O838">
        <f>IF(K838="","",0)</f>
        <v/>
      </c>
      <c r="P838">
        <f>IF(K838="","",I338)</f>
        <v/>
      </c>
      <c r="Q838">
        <f>IF(K838="","",FALSE)</f>
        <v/>
      </c>
      <c r="R838">
        <f>IF(K838="","",TRUE)</f>
        <v/>
      </c>
      <c r="S838">
        <f>IF(K838="","",IF(AND(Q838,R838),IF(O838=P838,"Match","Qty Different"),IF(Q838,"Only in List 1","Only in List 2")))</f>
        <v/>
      </c>
      <c r="T838">
        <f>IF(K838="","",IF(ISNUMBER(--L838),TEXT(--L838,"000000000000.000"),LOWER(L838)))</f>
        <v/>
      </c>
      <c r="U838">
        <f>IF(K838="","",IF(ISNUMBER(--M838),TEXT(--M838,"000000000000.000"),LOWER(M838)))</f>
        <v/>
      </c>
      <c r="V838">
        <f>IF(K838="","",LOWER(N838))</f>
        <v/>
      </c>
      <c r="W838">
        <f>IF(K838="","",G338)</f>
        <v/>
      </c>
      <c r="X838">
        <f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>
      <c r="K839">
        <f>IF(H339="","",IF(SUMPRODUCT(--($C$2:$C$501=H339))&gt;0,"",H339))</f>
        <v/>
      </c>
      <c r="L839">
        <f>IF(K839="","",IF(ISNUMBER('List 2'!A339),'List 2'!A339,TRIM('List 2'!A339)))</f>
        <v/>
      </c>
      <c r="M839">
        <f>IF(K839="","",IF(ISNUMBER('List 2'!C339),'List 2'!C339,TRIM('List 2'!C339)))</f>
        <v/>
      </c>
      <c r="N839">
        <f>IF(K839="","",IF(ISNUMBER('List 2'!D339),'List 2'!D339,TRIM('List 2'!D339)))</f>
        <v/>
      </c>
      <c r="O839">
        <f>IF(K839="","",0)</f>
        <v/>
      </c>
      <c r="P839">
        <f>IF(K839="","",I339)</f>
        <v/>
      </c>
      <c r="Q839">
        <f>IF(K839="","",FALSE)</f>
        <v/>
      </c>
      <c r="R839">
        <f>IF(K839="","",TRUE)</f>
        <v/>
      </c>
      <c r="S839">
        <f>IF(K839="","",IF(AND(Q839,R839),IF(O839=P839,"Match","Qty Different"),IF(Q839,"Only in List 1","Only in List 2")))</f>
        <v/>
      </c>
      <c r="T839">
        <f>IF(K839="","",IF(ISNUMBER(--L839),TEXT(--L839,"000000000000.000"),LOWER(L839)))</f>
        <v/>
      </c>
      <c r="U839">
        <f>IF(K839="","",IF(ISNUMBER(--M839),TEXT(--M839,"000000000000.000"),LOWER(M839)))</f>
        <v/>
      </c>
      <c r="V839">
        <f>IF(K839="","",LOWER(N839))</f>
        <v/>
      </c>
      <c r="W839">
        <f>IF(K839="","",G339)</f>
        <v/>
      </c>
      <c r="X839">
        <f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>
      <c r="K840">
        <f>IF(H340="","",IF(SUMPRODUCT(--($C$2:$C$501=H340))&gt;0,"",H340))</f>
        <v/>
      </c>
      <c r="L840">
        <f>IF(K840="","",IF(ISNUMBER('List 2'!A340),'List 2'!A340,TRIM('List 2'!A340)))</f>
        <v/>
      </c>
      <c r="M840">
        <f>IF(K840="","",IF(ISNUMBER('List 2'!C340),'List 2'!C340,TRIM('List 2'!C340)))</f>
        <v/>
      </c>
      <c r="N840">
        <f>IF(K840="","",IF(ISNUMBER('List 2'!D340),'List 2'!D340,TRIM('List 2'!D340)))</f>
        <v/>
      </c>
      <c r="O840">
        <f>IF(K840="","",0)</f>
        <v/>
      </c>
      <c r="P840">
        <f>IF(K840="","",I340)</f>
        <v/>
      </c>
      <c r="Q840">
        <f>IF(K840="","",FALSE)</f>
        <v/>
      </c>
      <c r="R840">
        <f>IF(K840="","",TRUE)</f>
        <v/>
      </c>
      <c r="S840">
        <f>IF(K840="","",IF(AND(Q840,R840),IF(O840=P840,"Match","Qty Different"),IF(Q840,"Only in List 1","Only in List 2")))</f>
        <v/>
      </c>
      <c r="T840">
        <f>IF(K840="","",IF(ISNUMBER(--L840),TEXT(--L840,"000000000000.000"),LOWER(L840)))</f>
        <v/>
      </c>
      <c r="U840">
        <f>IF(K840="","",IF(ISNUMBER(--M840),TEXT(--M840,"000000000000.000"),LOWER(M840)))</f>
        <v/>
      </c>
      <c r="V840">
        <f>IF(K840="","",LOWER(N840))</f>
        <v/>
      </c>
      <c r="W840">
        <f>IF(K840="","",G340)</f>
        <v/>
      </c>
      <c r="X840">
        <f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>
      <c r="K841">
        <f>IF(H341="","",IF(SUMPRODUCT(--($C$2:$C$501=H341))&gt;0,"",H341))</f>
        <v/>
      </c>
      <c r="L841">
        <f>IF(K841="","",IF(ISNUMBER('List 2'!A341),'List 2'!A341,TRIM('List 2'!A341)))</f>
        <v/>
      </c>
      <c r="M841">
        <f>IF(K841="","",IF(ISNUMBER('List 2'!C341),'List 2'!C341,TRIM('List 2'!C341)))</f>
        <v/>
      </c>
      <c r="N841">
        <f>IF(K841="","",IF(ISNUMBER('List 2'!D341),'List 2'!D341,TRIM('List 2'!D341)))</f>
        <v/>
      </c>
      <c r="O841">
        <f>IF(K841="","",0)</f>
        <v/>
      </c>
      <c r="P841">
        <f>IF(K841="","",I341)</f>
        <v/>
      </c>
      <c r="Q841">
        <f>IF(K841="","",FALSE)</f>
        <v/>
      </c>
      <c r="R841">
        <f>IF(K841="","",TRUE)</f>
        <v/>
      </c>
      <c r="S841">
        <f>IF(K841="","",IF(AND(Q841,R841),IF(O841=P841,"Match","Qty Different"),IF(Q841,"Only in List 1","Only in List 2")))</f>
        <v/>
      </c>
      <c r="T841">
        <f>IF(K841="","",IF(ISNUMBER(--L841),TEXT(--L841,"000000000000.000"),LOWER(L841)))</f>
        <v/>
      </c>
      <c r="U841">
        <f>IF(K841="","",IF(ISNUMBER(--M841),TEXT(--M841,"000000000000.000"),LOWER(M841)))</f>
        <v/>
      </c>
      <c r="V841">
        <f>IF(K841="","",LOWER(N841))</f>
        <v/>
      </c>
      <c r="W841">
        <f>IF(K841="","",G341)</f>
        <v/>
      </c>
      <c r="X841">
        <f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>
      <c r="K842">
        <f>IF(H342="","",IF(SUMPRODUCT(--($C$2:$C$501=H342))&gt;0,"",H342))</f>
        <v/>
      </c>
      <c r="L842">
        <f>IF(K842="","",IF(ISNUMBER('List 2'!A342),'List 2'!A342,TRIM('List 2'!A342)))</f>
        <v/>
      </c>
      <c r="M842">
        <f>IF(K842="","",IF(ISNUMBER('List 2'!C342),'List 2'!C342,TRIM('List 2'!C342)))</f>
        <v/>
      </c>
      <c r="N842">
        <f>IF(K842="","",IF(ISNUMBER('List 2'!D342),'List 2'!D342,TRIM('List 2'!D342)))</f>
        <v/>
      </c>
      <c r="O842">
        <f>IF(K842="","",0)</f>
        <v/>
      </c>
      <c r="P842">
        <f>IF(K842="","",I342)</f>
        <v/>
      </c>
      <c r="Q842">
        <f>IF(K842="","",FALSE)</f>
        <v/>
      </c>
      <c r="R842">
        <f>IF(K842="","",TRUE)</f>
        <v/>
      </c>
      <c r="S842">
        <f>IF(K842="","",IF(AND(Q842,R842),IF(O842=P842,"Match","Qty Different"),IF(Q842,"Only in List 1","Only in List 2")))</f>
        <v/>
      </c>
      <c r="T842">
        <f>IF(K842="","",IF(ISNUMBER(--L842),TEXT(--L842,"000000000000.000"),LOWER(L842)))</f>
        <v/>
      </c>
      <c r="U842">
        <f>IF(K842="","",IF(ISNUMBER(--M842),TEXT(--M842,"000000000000.000"),LOWER(M842)))</f>
        <v/>
      </c>
      <c r="V842">
        <f>IF(K842="","",LOWER(N842))</f>
        <v/>
      </c>
      <c r="W842">
        <f>IF(K842="","",G342)</f>
        <v/>
      </c>
      <c r="X842">
        <f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>
      <c r="K843">
        <f>IF(H343="","",IF(SUMPRODUCT(--($C$2:$C$501=H343))&gt;0,"",H343))</f>
        <v/>
      </c>
      <c r="L843">
        <f>IF(K843="","",IF(ISNUMBER('List 2'!A343),'List 2'!A343,TRIM('List 2'!A343)))</f>
        <v/>
      </c>
      <c r="M843">
        <f>IF(K843="","",IF(ISNUMBER('List 2'!C343),'List 2'!C343,TRIM('List 2'!C343)))</f>
        <v/>
      </c>
      <c r="N843">
        <f>IF(K843="","",IF(ISNUMBER('List 2'!D343),'List 2'!D343,TRIM('List 2'!D343)))</f>
        <v/>
      </c>
      <c r="O843">
        <f>IF(K843="","",0)</f>
        <v/>
      </c>
      <c r="P843">
        <f>IF(K843="","",I343)</f>
        <v/>
      </c>
      <c r="Q843">
        <f>IF(K843="","",FALSE)</f>
        <v/>
      </c>
      <c r="R843">
        <f>IF(K843="","",TRUE)</f>
        <v/>
      </c>
      <c r="S843">
        <f>IF(K843="","",IF(AND(Q843,R843),IF(O843=P843,"Match","Qty Different"),IF(Q843,"Only in List 1","Only in List 2")))</f>
        <v/>
      </c>
      <c r="T843">
        <f>IF(K843="","",IF(ISNUMBER(--L843),TEXT(--L843,"000000000000.000"),LOWER(L843)))</f>
        <v/>
      </c>
      <c r="U843">
        <f>IF(K843="","",IF(ISNUMBER(--M843),TEXT(--M843,"000000000000.000"),LOWER(M843)))</f>
        <v/>
      </c>
      <c r="V843">
        <f>IF(K843="","",LOWER(N843))</f>
        <v/>
      </c>
      <c r="W843">
        <f>IF(K843="","",G343)</f>
        <v/>
      </c>
      <c r="X843">
        <f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>
      <c r="K844">
        <f>IF(H344="","",IF(SUMPRODUCT(--($C$2:$C$501=H344))&gt;0,"",H344))</f>
        <v/>
      </c>
      <c r="L844">
        <f>IF(K844="","",IF(ISNUMBER('List 2'!A344),'List 2'!A344,TRIM('List 2'!A344)))</f>
        <v/>
      </c>
      <c r="M844">
        <f>IF(K844="","",IF(ISNUMBER('List 2'!C344),'List 2'!C344,TRIM('List 2'!C344)))</f>
        <v/>
      </c>
      <c r="N844">
        <f>IF(K844="","",IF(ISNUMBER('List 2'!D344),'List 2'!D344,TRIM('List 2'!D344)))</f>
        <v/>
      </c>
      <c r="O844">
        <f>IF(K844="","",0)</f>
        <v/>
      </c>
      <c r="P844">
        <f>IF(K844="","",I344)</f>
        <v/>
      </c>
      <c r="Q844">
        <f>IF(K844="","",FALSE)</f>
        <v/>
      </c>
      <c r="R844">
        <f>IF(K844="","",TRUE)</f>
        <v/>
      </c>
      <c r="S844">
        <f>IF(K844="","",IF(AND(Q844,R844),IF(O844=P844,"Match","Qty Different"),IF(Q844,"Only in List 1","Only in List 2")))</f>
        <v/>
      </c>
      <c r="T844">
        <f>IF(K844="","",IF(ISNUMBER(--L844),TEXT(--L844,"000000000000.000"),LOWER(L844)))</f>
        <v/>
      </c>
      <c r="U844">
        <f>IF(K844="","",IF(ISNUMBER(--M844),TEXT(--M844,"000000000000.000"),LOWER(M844)))</f>
        <v/>
      </c>
      <c r="V844">
        <f>IF(K844="","",LOWER(N844))</f>
        <v/>
      </c>
      <c r="W844">
        <f>IF(K844="","",G344)</f>
        <v/>
      </c>
      <c r="X844">
        <f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>
      <c r="K845">
        <f>IF(H345="","",IF(SUMPRODUCT(--($C$2:$C$501=H345))&gt;0,"",H345))</f>
        <v/>
      </c>
      <c r="L845">
        <f>IF(K845="","",IF(ISNUMBER('List 2'!A345),'List 2'!A345,TRIM('List 2'!A345)))</f>
        <v/>
      </c>
      <c r="M845">
        <f>IF(K845="","",IF(ISNUMBER('List 2'!C345),'List 2'!C345,TRIM('List 2'!C345)))</f>
        <v/>
      </c>
      <c r="N845">
        <f>IF(K845="","",IF(ISNUMBER('List 2'!D345),'List 2'!D345,TRIM('List 2'!D345)))</f>
        <v/>
      </c>
      <c r="O845">
        <f>IF(K845="","",0)</f>
        <v/>
      </c>
      <c r="P845">
        <f>IF(K845="","",I345)</f>
        <v/>
      </c>
      <c r="Q845">
        <f>IF(K845="","",FALSE)</f>
        <v/>
      </c>
      <c r="R845">
        <f>IF(K845="","",TRUE)</f>
        <v/>
      </c>
      <c r="S845">
        <f>IF(K845="","",IF(AND(Q845,R845),IF(O845=P845,"Match","Qty Different"),IF(Q845,"Only in List 1","Only in List 2")))</f>
        <v/>
      </c>
      <c r="T845">
        <f>IF(K845="","",IF(ISNUMBER(--L845),TEXT(--L845,"000000000000.000"),LOWER(L845)))</f>
        <v/>
      </c>
      <c r="U845">
        <f>IF(K845="","",IF(ISNUMBER(--M845),TEXT(--M845,"000000000000.000"),LOWER(M845)))</f>
        <v/>
      </c>
      <c r="V845">
        <f>IF(K845="","",LOWER(N845))</f>
        <v/>
      </c>
      <c r="W845">
        <f>IF(K845="","",G345)</f>
        <v/>
      </c>
      <c r="X845">
        <f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>
      <c r="K846">
        <f>IF(H346="","",IF(SUMPRODUCT(--($C$2:$C$501=H346))&gt;0,"",H346))</f>
        <v/>
      </c>
      <c r="L846">
        <f>IF(K846="","",IF(ISNUMBER('List 2'!A346),'List 2'!A346,TRIM('List 2'!A346)))</f>
        <v/>
      </c>
      <c r="M846">
        <f>IF(K846="","",IF(ISNUMBER('List 2'!C346),'List 2'!C346,TRIM('List 2'!C346)))</f>
        <v/>
      </c>
      <c r="N846">
        <f>IF(K846="","",IF(ISNUMBER('List 2'!D346),'List 2'!D346,TRIM('List 2'!D346)))</f>
        <v/>
      </c>
      <c r="O846">
        <f>IF(K846="","",0)</f>
        <v/>
      </c>
      <c r="P846">
        <f>IF(K846="","",I346)</f>
        <v/>
      </c>
      <c r="Q846">
        <f>IF(K846="","",FALSE)</f>
        <v/>
      </c>
      <c r="R846">
        <f>IF(K846="","",TRUE)</f>
        <v/>
      </c>
      <c r="S846">
        <f>IF(K846="","",IF(AND(Q846,R846),IF(O846=P846,"Match","Qty Different"),IF(Q846,"Only in List 1","Only in List 2")))</f>
        <v/>
      </c>
      <c r="T846">
        <f>IF(K846="","",IF(ISNUMBER(--L846),TEXT(--L846,"000000000000.000"),LOWER(L846)))</f>
        <v/>
      </c>
      <c r="U846">
        <f>IF(K846="","",IF(ISNUMBER(--M846),TEXT(--M846,"000000000000.000"),LOWER(M846)))</f>
        <v/>
      </c>
      <c r="V846">
        <f>IF(K846="","",LOWER(N846))</f>
        <v/>
      </c>
      <c r="W846">
        <f>IF(K846="","",G346)</f>
        <v/>
      </c>
      <c r="X846">
        <f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>
      <c r="K847">
        <f>IF(H347="","",IF(SUMPRODUCT(--($C$2:$C$501=H347))&gt;0,"",H347))</f>
        <v/>
      </c>
      <c r="L847">
        <f>IF(K847="","",IF(ISNUMBER('List 2'!A347),'List 2'!A347,TRIM('List 2'!A347)))</f>
        <v/>
      </c>
      <c r="M847">
        <f>IF(K847="","",IF(ISNUMBER('List 2'!C347),'List 2'!C347,TRIM('List 2'!C347)))</f>
        <v/>
      </c>
      <c r="N847">
        <f>IF(K847="","",IF(ISNUMBER('List 2'!D347),'List 2'!D347,TRIM('List 2'!D347)))</f>
        <v/>
      </c>
      <c r="O847">
        <f>IF(K847="","",0)</f>
        <v/>
      </c>
      <c r="P847">
        <f>IF(K847="","",I347)</f>
        <v/>
      </c>
      <c r="Q847">
        <f>IF(K847="","",FALSE)</f>
        <v/>
      </c>
      <c r="R847">
        <f>IF(K847="","",TRUE)</f>
        <v/>
      </c>
      <c r="S847">
        <f>IF(K847="","",IF(AND(Q847,R847),IF(O847=P847,"Match","Qty Different"),IF(Q847,"Only in List 1","Only in List 2")))</f>
        <v/>
      </c>
      <c r="T847">
        <f>IF(K847="","",IF(ISNUMBER(--L847),TEXT(--L847,"000000000000.000"),LOWER(L847)))</f>
        <v/>
      </c>
      <c r="U847">
        <f>IF(K847="","",IF(ISNUMBER(--M847),TEXT(--M847,"000000000000.000"),LOWER(M847)))</f>
        <v/>
      </c>
      <c r="V847">
        <f>IF(K847="","",LOWER(N847))</f>
        <v/>
      </c>
      <c r="W847">
        <f>IF(K847="","",G347)</f>
        <v/>
      </c>
      <c r="X847">
        <f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>
      <c r="K848">
        <f>IF(H348="","",IF(SUMPRODUCT(--($C$2:$C$501=H348))&gt;0,"",H348))</f>
        <v/>
      </c>
      <c r="L848">
        <f>IF(K848="","",IF(ISNUMBER('List 2'!A348),'List 2'!A348,TRIM('List 2'!A348)))</f>
        <v/>
      </c>
      <c r="M848">
        <f>IF(K848="","",IF(ISNUMBER('List 2'!C348),'List 2'!C348,TRIM('List 2'!C348)))</f>
        <v/>
      </c>
      <c r="N848">
        <f>IF(K848="","",IF(ISNUMBER('List 2'!D348),'List 2'!D348,TRIM('List 2'!D348)))</f>
        <v/>
      </c>
      <c r="O848">
        <f>IF(K848="","",0)</f>
        <v/>
      </c>
      <c r="P848">
        <f>IF(K848="","",I348)</f>
        <v/>
      </c>
      <c r="Q848">
        <f>IF(K848="","",FALSE)</f>
        <v/>
      </c>
      <c r="R848">
        <f>IF(K848="","",TRUE)</f>
        <v/>
      </c>
      <c r="S848">
        <f>IF(K848="","",IF(AND(Q848,R848),IF(O848=P848,"Match","Qty Different"),IF(Q848,"Only in List 1","Only in List 2")))</f>
        <v/>
      </c>
      <c r="T848">
        <f>IF(K848="","",IF(ISNUMBER(--L848),TEXT(--L848,"000000000000.000"),LOWER(L848)))</f>
        <v/>
      </c>
      <c r="U848">
        <f>IF(K848="","",IF(ISNUMBER(--M848),TEXT(--M848,"000000000000.000"),LOWER(M848)))</f>
        <v/>
      </c>
      <c r="V848">
        <f>IF(K848="","",LOWER(N848))</f>
        <v/>
      </c>
      <c r="W848">
        <f>IF(K848="","",G348)</f>
        <v/>
      </c>
      <c r="X848">
        <f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>
      <c r="K849">
        <f>IF(H349="","",IF(SUMPRODUCT(--($C$2:$C$501=H349))&gt;0,"",H349))</f>
        <v/>
      </c>
      <c r="L849">
        <f>IF(K849="","",IF(ISNUMBER('List 2'!A349),'List 2'!A349,TRIM('List 2'!A349)))</f>
        <v/>
      </c>
      <c r="M849">
        <f>IF(K849="","",IF(ISNUMBER('List 2'!C349),'List 2'!C349,TRIM('List 2'!C349)))</f>
        <v/>
      </c>
      <c r="N849">
        <f>IF(K849="","",IF(ISNUMBER('List 2'!D349),'List 2'!D349,TRIM('List 2'!D349)))</f>
        <v/>
      </c>
      <c r="O849">
        <f>IF(K849="","",0)</f>
        <v/>
      </c>
      <c r="P849">
        <f>IF(K849="","",I349)</f>
        <v/>
      </c>
      <c r="Q849">
        <f>IF(K849="","",FALSE)</f>
        <v/>
      </c>
      <c r="R849">
        <f>IF(K849="","",TRUE)</f>
        <v/>
      </c>
      <c r="S849">
        <f>IF(K849="","",IF(AND(Q849,R849),IF(O849=P849,"Match","Qty Different"),IF(Q849,"Only in List 1","Only in List 2")))</f>
        <v/>
      </c>
      <c r="T849">
        <f>IF(K849="","",IF(ISNUMBER(--L849),TEXT(--L849,"000000000000.000"),LOWER(L849)))</f>
        <v/>
      </c>
      <c r="U849">
        <f>IF(K849="","",IF(ISNUMBER(--M849),TEXT(--M849,"000000000000.000"),LOWER(M849)))</f>
        <v/>
      </c>
      <c r="V849">
        <f>IF(K849="","",LOWER(N849))</f>
        <v/>
      </c>
      <c r="W849">
        <f>IF(K849="","",G349)</f>
        <v/>
      </c>
      <c r="X849">
        <f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>
      <c r="K850">
        <f>IF(H350="","",IF(SUMPRODUCT(--($C$2:$C$501=H350))&gt;0,"",H350))</f>
        <v/>
      </c>
      <c r="L850">
        <f>IF(K850="","",IF(ISNUMBER('List 2'!A350),'List 2'!A350,TRIM('List 2'!A350)))</f>
        <v/>
      </c>
      <c r="M850">
        <f>IF(K850="","",IF(ISNUMBER('List 2'!C350),'List 2'!C350,TRIM('List 2'!C350)))</f>
        <v/>
      </c>
      <c r="N850">
        <f>IF(K850="","",IF(ISNUMBER('List 2'!D350),'List 2'!D350,TRIM('List 2'!D350)))</f>
        <v/>
      </c>
      <c r="O850">
        <f>IF(K850="","",0)</f>
        <v/>
      </c>
      <c r="P850">
        <f>IF(K850="","",I350)</f>
        <v/>
      </c>
      <c r="Q850">
        <f>IF(K850="","",FALSE)</f>
        <v/>
      </c>
      <c r="R850">
        <f>IF(K850="","",TRUE)</f>
        <v/>
      </c>
      <c r="S850">
        <f>IF(K850="","",IF(AND(Q850,R850),IF(O850=P850,"Match","Qty Different"),IF(Q850,"Only in List 1","Only in List 2")))</f>
        <v/>
      </c>
      <c r="T850">
        <f>IF(K850="","",IF(ISNUMBER(--L850),TEXT(--L850,"000000000000.000"),LOWER(L850)))</f>
        <v/>
      </c>
      <c r="U850">
        <f>IF(K850="","",IF(ISNUMBER(--M850),TEXT(--M850,"000000000000.000"),LOWER(M850)))</f>
        <v/>
      </c>
      <c r="V850">
        <f>IF(K850="","",LOWER(N850))</f>
        <v/>
      </c>
      <c r="W850">
        <f>IF(K850="","",G350)</f>
        <v/>
      </c>
      <c r="X850">
        <f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>
      <c r="K851">
        <f>IF(H351="","",IF(SUMPRODUCT(--($C$2:$C$501=H351))&gt;0,"",H351))</f>
        <v/>
      </c>
      <c r="L851">
        <f>IF(K851="","",IF(ISNUMBER('List 2'!A351),'List 2'!A351,TRIM('List 2'!A351)))</f>
        <v/>
      </c>
      <c r="M851">
        <f>IF(K851="","",IF(ISNUMBER('List 2'!C351),'List 2'!C351,TRIM('List 2'!C351)))</f>
        <v/>
      </c>
      <c r="N851">
        <f>IF(K851="","",IF(ISNUMBER('List 2'!D351),'List 2'!D351,TRIM('List 2'!D351)))</f>
        <v/>
      </c>
      <c r="O851">
        <f>IF(K851="","",0)</f>
        <v/>
      </c>
      <c r="P851">
        <f>IF(K851="","",I351)</f>
        <v/>
      </c>
      <c r="Q851">
        <f>IF(K851="","",FALSE)</f>
        <v/>
      </c>
      <c r="R851">
        <f>IF(K851="","",TRUE)</f>
        <v/>
      </c>
      <c r="S851">
        <f>IF(K851="","",IF(AND(Q851,R851),IF(O851=P851,"Match","Qty Different"),IF(Q851,"Only in List 1","Only in List 2")))</f>
        <v/>
      </c>
      <c r="T851">
        <f>IF(K851="","",IF(ISNUMBER(--L851),TEXT(--L851,"000000000000.000"),LOWER(L851)))</f>
        <v/>
      </c>
      <c r="U851">
        <f>IF(K851="","",IF(ISNUMBER(--M851),TEXT(--M851,"000000000000.000"),LOWER(M851)))</f>
        <v/>
      </c>
      <c r="V851">
        <f>IF(K851="","",LOWER(N851))</f>
        <v/>
      </c>
      <c r="W851">
        <f>IF(K851="","",G351)</f>
        <v/>
      </c>
      <c r="X851">
        <f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>
      <c r="K852">
        <f>IF(H352="","",IF(SUMPRODUCT(--($C$2:$C$501=H352))&gt;0,"",H352))</f>
        <v/>
      </c>
      <c r="L852">
        <f>IF(K852="","",IF(ISNUMBER('List 2'!A352),'List 2'!A352,TRIM('List 2'!A352)))</f>
        <v/>
      </c>
      <c r="M852">
        <f>IF(K852="","",IF(ISNUMBER('List 2'!C352),'List 2'!C352,TRIM('List 2'!C352)))</f>
        <v/>
      </c>
      <c r="N852">
        <f>IF(K852="","",IF(ISNUMBER('List 2'!D352),'List 2'!D352,TRIM('List 2'!D352)))</f>
        <v/>
      </c>
      <c r="O852">
        <f>IF(K852="","",0)</f>
        <v/>
      </c>
      <c r="P852">
        <f>IF(K852="","",I352)</f>
        <v/>
      </c>
      <c r="Q852">
        <f>IF(K852="","",FALSE)</f>
        <v/>
      </c>
      <c r="R852">
        <f>IF(K852="","",TRUE)</f>
        <v/>
      </c>
      <c r="S852">
        <f>IF(K852="","",IF(AND(Q852,R852),IF(O852=P852,"Match","Qty Different"),IF(Q852,"Only in List 1","Only in List 2")))</f>
        <v/>
      </c>
      <c r="T852">
        <f>IF(K852="","",IF(ISNUMBER(--L852),TEXT(--L852,"000000000000.000"),LOWER(L852)))</f>
        <v/>
      </c>
      <c r="U852">
        <f>IF(K852="","",IF(ISNUMBER(--M852),TEXT(--M852,"000000000000.000"),LOWER(M852)))</f>
        <v/>
      </c>
      <c r="V852">
        <f>IF(K852="","",LOWER(N852))</f>
        <v/>
      </c>
      <c r="W852">
        <f>IF(K852="","",G352)</f>
        <v/>
      </c>
      <c r="X852">
        <f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>
      <c r="K853">
        <f>IF(H353="","",IF(SUMPRODUCT(--($C$2:$C$501=H353))&gt;0,"",H353))</f>
        <v/>
      </c>
      <c r="L853">
        <f>IF(K853="","",IF(ISNUMBER('List 2'!A353),'List 2'!A353,TRIM('List 2'!A353)))</f>
        <v/>
      </c>
      <c r="M853">
        <f>IF(K853="","",IF(ISNUMBER('List 2'!C353),'List 2'!C353,TRIM('List 2'!C353)))</f>
        <v/>
      </c>
      <c r="N853">
        <f>IF(K853="","",IF(ISNUMBER('List 2'!D353),'List 2'!D353,TRIM('List 2'!D353)))</f>
        <v/>
      </c>
      <c r="O853">
        <f>IF(K853="","",0)</f>
        <v/>
      </c>
      <c r="P853">
        <f>IF(K853="","",I353)</f>
        <v/>
      </c>
      <c r="Q853">
        <f>IF(K853="","",FALSE)</f>
        <v/>
      </c>
      <c r="R853">
        <f>IF(K853="","",TRUE)</f>
        <v/>
      </c>
      <c r="S853">
        <f>IF(K853="","",IF(AND(Q853,R853),IF(O853=P853,"Match","Qty Different"),IF(Q853,"Only in List 1","Only in List 2")))</f>
        <v/>
      </c>
      <c r="T853">
        <f>IF(K853="","",IF(ISNUMBER(--L853),TEXT(--L853,"000000000000.000"),LOWER(L853)))</f>
        <v/>
      </c>
      <c r="U853">
        <f>IF(K853="","",IF(ISNUMBER(--M853),TEXT(--M853,"000000000000.000"),LOWER(M853)))</f>
        <v/>
      </c>
      <c r="V853">
        <f>IF(K853="","",LOWER(N853))</f>
        <v/>
      </c>
      <c r="W853">
        <f>IF(K853="","",G353)</f>
        <v/>
      </c>
      <c r="X853">
        <f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>
      <c r="K854">
        <f>IF(H354="","",IF(SUMPRODUCT(--($C$2:$C$501=H354))&gt;0,"",H354))</f>
        <v/>
      </c>
      <c r="L854">
        <f>IF(K854="","",IF(ISNUMBER('List 2'!A354),'List 2'!A354,TRIM('List 2'!A354)))</f>
        <v/>
      </c>
      <c r="M854">
        <f>IF(K854="","",IF(ISNUMBER('List 2'!C354),'List 2'!C354,TRIM('List 2'!C354)))</f>
        <v/>
      </c>
      <c r="N854">
        <f>IF(K854="","",IF(ISNUMBER('List 2'!D354),'List 2'!D354,TRIM('List 2'!D354)))</f>
        <v/>
      </c>
      <c r="O854">
        <f>IF(K854="","",0)</f>
        <v/>
      </c>
      <c r="P854">
        <f>IF(K854="","",I354)</f>
        <v/>
      </c>
      <c r="Q854">
        <f>IF(K854="","",FALSE)</f>
        <v/>
      </c>
      <c r="R854">
        <f>IF(K854="","",TRUE)</f>
        <v/>
      </c>
      <c r="S854">
        <f>IF(K854="","",IF(AND(Q854,R854),IF(O854=P854,"Match","Qty Different"),IF(Q854,"Only in List 1","Only in List 2")))</f>
        <v/>
      </c>
      <c r="T854">
        <f>IF(K854="","",IF(ISNUMBER(--L854),TEXT(--L854,"000000000000.000"),LOWER(L854)))</f>
        <v/>
      </c>
      <c r="U854">
        <f>IF(K854="","",IF(ISNUMBER(--M854),TEXT(--M854,"000000000000.000"),LOWER(M854)))</f>
        <v/>
      </c>
      <c r="V854">
        <f>IF(K854="","",LOWER(N854))</f>
        <v/>
      </c>
      <c r="W854">
        <f>IF(K854="","",G354)</f>
        <v/>
      </c>
      <c r="X854">
        <f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>
      <c r="K855">
        <f>IF(H355="","",IF(SUMPRODUCT(--($C$2:$C$501=H355))&gt;0,"",H355))</f>
        <v/>
      </c>
      <c r="L855">
        <f>IF(K855="","",IF(ISNUMBER('List 2'!A355),'List 2'!A355,TRIM('List 2'!A355)))</f>
        <v/>
      </c>
      <c r="M855">
        <f>IF(K855="","",IF(ISNUMBER('List 2'!C355),'List 2'!C355,TRIM('List 2'!C355)))</f>
        <v/>
      </c>
      <c r="N855">
        <f>IF(K855="","",IF(ISNUMBER('List 2'!D355),'List 2'!D355,TRIM('List 2'!D355)))</f>
        <v/>
      </c>
      <c r="O855">
        <f>IF(K855="","",0)</f>
        <v/>
      </c>
      <c r="P855">
        <f>IF(K855="","",I355)</f>
        <v/>
      </c>
      <c r="Q855">
        <f>IF(K855="","",FALSE)</f>
        <v/>
      </c>
      <c r="R855">
        <f>IF(K855="","",TRUE)</f>
        <v/>
      </c>
      <c r="S855">
        <f>IF(K855="","",IF(AND(Q855,R855),IF(O855=P855,"Match","Qty Different"),IF(Q855,"Only in List 1","Only in List 2")))</f>
        <v/>
      </c>
      <c r="T855">
        <f>IF(K855="","",IF(ISNUMBER(--L855),TEXT(--L855,"000000000000.000"),LOWER(L855)))</f>
        <v/>
      </c>
      <c r="U855">
        <f>IF(K855="","",IF(ISNUMBER(--M855),TEXT(--M855,"000000000000.000"),LOWER(M855)))</f>
        <v/>
      </c>
      <c r="V855">
        <f>IF(K855="","",LOWER(N855))</f>
        <v/>
      </c>
      <c r="W855">
        <f>IF(K855="","",G355)</f>
        <v/>
      </c>
      <c r="X855">
        <f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>
      <c r="K856">
        <f>IF(H356="","",IF(SUMPRODUCT(--($C$2:$C$501=H356))&gt;0,"",H356))</f>
        <v/>
      </c>
      <c r="L856">
        <f>IF(K856="","",IF(ISNUMBER('List 2'!A356),'List 2'!A356,TRIM('List 2'!A356)))</f>
        <v/>
      </c>
      <c r="M856">
        <f>IF(K856="","",IF(ISNUMBER('List 2'!C356),'List 2'!C356,TRIM('List 2'!C356)))</f>
        <v/>
      </c>
      <c r="N856">
        <f>IF(K856="","",IF(ISNUMBER('List 2'!D356),'List 2'!D356,TRIM('List 2'!D356)))</f>
        <v/>
      </c>
      <c r="O856">
        <f>IF(K856="","",0)</f>
        <v/>
      </c>
      <c r="P856">
        <f>IF(K856="","",I356)</f>
        <v/>
      </c>
      <c r="Q856">
        <f>IF(K856="","",FALSE)</f>
        <v/>
      </c>
      <c r="R856">
        <f>IF(K856="","",TRUE)</f>
        <v/>
      </c>
      <c r="S856">
        <f>IF(K856="","",IF(AND(Q856,R856),IF(O856=P856,"Match","Qty Different"),IF(Q856,"Only in List 1","Only in List 2")))</f>
        <v/>
      </c>
      <c r="T856">
        <f>IF(K856="","",IF(ISNUMBER(--L856),TEXT(--L856,"000000000000.000"),LOWER(L856)))</f>
        <v/>
      </c>
      <c r="U856">
        <f>IF(K856="","",IF(ISNUMBER(--M856),TEXT(--M856,"000000000000.000"),LOWER(M856)))</f>
        <v/>
      </c>
      <c r="V856">
        <f>IF(K856="","",LOWER(N856))</f>
        <v/>
      </c>
      <c r="W856">
        <f>IF(K856="","",G356)</f>
        <v/>
      </c>
      <c r="X856">
        <f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>
      <c r="K857">
        <f>IF(H357="","",IF(SUMPRODUCT(--($C$2:$C$501=H357))&gt;0,"",H357))</f>
        <v/>
      </c>
      <c r="L857">
        <f>IF(K857="","",IF(ISNUMBER('List 2'!A357),'List 2'!A357,TRIM('List 2'!A357)))</f>
        <v/>
      </c>
      <c r="M857">
        <f>IF(K857="","",IF(ISNUMBER('List 2'!C357),'List 2'!C357,TRIM('List 2'!C357)))</f>
        <v/>
      </c>
      <c r="N857">
        <f>IF(K857="","",IF(ISNUMBER('List 2'!D357),'List 2'!D357,TRIM('List 2'!D357)))</f>
        <v/>
      </c>
      <c r="O857">
        <f>IF(K857="","",0)</f>
        <v/>
      </c>
      <c r="P857">
        <f>IF(K857="","",I357)</f>
        <v/>
      </c>
      <c r="Q857">
        <f>IF(K857="","",FALSE)</f>
        <v/>
      </c>
      <c r="R857">
        <f>IF(K857="","",TRUE)</f>
        <v/>
      </c>
      <c r="S857">
        <f>IF(K857="","",IF(AND(Q857,R857),IF(O857=P857,"Match","Qty Different"),IF(Q857,"Only in List 1","Only in List 2")))</f>
        <v/>
      </c>
      <c r="T857">
        <f>IF(K857="","",IF(ISNUMBER(--L857),TEXT(--L857,"000000000000.000"),LOWER(L857)))</f>
        <v/>
      </c>
      <c r="U857">
        <f>IF(K857="","",IF(ISNUMBER(--M857),TEXT(--M857,"000000000000.000"),LOWER(M857)))</f>
        <v/>
      </c>
      <c r="V857">
        <f>IF(K857="","",LOWER(N857))</f>
        <v/>
      </c>
      <c r="W857">
        <f>IF(K857="","",G357)</f>
        <v/>
      </c>
      <c r="X857">
        <f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>
      <c r="K858">
        <f>IF(H358="","",IF(SUMPRODUCT(--($C$2:$C$501=H358))&gt;0,"",H358))</f>
        <v/>
      </c>
      <c r="L858">
        <f>IF(K858="","",IF(ISNUMBER('List 2'!A358),'List 2'!A358,TRIM('List 2'!A358)))</f>
        <v/>
      </c>
      <c r="M858">
        <f>IF(K858="","",IF(ISNUMBER('List 2'!C358),'List 2'!C358,TRIM('List 2'!C358)))</f>
        <v/>
      </c>
      <c r="N858">
        <f>IF(K858="","",IF(ISNUMBER('List 2'!D358),'List 2'!D358,TRIM('List 2'!D358)))</f>
        <v/>
      </c>
      <c r="O858">
        <f>IF(K858="","",0)</f>
        <v/>
      </c>
      <c r="P858">
        <f>IF(K858="","",I358)</f>
        <v/>
      </c>
      <c r="Q858">
        <f>IF(K858="","",FALSE)</f>
        <v/>
      </c>
      <c r="R858">
        <f>IF(K858="","",TRUE)</f>
        <v/>
      </c>
      <c r="S858">
        <f>IF(K858="","",IF(AND(Q858,R858),IF(O858=P858,"Match","Qty Different"),IF(Q858,"Only in List 1","Only in List 2")))</f>
        <v/>
      </c>
      <c r="T858">
        <f>IF(K858="","",IF(ISNUMBER(--L858),TEXT(--L858,"000000000000.000"),LOWER(L858)))</f>
        <v/>
      </c>
      <c r="U858">
        <f>IF(K858="","",IF(ISNUMBER(--M858),TEXT(--M858,"000000000000.000"),LOWER(M858)))</f>
        <v/>
      </c>
      <c r="V858">
        <f>IF(K858="","",LOWER(N858))</f>
        <v/>
      </c>
      <c r="W858">
        <f>IF(K858="","",G358)</f>
        <v/>
      </c>
      <c r="X858">
        <f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>
      <c r="K859">
        <f>IF(H359="","",IF(SUMPRODUCT(--($C$2:$C$501=H359))&gt;0,"",H359))</f>
        <v/>
      </c>
      <c r="L859">
        <f>IF(K859="","",IF(ISNUMBER('List 2'!A359),'List 2'!A359,TRIM('List 2'!A359)))</f>
        <v/>
      </c>
      <c r="M859">
        <f>IF(K859="","",IF(ISNUMBER('List 2'!C359),'List 2'!C359,TRIM('List 2'!C359)))</f>
        <v/>
      </c>
      <c r="N859">
        <f>IF(K859="","",IF(ISNUMBER('List 2'!D359),'List 2'!D359,TRIM('List 2'!D359)))</f>
        <v/>
      </c>
      <c r="O859">
        <f>IF(K859="","",0)</f>
        <v/>
      </c>
      <c r="P859">
        <f>IF(K859="","",I359)</f>
        <v/>
      </c>
      <c r="Q859">
        <f>IF(K859="","",FALSE)</f>
        <v/>
      </c>
      <c r="R859">
        <f>IF(K859="","",TRUE)</f>
        <v/>
      </c>
      <c r="S859">
        <f>IF(K859="","",IF(AND(Q859,R859),IF(O859=P859,"Match","Qty Different"),IF(Q859,"Only in List 1","Only in List 2")))</f>
        <v/>
      </c>
      <c r="T859">
        <f>IF(K859="","",IF(ISNUMBER(--L859),TEXT(--L859,"000000000000.000"),LOWER(L859)))</f>
        <v/>
      </c>
      <c r="U859">
        <f>IF(K859="","",IF(ISNUMBER(--M859),TEXT(--M859,"000000000000.000"),LOWER(M859)))</f>
        <v/>
      </c>
      <c r="V859">
        <f>IF(K859="","",LOWER(N859))</f>
        <v/>
      </c>
      <c r="W859">
        <f>IF(K859="","",G359)</f>
        <v/>
      </c>
      <c r="X859">
        <f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>
      <c r="K860">
        <f>IF(H360="","",IF(SUMPRODUCT(--($C$2:$C$501=H360))&gt;0,"",H360))</f>
        <v/>
      </c>
      <c r="L860">
        <f>IF(K860="","",IF(ISNUMBER('List 2'!A360),'List 2'!A360,TRIM('List 2'!A360)))</f>
        <v/>
      </c>
      <c r="M860">
        <f>IF(K860="","",IF(ISNUMBER('List 2'!C360),'List 2'!C360,TRIM('List 2'!C360)))</f>
        <v/>
      </c>
      <c r="N860">
        <f>IF(K860="","",IF(ISNUMBER('List 2'!D360),'List 2'!D360,TRIM('List 2'!D360)))</f>
        <v/>
      </c>
      <c r="O860">
        <f>IF(K860="","",0)</f>
        <v/>
      </c>
      <c r="P860">
        <f>IF(K860="","",I360)</f>
        <v/>
      </c>
      <c r="Q860">
        <f>IF(K860="","",FALSE)</f>
        <v/>
      </c>
      <c r="R860">
        <f>IF(K860="","",TRUE)</f>
        <v/>
      </c>
      <c r="S860">
        <f>IF(K860="","",IF(AND(Q860,R860),IF(O860=P860,"Match","Qty Different"),IF(Q860,"Only in List 1","Only in List 2")))</f>
        <v/>
      </c>
      <c r="T860">
        <f>IF(K860="","",IF(ISNUMBER(--L860),TEXT(--L860,"000000000000.000"),LOWER(L860)))</f>
        <v/>
      </c>
      <c r="U860">
        <f>IF(K860="","",IF(ISNUMBER(--M860),TEXT(--M860,"000000000000.000"),LOWER(M860)))</f>
        <v/>
      </c>
      <c r="V860">
        <f>IF(K860="","",LOWER(N860))</f>
        <v/>
      </c>
      <c r="W860">
        <f>IF(K860="","",G360)</f>
        <v/>
      </c>
      <c r="X860">
        <f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>
      <c r="K861">
        <f>IF(H361="","",IF(SUMPRODUCT(--($C$2:$C$501=H361))&gt;0,"",H361))</f>
        <v/>
      </c>
      <c r="L861">
        <f>IF(K861="","",IF(ISNUMBER('List 2'!A361),'List 2'!A361,TRIM('List 2'!A361)))</f>
        <v/>
      </c>
      <c r="M861">
        <f>IF(K861="","",IF(ISNUMBER('List 2'!C361),'List 2'!C361,TRIM('List 2'!C361)))</f>
        <v/>
      </c>
      <c r="N861">
        <f>IF(K861="","",IF(ISNUMBER('List 2'!D361),'List 2'!D361,TRIM('List 2'!D361)))</f>
        <v/>
      </c>
      <c r="O861">
        <f>IF(K861="","",0)</f>
        <v/>
      </c>
      <c r="P861">
        <f>IF(K861="","",I361)</f>
        <v/>
      </c>
      <c r="Q861">
        <f>IF(K861="","",FALSE)</f>
        <v/>
      </c>
      <c r="R861">
        <f>IF(K861="","",TRUE)</f>
        <v/>
      </c>
      <c r="S861">
        <f>IF(K861="","",IF(AND(Q861,R861),IF(O861=P861,"Match","Qty Different"),IF(Q861,"Only in List 1","Only in List 2")))</f>
        <v/>
      </c>
      <c r="T861">
        <f>IF(K861="","",IF(ISNUMBER(--L861),TEXT(--L861,"000000000000.000"),LOWER(L861)))</f>
        <v/>
      </c>
      <c r="U861">
        <f>IF(K861="","",IF(ISNUMBER(--M861),TEXT(--M861,"000000000000.000"),LOWER(M861)))</f>
        <v/>
      </c>
      <c r="V861">
        <f>IF(K861="","",LOWER(N861))</f>
        <v/>
      </c>
      <c r="W861">
        <f>IF(K861="","",G361)</f>
        <v/>
      </c>
      <c r="X861">
        <f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>
      <c r="K862">
        <f>IF(H362="","",IF(SUMPRODUCT(--($C$2:$C$501=H362))&gt;0,"",H362))</f>
        <v/>
      </c>
      <c r="L862">
        <f>IF(K862="","",IF(ISNUMBER('List 2'!A362),'List 2'!A362,TRIM('List 2'!A362)))</f>
        <v/>
      </c>
      <c r="M862">
        <f>IF(K862="","",IF(ISNUMBER('List 2'!C362),'List 2'!C362,TRIM('List 2'!C362)))</f>
        <v/>
      </c>
      <c r="N862">
        <f>IF(K862="","",IF(ISNUMBER('List 2'!D362),'List 2'!D362,TRIM('List 2'!D362)))</f>
        <v/>
      </c>
      <c r="O862">
        <f>IF(K862="","",0)</f>
        <v/>
      </c>
      <c r="P862">
        <f>IF(K862="","",I362)</f>
        <v/>
      </c>
      <c r="Q862">
        <f>IF(K862="","",FALSE)</f>
        <v/>
      </c>
      <c r="R862">
        <f>IF(K862="","",TRUE)</f>
        <v/>
      </c>
      <c r="S862">
        <f>IF(K862="","",IF(AND(Q862,R862),IF(O862=P862,"Match","Qty Different"),IF(Q862,"Only in List 1","Only in List 2")))</f>
        <v/>
      </c>
      <c r="T862">
        <f>IF(K862="","",IF(ISNUMBER(--L862),TEXT(--L862,"000000000000.000"),LOWER(L862)))</f>
        <v/>
      </c>
      <c r="U862">
        <f>IF(K862="","",IF(ISNUMBER(--M862),TEXT(--M862,"000000000000.000"),LOWER(M862)))</f>
        <v/>
      </c>
      <c r="V862">
        <f>IF(K862="","",LOWER(N862))</f>
        <v/>
      </c>
      <c r="W862">
        <f>IF(K862="","",G362)</f>
        <v/>
      </c>
      <c r="X862">
        <f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>
      <c r="K863">
        <f>IF(H363="","",IF(SUMPRODUCT(--($C$2:$C$501=H363))&gt;0,"",H363))</f>
        <v/>
      </c>
      <c r="L863">
        <f>IF(K863="","",IF(ISNUMBER('List 2'!A363),'List 2'!A363,TRIM('List 2'!A363)))</f>
        <v/>
      </c>
      <c r="M863">
        <f>IF(K863="","",IF(ISNUMBER('List 2'!C363),'List 2'!C363,TRIM('List 2'!C363)))</f>
        <v/>
      </c>
      <c r="N863">
        <f>IF(K863="","",IF(ISNUMBER('List 2'!D363),'List 2'!D363,TRIM('List 2'!D363)))</f>
        <v/>
      </c>
      <c r="O863">
        <f>IF(K863="","",0)</f>
        <v/>
      </c>
      <c r="P863">
        <f>IF(K863="","",I363)</f>
        <v/>
      </c>
      <c r="Q863">
        <f>IF(K863="","",FALSE)</f>
        <v/>
      </c>
      <c r="R863">
        <f>IF(K863="","",TRUE)</f>
        <v/>
      </c>
      <c r="S863">
        <f>IF(K863="","",IF(AND(Q863,R863),IF(O863=P863,"Match","Qty Different"),IF(Q863,"Only in List 1","Only in List 2")))</f>
        <v/>
      </c>
      <c r="T863">
        <f>IF(K863="","",IF(ISNUMBER(--L863),TEXT(--L863,"000000000000.000"),LOWER(L863)))</f>
        <v/>
      </c>
      <c r="U863">
        <f>IF(K863="","",IF(ISNUMBER(--M863),TEXT(--M863,"000000000000.000"),LOWER(M863)))</f>
        <v/>
      </c>
      <c r="V863">
        <f>IF(K863="","",LOWER(N863))</f>
        <v/>
      </c>
      <c r="W863">
        <f>IF(K863="","",G363)</f>
        <v/>
      </c>
      <c r="X863">
        <f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>
      <c r="K864">
        <f>IF(H364="","",IF(SUMPRODUCT(--($C$2:$C$501=H364))&gt;0,"",H364))</f>
        <v/>
      </c>
      <c r="L864">
        <f>IF(K864="","",IF(ISNUMBER('List 2'!A364),'List 2'!A364,TRIM('List 2'!A364)))</f>
        <v/>
      </c>
      <c r="M864">
        <f>IF(K864="","",IF(ISNUMBER('List 2'!C364),'List 2'!C364,TRIM('List 2'!C364)))</f>
        <v/>
      </c>
      <c r="N864">
        <f>IF(K864="","",IF(ISNUMBER('List 2'!D364),'List 2'!D364,TRIM('List 2'!D364)))</f>
        <v/>
      </c>
      <c r="O864">
        <f>IF(K864="","",0)</f>
        <v/>
      </c>
      <c r="P864">
        <f>IF(K864="","",I364)</f>
        <v/>
      </c>
      <c r="Q864">
        <f>IF(K864="","",FALSE)</f>
        <v/>
      </c>
      <c r="R864">
        <f>IF(K864="","",TRUE)</f>
        <v/>
      </c>
      <c r="S864">
        <f>IF(K864="","",IF(AND(Q864,R864),IF(O864=P864,"Match","Qty Different"),IF(Q864,"Only in List 1","Only in List 2")))</f>
        <v/>
      </c>
      <c r="T864">
        <f>IF(K864="","",IF(ISNUMBER(--L864),TEXT(--L864,"000000000000.000"),LOWER(L864)))</f>
        <v/>
      </c>
      <c r="U864">
        <f>IF(K864="","",IF(ISNUMBER(--M864),TEXT(--M864,"000000000000.000"),LOWER(M864)))</f>
        <v/>
      </c>
      <c r="V864">
        <f>IF(K864="","",LOWER(N864))</f>
        <v/>
      </c>
      <c r="W864">
        <f>IF(K864="","",G364)</f>
        <v/>
      </c>
      <c r="X864">
        <f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>
      <c r="K865">
        <f>IF(H365="","",IF(SUMPRODUCT(--($C$2:$C$501=H365))&gt;0,"",H365))</f>
        <v/>
      </c>
      <c r="L865">
        <f>IF(K865="","",IF(ISNUMBER('List 2'!A365),'List 2'!A365,TRIM('List 2'!A365)))</f>
        <v/>
      </c>
      <c r="M865">
        <f>IF(K865="","",IF(ISNUMBER('List 2'!C365),'List 2'!C365,TRIM('List 2'!C365)))</f>
        <v/>
      </c>
      <c r="N865">
        <f>IF(K865="","",IF(ISNUMBER('List 2'!D365),'List 2'!D365,TRIM('List 2'!D365)))</f>
        <v/>
      </c>
      <c r="O865">
        <f>IF(K865="","",0)</f>
        <v/>
      </c>
      <c r="P865">
        <f>IF(K865="","",I365)</f>
        <v/>
      </c>
      <c r="Q865">
        <f>IF(K865="","",FALSE)</f>
        <v/>
      </c>
      <c r="R865">
        <f>IF(K865="","",TRUE)</f>
        <v/>
      </c>
      <c r="S865">
        <f>IF(K865="","",IF(AND(Q865,R865),IF(O865=P865,"Match","Qty Different"),IF(Q865,"Only in List 1","Only in List 2")))</f>
        <v/>
      </c>
      <c r="T865">
        <f>IF(K865="","",IF(ISNUMBER(--L865),TEXT(--L865,"000000000000.000"),LOWER(L865)))</f>
        <v/>
      </c>
      <c r="U865">
        <f>IF(K865="","",IF(ISNUMBER(--M865),TEXT(--M865,"000000000000.000"),LOWER(M865)))</f>
        <v/>
      </c>
      <c r="V865">
        <f>IF(K865="","",LOWER(N865))</f>
        <v/>
      </c>
      <c r="W865">
        <f>IF(K865="","",G365)</f>
        <v/>
      </c>
      <c r="X865">
        <f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>
      <c r="K866">
        <f>IF(H366="","",IF(SUMPRODUCT(--($C$2:$C$501=H366))&gt;0,"",H366))</f>
        <v/>
      </c>
      <c r="L866">
        <f>IF(K866="","",IF(ISNUMBER('List 2'!A366),'List 2'!A366,TRIM('List 2'!A366)))</f>
        <v/>
      </c>
      <c r="M866">
        <f>IF(K866="","",IF(ISNUMBER('List 2'!C366),'List 2'!C366,TRIM('List 2'!C366)))</f>
        <v/>
      </c>
      <c r="N866">
        <f>IF(K866="","",IF(ISNUMBER('List 2'!D366),'List 2'!D366,TRIM('List 2'!D366)))</f>
        <v/>
      </c>
      <c r="O866">
        <f>IF(K866="","",0)</f>
        <v/>
      </c>
      <c r="P866">
        <f>IF(K866="","",I366)</f>
        <v/>
      </c>
      <c r="Q866">
        <f>IF(K866="","",FALSE)</f>
        <v/>
      </c>
      <c r="R866">
        <f>IF(K866="","",TRUE)</f>
        <v/>
      </c>
      <c r="S866">
        <f>IF(K866="","",IF(AND(Q866,R866),IF(O866=P866,"Match","Qty Different"),IF(Q866,"Only in List 1","Only in List 2")))</f>
        <v/>
      </c>
      <c r="T866">
        <f>IF(K866="","",IF(ISNUMBER(--L866),TEXT(--L866,"000000000000.000"),LOWER(L866)))</f>
        <v/>
      </c>
      <c r="U866">
        <f>IF(K866="","",IF(ISNUMBER(--M866),TEXT(--M866,"000000000000.000"),LOWER(M866)))</f>
        <v/>
      </c>
      <c r="V866">
        <f>IF(K866="","",LOWER(N866))</f>
        <v/>
      </c>
      <c r="W866">
        <f>IF(K866="","",G366)</f>
        <v/>
      </c>
      <c r="X866">
        <f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>
      <c r="K867">
        <f>IF(H367="","",IF(SUMPRODUCT(--($C$2:$C$501=H367))&gt;0,"",H367))</f>
        <v/>
      </c>
      <c r="L867">
        <f>IF(K867="","",IF(ISNUMBER('List 2'!A367),'List 2'!A367,TRIM('List 2'!A367)))</f>
        <v/>
      </c>
      <c r="M867">
        <f>IF(K867="","",IF(ISNUMBER('List 2'!C367),'List 2'!C367,TRIM('List 2'!C367)))</f>
        <v/>
      </c>
      <c r="N867">
        <f>IF(K867="","",IF(ISNUMBER('List 2'!D367),'List 2'!D367,TRIM('List 2'!D367)))</f>
        <v/>
      </c>
      <c r="O867">
        <f>IF(K867="","",0)</f>
        <v/>
      </c>
      <c r="P867">
        <f>IF(K867="","",I367)</f>
        <v/>
      </c>
      <c r="Q867">
        <f>IF(K867="","",FALSE)</f>
        <v/>
      </c>
      <c r="R867">
        <f>IF(K867="","",TRUE)</f>
        <v/>
      </c>
      <c r="S867">
        <f>IF(K867="","",IF(AND(Q867,R867),IF(O867=P867,"Match","Qty Different"),IF(Q867,"Only in List 1","Only in List 2")))</f>
        <v/>
      </c>
      <c r="T867">
        <f>IF(K867="","",IF(ISNUMBER(--L867),TEXT(--L867,"000000000000.000"),LOWER(L867)))</f>
        <v/>
      </c>
      <c r="U867">
        <f>IF(K867="","",IF(ISNUMBER(--M867),TEXT(--M867,"000000000000.000"),LOWER(M867)))</f>
        <v/>
      </c>
      <c r="V867">
        <f>IF(K867="","",LOWER(N867))</f>
        <v/>
      </c>
      <c r="W867">
        <f>IF(K867="","",G367)</f>
        <v/>
      </c>
      <c r="X867">
        <f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>
      <c r="K868">
        <f>IF(H368="","",IF(SUMPRODUCT(--($C$2:$C$501=H368))&gt;0,"",H368))</f>
        <v/>
      </c>
      <c r="L868">
        <f>IF(K868="","",IF(ISNUMBER('List 2'!A368),'List 2'!A368,TRIM('List 2'!A368)))</f>
        <v/>
      </c>
      <c r="M868">
        <f>IF(K868="","",IF(ISNUMBER('List 2'!C368),'List 2'!C368,TRIM('List 2'!C368)))</f>
        <v/>
      </c>
      <c r="N868">
        <f>IF(K868="","",IF(ISNUMBER('List 2'!D368),'List 2'!D368,TRIM('List 2'!D368)))</f>
        <v/>
      </c>
      <c r="O868">
        <f>IF(K868="","",0)</f>
        <v/>
      </c>
      <c r="P868">
        <f>IF(K868="","",I368)</f>
        <v/>
      </c>
      <c r="Q868">
        <f>IF(K868="","",FALSE)</f>
        <v/>
      </c>
      <c r="R868">
        <f>IF(K868="","",TRUE)</f>
        <v/>
      </c>
      <c r="S868">
        <f>IF(K868="","",IF(AND(Q868,R868),IF(O868=P868,"Match","Qty Different"),IF(Q868,"Only in List 1","Only in List 2")))</f>
        <v/>
      </c>
      <c r="T868">
        <f>IF(K868="","",IF(ISNUMBER(--L868),TEXT(--L868,"000000000000.000"),LOWER(L868)))</f>
        <v/>
      </c>
      <c r="U868">
        <f>IF(K868="","",IF(ISNUMBER(--M868),TEXT(--M868,"000000000000.000"),LOWER(M868)))</f>
        <v/>
      </c>
      <c r="V868">
        <f>IF(K868="","",LOWER(N868))</f>
        <v/>
      </c>
      <c r="W868">
        <f>IF(K868="","",G368)</f>
        <v/>
      </c>
      <c r="X868">
        <f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>
      <c r="K869">
        <f>IF(H369="","",IF(SUMPRODUCT(--($C$2:$C$501=H369))&gt;0,"",H369))</f>
        <v/>
      </c>
      <c r="L869">
        <f>IF(K869="","",IF(ISNUMBER('List 2'!A369),'List 2'!A369,TRIM('List 2'!A369)))</f>
        <v/>
      </c>
      <c r="M869">
        <f>IF(K869="","",IF(ISNUMBER('List 2'!C369),'List 2'!C369,TRIM('List 2'!C369)))</f>
        <v/>
      </c>
      <c r="N869">
        <f>IF(K869="","",IF(ISNUMBER('List 2'!D369),'List 2'!D369,TRIM('List 2'!D369)))</f>
        <v/>
      </c>
      <c r="O869">
        <f>IF(K869="","",0)</f>
        <v/>
      </c>
      <c r="P869">
        <f>IF(K869="","",I369)</f>
        <v/>
      </c>
      <c r="Q869">
        <f>IF(K869="","",FALSE)</f>
        <v/>
      </c>
      <c r="R869">
        <f>IF(K869="","",TRUE)</f>
        <v/>
      </c>
      <c r="S869">
        <f>IF(K869="","",IF(AND(Q869,R869),IF(O869=P869,"Match","Qty Different"),IF(Q869,"Only in List 1","Only in List 2")))</f>
        <v/>
      </c>
      <c r="T869">
        <f>IF(K869="","",IF(ISNUMBER(--L869),TEXT(--L869,"000000000000.000"),LOWER(L869)))</f>
        <v/>
      </c>
      <c r="U869">
        <f>IF(K869="","",IF(ISNUMBER(--M869),TEXT(--M869,"000000000000.000"),LOWER(M869)))</f>
        <v/>
      </c>
      <c r="V869">
        <f>IF(K869="","",LOWER(N869))</f>
        <v/>
      </c>
      <c r="W869">
        <f>IF(K869="","",G369)</f>
        <v/>
      </c>
      <c r="X869">
        <f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>
      <c r="K870">
        <f>IF(H370="","",IF(SUMPRODUCT(--($C$2:$C$501=H370))&gt;0,"",H370))</f>
        <v/>
      </c>
      <c r="L870">
        <f>IF(K870="","",IF(ISNUMBER('List 2'!A370),'List 2'!A370,TRIM('List 2'!A370)))</f>
        <v/>
      </c>
      <c r="M870">
        <f>IF(K870="","",IF(ISNUMBER('List 2'!C370),'List 2'!C370,TRIM('List 2'!C370)))</f>
        <v/>
      </c>
      <c r="N870">
        <f>IF(K870="","",IF(ISNUMBER('List 2'!D370),'List 2'!D370,TRIM('List 2'!D370)))</f>
        <v/>
      </c>
      <c r="O870">
        <f>IF(K870="","",0)</f>
        <v/>
      </c>
      <c r="P870">
        <f>IF(K870="","",I370)</f>
        <v/>
      </c>
      <c r="Q870">
        <f>IF(K870="","",FALSE)</f>
        <v/>
      </c>
      <c r="R870">
        <f>IF(K870="","",TRUE)</f>
        <v/>
      </c>
      <c r="S870">
        <f>IF(K870="","",IF(AND(Q870,R870),IF(O870=P870,"Match","Qty Different"),IF(Q870,"Only in List 1","Only in List 2")))</f>
        <v/>
      </c>
      <c r="T870">
        <f>IF(K870="","",IF(ISNUMBER(--L870),TEXT(--L870,"000000000000.000"),LOWER(L870)))</f>
        <v/>
      </c>
      <c r="U870">
        <f>IF(K870="","",IF(ISNUMBER(--M870),TEXT(--M870,"000000000000.000"),LOWER(M870)))</f>
        <v/>
      </c>
      <c r="V870">
        <f>IF(K870="","",LOWER(N870))</f>
        <v/>
      </c>
      <c r="W870">
        <f>IF(K870="","",G370)</f>
        <v/>
      </c>
      <c r="X870">
        <f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>
      <c r="K871">
        <f>IF(H371="","",IF(SUMPRODUCT(--($C$2:$C$501=H371))&gt;0,"",H371))</f>
        <v/>
      </c>
      <c r="L871">
        <f>IF(K871="","",IF(ISNUMBER('List 2'!A371),'List 2'!A371,TRIM('List 2'!A371)))</f>
        <v/>
      </c>
      <c r="M871">
        <f>IF(K871="","",IF(ISNUMBER('List 2'!C371),'List 2'!C371,TRIM('List 2'!C371)))</f>
        <v/>
      </c>
      <c r="N871">
        <f>IF(K871="","",IF(ISNUMBER('List 2'!D371),'List 2'!D371,TRIM('List 2'!D371)))</f>
        <v/>
      </c>
      <c r="O871">
        <f>IF(K871="","",0)</f>
        <v/>
      </c>
      <c r="P871">
        <f>IF(K871="","",I371)</f>
        <v/>
      </c>
      <c r="Q871">
        <f>IF(K871="","",FALSE)</f>
        <v/>
      </c>
      <c r="R871">
        <f>IF(K871="","",TRUE)</f>
        <v/>
      </c>
      <c r="S871">
        <f>IF(K871="","",IF(AND(Q871,R871),IF(O871=P871,"Match","Qty Different"),IF(Q871,"Only in List 1","Only in List 2")))</f>
        <v/>
      </c>
      <c r="T871">
        <f>IF(K871="","",IF(ISNUMBER(--L871),TEXT(--L871,"000000000000.000"),LOWER(L871)))</f>
        <v/>
      </c>
      <c r="U871">
        <f>IF(K871="","",IF(ISNUMBER(--M871),TEXT(--M871,"000000000000.000"),LOWER(M871)))</f>
        <v/>
      </c>
      <c r="V871">
        <f>IF(K871="","",LOWER(N871))</f>
        <v/>
      </c>
      <c r="W871">
        <f>IF(K871="","",G371)</f>
        <v/>
      </c>
      <c r="X871">
        <f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>
      <c r="K872">
        <f>IF(H372="","",IF(SUMPRODUCT(--($C$2:$C$501=H372))&gt;0,"",H372))</f>
        <v/>
      </c>
      <c r="L872">
        <f>IF(K872="","",IF(ISNUMBER('List 2'!A372),'List 2'!A372,TRIM('List 2'!A372)))</f>
        <v/>
      </c>
      <c r="M872">
        <f>IF(K872="","",IF(ISNUMBER('List 2'!C372),'List 2'!C372,TRIM('List 2'!C372)))</f>
        <v/>
      </c>
      <c r="N872">
        <f>IF(K872="","",IF(ISNUMBER('List 2'!D372),'List 2'!D372,TRIM('List 2'!D372)))</f>
        <v/>
      </c>
      <c r="O872">
        <f>IF(K872="","",0)</f>
        <v/>
      </c>
      <c r="P872">
        <f>IF(K872="","",I372)</f>
        <v/>
      </c>
      <c r="Q872">
        <f>IF(K872="","",FALSE)</f>
        <v/>
      </c>
      <c r="R872">
        <f>IF(K872="","",TRUE)</f>
        <v/>
      </c>
      <c r="S872">
        <f>IF(K872="","",IF(AND(Q872,R872),IF(O872=P872,"Match","Qty Different"),IF(Q872,"Only in List 1","Only in List 2")))</f>
        <v/>
      </c>
      <c r="T872">
        <f>IF(K872="","",IF(ISNUMBER(--L872),TEXT(--L872,"000000000000.000"),LOWER(L872)))</f>
        <v/>
      </c>
      <c r="U872">
        <f>IF(K872="","",IF(ISNUMBER(--M872),TEXT(--M872,"000000000000.000"),LOWER(M872)))</f>
        <v/>
      </c>
      <c r="V872">
        <f>IF(K872="","",LOWER(N872))</f>
        <v/>
      </c>
      <c r="W872">
        <f>IF(K872="","",G372)</f>
        <v/>
      </c>
      <c r="X872">
        <f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>
      <c r="K873">
        <f>IF(H373="","",IF(SUMPRODUCT(--($C$2:$C$501=H373))&gt;0,"",H373))</f>
        <v/>
      </c>
      <c r="L873">
        <f>IF(K873="","",IF(ISNUMBER('List 2'!A373),'List 2'!A373,TRIM('List 2'!A373)))</f>
        <v/>
      </c>
      <c r="M873">
        <f>IF(K873="","",IF(ISNUMBER('List 2'!C373),'List 2'!C373,TRIM('List 2'!C373)))</f>
        <v/>
      </c>
      <c r="N873">
        <f>IF(K873="","",IF(ISNUMBER('List 2'!D373),'List 2'!D373,TRIM('List 2'!D373)))</f>
        <v/>
      </c>
      <c r="O873">
        <f>IF(K873="","",0)</f>
        <v/>
      </c>
      <c r="P873">
        <f>IF(K873="","",I373)</f>
        <v/>
      </c>
      <c r="Q873">
        <f>IF(K873="","",FALSE)</f>
        <v/>
      </c>
      <c r="R873">
        <f>IF(K873="","",TRUE)</f>
        <v/>
      </c>
      <c r="S873">
        <f>IF(K873="","",IF(AND(Q873,R873),IF(O873=P873,"Match","Qty Different"),IF(Q873,"Only in List 1","Only in List 2")))</f>
        <v/>
      </c>
      <c r="T873">
        <f>IF(K873="","",IF(ISNUMBER(--L873),TEXT(--L873,"000000000000.000"),LOWER(L873)))</f>
        <v/>
      </c>
      <c r="U873">
        <f>IF(K873="","",IF(ISNUMBER(--M873),TEXT(--M873,"000000000000.000"),LOWER(M873)))</f>
        <v/>
      </c>
      <c r="V873">
        <f>IF(K873="","",LOWER(N873))</f>
        <v/>
      </c>
      <c r="W873">
        <f>IF(K873="","",G373)</f>
        <v/>
      </c>
      <c r="X873">
        <f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>
      <c r="K874">
        <f>IF(H374="","",IF(SUMPRODUCT(--($C$2:$C$501=H374))&gt;0,"",H374))</f>
        <v/>
      </c>
      <c r="L874">
        <f>IF(K874="","",IF(ISNUMBER('List 2'!A374),'List 2'!A374,TRIM('List 2'!A374)))</f>
        <v/>
      </c>
      <c r="M874">
        <f>IF(K874="","",IF(ISNUMBER('List 2'!C374),'List 2'!C374,TRIM('List 2'!C374)))</f>
        <v/>
      </c>
      <c r="N874">
        <f>IF(K874="","",IF(ISNUMBER('List 2'!D374),'List 2'!D374,TRIM('List 2'!D374)))</f>
        <v/>
      </c>
      <c r="O874">
        <f>IF(K874="","",0)</f>
        <v/>
      </c>
      <c r="P874">
        <f>IF(K874="","",I374)</f>
        <v/>
      </c>
      <c r="Q874">
        <f>IF(K874="","",FALSE)</f>
        <v/>
      </c>
      <c r="R874">
        <f>IF(K874="","",TRUE)</f>
        <v/>
      </c>
      <c r="S874">
        <f>IF(K874="","",IF(AND(Q874,R874),IF(O874=P874,"Match","Qty Different"),IF(Q874,"Only in List 1","Only in List 2")))</f>
        <v/>
      </c>
      <c r="T874">
        <f>IF(K874="","",IF(ISNUMBER(--L874),TEXT(--L874,"000000000000.000"),LOWER(L874)))</f>
        <v/>
      </c>
      <c r="U874">
        <f>IF(K874="","",IF(ISNUMBER(--M874),TEXT(--M874,"000000000000.000"),LOWER(M874)))</f>
        <v/>
      </c>
      <c r="V874">
        <f>IF(K874="","",LOWER(N874))</f>
        <v/>
      </c>
      <c r="W874">
        <f>IF(K874="","",G374)</f>
        <v/>
      </c>
      <c r="X874">
        <f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>
      <c r="K875">
        <f>IF(H375="","",IF(SUMPRODUCT(--($C$2:$C$501=H375))&gt;0,"",H375))</f>
        <v/>
      </c>
      <c r="L875">
        <f>IF(K875="","",IF(ISNUMBER('List 2'!A375),'List 2'!A375,TRIM('List 2'!A375)))</f>
        <v/>
      </c>
      <c r="M875">
        <f>IF(K875="","",IF(ISNUMBER('List 2'!C375),'List 2'!C375,TRIM('List 2'!C375)))</f>
        <v/>
      </c>
      <c r="N875">
        <f>IF(K875="","",IF(ISNUMBER('List 2'!D375),'List 2'!D375,TRIM('List 2'!D375)))</f>
        <v/>
      </c>
      <c r="O875">
        <f>IF(K875="","",0)</f>
        <v/>
      </c>
      <c r="P875">
        <f>IF(K875="","",I375)</f>
        <v/>
      </c>
      <c r="Q875">
        <f>IF(K875="","",FALSE)</f>
        <v/>
      </c>
      <c r="R875">
        <f>IF(K875="","",TRUE)</f>
        <v/>
      </c>
      <c r="S875">
        <f>IF(K875="","",IF(AND(Q875,R875),IF(O875=P875,"Match","Qty Different"),IF(Q875,"Only in List 1","Only in List 2")))</f>
        <v/>
      </c>
      <c r="T875">
        <f>IF(K875="","",IF(ISNUMBER(--L875),TEXT(--L875,"000000000000.000"),LOWER(L875)))</f>
        <v/>
      </c>
      <c r="U875">
        <f>IF(K875="","",IF(ISNUMBER(--M875),TEXT(--M875,"000000000000.000"),LOWER(M875)))</f>
        <v/>
      </c>
      <c r="V875">
        <f>IF(K875="","",LOWER(N875))</f>
        <v/>
      </c>
      <c r="W875">
        <f>IF(K875="","",G375)</f>
        <v/>
      </c>
      <c r="X875">
        <f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>
      <c r="K876">
        <f>IF(H376="","",IF(SUMPRODUCT(--($C$2:$C$501=H376))&gt;0,"",H376))</f>
        <v/>
      </c>
      <c r="L876">
        <f>IF(K876="","",IF(ISNUMBER('List 2'!A376),'List 2'!A376,TRIM('List 2'!A376)))</f>
        <v/>
      </c>
      <c r="M876">
        <f>IF(K876="","",IF(ISNUMBER('List 2'!C376),'List 2'!C376,TRIM('List 2'!C376)))</f>
        <v/>
      </c>
      <c r="N876">
        <f>IF(K876="","",IF(ISNUMBER('List 2'!D376),'List 2'!D376,TRIM('List 2'!D376)))</f>
        <v/>
      </c>
      <c r="O876">
        <f>IF(K876="","",0)</f>
        <v/>
      </c>
      <c r="P876">
        <f>IF(K876="","",I376)</f>
        <v/>
      </c>
      <c r="Q876">
        <f>IF(K876="","",FALSE)</f>
        <v/>
      </c>
      <c r="R876">
        <f>IF(K876="","",TRUE)</f>
        <v/>
      </c>
      <c r="S876">
        <f>IF(K876="","",IF(AND(Q876,R876),IF(O876=P876,"Match","Qty Different"),IF(Q876,"Only in List 1","Only in List 2")))</f>
        <v/>
      </c>
      <c r="T876">
        <f>IF(K876="","",IF(ISNUMBER(--L876),TEXT(--L876,"000000000000.000"),LOWER(L876)))</f>
        <v/>
      </c>
      <c r="U876">
        <f>IF(K876="","",IF(ISNUMBER(--M876),TEXT(--M876,"000000000000.000"),LOWER(M876)))</f>
        <v/>
      </c>
      <c r="V876">
        <f>IF(K876="","",LOWER(N876))</f>
        <v/>
      </c>
      <c r="W876">
        <f>IF(K876="","",G376)</f>
        <v/>
      </c>
      <c r="X876">
        <f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>
      <c r="K877">
        <f>IF(H377="","",IF(SUMPRODUCT(--($C$2:$C$501=H377))&gt;0,"",H377))</f>
        <v/>
      </c>
      <c r="L877">
        <f>IF(K877="","",IF(ISNUMBER('List 2'!A377),'List 2'!A377,TRIM('List 2'!A377)))</f>
        <v/>
      </c>
      <c r="M877">
        <f>IF(K877="","",IF(ISNUMBER('List 2'!C377),'List 2'!C377,TRIM('List 2'!C377)))</f>
        <v/>
      </c>
      <c r="N877">
        <f>IF(K877="","",IF(ISNUMBER('List 2'!D377),'List 2'!D377,TRIM('List 2'!D377)))</f>
        <v/>
      </c>
      <c r="O877">
        <f>IF(K877="","",0)</f>
        <v/>
      </c>
      <c r="P877">
        <f>IF(K877="","",I377)</f>
        <v/>
      </c>
      <c r="Q877">
        <f>IF(K877="","",FALSE)</f>
        <v/>
      </c>
      <c r="R877">
        <f>IF(K877="","",TRUE)</f>
        <v/>
      </c>
      <c r="S877">
        <f>IF(K877="","",IF(AND(Q877,R877),IF(O877=P877,"Match","Qty Different"),IF(Q877,"Only in List 1","Only in List 2")))</f>
        <v/>
      </c>
      <c r="T877">
        <f>IF(K877="","",IF(ISNUMBER(--L877),TEXT(--L877,"000000000000.000"),LOWER(L877)))</f>
        <v/>
      </c>
      <c r="U877">
        <f>IF(K877="","",IF(ISNUMBER(--M877),TEXT(--M877,"000000000000.000"),LOWER(M877)))</f>
        <v/>
      </c>
      <c r="V877">
        <f>IF(K877="","",LOWER(N877))</f>
        <v/>
      </c>
      <c r="W877">
        <f>IF(K877="","",G377)</f>
        <v/>
      </c>
      <c r="X877">
        <f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>
      <c r="K878">
        <f>IF(H378="","",IF(SUMPRODUCT(--($C$2:$C$501=H378))&gt;0,"",H378))</f>
        <v/>
      </c>
      <c r="L878">
        <f>IF(K878="","",IF(ISNUMBER('List 2'!A378),'List 2'!A378,TRIM('List 2'!A378)))</f>
        <v/>
      </c>
      <c r="M878">
        <f>IF(K878="","",IF(ISNUMBER('List 2'!C378),'List 2'!C378,TRIM('List 2'!C378)))</f>
        <v/>
      </c>
      <c r="N878">
        <f>IF(K878="","",IF(ISNUMBER('List 2'!D378),'List 2'!D378,TRIM('List 2'!D378)))</f>
        <v/>
      </c>
      <c r="O878">
        <f>IF(K878="","",0)</f>
        <v/>
      </c>
      <c r="P878">
        <f>IF(K878="","",I378)</f>
        <v/>
      </c>
      <c r="Q878">
        <f>IF(K878="","",FALSE)</f>
        <v/>
      </c>
      <c r="R878">
        <f>IF(K878="","",TRUE)</f>
        <v/>
      </c>
      <c r="S878">
        <f>IF(K878="","",IF(AND(Q878,R878),IF(O878=P878,"Match","Qty Different"),IF(Q878,"Only in List 1","Only in List 2")))</f>
        <v/>
      </c>
      <c r="T878">
        <f>IF(K878="","",IF(ISNUMBER(--L878),TEXT(--L878,"000000000000.000"),LOWER(L878)))</f>
        <v/>
      </c>
      <c r="U878">
        <f>IF(K878="","",IF(ISNUMBER(--M878),TEXT(--M878,"000000000000.000"),LOWER(M878)))</f>
        <v/>
      </c>
      <c r="V878">
        <f>IF(K878="","",LOWER(N878))</f>
        <v/>
      </c>
      <c r="W878">
        <f>IF(K878="","",G378)</f>
        <v/>
      </c>
      <c r="X878">
        <f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>
      <c r="K879">
        <f>IF(H379="","",IF(SUMPRODUCT(--($C$2:$C$501=H379))&gt;0,"",H379))</f>
        <v/>
      </c>
      <c r="L879">
        <f>IF(K879="","",IF(ISNUMBER('List 2'!A379),'List 2'!A379,TRIM('List 2'!A379)))</f>
        <v/>
      </c>
      <c r="M879">
        <f>IF(K879="","",IF(ISNUMBER('List 2'!C379),'List 2'!C379,TRIM('List 2'!C379)))</f>
        <v/>
      </c>
      <c r="N879">
        <f>IF(K879="","",IF(ISNUMBER('List 2'!D379),'List 2'!D379,TRIM('List 2'!D379)))</f>
        <v/>
      </c>
      <c r="O879">
        <f>IF(K879="","",0)</f>
        <v/>
      </c>
      <c r="P879">
        <f>IF(K879="","",I379)</f>
        <v/>
      </c>
      <c r="Q879">
        <f>IF(K879="","",FALSE)</f>
        <v/>
      </c>
      <c r="R879">
        <f>IF(K879="","",TRUE)</f>
        <v/>
      </c>
      <c r="S879">
        <f>IF(K879="","",IF(AND(Q879,R879),IF(O879=P879,"Match","Qty Different"),IF(Q879,"Only in List 1","Only in List 2")))</f>
        <v/>
      </c>
      <c r="T879">
        <f>IF(K879="","",IF(ISNUMBER(--L879),TEXT(--L879,"000000000000.000"),LOWER(L879)))</f>
        <v/>
      </c>
      <c r="U879">
        <f>IF(K879="","",IF(ISNUMBER(--M879),TEXT(--M879,"000000000000.000"),LOWER(M879)))</f>
        <v/>
      </c>
      <c r="V879">
        <f>IF(K879="","",LOWER(N879))</f>
        <v/>
      </c>
      <c r="W879">
        <f>IF(K879="","",G379)</f>
        <v/>
      </c>
      <c r="X879">
        <f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>
      <c r="K880">
        <f>IF(H380="","",IF(SUMPRODUCT(--($C$2:$C$501=H380))&gt;0,"",H380))</f>
        <v/>
      </c>
      <c r="L880">
        <f>IF(K880="","",IF(ISNUMBER('List 2'!A380),'List 2'!A380,TRIM('List 2'!A380)))</f>
        <v/>
      </c>
      <c r="M880">
        <f>IF(K880="","",IF(ISNUMBER('List 2'!C380),'List 2'!C380,TRIM('List 2'!C380)))</f>
        <v/>
      </c>
      <c r="N880">
        <f>IF(K880="","",IF(ISNUMBER('List 2'!D380),'List 2'!D380,TRIM('List 2'!D380)))</f>
        <v/>
      </c>
      <c r="O880">
        <f>IF(K880="","",0)</f>
        <v/>
      </c>
      <c r="P880">
        <f>IF(K880="","",I380)</f>
        <v/>
      </c>
      <c r="Q880">
        <f>IF(K880="","",FALSE)</f>
        <v/>
      </c>
      <c r="R880">
        <f>IF(K880="","",TRUE)</f>
        <v/>
      </c>
      <c r="S880">
        <f>IF(K880="","",IF(AND(Q880,R880),IF(O880=P880,"Match","Qty Different"),IF(Q880,"Only in List 1","Only in List 2")))</f>
        <v/>
      </c>
      <c r="T880">
        <f>IF(K880="","",IF(ISNUMBER(--L880),TEXT(--L880,"000000000000.000"),LOWER(L880)))</f>
        <v/>
      </c>
      <c r="U880">
        <f>IF(K880="","",IF(ISNUMBER(--M880),TEXT(--M880,"000000000000.000"),LOWER(M880)))</f>
        <v/>
      </c>
      <c r="V880">
        <f>IF(K880="","",LOWER(N880))</f>
        <v/>
      </c>
      <c r="W880">
        <f>IF(K880="","",G380)</f>
        <v/>
      </c>
      <c r="X880">
        <f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>
      <c r="K881">
        <f>IF(H381="","",IF(SUMPRODUCT(--($C$2:$C$501=H381))&gt;0,"",H381))</f>
        <v/>
      </c>
      <c r="L881">
        <f>IF(K881="","",IF(ISNUMBER('List 2'!A381),'List 2'!A381,TRIM('List 2'!A381)))</f>
        <v/>
      </c>
      <c r="M881">
        <f>IF(K881="","",IF(ISNUMBER('List 2'!C381),'List 2'!C381,TRIM('List 2'!C381)))</f>
        <v/>
      </c>
      <c r="N881">
        <f>IF(K881="","",IF(ISNUMBER('List 2'!D381),'List 2'!D381,TRIM('List 2'!D381)))</f>
        <v/>
      </c>
      <c r="O881">
        <f>IF(K881="","",0)</f>
        <v/>
      </c>
      <c r="P881">
        <f>IF(K881="","",I381)</f>
        <v/>
      </c>
      <c r="Q881">
        <f>IF(K881="","",FALSE)</f>
        <v/>
      </c>
      <c r="R881">
        <f>IF(K881="","",TRUE)</f>
        <v/>
      </c>
      <c r="S881">
        <f>IF(K881="","",IF(AND(Q881,R881),IF(O881=P881,"Match","Qty Different"),IF(Q881,"Only in List 1","Only in List 2")))</f>
        <v/>
      </c>
      <c r="T881">
        <f>IF(K881="","",IF(ISNUMBER(--L881),TEXT(--L881,"000000000000.000"),LOWER(L881)))</f>
        <v/>
      </c>
      <c r="U881">
        <f>IF(K881="","",IF(ISNUMBER(--M881),TEXT(--M881,"000000000000.000"),LOWER(M881)))</f>
        <v/>
      </c>
      <c r="V881">
        <f>IF(K881="","",LOWER(N881))</f>
        <v/>
      </c>
      <c r="W881">
        <f>IF(K881="","",G381)</f>
        <v/>
      </c>
      <c r="X881">
        <f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>
      <c r="K882">
        <f>IF(H382="","",IF(SUMPRODUCT(--($C$2:$C$501=H382))&gt;0,"",H382))</f>
        <v/>
      </c>
      <c r="L882">
        <f>IF(K882="","",IF(ISNUMBER('List 2'!A382),'List 2'!A382,TRIM('List 2'!A382)))</f>
        <v/>
      </c>
      <c r="M882">
        <f>IF(K882="","",IF(ISNUMBER('List 2'!C382),'List 2'!C382,TRIM('List 2'!C382)))</f>
        <v/>
      </c>
      <c r="N882">
        <f>IF(K882="","",IF(ISNUMBER('List 2'!D382),'List 2'!D382,TRIM('List 2'!D382)))</f>
        <v/>
      </c>
      <c r="O882">
        <f>IF(K882="","",0)</f>
        <v/>
      </c>
      <c r="P882">
        <f>IF(K882="","",I382)</f>
        <v/>
      </c>
      <c r="Q882">
        <f>IF(K882="","",FALSE)</f>
        <v/>
      </c>
      <c r="R882">
        <f>IF(K882="","",TRUE)</f>
        <v/>
      </c>
      <c r="S882">
        <f>IF(K882="","",IF(AND(Q882,R882),IF(O882=P882,"Match","Qty Different"),IF(Q882,"Only in List 1","Only in List 2")))</f>
        <v/>
      </c>
      <c r="T882">
        <f>IF(K882="","",IF(ISNUMBER(--L882),TEXT(--L882,"000000000000.000"),LOWER(L882)))</f>
        <v/>
      </c>
      <c r="U882">
        <f>IF(K882="","",IF(ISNUMBER(--M882),TEXT(--M882,"000000000000.000"),LOWER(M882)))</f>
        <v/>
      </c>
      <c r="V882">
        <f>IF(K882="","",LOWER(N882))</f>
        <v/>
      </c>
      <c r="W882">
        <f>IF(K882="","",G382)</f>
        <v/>
      </c>
      <c r="X882">
        <f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>
      <c r="K883">
        <f>IF(H383="","",IF(SUMPRODUCT(--($C$2:$C$501=H383))&gt;0,"",H383))</f>
        <v/>
      </c>
      <c r="L883">
        <f>IF(K883="","",IF(ISNUMBER('List 2'!A383),'List 2'!A383,TRIM('List 2'!A383)))</f>
        <v/>
      </c>
      <c r="M883">
        <f>IF(K883="","",IF(ISNUMBER('List 2'!C383),'List 2'!C383,TRIM('List 2'!C383)))</f>
        <v/>
      </c>
      <c r="N883">
        <f>IF(K883="","",IF(ISNUMBER('List 2'!D383),'List 2'!D383,TRIM('List 2'!D383)))</f>
        <v/>
      </c>
      <c r="O883">
        <f>IF(K883="","",0)</f>
        <v/>
      </c>
      <c r="P883">
        <f>IF(K883="","",I383)</f>
        <v/>
      </c>
      <c r="Q883">
        <f>IF(K883="","",FALSE)</f>
        <v/>
      </c>
      <c r="R883">
        <f>IF(K883="","",TRUE)</f>
        <v/>
      </c>
      <c r="S883">
        <f>IF(K883="","",IF(AND(Q883,R883),IF(O883=P883,"Match","Qty Different"),IF(Q883,"Only in List 1","Only in List 2")))</f>
        <v/>
      </c>
      <c r="T883">
        <f>IF(K883="","",IF(ISNUMBER(--L883),TEXT(--L883,"000000000000.000"),LOWER(L883)))</f>
        <v/>
      </c>
      <c r="U883">
        <f>IF(K883="","",IF(ISNUMBER(--M883),TEXT(--M883,"000000000000.000"),LOWER(M883)))</f>
        <v/>
      </c>
      <c r="V883">
        <f>IF(K883="","",LOWER(N883))</f>
        <v/>
      </c>
      <c r="W883">
        <f>IF(K883="","",G383)</f>
        <v/>
      </c>
      <c r="X883">
        <f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>
      <c r="K884">
        <f>IF(H384="","",IF(SUMPRODUCT(--($C$2:$C$501=H384))&gt;0,"",H384))</f>
        <v/>
      </c>
      <c r="L884">
        <f>IF(K884="","",IF(ISNUMBER('List 2'!A384),'List 2'!A384,TRIM('List 2'!A384)))</f>
        <v/>
      </c>
      <c r="M884">
        <f>IF(K884="","",IF(ISNUMBER('List 2'!C384),'List 2'!C384,TRIM('List 2'!C384)))</f>
        <v/>
      </c>
      <c r="N884">
        <f>IF(K884="","",IF(ISNUMBER('List 2'!D384),'List 2'!D384,TRIM('List 2'!D384)))</f>
        <v/>
      </c>
      <c r="O884">
        <f>IF(K884="","",0)</f>
        <v/>
      </c>
      <c r="P884">
        <f>IF(K884="","",I384)</f>
        <v/>
      </c>
      <c r="Q884">
        <f>IF(K884="","",FALSE)</f>
        <v/>
      </c>
      <c r="R884">
        <f>IF(K884="","",TRUE)</f>
        <v/>
      </c>
      <c r="S884">
        <f>IF(K884="","",IF(AND(Q884,R884),IF(O884=P884,"Match","Qty Different"),IF(Q884,"Only in List 1","Only in List 2")))</f>
        <v/>
      </c>
      <c r="T884">
        <f>IF(K884="","",IF(ISNUMBER(--L884),TEXT(--L884,"000000000000.000"),LOWER(L884)))</f>
        <v/>
      </c>
      <c r="U884">
        <f>IF(K884="","",IF(ISNUMBER(--M884),TEXT(--M884,"000000000000.000"),LOWER(M884)))</f>
        <v/>
      </c>
      <c r="V884">
        <f>IF(K884="","",LOWER(N884))</f>
        <v/>
      </c>
      <c r="W884">
        <f>IF(K884="","",G384)</f>
        <v/>
      </c>
      <c r="X884">
        <f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>
      <c r="K885">
        <f>IF(H385="","",IF(SUMPRODUCT(--($C$2:$C$501=H385))&gt;0,"",H385))</f>
        <v/>
      </c>
      <c r="L885">
        <f>IF(K885="","",IF(ISNUMBER('List 2'!A385),'List 2'!A385,TRIM('List 2'!A385)))</f>
        <v/>
      </c>
      <c r="M885">
        <f>IF(K885="","",IF(ISNUMBER('List 2'!C385),'List 2'!C385,TRIM('List 2'!C385)))</f>
        <v/>
      </c>
      <c r="N885">
        <f>IF(K885="","",IF(ISNUMBER('List 2'!D385),'List 2'!D385,TRIM('List 2'!D385)))</f>
        <v/>
      </c>
      <c r="O885">
        <f>IF(K885="","",0)</f>
        <v/>
      </c>
      <c r="P885">
        <f>IF(K885="","",I385)</f>
        <v/>
      </c>
      <c r="Q885">
        <f>IF(K885="","",FALSE)</f>
        <v/>
      </c>
      <c r="R885">
        <f>IF(K885="","",TRUE)</f>
        <v/>
      </c>
      <c r="S885">
        <f>IF(K885="","",IF(AND(Q885,R885),IF(O885=P885,"Match","Qty Different"),IF(Q885,"Only in List 1","Only in List 2")))</f>
        <v/>
      </c>
      <c r="T885">
        <f>IF(K885="","",IF(ISNUMBER(--L885),TEXT(--L885,"000000000000.000"),LOWER(L885)))</f>
        <v/>
      </c>
      <c r="U885">
        <f>IF(K885="","",IF(ISNUMBER(--M885),TEXT(--M885,"000000000000.000"),LOWER(M885)))</f>
        <v/>
      </c>
      <c r="V885">
        <f>IF(K885="","",LOWER(N885))</f>
        <v/>
      </c>
      <c r="W885">
        <f>IF(K885="","",G385)</f>
        <v/>
      </c>
      <c r="X885">
        <f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>
      <c r="K886">
        <f>IF(H386="","",IF(SUMPRODUCT(--($C$2:$C$501=H386))&gt;0,"",H386))</f>
        <v/>
      </c>
      <c r="L886">
        <f>IF(K886="","",IF(ISNUMBER('List 2'!A386),'List 2'!A386,TRIM('List 2'!A386)))</f>
        <v/>
      </c>
      <c r="M886">
        <f>IF(K886="","",IF(ISNUMBER('List 2'!C386),'List 2'!C386,TRIM('List 2'!C386)))</f>
        <v/>
      </c>
      <c r="N886">
        <f>IF(K886="","",IF(ISNUMBER('List 2'!D386),'List 2'!D386,TRIM('List 2'!D386)))</f>
        <v/>
      </c>
      <c r="O886">
        <f>IF(K886="","",0)</f>
        <v/>
      </c>
      <c r="P886">
        <f>IF(K886="","",I386)</f>
        <v/>
      </c>
      <c r="Q886">
        <f>IF(K886="","",FALSE)</f>
        <v/>
      </c>
      <c r="R886">
        <f>IF(K886="","",TRUE)</f>
        <v/>
      </c>
      <c r="S886">
        <f>IF(K886="","",IF(AND(Q886,R886),IF(O886=P886,"Match","Qty Different"),IF(Q886,"Only in List 1","Only in List 2")))</f>
        <v/>
      </c>
      <c r="T886">
        <f>IF(K886="","",IF(ISNUMBER(--L886),TEXT(--L886,"000000000000.000"),LOWER(L886)))</f>
        <v/>
      </c>
      <c r="U886">
        <f>IF(K886="","",IF(ISNUMBER(--M886),TEXT(--M886,"000000000000.000"),LOWER(M886)))</f>
        <v/>
      </c>
      <c r="V886">
        <f>IF(K886="","",LOWER(N886))</f>
        <v/>
      </c>
      <c r="W886">
        <f>IF(K886="","",G386)</f>
        <v/>
      </c>
      <c r="X886">
        <f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>
      <c r="K887">
        <f>IF(H387="","",IF(SUMPRODUCT(--($C$2:$C$501=H387))&gt;0,"",H387))</f>
        <v/>
      </c>
      <c r="L887">
        <f>IF(K887="","",IF(ISNUMBER('List 2'!A387),'List 2'!A387,TRIM('List 2'!A387)))</f>
        <v/>
      </c>
      <c r="M887">
        <f>IF(K887="","",IF(ISNUMBER('List 2'!C387),'List 2'!C387,TRIM('List 2'!C387)))</f>
        <v/>
      </c>
      <c r="N887">
        <f>IF(K887="","",IF(ISNUMBER('List 2'!D387),'List 2'!D387,TRIM('List 2'!D387)))</f>
        <v/>
      </c>
      <c r="O887">
        <f>IF(K887="","",0)</f>
        <v/>
      </c>
      <c r="P887">
        <f>IF(K887="","",I387)</f>
        <v/>
      </c>
      <c r="Q887">
        <f>IF(K887="","",FALSE)</f>
        <v/>
      </c>
      <c r="R887">
        <f>IF(K887="","",TRUE)</f>
        <v/>
      </c>
      <c r="S887">
        <f>IF(K887="","",IF(AND(Q887,R887),IF(O887=P887,"Match","Qty Different"),IF(Q887,"Only in List 1","Only in List 2")))</f>
        <v/>
      </c>
      <c r="T887">
        <f>IF(K887="","",IF(ISNUMBER(--L887),TEXT(--L887,"000000000000.000"),LOWER(L887)))</f>
        <v/>
      </c>
      <c r="U887">
        <f>IF(K887="","",IF(ISNUMBER(--M887),TEXT(--M887,"000000000000.000"),LOWER(M887)))</f>
        <v/>
      </c>
      <c r="V887">
        <f>IF(K887="","",LOWER(N887))</f>
        <v/>
      </c>
      <c r="W887">
        <f>IF(K887="","",G387)</f>
        <v/>
      </c>
      <c r="X887">
        <f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>
      <c r="K888">
        <f>IF(H388="","",IF(SUMPRODUCT(--($C$2:$C$501=H388))&gt;0,"",H388))</f>
        <v/>
      </c>
      <c r="L888">
        <f>IF(K888="","",IF(ISNUMBER('List 2'!A388),'List 2'!A388,TRIM('List 2'!A388)))</f>
        <v/>
      </c>
      <c r="M888">
        <f>IF(K888="","",IF(ISNUMBER('List 2'!C388),'List 2'!C388,TRIM('List 2'!C388)))</f>
        <v/>
      </c>
      <c r="N888">
        <f>IF(K888="","",IF(ISNUMBER('List 2'!D388),'List 2'!D388,TRIM('List 2'!D388)))</f>
        <v/>
      </c>
      <c r="O888">
        <f>IF(K888="","",0)</f>
        <v/>
      </c>
      <c r="P888">
        <f>IF(K888="","",I388)</f>
        <v/>
      </c>
      <c r="Q888">
        <f>IF(K888="","",FALSE)</f>
        <v/>
      </c>
      <c r="R888">
        <f>IF(K888="","",TRUE)</f>
        <v/>
      </c>
      <c r="S888">
        <f>IF(K888="","",IF(AND(Q888,R888),IF(O888=P888,"Match","Qty Different"),IF(Q888,"Only in List 1","Only in List 2")))</f>
        <v/>
      </c>
      <c r="T888">
        <f>IF(K888="","",IF(ISNUMBER(--L888),TEXT(--L888,"000000000000.000"),LOWER(L888)))</f>
        <v/>
      </c>
      <c r="U888">
        <f>IF(K888="","",IF(ISNUMBER(--M888),TEXT(--M888,"000000000000.000"),LOWER(M888)))</f>
        <v/>
      </c>
      <c r="V888">
        <f>IF(K888="","",LOWER(N888))</f>
        <v/>
      </c>
      <c r="W888">
        <f>IF(K888="","",G388)</f>
        <v/>
      </c>
      <c r="X888">
        <f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>
      <c r="K889">
        <f>IF(H389="","",IF(SUMPRODUCT(--($C$2:$C$501=H389))&gt;0,"",H389))</f>
        <v/>
      </c>
      <c r="L889">
        <f>IF(K889="","",IF(ISNUMBER('List 2'!A389),'List 2'!A389,TRIM('List 2'!A389)))</f>
        <v/>
      </c>
      <c r="M889">
        <f>IF(K889="","",IF(ISNUMBER('List 2'!C389),'List 2'!C389,TRIM('List 2'!C389)))</f>
        <v/>
      </c>
      <c r="N889">
        <f>IF(K889="","",IF(ISNUMBER('List 2'!D389),'List 2'!D389,TRIM('List 2'!D389)))</f>
        <v/>
      </c>
      <c r="O889">
        <f>IF(K889="","",0)</f>
        <v/>
      </c>
      <c r="P889">
        <f>IF(K889="","",I389)</f>
        <v/>
      </c>
      <c r="Q889">
        <f>IF(K889="","",FALSE)</f>
        <v/>
      </c>
      <c r="R889">
        <f>IF(K889="","",TRUE)</f>
        <v/>
      </c>
      <c r="S889">
        <f>IF(K889="","",IF(AND(Q889,R889),IF(O889=P889,"Match","Qty Different"),IF(Q889,"Only in List 1","Only in List 2")))</f>
        <v/>
      </c>
      <c r="T889">
        <f>IF(K889="","",IF(ISNUMBER(--L889),TEXT(--L889,"000000000000.000"),LOWER(L889)))</f>
        <v/>
      </c>
      <c r="U889">
        <f>IF(K889="","",IF(ISNUMBER(--M889),TEXT(--M889,"000000000000.000"),LOWER(M889)))</f>
        <v/>
      </c>
      <c r="V889">
        <f>IF(K889="","",LOWER(N889))</f>
        <v/>
      </c>
      <c r="W889">
        <f>IF(K889="","",G389)</f>
        <v/>
      </c>
      <c r="X889">
        <f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>
      <c r="K890">
        <f>IF(H390="","",IF(SUMPRODUCT(--($C$2:$C$501=H390))&gt;0,"",H390))</f>
        <v/>
      </c>
      <c r="L890">
        <f>IF(K890="","",IF(ISNUMBER('List 2'!A390),'List 2'!A390,TRIM('List 2'!A390)))</f>
        <v/>
      </c>
      <c r="M890">
        <f>IF(K890="","",IF(ISNUMBER('List 2'!C390),'List 2'!C390,TRIM('List 2'!C390)))</f>
        <v/>
      </c>
      <c r="N890">
        <f>IF(K890="","",IF(ISNUMBER('List 2'!D390),'List 2'!D390,TRIM('List 2'!D390)))</f>
        <v/>
      </c>
      <c r="O890">
        <f>IF(K890="","",0)</f>
        <v/>
      </c>
      <c r="P890">
        <f>IF(K890="","",I390)</f>
        <v/>
      </c>
      <c r="Q890">
        <f>IF(K890="","",FALSE)</f>
        <v/>
      </c>
      <c r="R890">
        <f>IF(K890="","",TRUE)</f>
        <v/>
      </c>
      <c r="S890">
        <f>IF(K890="","",IF(AND(Q890,R890),IF(O890=P890,"Match","Qty Different"),IF(Q890,"Only in List 1","Only in List 2")))</f>
        <v/>
      </c>
      <c r="T890">
        <f>IF(K890="","",IF(ISNUMBER(--L890),TEXT(--L890,"000000000000.000"),LOWER(L890)))</f>
        <v/>
      </c>
      <c r="U890">
        <f>IF(K890="","",IF(ISNUMBER(--M890),TEXT(--M890,"000000000000.000"),LOWER(M890)))</f>
        <v/>
      </c>
      <c r="V890">
        <f>IF(K890="","",LOWER(N890))</f>
        <v/>
      </c>
      <c r="W890">
        <f>IF(K890="","",G390)</f>
        <v/>
      </c>
      <c r="X890">
        <f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>
      <c r="K891">
        <f>IF(H391="","",IF(SUMPRODUCT(--($C$2:$C$501=H391))&gt;0,"",H391))</f>
        <v/>
      </c>
      <c r="L891">
        <f>IF(K891="","",IF(ISNUMBER('List 2'!A391),'List 2'!A391,TRIM('List 2'!A391)))</f>
        <v/>
      </c>
      <c r="M891">
        <f>IF(K891="","",IF(ISNUMBER('List 2'!C391),'List 2'!C391,TRIM('List 2'!C391)))</f>
        <v/>
      </c>
      <c r="N891">
        <f>IF(K891="","",IF(ISNUMBER('List 2'!D391),'List 2'!D391,TRIM('List 2'!D391)))</f>
        <v/>
      </c>
      <c r="O891">
        <f>IF(K891="","",0)</f>
        <v/>
      </c>
      <c r="P891">
        <f>IF(K891="","",I391)</f>
        <v/>
      </c>
      <c r="Q891">
        <f>IF(K891="","",FALSE)</f>
        <v/>
      </c>
      <c r="R891">
        <f>IF(K891="","",TRUE)</f>
        <v/>
      </c>
      <c r="S891">
        <f>IF(K891="","",IF(AND(Q891,R891),IF(O891=P891,"Match","Qty Different"),IF(Q891,"Only in List 1","Only in List 2")))</f>
        <v/>
      </c>
      <c r="T891">
        <f>IF(K891="","",IF(ISNUMBER(--L891),TEXT(--L891,"000000000000.000"),LOWER(L891)))</f>
        <v/>
      </c>
      <c r="U891">
        <f>IF(K891="","",IF(ISNUMBER(--M891),TEXT(--M891,"000000000000.000"),LOWER(M891)))</f>
        <v/>
      </c>
      <c r="V891">
        <f>IF(K891="","",LOWER(N891))</f>
        <v/>
      </c>
      <c r="W891">
        <f>IF(K891="","",G391)</f>
        <v/>
      </c>
      <c r="X891">
        <f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>
      <c r="K892">
        <f>IF(H392="","",IF(SUMPRODUCT(--($C$2:$C$501=H392))&gt;0,"",H392))</f>
        <v/>
      </c>
      <c r="L892">
        <f>IF(K892="","",IF(ISNUMBER('List 2'!A392),'List 2'!A392,TRIM('List 2'!A392)))</f>
        <v/>
      </c>
      <c r="M892">
        <f>IF(K892="","",IF(ISNUMBER('List 2'!C392),'List 2'!C392,TRIM('List 2'!C392)))</f>
        <v/>
      </c>
      <c r="N892">
        <f>IF(K892="","",IF(ISNUMBER('List 2'!D392),'List 2'!D392,TRIM('List 2'!D392)))</f>
        <v/>
      </c>
      <c r="O892">
        <f>IF(K892="","",0)</f>
        <v/>
      </c>
      <c r="P892">
        <f>IF(K892="","",I392)</f>
        <v/>
      </c>
      <c r="Q892">
        <f>IF(K892="","",FALSE)</f>
        <v/>
      </c>
      <c r="R892">
        <f>IF(K892="","",TRUE)</f>
        <v/>
      </c>
      <c r="S892">
        <f>IF(K892="","",IF(AND(Q892,R892),IF(O892=P892,"Match","Qty Different"),IF(Q892,"Only in List 1","Only in List 2")))</f>
        <v/>
      </c>
      <c r="T892">
        <f>IF(K892="","",IF(ISNUMBER(--L892),TEXT(--L892,"000000000000.000"),LOWER(L892)))</f>
        <v/>
      </c>
      <c r="U892">
        <f>IF(K892="","",IF(ISNUMBER(--M892),TEXT(--M892,"000000000000.000"),LOWER(M892)))</f>
        <v/>
      </c>
      <c r="V892">
        <f>IF(K892="","",LOWER(N892))</f>
        <v/>
      </c>
      <c r="W892">
        <f>IF(K892="","",G392)</f>
        <v/>
      </c>
      <c r="X892">
        <f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>
      <c r="K893">
        <f>IF(H393="","",IF(SUMPRODUCT(--($C$2:$C$501=H393))&gt;0,"",H393))</f>
        <v/>
      </c>
      <c r="L893">
        <f>IF(K893="","",IF(ISNUMBER('List 2'!A393),'List 2'!A393,TRIM('List 2'!A393)))</f>
        <v/>
      </c>
      <c r="M893">
        <f>IF(K893="","",IF(ISNUMBER('List 2'!C393),'List 2'!C393,TRIM('List 2'!C393)))</f>
        <v/>
      </c>
      <c r="N893">
        <f>IF(K893="","",IF(ISNUMBER('List 2'!D393),'List 2'!D393,TRIM('List 2'!D393)))</f>
        <v/>
      </c>
      <c r="O893">
        <f>IF(K893="","",0)</f>
        <v/>
      </c>
      <c r="P893">
        <f>IF(K893="","",I393)</f>
        <v/>
      </c>
      <c r="Q893">
        <f>IF(K893="","",FALSE)</f>
        <v/>
      </c>
      <c r="R893">
        <f>IF(K893="","",TRUE)</f>
        <v/>
      </c>
      <c r="S893">
        <f>IF(K893="","",IF(AND(Q893,R893),IF(O893=P893,"Match","Qty Different"),IF(Q893,"Only in List 1","Only in List 2")))</f>
        <v/>
      </c>
      <c r="T893">
        <f>IF(K893="","",IF(ISNUMBER(--L893),TEXT(--L893,"000000000000.000"),LOWER(L893)))</f>
        <v/>
      </c>
      <c r="U893">
        <f>IF(K893="","",IF(ISNUMBER(--M893),TEXT(--M893,"000000000000.000"),LOWER(M893)))</f>
        <v/>
      </c>
      <c r="V893">
        <f>IF(K893="","",LOWER(N893))</f>
        <v/>
      </c>
      <c r="W893">
        <f>IF(K893="","",G393)</f>
        <v/>
      </c>
      <c r="X893">
        <f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>
      <c r="K894">
        <f>IF(H394="","",IF(SUMPRODUCT(--($C$2:$C$501=H394))&gt;0,"",H394))</f>
        <v/>
      </c>
      <c r="L894">
        <f>IF(K894="","",IF(ISNUMBER('List 2'!A394),'List 2'!A394,TRIM('List 2'!A394)))</f>
        <v/>
      </c>
      <c r="M894">
        <f>IF(K894="","",IF(ISNUMBER('List 2'!C394),'List 2'!C394,TRIM('List 2'!C394)))</f>
        <v/>
      </c>
      <c r="N894">
        <f>IF(K894="","",IF(ISNUMBER('List 2'!D394),'List 2'!D394,TRIM('List 2'!D394)))</f>
        <v/>
      </c>
      <c r="O894">
        <f>IF(K894="","",0)</f>
        <v/>
      </c>
      <c r="P894">
        <f>IF(K894="","",I394)</f>
        <v/>
      </c>
      <c r="Q894">
        <f>IF(K894="","",FALSE)</f>
        <v/>
      </c>
      <c r="R894">
        <f>IF(K894="","",TRUE)</f>
        <v/>
      </c>
      <c r="S894">
        <f>IF(K894="","",IF(AND(Q894,R894),IF(O894=P894,"Match","Qty Different"),IF(Q894,"Only in List 1","Only in List 2")))</f>
        <v/>
      </c>
      <c r="T894">
        <f>IF(K894="","",IF(ISNUMBER(--L894),TEXT(--L894,"000000000000.000"),LOWER(L894)))</f>
        <v/>
      </c>
      <c r="U894">
        <f>IF(K894="","",IF(ISNUMBER(--M894),TEXT(--M894,"000000000000.000"),LOWER(M894)))</f>
        <v/>
      </c>
      <c r="V894">
        <f>IF(K894="","",LOWER(N894))</f>
        <v/>
      </c>
      <c r="W894">
        <f>IF(K894="","",G394)</f>
        <v/>
      </c>
      <c r="X894">
        <f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>
      <c r="K895">
        <f>IF(H395="","",IF(SUMPRODUCT(--($C$2:$C$501=H395))&gt;0,"",H395))</f>
        <v/>
      </c>
      <c r="L895">
        <f>IF(K895="","",IF(ISNUMBER('List 2'!A395),'List 2'!A395,TRIM('List 2'!A395)))</f>
        <v/>
      </c>
      <c r="M895">
        <f>IF(K895="","",IF(ISNUMBER('List 2'!C395),'List 2'!C395,TRIM('List 2'!C395)))</f>
        <v/>
      </c>
      <c r="N895">
        <f>IF(K895="","",IF(ISNUMBER('List 2'!D395),'List 2'!D395,TRIM('List 2'!D395)))</f>
        <v/>
      </c>
      <c r="O895">
        <f>IF(K895="","",0)</f>
        <v/>
      </c>
      <c r="P895">
        <f>IF(K895="","",I395)</f>
        <v/>
      </c>
      <c r="Q895">
        <f>IF(K895="","",FALSE)</f>
        <v/>
      </c>
      <c r="R895">
        <f>IF(K895="","",TRUE)</f>
        <v/>
      </c>
      <c r="S895">
        <f>IF(K895="","",IF(AND(Q895,R895),IF(O895=P895,"Match","Qty Different"),IF(Q895,"Only in List 1","Only in List 2")))</f>
        <v/>
      </c>
      <c r="T895">
        <f>IF(K895="","",IF(ISNUMBER(--L895),TEXT(--L895,"000000000000.000"),LOWER(L895)))</f>
        <v/>
      </c>
      <c r="U895">
        <f>IF(K895="","",IF(ISNUMBER(--M895),TEXT(--M895,"000000000000.000"),LOWER(M895)))</f>
        <v/>
      </c>
      <c r="V895">
        <f>IF(K895="","",LOWER(N895))</f>
        <v/>
      </c>
      <c r="W895">
        <f>IF(K895="","",G395)</f>
        <v/>
      </c>
      <c r="X895">
        <f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>
      <c r="K896">
        <f>IF(H396="","",IF(SUMPRODUCT(--($C$2:$C$501=H396))&gt;0,"",H396))</f>
        <v/>
      </c>
      <c r="L896">
        <f>IF(K896="","",IF(ISNUMBER('List 2'!A396),'List 2'!A396,TRIM('List 2'!A396)))</f>
        <v/>
      </c>
      <c r="M896">
        <f>IF(K896="","",IF(ISNUMBER('List 2'!C396),'List 2'!C396,TRIM('List 2'!C396)))</f>
        <v/>
      </c>
      <c r="N896">
        <f>IF(K896="","",IF(ISNUMBER('List 2'!D396),'List 2'!D396,TRIM('List 2'!D396)))</f>
        <v/>
      </c>
      <c r="O896">
        <f>IF(K896="","",0)</f>
        <v/>
      </c>
      <c r="P896">
        <f>IF(K896="","",I396)</f>
        <v/>
      </c>
      <c r="Q896">
        <f>IF(K896="","",FALSE)</f>
        <v/>
      </c>
      <c r="R896">
        <f>IF(K896="","",TRUE)</f>
        <v/>
      </c>
      <c r="S896">
        <f>IF(K896="","",IF(AND(Q896,R896),IF(O896=P896,"Match","Qty Different"),IF(Q896,"Only in List 1","Only in List 2")))</f>
        <v/>
      </c>
      <c r="T896">
        <f>IF(K896="","",IF(ISNUMBER(--L896),TEXT(--L896,"000000000000.000"),LOWER(L896)))</f>
        <v/>
      </c>
      <c r="U896">
        <f>IF(K896="","",IF(ISNUMBER(--M896),TEXT(--M896,"000000000000.000"),LOWER(M896)))</f>
        <v/>
      </c>
      <c r="V896">
        <f>IF(K896="","",LOWER(N896))</f>
        <v/>
      </c>
      <c r="W896">
        <f>IF(K896="","",G396)</f>
        <v/>
      </c>
      <c r="X896">
        <f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>
      <c r="K897">
        <f>IF(H397="","",IF(SUMPRODUCT(--($C$2:$C$501=H397))&gt;0,"",H397))</f>
        <v/>
      </c>
      <c r="L897">
        <f>IF(K897="","",IF(ISNUMBER('List 2'!A397),'List 2'!A397,TRIM('List 2'!A397)))</f>
        <v/>
      </c>
      <c r="M897">
        <f>IF(K897="","",IF(ISNUMBER('List 2'!C397),'List 2'!C397,TRIM('List 2'!C397)))</f>
        <v/>
      </c>
      <c r="N897">
        <f>IF(K897="","",IF(ISNUMBER('List 2'!D397),'List 2'!D397,TRIM('List 2'!D397)))</f>
        <v/>
      </c>
      <c r="O897">
        <f>IF(K897="","",0)</f>
        <v/>
      </c>
      <c r="P897">
        <f>IF(K897="","",I397)</f>
        <v/>
      </c>
      <c r="Q897">
        <f>IF(K897="","",FALSE)</f>
        <v/>
      </c>
      <c r="R897">
        <f>IF(K897="","",TRUE)</f>
        <v/>
      </c>
      <c r="S897">
        <f>IF(K897="","",IF(AND(Q897,R897),IF(O897=P897,"Match","Qty Different"),IF(Q897,"Only in List 1","Only in List 2")))</f>
        <v/>
      </c>
      <c r="T897">
        <f>IF(K897="","",IF(ISNUMBER(--L897),TEXT(--L897,"000000000000.000"),LOWER(L897)))</f>
        <v/>
      </c>
      <c r="U897">
        <f>IF(K897="","",IF(ISNUMBER(--M897),TEXT(--M897,"000000000000.000"),LOWER(M897)))</f>
        <v/>
      </c>
      <c r="V897">
        <f>IF(K897="","",LOWER(N897))</f>
        <v/>
      </c>
      <c r="W897">
        <f>IF(K897="","",G397)</f>
        <v/>
      </c>
      <c r="X897">
        <f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>
      <c r="K898">
        <f>IF(H398="","",IF(SUMPRODUCT(--($C$2:$C$501=H398))&gt;0,"",H398))</f>
        <v/>
      </c>
      <c r="L898">
        <f>IF(K898="","",IF(ISNUMBER('List 2'!A398),'List 2'!A398,TRIM('List 2'!A398)))</f>
        <v/>
      </c>
      <c r="M898">
        <f>IF(K898="","",IF(ISNUMBER('List 2'!C398),'List 2'!C398,TRIM('List 2'!C398)))</f>
        <v/>
      </c>
      <c r="N898">
        <f>IF(K898="","",IF(ISNUMBER('List 2'!D398),'List 2'!D398,TRIM('List 2'!D398)))</f>
        <v/>
      </c>
      <c r="O898">
        <f>IF(K898="","",0)</f>
        <v/>
      </c>
      <c r="P898">
        <f>IF(K898="","",I398)</f>
        <v/>
      </c>
      <c r="Q898">
        <f>IF(K898="","",FALSE)</f>
        <v/>
      </c>
      <c r="R898">
        <f>IF(K898="","",TRUE)</f>
        <v/>
      </c>
      <c r="S898">
        <f>IF(K898="","",IF(AND(Q898,R898),IF(O898=P898,"Match","Qty Different"),IF(Q898,"Only in List 1","Only in List 2")))</f>
        <v/>
      </c>
      <c r="T898">
        <f>IF(K898="","",IF(ISNUMBER(--L898),TEXT(--L898,"000000000000.000"),LOWER(L898)))</f>
        <v/>
      </c>
      <c r="U898">
        <f>IF(K898="","",IF(ISNUMBER(--M898),TEXT(--M898,"000000000000.000"),LOWER(M898)))</f>
        <v/>
      </c>
      <c r="V898">
        <f>IF(K898="","",LOWER(N898))</f>
        <v/>
      </c>
      <c r="W898">
        <f>IF(K898="","",G398)</f>
        <v/>
      </c>
      <c r="X898">
        <f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>
      <c r="K899">
        <f>IF(H399="","",IF(SUMPRODUCT(--($C$2:$C$501=H399))&gt;0,"",H399))</f>
        <v/>
      </c>
      <c r="L899">
        <f>IF(K899="","",IF(ISNUMBER('List 2'!A399),'List 2'!A399,TRIM('List 2'!A399)))</f>
        <v/>
      </c>
      <c r="M899">
        <f>IF(K899="","",IF(ISNUMBER('List 2'!C399),'List 2'!C399,TRIM('List 2'!C399)))</f>
        <v/>
      </c>
      <c r="N899">
        <f>IF(K899="","",IF(ISNUMBER('List 2'!D399),'List 2'!D399,TRIM('List 2'!D399)))</f>
        <v/>
      </c>
      <c r="O899">
        <f>IF(K899="","",0)</f>
        <v/>
      </c>
      <c r="P899">
        <f>IF(K899="","",I399)</f>
        <v/>
      </c>
      <c r="Q899">
        <f>IF(K899="","",FALSE)</f>
        <v/>
      </c>
      <c r="R899">
        <f>IF(K899="","",TRUE)</f>
        <v/>
      </c>
      <c r="S899">
        <f>IF(K899="","",IF(AND(Q899,R899),IF(O899=P899,"Match","Qty Different"),IF(Q899,"Only in List 1","Only in List 2")))</f>
        <v/>
      </c>
      <c r="T899">
        <f>IF(K899="","",IF(ISNUMBER(--L899),TEXT(--L899,"000000000000.000"),LOWER(L899)))</f>
        <v/>
      </c>
      <c r="U899">
        <f>IF(K899="","",IF(ISNUMBER(--M899),TEXT(--M899,"000000000000.000"),LOWER(M899)))</f>
        <v/>
      </c>
      <c r="V899">
        <f>IF(K899="","",LOWER(N899))</f>
        <v/>
      </c>
      <c r="W899">
        <f>IF(K899="","",G399)</f>
        <v/>
      </c>
      <c r="X899">
        <f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>
      <c r="K900">
        <f>IF(H400="","",IF(SUMPRODUCT(--($C$2:$C$501=H400))&gt;0,"",H400))</f>
        <v/>
      </c>
      <c r="L900">
        <f>IF(K900="","",IF(ISNUMBER('List 2'!A400),'List 2'!A400,TRIM('List 2'!A400)))</f>
        <v/>
      </c>
      <c r="M900">
        <f>IF(K900="","",IF(ISNUMBER('List 2'!C400),'List 2'!C400,TRIM('List 2'!C400)))</f>
        <v/>
      </c>
      <c r="N900">
        <f>IF(K900="","",IF(ISNUMBER('List 2'!D400),'List 2'!D400,TRIM('List 2'!D400)))</f>
        <v/>
      </c>
      <c r="O900">
        <f>IF(K900="","",0)</f>
        <v/>
      </c>
      <c r="P900">
        <f>IF(K900="","",I400)</f>
        <v/>
      </c>
      <c r="Q900">
        <f>IF(K900="","",FALSE)</f>
        <v/>
      </c>
      <c r="R900">
        <f>IF(K900="","",TRUE)</f>
        <v/>
      </c>
      <c r="S900">
        <f>IF(K900="","",IF(AND(Q900,R900),IF(O900=P900,"Match","Qty Different"),IF(Q900,"Only in List 1","Only in List 2")))</f>
        <v/>
      </c>
      <c r="T900">
        <f>IF(K900="","",IF(ISNUMBER(--L900),TEXT(--L900,"000000000000.000"),LOWER(L900)))</f>
        <v/>
      </c>
      <c r="U900">
        <f>IF(K900="","",IF(ISNUMBER(--M900),TEXT(--M900,"000000000000.000"),LOWER(M900)))</f>
        <v/>
      </c>
      <c r="V900">
        <f>IF(K900="","",LOWER(N900))</f>
        <v/>
      </c>
      <c r="W900">
        <f>IF(K900="","",G400)</f>
        <v/>
      </c>
      <c r="X900">
        <f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>
      <c r="K901">
        <f>IF(H401="","",IF(SUMPRODUCT(--($C$2:$C$501=H401))&gt;0,"",H401))</f>
        <v/>
      </c>
      <c r="L901">
        <f>IF(K901="","",IF(ISNUMBER('List 2'!A401),'List 2'!A401,TRIM('List 2'!A401)))</f>
        <v/>
      </c>
      <c r="M901">
        <f>IF(K901="","",IF(ISNUMBER('List 2'!C401),'List 2'!C401,TRIM('List 2'!C401)))</f>
        <v/>
      </c>
      <c r="N901">
        <f>IF(K901="","",IF(ISNUMBER('List 2'!D401),'List 2'!D401,TRIM('List 2'!D401)))</f>
        <v/>
      </c>
      <c r="O901">
        <f>IF(K901="","",0)</f>
        <v/>
      </c>
      <c r="P901">
        <f>IF(K901="","",I401)</f>
        <v/>
      </c>
      <c r="Q901">
        <f>IF(K901="","",FALSE)</f>
        <v/>
      </c>
      <c r="R901">
        <f>IF(K901="","",TRUE)</f>
        <v/>
      </c>
      <c r="S901">
        <f>IF(K901="","",IF(AND(Q901,R901),IF(O901=P901,"Match","Qty Different"),IF(Q901,"Only in List 1","Only in List 2")))</f>
        <v/>
      </c>
      <c r="T901">
        <f>IF(K901="","",IF(ISNUMBER(--L901),TEXT(--L901,"000000000000.000"),LOWER(L901)))</f>
        <v/>
      </c>
      <c r="U901">
        <f>IF(K901="","",IF(ISNUMBER(--M901),TEXT(--M901,"000000000000.000"),LOWER(M901)))</f>
        <v/>
      </c>
      <c r="V901">
        <f>IF(K901="","",LOWER(N901))</f>
        <v/>
      </c>
      <c r="W901">
        <f>IF(K901="","",G401)</f>
        <v/>
      </c>
      <c r="X901">
        <f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>
      <c r="K902">
        <f>IF(H402="","",IF(SUMPRODUCT(--($C$2:$C$501=H402))&gt;0,"",H402))</f>
        <v/>
      </c>
      <c r="L902">
        <f>IF(K902="","",IF(ISNUMBER('List 2'!A402),'List 2'!A402,TRIM('List 2'!A402)))</f>
        <v/>
      </c>
      <c r="M902">
        <f>IF(K902="","",IF(ISNUMBER('List 2'!C402),'List 2'!C402,TRIM('List 2'!C402)))</f>
        <v/>
      </c>
      <c r="N902">
        <f>IF(K902="","",IF(ISNUMBER('List 2'!D402),'List 2'!D402,TRIM('List 2'!D402)))</f>
        <v/>
      </c>
      <c r="O902">
        <f>IF(K902="","",0)</f>
        <v/>
      </c>
      <c r="P902">
        <f>IF(K902="","",I402)</f>
        <v/>
      </c>
      <c r="Q902">
        <f>IF(K902="","",FALSE)</f>
        <v/>
      </c>
      <c r="R902">
        <f>IF(K902="","",TRUE)</f>
        <v/>
      </c>
      <c r="S902">
        <f>IF(K902="","",IF(AND(Q902,R902),IF(O902=P902,"Match","Qty Different"),IF(Q902,"Only in List 1","Only in List 2")))</f>
        <v/>
      </c>
      <c r="T902">
        <f>IF(K902="","",IF(ISNUMBER(--L902),TEXT(--L902,"000000000000.000"),LOWER(L902)))</f>
        <v/>
      </c>
      <c r="U902">
        <f>IF(K902="","",IF(ISNUMBER(--M902),TEXT(--M902,"000000000000.000"),LOWER(M902)))</f>
        <v/>
      </c>
      <c r="V902">
        <f>IF(K902="","",LOWER(N902))</f>
        <v/>
      </c>
      <c r="W902">
        <f>IF(K902="","",G402)</f>
        <v/>
      </c>
      <c r="X902">
        <f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>
      <c r="K903">
        <f>IF(H403="","",IF(SUMPRODUCT(--($C$2:$C$501=H403))&gt;0,"",H403))</f>
        <v/>
      </c>
      <c r="L903">
        <f>IF(K903="","",IF(ISNUMBER('List 2'!A403),'List 2'!A403,TRIM('List 2'!A403)))</f>
        <v/>
      </c>
      <c r="M903">
        <f>IF(K903="","",IF(ISNUMBER('List 2'!C403),'List 2'!C403,TRIM('List 2'!C403)))</f>
        <v/>
      </c>
      <c r="N903">
        <f>IF(K903="","",IF(ISNUMBER('List 2'!D403),'List 2'!D403,TRIM('List 2'!D403)))</f>
        <v/>
      </c>
      <c r="O903">
        <f>IF(K903="","",0)</f>
        <v/>
      </c>
      <c r="P903">
        <f>IF(K903="","",I403)</f>
        <v/>
      </c>
      <c r="Q903">
        <f>IF(K903="","",FALSE)</f>
        <v/>
      </c>
      <c r="R903">
        <f>IF(K903="","",TRUE)</f>
        <v/>
      </c>
      <c r="S903">
        <f>IF(K903="","",IF(AND(Q903,R903),IF(O903=P903,"Match","Qty Different"),IF(Q903,"Only in List 1","Only in List 2")))</f>
        <v/>
      </c>
      <c r="T903">
        <f>IF(K903="","",IF(ISNUMBER(--L903),TEXT(--L903,"000000000000.000"),LOWER(L903)))</f>
        <v/>
      </c>
      <c r="U903">
        <f>IF(K903="","",IF(ISNUMBER(--M903),TEXT(--M903,"000000000000.000"),LOWER(M903)))</f>
        <v/>
      </c>
      <c r="V903">
        <f>IF(K903="","",LOWER(N903))</f>
        <v/>
      </c>
      <c r="W903">
        <f>IF(K903="","",G403)</f>
        <v/>
      </c>
      <c r="X903">
        <f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>
      <c r="K904">
        <f>IF(H404="","",IF(SUMPRODUCT(--($C$2:$C$501=H404))&gt;0,"",H404))</f>
        <v/>
      </c>
      <c r="L904">
        <f>IF(K904="","",IF(ISNUMBER('List 2'!A404),'List 2'!A404,TRIM('List 2'!A404)))</f>
        <v/>
      </c>
      <c r="M904">
        <f>IF(K904="","",IF(ISNUMBER('List 2'!C404),'List 2'!C404,TRIM('List 2'!C404)))</f>
        <v/>
      </c>
      <c r="N904">
        <f>IF(K904="","",IF(ISNUMBER('List 2'!D404),'List 2'!D404,TRIM('List 2'!D404)))</f>
        <v/>
      </c>
      <c r="O904">
        <f>IF(K904="","",0)</f>
        <v/>
      </c>
      <c r="P904">
        <f>IF(K904="","",I404)</f>
        <v/>
      </c>
      <c r="Q904">
        <f>IF(K904="","",FALSE)</f>
        <v/>
      </c>
      <c r="R904">
        <f>IF(K904="","",TRUE)</f>
        <v/>
      </c>
      <c r="S904">
        <f>IF(K904="","",IF(AND(Q904,R904),IF(O904=P904,"Match","Qty Different"),IF(Q904,"Only in List 1","Only in List 2")))</f>
        <v/>
      </c>
      <c r="T904">
        <f>IF(K904="","",IF(ISNUMBER(--L904),TEXT(--L904,"000000000000.000"),LOWER(L904)))</f>
        <v/>
      </c>
      <c r="U904">
        <f>IF(K904="","",IF(ISNUMBER(--M904),TEXT(--M904,"000000000000.000"),LOWER(M904)))</f>
        <v/>
      </c>
      <c r="V904">
        <f>IF(K904="","",LOWER(N904))</f>
        <v/>
      </c>
      <c r="W904">
        <f>IF(K904="","",G404)</f>
        <v/>
      </c>
      <c r="X904">
        <f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>
      <c r="K905">
        <f>IF(H405="","",IF(SUMPRODUCT(--($C$2:$C$501=H405))&gt;0,"",H405))</f>
        <v/>
      </c>
      <c r="L905">
        <f>IF(K905="","",IF(ISNUMBER('List 2'!A405),'List 2'!A405,TRIM('List 2'!A405)))</f>
        <v/>
      </c>
      <c r="M905">
        <f>IF(K905="","",IF(ISNUMBER('List 2'!C405),'List 2'!C405,TRIM('List 2'!C405)))</f>
        <v/>
      </c>
      <c r="N905">
        <f>IF(K905="","",IF(ISNUMBER('List 2'!D405),'List 2'!D405,TRIM('List 2'!D405)))</f>
        <v/>
      </c>
      <c r="O905">
        <f>IF(K905="","",0)</f>
        <v/>
      </c>
      <c r="P905">
        <f>IF(K905="","",I405)</f>
        <v/>
      </c>
      <c r="Q905">
        <f>IF(K905="","",FALSE)</f>
        <v/>
      </c>
      <c r="R905">
        <f>IF(K905="","",TRUE)</f>
        <v/>
      </c>
      <c r="S905">
        <f>IF(K905="","",IF(AND(Q905,R905),IF(O905=P905,"Match","Qty Different"),IF(Q905,"Only in List 1","Only in List 2")))</f>
        <v/>
      </c>
      <c r="T905">
        <f>IF(K905="","",IF(ISNUMBER(--L905),TEXT(--L905,"000000000000.000"),LOWER(L905)))</f>
        <v/>
      </c>
      <c r="U905">
        <f>IF(K905="","",IF(ISNUMBER(--M905),TEXT(--M905,"000000000000.000"),LOWER(M905)))</f>
        <v/>
      </c>
      <c r="V905">
        <f>IF(K905="","",LOWER(N905))</f>
        <v/>
      </c>
      <c r="W905">
        <f>IF(K905="","",G405)</f>
        <v/>
      </c>
      <c r="X905">
        <f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>
      <c r="K906">
        <f>IF(H406="","",IF(SUMPRODUCT(--($C$2:$C$501=H406))&gt;0,"",H406))</f>
        <v/>
      </c>
      <c r="L906">
        <f>IF(K906="","",IF(ISNUMBER('List 2'!A406),'List 2'!A406,TRIM('List 2'!A406)))</f>
        <v/>
      </c>
      <c r="M906">
        <f>IF(K906="","",IF(ISNUMBER('List 2'!C406),'List 2'!C406,TRIM('List 2'!C406)))</f>
        <v/>
      </c>
      <c r="N906">
        <f>IF(K906="","",IF(ISNUMBER('List 2'!D406),'List 2'!D406,TRIM('List 2'!D406)))</f>
        <v/>
      </c>
      <c r="O906">
        <f>IF(K906="","",0)</f>
        <v/>
      </c>
      <c r="P906">
        <f>IF(K906="","",I406)</f>
        <v/>
      </c>
      <c r="Q906">
        <f>IF(K906="","",FALSE)</f>
        <v/>
      </c>
      <c r="R906">
        <f>IF(K906="","",TRUE)</f>
        <v/>
      </c>
      <c r="S906">
        <f>IF(K906="","",IF(AND(Q906,R906),IF(O906=P906,"Match","Qty Different"),IF(Q906,"Only in List 1","Only in List 2")))</f>
        <v/>
      </c>
      <c r="T906">
        <f>IF(K906="","",IF(ISNUMBER(--L906),TEXT(--L906,"000000000000.000"),LOWER(L906)))</f>
        <v/>
      </c>
      <c r="U906">
        <f>IF(K906="","",IF(ISNUMBER(--M906),TEXT(--M906,"000000000000.000"),LOWER(M906)))</f>
        <v/>
      </c>
      <c r="V906">
        <f>IF(K906="","",LOWER(N906))</f>
        <v/>
      </c>
      <c r="W906">
        <f>IF(K906="","",G406)</f>
        <v/>
      </c>
      <c r="X906">
        <f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>
      <c r="K907">
        <f>IF(H407="","",IF(SUMPRODUCT(--($C$2:$C$501=H407))&gt;0,"",H407))</f>
        <v/>
      </c>
      <c r="L907">
        <f>IF(K907="","",IF(ISNUMBER('List 2'!A407),'List 2'!A407,TRIM('List 2'!A407)))</f>
        <v/>
      </c>
      <c r="M907">
        <f>IF(K907="","",IF(ISNUMBER('List 2'!C407),'List 2'!C407,TRIM('List 2'!C407)))</f>
        <v/>
      </c>
      <c r="N907">
        <f>IF(K907="","",IF(ISNUMBER('List 2'!D407),'List 2'!D407,TRIM('List 2'!D407)))</f>
        <v/>
      </c>
      <c r="O907">
        <f>IF(K907="","",0)</f>
        <v/>
      </c>
      <c r="P907">
        <f>IF(K907="","",I407)</f>
        <v/>
      </c>
      <c r="Q907">
        <f>IF(K907="","",FALSE)</f>
        <v/>
      </c>
      <c r="R907">
        <f>IF(K907="","",TRUE)</f>
        <v/>
      </c>
      <c r="S907">
        <f>IF(K907="","",IF(AND(Q907,R907),IF(O907=P907,"Match","Qty Different"),IF(Q907,"Only in List 1","Only in List 2")))</f>
        <v/>
      </c>
      <c r="T907">
        <f>IF(K907="","",IF(ISNUMBER(--L907),TEXT(--L907,"000000000000.000"),LOWER(L907)))</f>
        <v/>
      </c>
      <c r="U907">
        <f>IF(K907="","",IF(ISNUMBER(--M907),TEXT(--M907,"000000000000.000"),LOWER(M907)))</f>
        <v/>
      </c>
      <c r="V907">
        <f>IF(K907="","",LOWER(N907))</f>
        <v/>
      </c>
      <c r="W907">
        <f>IF(K907="","",G407)</f>
        <v/>
      </c>
      <c r="X907">
        <f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>
      <c r="K908">
        <f>IF(H408="","",IF(SUMPRODUCT(--($C$2:$C$501=H408))&gt;0,"",H408))</f>
        <v/>
      </c>
      <c r="L908">
        <f>IF(K908="","",IF(ISNUMBER('List 2'!A408),'List 2'!A408,TRIM('List 2'!A408)))</f>
        <v/>
      </c>
      <c r="M908">
        <f>IF(K908="","",IF(ISNUMBER('List 2'!C408),'List 2'!C408,TRIM('List 2'!C408)))</f>
        <v/>
      </c>
      <c r="N908">
        <f>IF(K908="","",IF(ISNUMBER('List 2'!D408),'List 2'!D408,TRIM('List 2'!D408)))</f>
        <v/>
      </c>
      <c r="O908">
        <f>IF(K908="","",0)</f>
        <v/>
      </c>
      <c r="P908">
        <f>IF(K908="","",I408)</f>
        <v/>
      </c>
      <c r="Q908">
        <f>IF(K908="","",FALSE)</f>
        <v/>
      </c>
      <c r="R908">
        <f>IF(K908="","",TRUE)</f>
        <v/>
      </c>
      <c r="S908">
        <f>IF(K908="","",IF(AND(Q908,R908),IF(O908=P908,"Match","Qty Different"),IF(Q908,"Only in List 1","Only in List 2")))</f>
        <v/>
      </c>
      <c r="T908">
        <f>IF(K908="","",IF(ISNUMBER(--L908),TEXT(--L908,"000000000000.000"),LOWER(L908)))</f>
        <v/>
      </c>
      <c r="U908">
        <f>IF(K908="","",IF(ISNUMBER(--M908),TEXT(--M908,"000000000000.000"),LOWER(M908)))</f>
        <v/>
      </c>
      <c r="V908">
        <f>IF(K908="","",LOWER(N908))</f>
        <v/>
      </c>
      <c r="W908">
        <f>IF(K908="","",G408)</f>
        <v/>
      </c>
      <c r="X908">
        <f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>
      <c r="K909">
        <f>IF(H409="","",IF(SUMPRODUCT(--($C$2:$C$501=H409))&gt;0,"",H409))</f>
        <v/>
      </c>
      <c r="L909">
        <f>IF(K909="","",IF(ISNUMBER('List 2'!A409),'List 2'!A409,TRIM('List 2'!A409)))</f>
        <v/>
      </c>
      <c r="M909">
        <f>IF(K909="","",IF(ISNUMBER('List 2'!C409),'List 2'!C409,TRIM('List 2'!C409)))</f>
        <v/>
      </c>
      <c r="N909">
        <f>IF(K909="","",IF(ISNUMBER('List 2'!D409),'List 2'!D409,TRIM('List 2'!D409)))</f>
        <v/>
      </c>
      <c r="O909">
        <f>IF(K909="","",0)</f>
        <v/>
      </c>
      <c r="P909">
        <f>IF(K909="","",I409)</f>
        <v/>
      </c>
      <c r="Q909">
        <f>IF(K909="","",FALSE)</f>
        <v/>
      </c>
      <c r="R909">
        <f>IF(K909="","",TRUE)</f>
        <v/>
      </c>
      <c r="S909">
        <f>IF(K909="","",IF(AND(Q909,R909),IF(O909=P909,"Match","Qty Different"),IF(Q909,"Only in List 1","Only in List 2")))</f>
        <v/>
      </c>
      <c r="T909">
        <f>IF(K909="","",IF(ISNUMBER(--L909),TEXT(--L909,"000000000000.000"),LOWER(L909)))</f>
        <v/>
      </c>
      <c r="U909">
        <f>IF(K909="","",IF(ISNUMBER(--M909),TEXT(--M909,"000000000000.000"),LOWER(M909)))</f>
        <v/>
      </c>
      <c r="V909">
        <f>IF(K909="","",LOWER(N909))</f>
        <v/>
      </c>
      <c r="W909">
        <f>IF(K909="","",G409)</f>
        <v/>
      </c>
      <c r="X909">
        <f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>
      <c r="K910">
        <f>IF(H410="","",IF(SUMPRODUCT(--($C$2:$C$501=H410))&gt;0,"",H410))</f>
        <v/>
      </c>
      <c r="L910">
        <f>IF(K910="","",IF(ISNUMBER('List 2'!A410),'List 2'!A410,TRIM('List 2'!A410)))</f>
        <v/>
      </c>
      <c r="M910">
        <f>IF(K910="","",IF(ISNUMBER('List 2'!C410),'List 2'!C410,TRIM('List 2'!C410)))</f>
        <v/>
      </c>
      <c r="N910">
        <f>IF(K910="","",IF(ISNUMBER('List 2'!D410),'List 2'!D410,TRIM('List 2'!D410)))</f>
        <v/>
      </c>
      <c r="O910">
        <f>IF(K910="","",0)</f>
        <v/>
      </c>
      <c r="P910">
        <f>IF(K910="","",I410)</f>
        <v/>
      </c>
      <c r="Q910">
        <f>IF(K910="","",FALSE)</f>
        <v/>
      </c>
      <c r="R910">
        <f>IF(K910="","",TRUE)</f>
        <v/>
      </c>
      <c r="S910">
        <f>IF(K910="","",IF(AND(Q910,R910),IF(O910=P910,"Match","Qty Different"),IF(Q910,"Only in List 1","Only in List 2")))</f>
        <v/>
      </c>
      <c r="T910">
        <f>IF(K910="","",IF(ISNUMBER(--L910),TEXT(--L910,"000000000000.000"),LOWER(L910)))</f>
        <v/>
      </c>
      <c r="U910">
        <f>IF(K910="","",IF(ISNUMBER(--M910),TEXT(--M910,"000000000000.000"),LOWER(M910)))</f>
        <v/>
      </c>
      <c r="V910">
        <f>IF(K910="","",LOWER(N910))</f>
        <v/>
      </c>
      <c r="W910">
        <f>IF(K910="","",G410)</f>
        <v/>
      </c>
      <c r="X910">
        <f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>
      <c r="K911">
        <f>IF(H411="","",IF(SUMPRODUCT(--($C$2:$C$501=H411))&gt;0,"",H411))</f>
        <v/>
      </c>
      <c r="L911">
        <f>IF(K911="","",IF(ISNUMBER('List 2'!A411),'List 2'!A411,TRIM('List 2'!A411)))</f>
        <v/>
      </c>
      <c r="M911">
        <f>IF(K911="","",IF(ISNUMBER('List 2'!C411),'List 2'!C411,TRIM('List 2'!C411)))</f>
        <v/>
      </c>
      <c r="N911">
        <f>IF(K911="","",IF(ISNUMBER('List 2'!D411),'List 2'!D411,TRIM('List 2'!D411)))</f>
        <v/>
      </c>
      <c r="O911">
        <f>IF(K911="","",0)</f>
        <v/>
      </c>
      <c r="P911">
        <f>IF(K911="","",I411)</f>
        <v/>
      </c>
      <c r="Q911">
        <f>IF(K911="","",FALSE)</f>
        <v/>
      </c>
      <c r="R911">
        <f>IF(K911="","",TRUE)</f>
        <v/>
      </c>
      <c r="S911">
        <f>IF(K911="","",IF(AND(Q911,R911),IF(O911=P911,"Match","Qty Different"),IF(Q911,"Only in List 1","Only in List 2")))</f>
        <v/>
      </c>
      <c r="T911">
        <f>IF(K911="","",IF(ISNUMBER(--L911),TEXT(--L911,"000000000000.000"),LOWER(L911)))</f>
        <v/>
      </c>
      <c r="U911">
        <f>IF(K911="","",IF(ISNUMBER(--M911),TEXT(--M911,"000000000000.000"),LOWER(M911)))</f>
        <v/>
      </c>
      <c r="V911">
        <f>IF(K911="","",LOWER(N911))</f>
        <v/>
      </c>
      <c r="W911">
        <f>IF(K911="","",G411)</f>
        <v/>
      </c>
      <c r="X911">
        <f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>
      <c r="K912">
        <f>IF(H412="","",IF(SUMPRODUCT(--($C$2:$C$501=H412))&gt;0,"",H412))</f>
        <v/>
      </c>
      <c r="L912">
        <f>IF(K912="","",IF(ISNUMBER('List 2'!A412),'List 2'!A412,TRIM('List 2'!A412)))</f>
        <v/>
      </c>
      <c r="M912">
        <f>IF(K912="","",IF(ISNUMBER('List 2'!C412),'List 2'!C412,TRIM('List 2'!C412)))</f>
        <v/>
      </c>
      <c r="N912">
        <f>IF(K912="","",IF(ISNUMBER('List 2'!D412),'List 2'!D412,TRIM('List 2'!D412)))</f>
        <v/>
      </c>
      <c r="O912">
        <f>IF(K912="","",0)</f>
        <v/>
      </c>
      <c r="P912">
        <f>IF(K912="","",I412)</f>
        <v/>
      </c>
      <c r="Q912">
        <f>IF(K912="","",FALSE)</f>
        <v/>
      </c>
      <c r="R912">
        <f>IF(K912="","",TRUE)</f>
        <v/>
      </c>
      <c r="S912">
        <f>IF(K912="","",IF(AND(Q912,R912),IF(O912=P912,"Match","Qty Different"),IF(Q912,"Only in List 1","Only in List 2")))</f>
        <v/>
      </c>
      <c r="T912">
        <f>IF(K912="","",IF(ISNUMBER(--L912),TEXT(--L912,"000000000000.000"),LOWER(L912)))</f>
        <v/>
      </c>
      <c r="U912">
        <f>IF(K912="","",IF(ISNUMBER(--M912),TEXT(--M912,"000000000000.000"),LOWER(M912)))</f>
        <v/>
      </c>
      <c r="V912">
        <f>IF(K912="","",LOWER(N912))</f>
        <v/>
      </c>
      <c r="W912">
        <f>IF(K912="","",G412)</f>
        <v/>
      </c>
      <c r="X912">
        <f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>
      <c r="K913">
        <f>IF(H413="","",IF(SUMPRODUCT(--($C$2:$C$501=H413))&gt;0,"",H413))</f>
        <v/>
      </c>
      <c r="L913">
        <f>IF(K913="","",IF(ISNUMBER('List 2'!A413),'List 2'!A413,TRIM('List 2'!A413)))</f>
        <v/>
      </c>
      <c r="M913">
        <f>IF(K913="","",IF(ISNUMBER('List 2'!C413),'List 2'!C413,TRIM('List 2'!C413)))</f>
        <v/>
      </c>
      <c r="N913">
        <f>IF(K913="","",IF(ISNUMBER('List 2'!D413),'List 2'!D413,TRIM('List 2'!D413)))</f>
        <v/>
      </c>
      <c r="O913">
        <f>IF(K913="","",0)</f>
        <v/>
      </c>
      <c r="P913">
        <f>IF(K913="","",I413)</f>
        <v/>
      </c>
      <c r="Q913">
        <f>IF(K913="","",FALSE)</f>
        <v/>
      </c>
      <c r="R913">
        <f>IF(K913="","",TRUE)</f>
        <v/>
      </c>
      <c r="S913">
        <f>IF(K913="","",IF(AND(Q913,R913),IF(O913=P913,"Match","Qty Different"),IF(Q913,"Only in List 1","Only in List 2")))</f>
        <v/>
      </c>
      <c r="T913">
        <f>IF(K913="","",IF(ISNUMBER(--L913),TEXT(--L913,"000000000000.000"),LOWER(L913)))</f>
        <v/>
      </c>
      <c r="U913">
        <f>IF(K913="","",IF(ISNUMBER(--M913),TEXT(--M913,"000000000000.000"),LOWER(M913)))</f>
        <v/>
      </c>
      <c r="V913">
        <f>IF(K913="","",LOWER(N913))</f>
        <v/>
      </c>
      <c r="W913">
        <f>IF(K913="","",G413)</f>
        <v/>
      </c>
      <c r="X913">
        <f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>
      <c r="K914">
        <f>IF(H414="","",IF(SUMPRODUCT(--($C$2:$C$501=H414))&gt;0,"",H414))</f>
        <v/>
      </c>
      <c r="L914">
        <f>IF(K914="","",IF(ISNUMBER('List 2'!A414),'List 2'!A414,TRIM('List 2'!A414)))</f>
        <v/>
      </c>
      <c r="M914">
        <f>IF(K914="","",IF(ISNUMBER('List 2'!C414),'List 2'!C414,TRIM('List 2'!C414)))</f>
        <v/>
      </c>
      <c r="N914">
        <f>IF(K914="","",IF(ISNUMBER('List 2'!D414),'List 2'!D414,TRIM('List 2'!D414)))</f>
        <v/>
      </c>
      <c r="O914">
        <f>IF(K914="","",0)</f>
        <v/>
      </c>
      <c r="P914">
        <f>IF(K914="","",I414)</f>
        <v/>
      </c>
      <c r="Q914">
        <f>IF(K914="","",FALSE)</f>
        <v/>
      </c>
      <c r="R914">
        <f>IF(K914="","",TRUE)</f>
        <v/>
      </c>
      <c r="S914">
        <f>IF(K914="","",IF(AND(Q914,R914),IF(O914=P914,"Match","Qty Different"),IF(Q914,"Only in List 1","Only in List 2")))</f>
        <v/>
      </c>
      <c r="T914">
        <f>IF(K914="","",IF(ISNUMBER(--L914),TEXT(--L914,"000000000000.000"),LOWER(L914)))</f>
        <v/>
      </c>
      <c r="U914">
        <f>IF(K914="","",IF(ISNUMBER(--M914),TEXT(--M914,"000000000000.000"),LOWER(M914)))</f>
        <v/>
      </c>
      <c r="V914">
        <f>IF(K914="","",LOWER(N914))</f>
        <v/>
      </c>
      <c r="W914">
        <f>IF(K914="","",G414)</f>
        <v/>
      </c>
      <c r="X914">
        <f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>
      <c r="K915">
        <f>IF(H415="","",IF(SUMPRODUCT(--($C$2:$C$501=H415))&gt;0,"",H415))</f>
        <v/>
      </c>
      <c r="L915">
        <f>IF(K915="","",IF(ISNUMBER('List 2'!A415),'List 2'!A415,TRIM('List 2'!A415)))</f>
        <v/>
      </c>
      <c r="M915">
        <f>IF(K915="","",IF(ISNUMBER('List 2'!C415),'List 2'!C415,TRIM('List 2'!C415)))</f>
        <v/>
      </c>
      <c r="N915">
        <f>IF(K915="","",IF(ISNUMBER('List 2'!D415),'List 2'!D415,TRIM('List 2'!D415)))</f>
        <v/>
      </c>
      <c r="O915">
        <f>IF(K915="","",0)</f>
        <v/>
      </c>
      <c r="P915">
        <f>IF(K915="","",I415)</f>
        <v/>
      </c>
      <c r="Q915">
        <f>IF(K915="","",FALSE)</f>
        <v/>
      </c>
      <c r="R915">
        <f>IF(K915="","",TRUE)</f>
        <v/>
      </c>
      <c r="S915">
        <f>IF(K915="","",IF(AND(Q915,R915),IF(O915=P915,"Match","Qty Different"),IF(Q915,"Only in List 1","Only in List 2")))</f>
        <v/>
      </c>
      <c r="T915">
        <f>IF(K915="","",IF(ISNUMBER(--L915),TEXT(--L915,"000000000000.000"),LOWER(L915)))</f>
        <v/>
      </c>
      <c r="U915">
        <f>IF(K915="","",IF(ISNUMBER(--M915),TEXT(--M915,"000000000000.000"),LOWER(M915)))</f>
        <v/>
      </c>
      <c r="V915">
        <f>IF(K915="","",LOWER(N915))</f>
        <v/>
      </c>
      <c r="W915">
        <f>IF(K915="","",G415)</f>
        <v/>
      </c>
      <c r="X915">
        <f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>
      <c r="K916">
        <f>IF(H416="","",IF(SUMPRODUCT(--($C$2:$C$501=H416))&gt;0,"",H416))</f>
        <v/>
      </c>
      <c r="L916">
        <f>IF(K916="","",IF(ISNUMBER('List 2'!A416),'List 2'!A416,TRIM('List 2'!A416)))</f>
        <v/>
      </c>
      <c r="M916">
        <f>IF(K916="","",IF(ISNUMBER('List 2'!C416),'List 2'!C416,TRIM('List 2'!C416)))</f>
        <v/>
      </c>
      <c r="N916">
        <f>IF(K916="","",IF(ISNUMBER('List 2'!D416),'List 2'!D416,TRIM('List 2'!D416)))</f>
        <v/>
      </c>
      <c r="O916">
        <f>IF(K916="","",0)</f>
        <v/>
      </c>
      <c r="P916">
        <f>IF(K916="","",I416)</f>
        <v/>
      </c>
      <c r="Q916">
        <f>IF(K916="","",FALSE)</f>
        <v/>
      </c>
      <c r="R916">
        <f>IF(K916="","",TRUE)</f>
        <v/>
      </c>
      <c r="S916">
        <f>IF(K916="","",IF(AND(Q916,R916),IF(O916=P916,"Match","Qty Different"),IF(Q916,"Only in List 1","Only in List 2")))</f>
        <v/>
      </c>
      <c r="T916">
        <f>IF(K916="","",IF(ISNUMBER(--L916),TEXT(--L916,"000000000000.000"),LOWER(L916)))</f>
        <v/>
      </c>
      <c r="U916">
        <f>IF(K916="","",IF(ISNUMBER(--M916),TEXT(--M916,"000000000000.000"),LOWER(M916)))</f>
        <v/>
      </c>
      <c r="V916">
        <f>IF(K916="","",LOWER(N916))</f>
        <v/>
      </c>
      <c r="W916">
        <f>IF(K916="","",G416)</f>
        <v/>
      </c>
      <c r="X916">
        <f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>
      <c r="K917">
        <f>IF(H417="","",IF(SUMPRODUCT(--($C$2:$C$501=H417))&gt;0,"",H417))</f>
        <v/>
      </c>
      <c r="L917">
        <f>IF(K917="","",IF(ISNUMBER('List 2'!A417),'List 2'!A417,TRIM('List 2'!A417)))</f>
        <v/>
      </c>
      <c r="M917">
        <f>IF(K917="","",IF(ISNUMBER('List 2'!C417),'List 2'!C417,TRIM('List 2'!C417)))</f>
        <v/>
      </c>
      <c r="N917">
        <f>IF(K917="","",IF(ISNUMBER('List 2'!D417),'List 2'!D417,TRIM('List 2'!D417)))</f>
        <v/>
      </c>
      <c r="O917">
        <f>IF(K917="","",0)</f>
        <v/>
      </c>
      <c r="P917">
        <f>IF(K917="","",I417)</f>
        <v/>
      </c>
      <c r="Q917">
        <f>IF(K917="","",FALSE)</f>
        <v/>
      </c>
      <c r="R917">
        <f>IF(K917="","",TRUE)</f>
        <v/>
      </c>
      <c r="S917">
        <f>IF(K917="","",IF(AND(Q917,R917),IF(O917=P917,"Match","Qty Different"),IF(Q917,"Only in List 1","Only in List 2")))</f>
        <v/>
      </c>
      <c r="T917">
        <f>IF(K917="","",IF(ISNUMBER(--L917),TEXT(--L917,"000000000000.000"),LOWER(L917)))</f>
        <v/>
      </c>
      <c r="U917">
        <f>IF(K917="","",IF(ISNUMBER(--M917),TEXT(--M917,"000000000000.000"),LOWER(M917)))</f>
        <v/>
      </c>
      <c r="V917">
        <f>IF(K917="","",LOWER(N917))</f>
        <v/>
      </c>
      <c r="W917">
        <f>IF(K917="","",G417)</f>
        <v/>
      </c>
      <c r="X917">
        <f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>
      <c r="K918">
        <f>IF(H418="","",IF(SUMPRODUCT(--($C$2:$C$501=H418))&gt;0,"",H418))</f>
        <v/>
      </c>
      <c r="L918">
        <f>IF(K918="","",IF(ISNUMBER('List 2'!A418),'List 2'!A418,TRIM('List 2'!A418)))</f>
        <v/>
      </c>
      <c r="M918">
        <f>IF(K918="","",IF(ISNUMBER('List 2'!C418),'List 2'!C418,TRIM('List 2'!C418)))</f>
        <v/>
      </c>
      <c r="N918">
        <f>IF(K918="","",IF(ISNUMBER('List 2'!D418),'List 2'!D418,TRIM('List 2'!D418)))</f>
        <v/>
      </c>
      <c r="O918">
        <f>IF(K918="","",0)</f>
        <v/>
      </c>
      <c r="P918">
        <f>IF(K918="","",I418)</f>
        <v/>
      </c>
      <c r="Q918">
        <f>IF(K918="","",FALSE)</f>
        <v/>
      </c>
      <c r="R918">
        <f>IF(K918="","",TRUE)</f>
        <v/>
      </c>
      <c r="S918">
        <f>IF(K918="","",IF(AND(Q918,R918),IF(O918=P918,"Match","Qty Different"),IF(Q918,"Only in List 1","Only in List 2")))</f>
        <v/>
      </c>
      <c r="T918">
        <f>IF(K918="","",IF(ISNUMBER(--L918),TEXT(--L918,"000000000000.000"),LOWER(L918)))</f>
        <v/>
      </c>
      <c r="U918">
        <f>IF(K918="","",IF(ISNUMBER(--M918),TEXT(--M918,"000000000000.000"),LOWER(M918)))</f>
        <v/>
      </c>
      <c r="V918">
        <f>IF(K918="","",LOWER(N918))</f>
        <v/>
      </c>
      <c r="W918">
        <f>IF(K918="","",G418)</f>
        <v/>
      </c>
      <c r="X918">
        <f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>
      <c r="K919">
        <f>IF(H419="","",IF(SUMPRODUCT(--($C$2:$C$501=H419))&gt;0,"",H419))</f>
        <v/>
      </c>
      <c r="L919">
        <f>IF(K919="","",IF(ISNUMBER('List 2'!A419),'List 2'!A419,TRIM('List 2'!A419)))</f>
        <v/>
      </c>
      <c r="M919">
        <f>IF(K919="","",IF(ISNUMBER('List 2'!C419),'List 2'!C419,TRIM('List 2'!C419)))</f>
        <v/>
      </c>
      <c r="N919">
        <f>IF(K919="","",IF(ISNUMBER('List 2'!D419),'List 2'!D419,TRIM('List 2'!D419)))</f>
        <v/>
      </c>
      <c r="O919">
        <f>IF(K919="","",0)</f>
        <v/>
      </c>
      <c r="P919">
        <f>IF(K919="","",I419)</f>
        <v/>
      </c>
      <c r="Q919">
        <f>IF(K919="","",FALSE)</f>
        <v/>
      </c>
      <c r="R919">
        <f>IF(K919="","",TRUE)</f>
        <v/>
      </c>
      <c r="S919">
        <f>IF(K919="","",IF(AND(Q919,R919),IF(O919=P919,"Match","Qty Different"),IF(Q919,"Only in List 1","Only in List 2")))</f>
        <v/>
      </c>
      <c r="T919">
        <f>IF(K919="","",IF(ISNUMBER(--L919),TEXT(--L919,"000000000000.000"),LOWER(L919)))</f>
        <v/>
      </c>
      <c r="U919">
        <f>IF(K919="","",IF(ISNUMBER(--M919),TEXT(--M919,"000000000000.000"),LOWER(M919)))</f>
        <v/>
      </c>
      <c r="V919">
        <f>IF(K919="","",LOWER(N919))</f>
        <v/>
      </c>
      <c r="W919">
        <f>IF(K919="","",G419)</f>
        <v/>
      </c>
      <c r="X919">
        <f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>
      <c r="K920">
        <f>IF(H420="","",IF(SUMPRODUCT(--($C$2:$C$501=H420))&gt;0,"",H420))</f>
        <v/>
      </c>
      <c r="L920">
        <f>IF(K920="","",IF(ISNUMBER('List 2'!A420),'List 2'!A420,TRIM('List 2'!A420)))</f>
        <v/>
      </c>
      <c r="M920">
        <f>IF(K920="","",IF(ISNUMBER('List 2'!C420),'List 2'!C420,TRIM('List 2'!C420)))</f>
        <v/>
      </c>
      <c r="N920">
        <f>IF(K920="","",IF(ISNUMBER('List 2'!D420),'List 2'!D420,TRIM('List 2'!D420)))</f>
        <v/>
      </c>
      <c r="O920">
        <f>IF(K920="","",0)</f>
        <v/>
      </c>
      <c r="P920">
        <f>IF(K920="","",I420)</f>
        <v/>
      </c>
      <c r="Q920">
        <f>IF(K920="","",FALSE)</f>
        <v/>
      </c>
      <c r="R920">
        <f>IF(K920="","",TRUE)</f>
        <v/>
      </c>
      <c r="S920">
        <f>IF(K920="","",IF(AND(Q920,R920),IF(O920=P920,"Match","Qty Different"),IF(Q920,"Only in List 1","Only in List 2")))</f>
        <v/>
      </c>
      <c r="T920">
        <f>IF(K920="","",IF(ISNUMBER(--L920),TEXT(--L920,"000000000000.000"),LOWER(L920)))</f>
        <v/>
      </c>
      <c r="U920">
        <f>IF(K920="","",IF(ISNUMBER(--M920),TEXT(--M920,"000000000000.000"),LOWER(M920)))</f>
        <v/>
      </c>
      <c r="V920">
        <f>IF(K920="","",LOWER(N920))</f>
        <v/>
      </c>
      <c r="W920">
        <f>IF(K920="","",G420)</f>
        <v/>
      </c>
      <c r="X920">
        <f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>
      <c r="K921">
        <f>IF(H421="","",IF(SUMPRODUCT(--($C$2:$C$501=H421))&gt;0,"",H421))</f>
        <v/>
      </c>
      <c r="L921">
        <f>IF(K921="","",IF(ISNUMBER('List 2'!A421),'List 2'!A421,TRIM('List 2'!A421)))</f>
        <v/>
      </c>
      <c r="M921">
        <f>IF(K921="","",IF(ISNUMBER('List 2'!C421),'List 2'!C421,TRIM('List 2'!C421)))</f>
        <v/>
      </c>
      <c r="N921">
        <f>IF(K921="","",IF(ISNUMBER('List 2'!D421),'List 2'!D421,TRIM('List 2'!D421)))</f>
        <v/>
      </c>
      <c r="O921">
        <f>IF(K921="","",0)</f>
        <v/>
      </c>
      <c r="P921">
        <f>IF(K921="","",I421)</f>
        <v/>
      </c>
      <c r="Q921">
        <f>IF(K921="","",FALSE)</f>
        <v/>
      </c>
      <c r="R921">
        <f>IF(K921="","",TRUE)</f>
        <v/>
      </c>
      <c r="S921">
        <f>IF(K921="","",IF(AND(Q921,R921),IF(O921=P921,"Match","Qty Different"),IF(Q921,"Only in List 1","Only in List 2")))</f>
        <v/>
      </c>
      <c r="T921">
        <f>IF(K921="","",IF(ISNUMBER(--L921),TEXT(--L921,"000000000000.000"),LOWER(L921)))</f>
        <v/>
      </c>
      <c r="U921">
        <f>IF(K921="","",IF(ISNUMBER(--M921),TEXT(--M921,"000000000000.000"),LOWER(M921)))</f>
        <v/>
      </c>
      <c r="V921">
        <f>IF(K921="","",LOWER(N921))</f>
        <v/>
      </c>
      <c r="W921">
        <f>IF(K921="","",G421)</f>
        <v/>
      </c>
      <c r="X921">
        <f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>
      <c r="K922">
        <f>IF(H422="","",IF(SUMPRODUCT(--($C$2:$C$501=H422))&gt;0,"",H422))</f>
        <v/>
      </c>
      <c r="L922">
        <f>IF(K922="","",IF(ISNUMBER('List 2'!A422),'List 2'!A422,TRIM('List 2'!A422)))</f>
        <v/>
      </c>
      <c r="M922">
        <f>IF(K922="","",IF(ISNUMBER('List 2'!C422),'List 2'!C422,TRIM('List 2'!C422)))</f>
        <v/>
      </c>
      <c r="N922">
        <f>IF(K922="","",IF(ISNUMBER('List 2'!D422),'List 2'!D422,TRIM('List 2'!D422)))</f>
        <v/>
      </c>
      <c r="O922">
        <f>IF(K922="","",0)</f>
        <v/>
      </c>
      <c r="P922">
        <f>IF(K922="","",I422)</f>
        <v/>
      </c>
      <c r="Q922">
        <f>IF(K922="","",FALSE)</f>
        <v/>
      </c>
      <c r="R922">
        <f>IF(K922="","",TRUE)</f>
        <v/>
      </c>
      <c r="S922">
        <f>IF(K922="","",IF(AND(Q922,R922),IF(O922=P922,"Match","Qty Different"),IF(Q922,"Only in List 1","Only in List 2")))</f>
        <v/>
      </c>
      <c r="T922">
        <f>IF(K922="","",IF(ISNUMBER(--L922),TEXT(--L922,"000000000000.000"),LOWER(L922)))</f>
        <v/>
      </c>
      <c r="U922">
        <f>IF(K922="","",IF(ISNUMBER(--M922),TEXT(--M922,"000000000000.000"),LOWER(M922)))</f>
        <v/>
      </c>
      <c r="V922">
        <f>IF(K922="","",LOWER(N922))</f>
        <v/>
      </c>
      <c r="W922">
        <f>IF(K922="","",G422)</f>
        <v/>
      </c>
      <c r="X922">
        <f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>
      <c r="K923">
        <f>IF(H423="","",IF(SUMPRODUCT(--($C$2:$C$501=H423))&gt;0,"",H423))</f>
        <v/>
      </c>
      <c r="L923">
        <f>IF(K923="","",IF(ISNUMBER('List 2'!A423),'List 2'!A423,TRIM('List 2'!A423)))</f>
        <v/>
      </c>
      <c r="M923">
        <f>IF(K923="","",IF(ISNUMBER('List 2'!C423),'List 2'!C423,TRIM('List 2'!C423)))</f>
        <v/>
      </c>
      <c r="N923">
        <f>IF(K923="","",IF(ISNUMBER('List 2'!D423),'List 2'!D423,TRIM('List 2'!D423)))</f>
        <v/>
      </c>
      <c r="O923">
        <f>IF(K923="","",0)</f>
        <v/>
      </c>
      <c r="P923">
        <f>IF(K923="","",I423)</f>
        <v/>
      </c>
      <c r="Q923">
        <f>IF(K923="","",FALSE)</f>
        <v/>
      </c>
      <c r="R923">
        <f>IF(K923="","",TRUE)</f>
        <v/>
      </c>
      <c r="S923">
        <f>IF(K923="","",IF(AND(Q923,R923),IF(O923=P923,"Match","Qty Different"),IF(Q923,"Only in List 1","Only in List 2")))</f>
        <v/>
      </c>
      <c r="T923">
        <f>IF(K923="","",IF(ISNUMBER(--L923),TEXT(--L923,"000000000000.000"),LOWER(L923)))</f>
        <v/>
      </c>
      <c r="U923">
        <f>IF(K923="","",IF(ISNUMBER(--M923),TEXT(--M923,"000000000000.000"),LOWER(M923)))</f>
        <v/>
      </c>
      <c r="V923">
        <f>IF(K923="","",LOWER(N923))</f>
        <v/>
      </c>
      <c r="W923">
        <f>IF(K923="","",G423)</f>
        <v/>
      </c>
      <c r="X923">
        <f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>
      <c r="K924">
        <f>IF(H424="","",IF(SUMPRODUCT(--($C$2:$C$501=H424))&gt;0,"",H424))</f>
        <v/>
      </c>
      <c r="L924">
        <f>IF(K924="","",IF(ISNUMBER('List 2'!A424),'List 2'!A424,TRIM('List 2'!A424)))</f>
        <v/>
      </c>
      <c r="M924">
        <f>IF(K924="","",IF(ISNUMBER('List 2'!C424),'List 2'!C424,TRIM('List 2'!C424)))</f>
        <v/>
      </c>
      <c r="N924">
        <f>IF(K924="","",IF(ISNUMBER('List 2'!D424),'List 2'!D424,TRIM('List 2'!D424)))</f>
        <v/>
      </c>
      <c r="O924">
        <f>IF(K924="","",0)</f>
        <v/>
      </c>
      <c r="P924">
        <f>IF(K924="","",I424)</f>
        <v/>
      </c>
      <c r="Q924">
        <f>IF(K924="","",FALSE)</f>
        <v/>
      </c>
      <c r="R924">
        <f>IF(K924="","",TRUE)</f>
        <v/>
      </c>
      <c r="S924">
        <f>IF(K924="","",IF(AND(Q924,R924),IF(O924=P924,"Match","Qty Different"),IF(Q924,"Only in List 1","Only in List 2")))</f>
        <v/>
      </c>
      <c r="T924">
        <f>IF(K924="","",IF(ISNUMBER(--L924),TEXT(--L924,"000000000000.000"),LOWER(L924)))</f>
        <v/>
      </c>
      <c r="U924">
        <f>IF(K924="","",IF(ISNUMBER(--M924),TEXT(--M924,"000000000000.000"),LOWER(M924)))</f>
        <v/>
      </c>
      <c r="V924">
        <f>IF(K924="","",LOWER(N924))</f>
        <v/>
      </c>
      <c r="W924">
        <f>IF(K924="","",G424)</f>
        <v/>
      </c>
      <c r="X924">
        <f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>
      <c r="K925">
        <f>IF(H425="","",IF(SUMPRODUCT(--($C$2:$C$501=H425))&gt;0,"",H425))</f>
        <v/>
      </c>
      <c r="L925">
        <f>IF(K925="","",IF(ISNUMBER('List 2'!A425),'List 2'!A425,TRIM('List 2'!A425)))</f>
        <v/>
      </c>
      <c r="M925">
        <f>IF(K925="","",IF(ISNUMBER('List 2'!C425),'List 2'!C425,TRIM('List 2'!C425)))</f>
        <v/>
      </c>
      <c r="N925">
        <f>IF(K925="","",IF(ISNUMBER('List 2'!D425),'List 2'!D425,TRIM('List 2'!D425)))</f>
        <v/>
      </c>
      <c r="O925">
        <f>IF(K925="","",0)</f>
        <v/>
      </c>
      <c r="P925">
        <f>IF(K925="","",I425)</f>
        <v/>
      </c>
      <c r="Q925">
        <f>IF(K925="","",FALSE)</f>
        <v/>
      </c>
      <c r="R925">
        <f>IF(K925="","",TRUE)</f>
        <v/>
      </c>
      <c r="S925">
        <f>IF(K925="","",IF(AND(Q925,R925),IF(O925=P925,"Match","Qty Different"),IF(Q925,"Only in List 1","Only in List 2")))</f>
        <v/>
      </c>
      <c r="T925">
        <f>IF(K925="","",IF(ISNUMBER(--L925),TEXT(--L925,"000000000000.000"),LOWER(L925)))</f>
        <v/>
      </c>
      <c r="U925">
        <f>IF(K925="","",IF(ISNUMBER(--M925),TEXT(--M925,"000000000000.000"),LOWER(M925)))</f>
        <v/>
      </c>
      <c r="V925">
        <f>IF(K925="","",LOWER(N925))</f>
        <v/>
      </c>
      <c r="W925">
        <f>IF(K925="","",G425)</f>
        <v/>
      </c>
      <c r="X925">
        <f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>
      <c r="K926">
        <f>IF(H426="","",IF(SUMPRODUCT(--($C$2:$C$501=H426))&gt;0,"",H426))</f>
        <v/>
      </c>
      <c r="L926">
        <f>IF(K926="","",IF(ISNUMBER('List 2'!A426),'List 2'!A426,TRIM('List 2'!A426)))</f>
        <v/>
      </c>
      <c r="M926">
        <f>IF(K926="","",IF(ISNUMBER('List 2'!C426),'List 2'!C426,TRIM('List 2'!C426)))</f>
        <v/>
      </c>
      <c r="N926">
        <f>IF(K926="","",IF(ISNUMBER('List 2'!D426),'List 2'!D426,TRIM('List 2'!D426)))</f>
        <v/>
      </c>
      <c r="O926">
        <f>IF(K926="","",0)</f>
        <v/>
      </c>
      <c r="P926">
        <f>IF(K926="","",I426)</f>
        <v/>
      </c>
      <c r="Q926">
        <f>IF(K926="","",FALSE)</f>
        <v/>
      </c>
      <c r="R926">
        <f>IF(K926="","",TRUE)</f>
        <v/>
      </c>
      <c r="S926">
        <f>IF(K926="","",IF(AND(Q926,R926),IF(O926=P926,"Match","Qty Different"),IF(Q926,"Only in List 1","Only in List 2")))</f>
        <v/>
      </c>
      <c r="T926">
        <f>IF(K926="","",IF(ISNUMBER(--L926),TEXT(--L926,"000000000000.000"),LOWER(L926)))</f>
        <v/>
      </c>
      <c r="U926">
        <f>IF(K926="","",IF(ISNUMBER(--M926),TEXT(--M926,"000000000000.000"),LOWER(M926)))</f>
        <v/>
      </c>
      <c r="V926">
        <f>IF(K926="","",LOWER(N926))</f>
        <v/>
      </c>
      <c r="W926">
        <f>IF(K926="","",G426)</f>
        <v/>
      </c>
      <c r="X926">
        <f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>
      <c r="K927">
        <f>IF(H427="","",IF(SUMPRODUCT(--($C$2:$C$501=H427))&gt;0,"",H427))</f>
        <v/>
      </c>
      <c r="L927">
        <f>IF(K927="","",IF(ISNUMBER('List 2'!A427),'List 2'!A427,TRIM('List 2'!A427)))</f>
        <v/>
      </c>
      <c r="M927">
        <f>IF(K927="","",IF(ISNUMBER('List 2'!C427),'List 2'!C427,TRIM('List 2'!C427)))</f>
        <v/>
      </c>
      <c r="N927">
        <f>IF(K927="","",IF(ISNUMBER('List 2'!D427),'List 2'!D427,TRIM('List 2'!D427)))</f>
        <v/>
      </c>
      <c r="O927">
        <f>IF(K927="","",0)</f>
        <v/>
      </c>
      <c r="P927">
        <f>IF(K927="","",I427)</f>
        <v/>
      </c>
      <c r="Q927">
        <f>IF(K927="","",FALSE)</f>
        <v/>
      </c>
      <c r="R927">
        <f>IF(K927="","",TRUE)</f>
        <v/>
      </c>
      <c r="S927">
        <f>IF(K927="","",IF(AND(Q927,R927),IF(O927=P927,"Match","Qty Different"),IF(Q927,"Only in List 1","Only in List 2")))</f>
        <v/>
      </c>
      <c r="T927">
        <f>IF(K927="","",IF(ISNUMBER(--L927),TEXT(--L927,"000000000000.000"),LOWER(L927)))</f>
        <v/>
      </c>
      <c r="U927">
        <f>IF(K927="","",IF(ISNUMBER(--M927),TEXT(--M927,"000000000000.000"),LOWER(M927)))</f>
        <v/>
      </c>
      <c r="V927">
        <f>IF(K927="","",LOWER(N927))</f>
        <v/>
      </c>
      <c r="W927">
        <f>IF(K927="","",G427)</f>
        <v/>
      </c>
      <c r="X927">
        <f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>
      <c r="K928">
        <f>IF(H428="","",IF(SUMPRODUCT(--($C$2:$C$501=H428))&gt;0,"",H428))</f>
        <v/>
      </c>
      <c r="L928">
        <f>IF(K928="","",IF(ISNUMBER('List 2'!A428),'List 2'!A428,TRIM('List 2'!A428)))</f>
        <v/>
      </c>
      <c r="M928">
        <f>IF(K928="","",IF(ISNUMBER('List 2'!C428),'List 2'!C428,TRIM('List 2'!C428)))</f>
        <v/>
      </c>
      <c r="N928">
        <f>IF(K928="","",IF(ISNUMBER('List 2'!D428),'List 2'!D428,TRIM('List 2'!D428)))</f>
        <v/>
      </c>
      <c r="O928">
        <f>IF(K928="","",0)</f>
        <v/>
      </c>
      <c r="P928">
        <f>IF(K928="","",I428)</f>
        <v/>
      </c>
      <c r="Q928">
        <f>IF(K928="","",FALSE)</f>
        <v/>
      </c>
      <c r="R928">
        <f>IF(K928="","",TRUE)</f>
        <v/>
      </c>
      <c r="S928">
        <f>IF(K928="","",IF(AND(Q928,R928),IF(O928=P928,"Match","Qty Different"),IF(Q928,"Only in List 1","Only in List 2")))</f>
        <v/>
      </c>
      <c r="T928">
        <f>IF(K928="","",IF(ISNUMBER(--L928),TEXT(--L928,"000000000000.000"),LOWER(L928)))</f>
        <v/>
      </c>
      <c r="U928">
        <f>IF(K928="","",IF(ISNUMBER(--M928),TEXT(--M928,"000000000000.000"),LOWER(M928)))</f>
        <v/>
      </c>
      <c r="V928">
        <f>IF(K928="","",LOWER(N928))</f>
        <v/>
      </c>
      <c r="W928">
        <f>IF(K928="","",G428)</f>
        <v/>
      </c>
      <c r="X928">
        <f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>
      <c r="K929">
        <f>IF(H429="","",IF(SUMPRODUCT(--($C$2:$C$501=H429))&gt;0,"",H429))</f>
        <v/>
      </c>
      <c r="L929">
        <f>IF(K929="","",IF(ISNUMBER('List 2'!A429),'List 2'!A429,TRIM('List 2'!A429)))</f>
        <v/>
      </c>
      <c r="M929">
        <f>IF(K929="","",IF(ISNUMBER('List 2'!C429),'List 2'!C429,TRIM('List 2'!C429)))</f>
        <v/>
      </c>
      <c r="N929">
        <f>IF(K929="","",IF(ISNUMBER('List 2'!D429),'List 2'!D429,TRIM('List 2'!D429)))</f>
        <v/>
      </c>
      <c r="O929">
        <f>IF(K929="","",0)</f>
        <v/>
      </c>
      <c r="P929">
        <f>IF(K929="","",I429)</f>
        <v/>
      </c>
      <c r="Q929">
        <f>IF(K929="","",FALSE)</f>
        <v/>
      </c>
      <c r="R929">
        <f>IF(K929="","",TRUE)</f>
        <v/>
      </c>
      <c r="S929">
        <f>IF(K929="","",IF(AND(Q929,R929),IF(O929=P929,"Match","Qty Different"),IF(Q929,"Only in List 1","Only in List 2")))</f>
        <v/>
      </c>
      <c r="T929">
        <f>IF(K929="","",IF(ISNUMBER(--L929),TEXT(--L929,"000000000000.000"),LOWER(L929)))</f>
        <v/>
      </c>
      <c r="U929">
        <f>IF(K929="","",IF(ISNUMBER(--M929),TEXT(--M929,"000000000000.000"),LOWER(M929)))</f>
        <v/>
      </c>
      <c r="V929">
        <f>IF(K929="","",LOWER(N929))</f>
        <v/>
      </c>
      <c r="W929">
        <f>IF(K929="","",G429)</f>
        <v/>
      </c>
      <c r="X929">
        <f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>
      <c r="K930">
        <f>IF(H430="","",IF(SUMPRODUCT(--($C$2:$C$501=H430))&gt;0,"",H430))</f>
        <v/>
      </c>
      <c r="L930">
        <f>IF(K930="","",IF(ISNUMBER('List 2'!A430),'List 2'!A430,TRIM('List 2'!A430)))</f>
        <v/>
      </c>
      <c r="M930">
        <f>IF(K930="","",IF(ISNUMBER('List 2'!C430),'List 2'!C430,TRIM('List 2'!C430)))</f>
        <v/>
      </c>
      <c r="N930">
        <f>IF(K930="","",IF(ISNUMBER('List 2'!D430),'List 2'!D430,TRIM('List 2'!D430)))</f>
        <v/>
      </c>
      <c r="O930">
        <f>IF(K930="","",0)</f>
        <v/>
      </c>
      <c r="P930">
        <f>IF(K930="","",I430)</f>
        <v/>
      </c>
      <c r="Q930">
        <f>IF(K930="","",FALSE)</f>
        <v/>
      </c>
      <c r="R930">
        <f>IF(K930="","",TRUE)</f>
        <v/>
      </c>
      <c r="S930">
        <f>IF(K930="","",IF(AND(Q930,R930),IF(O930=P930,"Match","Qty Different"),IF(Q930,"Only in List 1","Only in List 2")))</f>
        <v/>
      </c>
      <c r="T930">
        <f>IF(K930="","",IF(ISNUMBER(--L930),TEXT(--L930,"000000000000.000"),LOWER(L930)))</f>
        <v/>
      </c>
      <c r="U930">
        <f>IF(K930="","",IF(ISNUMBER(--M930),TEXT(--M930,"000000000000.000"),LOWER(M930)))</f>
        <v/>
      </c>
      <c r="V930">
        <f>IF(K930="","",LOWER(N930))</f>
        <v/>
      </c>
      <c r="W930">
        <f>IF(K930="","",G430)</f>
        <v/>
      </c>
      <c r="X930">
        <f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>
      <c r="K931">
        <f>IF(H431="","",IF(SUMPRODUCT(--($C$2:$C$501=H431))&gt;0,"",H431))</f>
        <v/>
      </c>
      <c r="L931">
        <f>IF(K931="","",IF(ISNUMBER('List 2'!A431),'List 2'!A431,TRIM('List 2'!A431)))</f>
        <v/>
      </c>
      <c r="M931">
        <f>IF(K931="","",IF(ISNUMBER('List 2'!C431),'List 2'!C431,TRIM('List 2'!C431)))</f>
        <v/>
      </c>
      <c r="N931">
        <f>IF(K931="","",IF(ISNUMBER('List 2'!D431),'List 2'!D431,TRIM('List 2'!D431)))</f>
        <v/>
      </c>
      <c r="O931">
        <f>IF(K931="","",0)</f>
        <v/>
      </c>
      <c r="P931">
        <f>IF(K931="","",I431)</f>
        <v/>
      </c>
      <c r="Q931">
        <f>IF(K931="","",FALSE)</f>
        <v/>
      </c>
      <c r="R931">
        <f>IF(K931="","",TRUE)</f>
        <v/>
      </c>
      <c r="S931">
        <f>IF(K931="","",IF(AND(Q931,R931),IF(O931=P931,"Match","Qty Different"),IF(Q931,"Only in List 1","Only in List 2")))</f>
        <v/>
      </c>
      <c r="T931">
        <f>IF(K931="","",IF(ISNUMBER(--L931),TEXT(--L931,"000000000000.000"),LOWER(L931)))</f>
        <v/>
      </c>
      <c r="U931">
        <f>IF(K931="","",IF(ISNUMBER(--M931),TEXT(--M931,"000000000000.000"),LOWER(M931)))</f>
        <v/>
      </c>
      <c r="V931">
        <f>IF(K931="","",LOWER(N931))</f>
        <v/>
      </c>
      <c r="W931">
        <f>IF(K931="","",G431)</f>
        <v/>
      </c>
      <c r="X931">
        <f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>
      <c r="K932">
        <f>IF(H432="","",IF(SUMPRODUCT(--($C$2:$C$501=H432))&gt;0,"",H432))</f>
        <v/>
      </c>
      <c r="L932">
        <f>IF(K932="","",IF(ISNUMBER('List 2'!A432),'List 2'!A432,TRIM('List 2'!A432)))</f>
        <v/>
      </c>
      <c r="M932">
        <f>IF(K932="","",IF(ISNUMBER('List 2'!C432),'List 2'!C432,TRIM('List 2'!C432)))</f>
        <v/>
      </c>
      <c r="N932">
        <f>IF(K932="","",IF(ISNUMBER('List 2'!D432),'List 2'!D432,TRIM('List 2'!D432)))</f>
        <v/>
      </c>
      <c r="O932">
        <f>IF(K932="","",0)</f>
        <v/>
      </c>
      <c r="P932">
        <f>IF(K932="","",I432)</f>
        <v/>
      </c>
      <c r="Q932">
        <f>IF(K932="","",FALSE)</f>
        <v/>
      </c>
      <c r="R932">
        <f>IF(K932="","",TRUE)</f>
        <v/>
      </c>
      <c r="S932">
        <f>IF(K932="","",IF(AND(Q932,R932),IF(O932=P932,"Match","Qty Different"),IF(Q932,"Only in List 1","Only in List 2")))</f>
        <v/>
      </c>
      <c r="T932">
        <f>IF(K932="","",IF(ISNUMBER(--L932),TEXT(--L932,"000000000000.000"),LOWER(L932)))</f>
        <v/>
      </c>
      <c r="U932">
        <f>IF(K932="","",IF(ISNUMBER(--M932),TEXT(--M932,"000000000000.000"),LOWER(M932)))</f>
        <v/>
      </c>
      <c r="V932">
        <f>IF(K932="","",LOWER(N932))</f>
        <v/>
      </c>
      <c r="W932">
        <f>IF(K932="","",G432)</f>
        <v/>
      </c>
      <c r="X932">
        <f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>
      <c r="K933">
        <f>IF(H433="","",IF(SUMPRODUCT(--($C$2:$C$501=H433))&gt;0,"",H433))</f>
        <v/>
      </c>
      <c r="L933">
        <f>IF(K933="","",IF(ISNUMBER('List 2'!A433),'List 2'!A433,TRIM('List 2'!A433)))</f>
        <v/>
      </c>
      <c r="M933">
        <f>IF(K933="","",IF(ISNUMBER('List 2'!C433),'List 2'!C433,TRIM('List 2'!C433)))</f>
        <v/>
      </c>
      <c r="N933">
        <f>IF(K933="","",IF(ISNUMBER('List 2'!D433),'List 2'!D433,TRIM('List 2'!D433)))</f>
        <v/>
      </c>
      <c r="O933">
        <f>IF(K933="","",0)</f>
        <v/>
      </c>
      <c r="P933">
        <f>IF(K933="","",I433)</f>
        <v/>
      </c>
      <c r="Q933">
        <f>IF(K933="","",FALSE)</f>
        <v/>
      </c>
      <c r="R933">
        <f>IF(K933="","",TRUE)</f>
        <v/>
      </c>
      <c r="S933">
        <f>IF(K933="","",IF(AND(Q933,R933),IF(O933=P933,"Match","Qty Different"),IF(Q933,"Only in List 1","Only in List 2")))</f>
        <v/>
      </c>
      <c r="T933">
        <f>IF(K933="","",IF(ISNUMBER(--L933),TEXT(--L933,"000000000000.000"),LOWER(L933)))</f>
        <v/>
      </c>
      <c r="U933">
        <f>IF(K933="","",IF(ISNUMBER(--M933),TEXT(--M933,"000000000000.000"),LOWER(M933)))</f>
        <v/>
      </c>
      <c r="V933">
        <f>IF(K933="","",LOWER(N933))</f>
        <v/>
      </c>
      <c r="W933">
        <f>IF(K933="","",G433)</f>
        <v/>
      </c>
      <c r="X933">
        <f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>
      <c r="K934">
        <f>IF(H434="","",IF(SUMPRODUCT(--($C$2:$C$501=H434))&gt;0,"",H434))</f>
        <v/>
      </c>
      <c r="L934">
        <f>IF(K934="","",IF(ISNUMBER('List 2'!A434),'List 2'!A434,TRIM('List 2'!A434)))</f>
        <v/>
      </c>
      <c r="M934">
        <f>IF(K934="","",IF(ISNUMBER('List 2'!C434),'List 2'!C434,TRIM('List 2'!C434)))</f>
        <v/>
      </c>
      <c r="N934">
        <f>IF(K934="","",IF(ISNUMBER('List 2'!D434),'List 2'!D434,TRIM('List 2'!D434)))</f>
        <v/>
      </c>
      <c r="O934">
        <f>IF(K934="","",0)</f>
        <v/>
      </c>
      <c r="P934">
        <f>IF(K934="","",I434)</f>
        <v/>
      </c>
      <c r="Q934">
        <f>IF(K934="","",FALSE)</f>
        <v/>
      </c>
      <c r="R934">
        <f>IF(K934="","",TRUE)</f>
        <v/>
      </c>
      <c r="S934">
        <f>IF(K934="","",IF(AND(Q934,R934),IF(O934=P934,"Match","Qty Different"),IF(Q934,"Only in List 1","Only in List 2")))</f>
        <v/>
      </c>
      <c r="T934">
        <f>IF(K934="","",IF(ISNUMBER(--L934),TEXT(--L934,"000000000000.000"),LOWER(L934)))</f>
        <v/>
      </c>
      <c r="U934">
        <f>IF(K934="","",IF(ISNUMBER(--M934),TEXT(--M934,"000000000000.000"),LOWER(M934)))</f>
        <v/>
      </c>
      <c r="V934">
        <f>IF(K934="","",LOWER(N934))</f>
        <v/>
      </c>
      <c r="W934">
        <f>IF(K934="","",G434)</f>
        <v/>
      </c>
      <c r="X934">
        <f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>
      <c r="K935">
        <f>IF(H435="","",IF(SUMPRODUCT(--($C$2:$C$501=H435))&gt;0,"",H435))</f>
        <v/>
      </c>
      <c r="L935">
        <f>IF(K935="","",IF(ISNUMBER('List 2'!A435),'List 2'!A435,TRIM('List 2'!A435)))</f>
        <v/>
      </c>
      <c r="M935">
        <f>IF(K935="","",IF(ISNUMBER('List 2'!C435),'List 2'!C435,TRIM('List 2'!C435)))</f>
        <v/>
      </c>
      <c r="N935">
        <f>IF(K935="","",IF(ISNUMBER('List 2'!D435),'List 2'!D435,TRIM('List 2'!D435)))</f>
        <v/>
      </c>
      <c r="O935">
        <f>IF(K935="","",0)</f>
        <v/>
      </c>
      <c r="P935">
        <f>IF(K935="","",I435)</f>
        <v/>
      </c>
      <c r="Q935">
        <f>IF(K935="","",FALSE)</f>
        <v/>
      </c>
      <c r="R935">
        <f>IF(K935="","",TRUE)</f>
        <v/>
      </c>
      <c r="S935">
        <f>IF(K935="","",IF(AND(Q935,R935),IF(O935=P935,"Match","Qty Different"),IF(Q935,"Only in List 1","Only in List 2")))</f>
        <v/>
      </c>
      <c r="T935">
        <f>IF(K935="","",IF(ISNUMBER(--L935),TEXT(--L935,"000000000000.000"),LOWER(L935)))</f>
        <v/>
      </c>
      <c r="U935">
        <f>IF(K935="","",IF(ISNUMBER(--M935),TEXT(--M935,"000000000000.000"),LOWER(M935)))</f>
        <v/>
      </c>
      <c r="V935">
        <f>IF(K935="","",LOWER(N935))</f>
        <v/>
      </c>
      <c r="W935">
        <f>IF(K935="","",G435)</f>
        <v/>
      </c>
      <c r="X935">
        <f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>
      <c r="K936">
        <f>IF(H436="","",IF(SUMPRODUCT(--($C$2:$C$501=H436))&gt;0,"",H436))</f>
        <v/>
      </c>
      <c r="L936">
        <f>IF(K936="","",IF(ISNUMBER('List 2'!A436),'List 2'!A436,TRIM('List 2'!A436)))</f>
        <v/>
      </c>
      <c r="M936">
        <f>IF(K936="","",IF(ISNUMBER('List 2'!C436),'List 2'!C436,TRIM('List 2'!C436)))</f>
        <v/>
      </c>
      <c r="N936">
        <f>IF(K936="","",IF(ISNUMBER('List 2'!D436),'List 2'!D436,TRIM('List 2'!D436)))</f>
        <v/>
      </c>
      <c r="O936">
        <f>IF(K936="","",0)</f>
        <v/>
      </c>
      <c r="P936">
        <f>IF(K936="","",I436)</f>
        <v/>
      </c>
      <c r="Q936">
        <f>IF(K936="","",FALSE)</f>
        <v/>
      </c>
      <c r="R936">
        <f>IF(K936="","",TRUE)</f>
        <v/>
      </c>
      <c r="S936">
        <f>IF(K936="","",IF(AND(Q936,R936),IF(O936=P936,"Match","Qty Different"),IF(Q936,"Only in List 1","Only in List 2")))</f>
        <v/>
      </c>
      <c r="T936">
        <f>IF(K936="","",IF(ISNUMBER(--L936),TEXT(--L936,"000000000000.000"),LOWER(L936)))</f>
        <v/>
      </c>
      <c r="U936">
        <f>IF(K936="","",IF(ISNUMBER(--M936),TEXT(--M936,"000000000000.000"),LOWER(M936)))</f>
        <v/>
      </c>
      <c r="V936">
        <f>IF(K936="","",LOWER(N936))</f>
        <v/>
      </c>
      <c r="W936">
        <f>IF(K936="","",G436)</f>
        <v/>
      </c>
      <c r="X936">
        <f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>
      <c r="K937">
        <f>IF(H437="","",IF(SUMPRODUCT(--($C$2:$C$501=H437))&gt;0,"",H437))</f>
        <v/>
      </c>
      <c r="L937">
        <f>IF(K937="","",IF(ISNUMBER('List 2'!A437),'List 2'!A437,TRIM('List 2'!A437)))</f>
        <v/>
      </c>
      <c r="M937">
        <f>IF(K937="","",IF(ISNUMBER('List 2'!C437),'List 2'!C437,TRIM('List 2'!C437)))</f>
        <v/>
      </c>
      <c r="N937">
        <f>IF(K937="","",IF(ISNUMBER('List 2'!D437),'List 2'!D437,TRIM('List 2'!D437)))</f>
        <v/>
      </c>
      <c r="O937">
        <f>IF(K937="","",0)</f>
        <v/>
      </c>
      <c r="P937">
        <f>IF(K937="","",I437)</f>
        <v/>
      </c>
      <c r="Q937">
        <f>IF(K937="","",FALSE)</f>
        <v/>
      </c>
      <c r="R937">
        <f>IF(K937="","",TRUE)</f>
        <v/>
      </c>
      <c r="S937">
        <f>IF(K937="","",IF(AND(Q937,R937),IF(O937=P937,"Match","Qty Different"),IF(Q937,"Only in List 1","Only in List 2")))</f>
        <v/>
      </c>
      <c r="T937">
        <f>IF(K937="","",IF(ISNUMBER(--L937),TEXT(--L937,"000000000000.000"),LOWER(L937)))</f>
        <v/>
      </c>
      <c r="U937">
        <f>IF(K937="","",IF(ISNUMBER(--M937),TEXT(--M937,"000000000000.000"),LOWER(M937)))</f>
        <v/>
      </c>
      <c r="V937">
        <f>IF(K937="","",LOWER(N937))</f>
        <v/>
      </c>
      <c r="W937">
        <f>IF(K937="","",G437)</f>
        <v/>
      </c>
      <c r="X937">
        <f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>
      <c r="K938">
        <f>IF(H438="","",IF(SUMPRODUCT(--($C$2:$C$501=H438))&gt;0,"",H438))</f>
        <v/>
      </c>
      <c r="L938">
        <f>IF(K938="","",IF(ISNUMBER('List 2'!A438),'List 2'!A438,TRIM('List 2'!A438)))</f>
        <v/>
      </c>
      <c r="M938">
        <f>IF(K938="","",IF(ISNUMBER('List 2'!C438),'List 2'!C438,TRIM('List 2'!C438)))</f>
        <v/>
      </c>
      <c r="N938">
        <f>IF(K938="","",IF(ISNUMBER('List 2'!D438),'List 2'!D438,TRIM('List 2'!D438)))</f>
        <v/>
      </c>
      <c r="O938">
        <f>IF(K938="","",0)</f>
        <v/>
      </c>
      <c r="P938">
        <f>IF(K938="","",I438)</f>
        <v/>
      </c>
      <c r="Q938">
        <f>IF(K938="","",FALSE)</f>
        <v/>
      </c>
      <c r="R938">
        <f>IF(K938="","",TRUE)</f>
        <v/>
      </c>
      <c r="S938">
        <f>IF(K938="","",IF(AND(Q938,R938),IF(O938=P938,"Match","Qty Different"),IF(Q938,"Only in List 1","Only in List 2")))</f>
        <v/>
      </c>
      <c r="T938">
        <f>IF(K938="","",IF(ISNUMBER(--L938),TEXT(--L938,"000000000000.000"),LOWER(L938)))</f>
        <v/>
      </c>
      <c r="U938">
        <f>IF(K938="","",IF(ISNUMBER(--M938),TEXT(--M938,"000000000000.000"),LOWER(M938)))</f>
        <v/>
      </c>
      <c r="V938">
        <f>IF(K938="","",LOWER(N938))</f>
        <v/>
      </c>
      <c r="W938">
        <f>IF(K938="","",G438)</f>
        <v/>
      </c>
      <c r="X938">
        <f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>
      <c r="K939">
        <f>IF(H439="","",IF(SUMPRODUCT(--($C$2:$C$501=H439))&gt;0,"",H439))</f>
        <v/>
      </c>
      <c r="L939">
        <f>IF(K939="","",IF(ISNUMBER('List 2'!A439),'List 2'!A439,TRIM('List 2'!A439)))</f>
        <v/>
      </c>
      <c r="M939">
        <f>IF(K939="","",IF(ISNUMBER('List 2'!C439),'List 2'!C439,TRIM('List 2'!C439)))</f>
        <v/>
      </c>
      <c r="N939">
        <f>IF(K939="","",IF(ISNUMBER('List 2'!D439),'List 2'!D439,TRIM('List 2'!D439)))</f>
        <v/>
      </c>
      <c r="O939">
        <f>IF(K939="","",0)</f>
        <v/>
      </c>
      <c r="P939">
        <f>IF(K939="","",I439)</f>
        <v/>
      </c>
      <c r="Q939">
        <f>IF(K939="","",FALSE)</f>
        <v/>
      </c>
      <c r="R939">
        <f>IF(K939="","",TRUE)</f>
        <v/>
      </c>
      <c r="S939">
        <f>IF(K939="","",IF(AND(Q939,R939),IF(O939=P939,"Match","Qty Different"),IF(Q939,"Only in List 1","Only in List 2")))</f>
        <v/>
      </c>
      <c r="T939">
        <f>IF(K939="","",IF(ISNUMBER(--L939),TEXT(--L939,"000000000000.000"),LOWER(L939)))</f>
        <v/>
      </c>
      <c r="U939">
        <f>IF(K939="","",IF(ISNUMBER(--M939),TEXT(--M939,"000000000000.000"),LOWER(M939)))</f>
        <v/>
      </c>
      <c r="V939">
        <f>IF(K939="","",LOWER(N939))</f>
        <v/>
      </c>
      <c r="W939">
        <f>IF(K939="","",G439)</f>
        <v/>
      </c>
      <c r="X939">
        <f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>
      <c r="K940">
        <f>IF(H440="","",IF(SUMPRODUCT(--($C$2:$C$501=H440))&gt;0,"",H440))</f>
        <v/>
      </c>
      <c r="L940">
        <f>IF(K940="","",IF(ISNUMBER('List 2'!A440),'List 2'!A440,TRIM('List 2'!A440)))</f>
        <v/>
      </c>
      <c r="M940">
        <f>IF(K940="","",IF(ISNUMBER('List 2'!C440),'List 2'!C440,TRIM('List 2'!C440)))</f>
        <v/>
      </c>
      <c r="N940">
        <f>IF(K940="","",IF(ISNUMBER('List 2'!D440),'List 2'!D440,TRIM('List 2'!D440)))</f>
        <v/>
      </c>
      <c r="O940">
        <f>IF(K940="","",0)</f>
        <v/>
      </c>
      <c r="P940">
        <f>IF(K940="","",I440)</f>
        <v/>
      </c>
      <c r="Q940">
        <f>IF(K940="","",FALSE)</f>
        <v/>
      </c>
      <c r="R940">
        <f>IF(K940="","",TRUE)</f>
        <v/>
      </c>
      <c r="S940">
        <f>IF(K940="","",IF(AND(Q940,R940),IF(O940=P940,"Match","Qty Different"),IF(Q940,"Only in List 1","Only in List 2")))</f>
        <v/>
      </c>
      <c r="T940">
        <f>IF(K940="","",IF(ISNUMBER(--L940),TEXT(--L940,"000000000000.000"),LOWER(L940)))</f>
        <v/>
      </c>
      <c r="U940">
        <f>IF(K940="","",IF(ISNUMBER(--M940),TEXT(--M940,"000000000000.000"),LOWER(M940)))</f>
        <v/>
      </c>
      <c r="V940">
        <f>IF(K940="","",LOWER(N940))</f>
        <v/>
      </c>
      <c r="W940">
        <f>IF(K940="","",G440)</f>
        <v/>
      </c>
      <c r="X940">
        <f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>
      <c r="K941">
        <f>IF(H441="","",IF(SUMPRODUCT(--($C$2:$C$501=H441))&gt;0,"",H441))</f>
        <v/>
      </c>
      <c r="L941">
        <f>IF(K941="","",IF(ISNUMBER('List 2'!A441),'List 2'!A441,TRIM('List 2'!A441)))</f>
        <v/>
      </c>
      <c r="M941">
        <f>IF(K941="","",IF(ISNUMBER('List 2'!C441),'List 2'!C441,TRIM('List 2'!C441)))</f>
        <v/>
      </c>
      <c r="N941">
        <f>IF(K941="","",IF(ISNUMBER('List 2'!D441),'List 2'!D441,TRIM('List 2'!D441)))</f>
        <v/>
      </c>
      <c r="O941">
        <f>IF(K941="","",0)</f>
        <v/>
      </c>
      <c r="P941">
        <f>IF(K941="","",I441)</f>
        <v/>
      </c>
      <c r="Q941">
        <f>IF(K941="","",FALSE)</f>
        <v/>
      </c>
      <c r="R941">
        <f>IF(K941="","",TRUE)</f>
        <v/>
      </c>
      <c r="S941">
        <f>IF(K941="","",IF(AND(Q941,R941),IF(O941=P941,"Match","Qty Different"),IF(Q941,"Only in List 1","Only in List 2")))</f>
        <v/>
      </c>
      <c r="T941">
        <f>IF(K941="","",IF(ISNUMBER(--L941),TEXT(--L941,"000000000000.000"),LOWER(L941)))</f>
        <v/>
      </c>
      <c r="U941">
        <f>IF(K941="","",IF(ISNUMBER(--M941),TEXT(--M941,"000000000000.000"),LOWER(M941)))</f>
        <v/>
      </c>
      <c r="V941">
        <f>IF(K941="","",LOWER(N941))</f>
        <v/>
      </c>
      <c r="W941">
        <f>IF(K941="","",G441)</f>
        <v/>
      </c>
      <c r="X941">
        <f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>
      <c r="K942">
        <f>IF(H442="","",IF(SUMPRODUCT(--($C$2:$C$501=H442))&gt;0,"",H442))</f>
        <v/>
      </c>
      <c r="L942">
        <f>IF(K942="","",IF(ISNUMBER('List 2'!A442),'List 2'!A442,TRIM('List 2'!A442)))</f>
        <v/>
      </c>
      <c r="M942">
        <f>IF(K942="","",IF(ISNUMBER('List 2'!C442),'List 2'!C442,TRIM('List 2'!C442)))</f>
        <v/>
      </c>
      <c r="N942">
        <f>IF(K942="","",IF(ISNUMBER('List 2'!D442),'List 2'!D442,TRIM('List 2'!D442)))</f>
        <v/>
      </c>
      <c r="O942">
        <f>IF(K942="","",0)</f>
        <v/>
      </c>
      <c r="P942">
        <f>IF(K942="","",I442)</f>
        <v/>
      </c>
      <c r="Q942">
        <f>IF(K942="","",FALSE)</f>
        <v/>
      </c>
      <c r="R942">
        <f>IF(K942="","",TRUE)</f>
        <v/>
      </c>
      <c r="S942">
        <f>IF(K942="","",IF(AND(Q942,R942),IF(O942=P942,"Match","Qty Different"),IF(Q942,"Only in List 1","Only in List 2")))</f>
        <v/>
      </c>
      <c r="T942">
        <f>IF(K942="","",IF(ISNUMBER(--L942),TEXT(--L942,"000000000000.000"),LOWER(L942)))</f>
        <v/>
      </c>
      <c r="U942">
        <f>IF(K942="","",IF(ISNUMBER(--M942),TEXT(--M942,"000000000000.000"),LOWER(M942)))</f>
        <v/>
      </c>
      <c r="V942">
        <f>IF(K942="","",LOWER(N942))</f>
        <v/>
      </c>
      <c r="W942">
        <f>IF(K942="","",G442)</f>
        <v/>
      </c>
      <c r="X942">
        <f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>
      <c r="K943">
        <f>IF(H443="","",IF(SUMPRODUCT(--($C$2:$C$501=H443))&gt;0,"",H443))</f>
        <v/>
      </c>
      <c r="L943">
        <f>IF(K943="","",IF(ISNUMBER('List 2'!A443),'List 2'!A443,TRIM('List 2'!A443)))</f>
        <v/>
      </c>
      <c r="M943">
        <f>IF(K943="","",IF(ISNUMBER('List 2'!C443),'List 2'!C443,TRIM('List 2'!C443)))</f>
        <v/>
      </c>
      <c r="N943">
        <f>IF(K943="","",IF(ISNUMBER('List 2'!D443),'List 2'!D443,TRIM('List 2'!D443)))</f>
        <v/>
      </c>
      <c r="O943">
        <f>IF(K943="","",0)</f>
        <v/>
      </c>
      <c r="P943">
        <f>IF(K943="","",I443)</f>
        <v/>
      </c>
      <c r="Q943">
        <f>IF(K943="","",FALSE)</f>
        <v/>
      </c>
      <c r="R943">
        <f>IF(K943="","",TRUE)</f>
        <v/>
      </c>
      <c r="S943">
        <f>IF(K943="","",IF(AND(Q943,R943),IF(O943=P943,"Match","Qty Different"),IF(Q943,"Only in List 1","Only in List 2")))</f>
        <v/>
      </c>
      <c r="T943">
        <f>IF(K943="","",IF(ISNUMBER(--L943),TEXT(--L943,"000000000000.000"),LOWER(L943)))</f>
        <v/>
      </c>
      <c r="U943">
        <f>IF(K943="","",IF(ISNUMBER(--M943),TEXT(--M943,"000000000000.000"),LOWER(M943)))</f>
        <v/>
      </c>
      <c r="V943">
        <f>IF(K943="","",LOWER(N943))</f>
        <v/>
      </c>
      <c r="W943">
        <f>IF(K943="","",G443)</f>
        <v/>
      </c>
      <c r="X943">
        <f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>
      <c r="K944">
        <f>IF(H444="","",IF(SUMPRODUCT(--($C$2:$C$501=H444))&gt;0,"",H444))</f>
        <v/>
      </c>
      <c r="L944">
        <f>IF(K944="","",IF(ISNUMBER('List 2'!A444),'List 2'!A444,TRIM('List 2'!A444)))</f>
        <v/>
      </c>
      <c r="M944">
        <f>IF(K944="","",IF(ISNUMBER('List 2'!C444),'List 2'!C444,TRIM('List 2'!C444)))</f>
        <v/>
      </c>
      <c r="N944">
        <f>IF(K944="","",IF(ISNUMBER('List 2'!D444),'List 2'!D444,TRIM('List 2'!D444)))</f>
        <v/>
      </c>
      <c r="O944">
        <f>IF(K944="","",0)</f>
        <v/>
      </c>
      <c r="P944">
        <f>IF(K944="","",I444)</f>
        <v/>
      </c>
      <c r="Q944">
        <f>IF(K944="","",FALSE)</f>
        <v/>
      </c>
      <c r="R944">
        <f>IF(K944="","",TRUE)</f>
        <v/>
      </c>
      <c r="S944">
        <f>IF(K944="","",IF(AND(Q944,R944),IF(O944=P944,"Match","Qty Different"),IF(Q944,"Only in List 1","Only in List 2")))</f>
        <v/>
      </c>
      <c r="T944">
        <f>IF(K944="","",IF(ISNUMBER(--L944),TEXT(--L944,"000000000000.000"),LOWER(L944)))</f>
        <v/>
      </c>
      <c r="U944">
        <f>IF(K944="","",IF(ISNUMBER(--M944),TEXT(--M944,"000000000000.000"),LOWER(M944)))</f>
        <v/>
      </c>
      <c r="V944">
        <f>IF(K944="","",LOWER(N944))</f>
        <v/>
      </c>
      <c r="W944">
        <f>IF(K944="","",G444)</f>
        <v/>
      </c>
      <c r="X944">
        <f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>
      <c r="K945">
        <f>IF(H445="","",IF(SUMPRODUCT(--($C$2:$C$501=H445))&gt;0,"",H445))</f>
        <v/>
      </c>
      <c r="L945">
        <f>IF(K945="","",IF(ISNUMBER('List 2'!A445),'List 2'!A445,TRIM('List 2'!A445)))</f>
        <v/>
      </c>
      <c r="M945">
        <f>IF(K945="","",IF(ISNUMBER('List 2'!C445),'List 2'!C445,TRIM('List 2'!C445)))</f>
        <v/>
      </c>
      <c r="N945">
        <f>IF(K945="","",IF(ISNUMBER('List 2'!D445),'List 2'!D445,TRIM('List 2'!D445)))</f>
        <v/>
      </c>
      <c r="O945">
        <f>IF(K945="","",0)</f>
        <v/>
      </c>
      <c r="P945">
        <f>IF(K945="","",I445)</f>
        <v/>
      </c>
      <c r="Q945">
        <f>IF(K945="","",FALSE)</f>
        <v/>
      </c>
      <c r="R945">
        <f>IF(K945="","",TRUE)</f>
        <v/>
      </c>
      <c r="S945">
        <f>IF(K945="","",IF(AND(Q945,R945),IF(O945=P945,"Match","Qty Different"),IF(Q945,"Only in List 1","Only in List 2")))</f>
        <v/>
      </c>
      <c r="T945">
        <f>IF(K945="","",IF(ISNUMBER(--L945),TEXT(--L945,"000000000000.000"),LOWER(L945)))</f>
        <v/>
      </c>
      <c r="U945">
        <f>IF(K945="","",IF(ISNUMBER(--M945),TEXT(--M945,"000000000000.000"),LOWER(M945)))</f>
        <v/>
      </c>
      <c r="V945">
        <f>IF(K945="","",LOWER(N945))</f>
        <v/>
      </c>
      <c r="W945">
        <f>IF(K945="","",G445)</f>
        <v/>
      </c>
      <c r="X945">
        <f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>
      <c r="K946">
        <f>IF(H446="","",IF(SUMPRODUCT(--($C$2:$C$501=H446))&gt;0,"",H446))</f>
        <v/>
      </c>
      <c r="L946">
        <f>IF(K946="","",IF(ISNUMBER('List 2'!A446),'List 2'!A446,TRIM('List 2'!A446)))</f>
        <v/>
      </c>
      <c r="M946">
        <f>IF(K946="","",IF(ISNUMBER('List 2'!C446),'List 2'!C446,TRIM('List 2'!C446)))</f>
        <v/>
      </c>
      <c r="N946">
        <f>IF(K946="","",IF(ISNUMBER('List 2'!D446),'List 2'!D446,TRIM('List 2'!D446)))</f>
        <v/>
      </c>
      <c r="O946">
        <f>IF(K946="","",0)</f>
        <v/>
      </c>
      <c r="P946">
        <f>IF(K946="","",I446)</f>
        <v/>
      </c>
      <c r="Q946">
        <f>IF(K946="","",FALSE)</f>
        <v/>
      </c>
      <c r="R946">
        <f>IF(K946="","",TRUE)</f>
        <v/>
      </c>
      <c r="S946">
        <f>IF(K946="","",IF(AND(Q946,R946),IF(O946=P946,"Match","Qty Different"),IF(Q946,"Only in List 1","Only in List 2")))</f>
        <v/>
      </c>
      <c r="T946">
        <f>IF(K946="","",IF(ISNUMBER(--L946),TEXT(--L946,"000000000000.000"),LOWER(L946)))</f>
        <v/>
      </c>
      <c r="U946">
        <f>IF(K946="","",IF(ISNUMBER(--M946),TEXT(--M946,"000000000000.000"),LOWER(M946)))</f>
        <v/>
      </c>
      <c r="V946">
        <f>IF(K946="","",LOWER(N946))</f>
        <v/>
      </c>
      <c r="W946">
        <f>IF(K946="","",G446)</f>
        <v/>
      </c>
      <c r="X946">
        <f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>
      <c r="K947">
        <f>IF(H447="","",IF(SUMPRODUCT(--($C$2:$C$501=H447))&gt;0,"",H447))</f>
        <v/>
      </c>
      <c r="L947">
        <f>IF(K947="","",IF(ISNUMBER('List 2'!A447),'List 2'!A447,TRIM('List 2'!A447)))</f>
        <v/>
      </c>
      <c r="M947">
        <f>IF(K947="","",IF(ISNUMBER('List 2'!C447),'List 2'!C447,TRIM('List 2'!C447)))</f>
        <v/>
      </c>
      <c r="N947">
        <f>IF(K947="","",IF(ISNUMBER('List 2'!D447),'List 2'!D447,TRIM('List 2'!D447)))</f>
        <v/>
      </c>
      <c r="O947">
        <f>IF(K947="","",0)</f>
        <v/>
      </c>
      <c r="P947">
        <f>IF(K947="","",I447)</f>
        <v/>
      </c>
      <c r="Q947">
        <f>IF(K947="","",FALSE)</f>
        <v/>
      </c>
      <c r="R947">
        <f>IF(K947="","",TRUE)</f>
        <v/>
      </c>
      <c r="S947">
        <f>IF(K947="","",IF(AND(Q947,R947),IF(O947=P947,"Match","Qty Different"),IF(Q947,"Only in List 1","Only in List 2")))</f>
        <v/>
      </c>
      <c r="T947">
        <f>IF(K947="","",IF(ISNUMBER(--L947),TEXT(--L947,"000000000000.000"),LOWER(L947)))</f>
        <v/>
      </c>
      <c r="U947">
        <f>IF(K947="","",IF(ISNUMBER(--M947),TEXT(--M947,"000000000000.000"),LOWER(M947)))</f>
        <v/>
      </c>
      <c r="V947">
        <f>IF(K947="","",LOWER(N947))</f>
        <v/>
      </c>
      <c r="W947">
        <f>IF(K947="","",G447)</f>
        <v/>
      </c>
      <c r="X947">
        <f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>
      <c r="K948">
        <f>IF(H448="","",IF(SUMPRODUCT(--($C$2:$C$501=H448))&gt;0,"",H448))</f>
        <v/>
      </c>
      <c r="L948">
        <f>IF(K948="","",IF(ISNUMBER('List 2'!A448),'List 2'!A448,TRIM('List 2'!A448)))</f>
        <v/>
      </c>
      <c r="M948">
        <f>IF(K948="","",IF(ISNUMBER('List 2'!C448),'List 2'!C448,TRIM('List 2'!C448)))</f>
        <v/>
      </c>
      <c r="N948">
        <f>IF(K948="","",IF(ISNUMBER('List 2'!D448),'List 2'!D448,TRIM('List 2'!D448)))</f>
        <v/>
      </c>
      <c r="O948">
        <f>IF(K948="","",0)</f>
        <v/>
      </c>
      <c r="P948">
        <f>IF(K948="","",I448)</f>
        <v/>
      </c>
      <c r="Q948">
        <f>IF(K948="","",FALSE)</f>
        <v/>
      </c>
      <c r="R948">
        <f>IF(K948="","",TRUE)</f>
        <v/>
      </c>
      <c r="S948">
        <f>IF(K948="","",IF(AND(Q948,R948),IF(O948=P948,"Match","Qty Different"),IF(Q948,"Only in List 1","Only in List 2")))</f>
        <v/>
      </c>
      <c r="T948">
        <f>IF(K948="","",IF(ISNUMBER(--L948),TEXT(--L948,"000000000000.000"),LOWER(L948)))</f>
        <v/>
      </c>
      <c r="U948">
        <f>IF(K948="","",IF(ISNUMBER(--M948),TEXT(--M948,"000000000000.000"),LOWER(M948)))</f>
        <v/>
      </c>
      <c r="V948">
        <f>IF(K948="","",LOWER(N948))</f>
        <v/>
      </c>
      <c r="W948">
        <f>IF(K948="","",G448)</f>
        <v/>
      </c>
      <c r="X948">
        <f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>
      <c r="K949">
        <f>IF(H449="","",IF(SUMPRODUCT(--($C$2:$C$501=H449))&gt;0,"",H449))</f>
        <v/>
      </c>
      <c r="L949">
        <f>IF(K949="","",IF(ISNUMBER('List 2'!A449),'List 2'!A449,TRIM('List 2'!A449)))</f>
        <v/>
      </c>
      <c r="M949">
        <f>IF(K949="","",IF(ISNUMBER('List 2'!C449),'List 2'!C449,TRIM('List 2'!C449)))</f>
        <v/>
      </c>
      <c r="N949">
        <f>IF(K949="","",IF(ISNUMBER('List 2'!D449),'List 2'!D449,TRIM('List 2'!D449)))</f>
        <v/>
      </c>
      <c r="O949">
        <f>IF(K949="","",0)</f>
        <v/>
      </c>
      <c r="P949">
        <f>IF(K949="","",I449)</f>
        <v/>
      </c>
      <c r="Q949">
        <f>IF(K949="","",FALSE)</f>
        <v/>
      </c>
      <c r="R949">
        <f>IF(K949="","",TRUE)</f>
        <v/>
      </c>
      <c r="S949">
        <f>IF(K949="","",IF(AND(Q949,R949),IF(O949=P949,"Match","Qty Different"),IF(Q949,"Only in List 1","Only in List 2")))</f>
        <v/>
      </c>
      <c r="T949">
        <f>IF(K949="","",IF(ISNUMBER(--L949),TEXT(--L949,"000000000000.000"),LOWER(L949)))</f>
        <v/>
      </c>
      <c r="U949">
        <f>IF(K949="","",IF(ISNUMBER(--M949),TEXT(--M949,"000000000000.000"),LOWER(M949)))</f>
        <v/>
      </c>
      <c r="V949">
        <f>IF(K949="","",LOWER(N949))</f>
        <v/>
      </c>
      <c r="W949">
        <f>IF(K949="","",G449)</f>
        <v/>
      </c>
      <c r="X949">
        <f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>
      <c r="K950">
        <f>IF(H450="","",IF(SUMPRODUCT(--($C$2:$C$501=H450))&gt;0,"",H450))</f>
        <v/>
      </c>
      <c r="L950">
        <f>IF(K950="","",IF(ISNUMBER('List 2'!A450),'List 2'!A450,TRIM('List 2'!A450)))</f>
        <v/>
      </c>
      <c r="M950">
        <f>IF(K950="","",IF(ISNUMBER('List 2'!C450),'List 2'!C450,TRIM('List 2'!C450)))</f>
        <v/>
      </c>
      <c r="N950">
        <f>IF(K950="","",IF(ISNUMBER('List 2'!D450),'List 2'!D450,TRIM('List 2'!D450)))</f>
        <v/>
      </c>
      <c r="O950">
        <f>IF(K950="","",0)</f>
        <v/>
      </c>
      <c r="P950">
        <f>IF(K950="","",I450)</f>
        <v/>
      </c>
      <c r="Q950">
        <f>IF(K950="","",FALSE)</f>
        <v/>
      </c>
      <c r="R950">
        <f>IF(K950="","",TRUE)</f>
        <v/>
      </c>
      <c r="S950">
        <f>IF(K950="","",IF(AND(Q950,R950),IF(O950=P950,"Match","Qty Different"),IF(Q950,"Only in List 1","Only in List 2")))</f>
        <v/>
      </c>
      <c r="T950">
        <f>IF(K950="","",IF(ISNUMBER(--L950),TEXT(--L950,"000000000000.000"),LOWER(L950)))</f>
        <v/>
      </c>
      <c r="U950">
        <f>IF(K950="","",IF(ISNUMBER(--M950),TEXT(--M950,"000000000000.000"),LOWER(M950)))</f>
        <v/>
      </c>
      <c r="V950">
        <f>IF(K950="","",LOWER(N950))</f>
        <v/>
      </c>
      <c r="W950">
        <f>IF(K950="","",G450)</f>
        <v/>
      </c>
      <c r="X950">
        <f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>
      <c r="K951">
        <f>IF(H451="","",IF(SUMPRODUCT(--($C$2:$C$501=H451))&gt;0,"",H451))</f>
        <v/>
      </c>
      <c r="L951">
        <f>IF(K951="","",IF(ISNUMBER('List 2'!A451),'List 2'!A451,TRIM('List 2'!A451)))</f>
        <v/>
      </c>
      <c r="M951">
        <f>IF(K951="","",IF(ISNUMBER('List 2'!C451),'List 2'!C451,TRIM('List 2'!C451)))</f>
        <v/>
      </c>
      <c r="N951">
        <f>IF(K951="","",IF(ISNUMBER('List 2'!D451),'List 2'!D451,TRIM('List 2'!D451)))</f>
        <v/>
      </c>
      <c r="O951">
        <f>IF(K951="","",0)</f>
        <v/>
      </c>
      <c r="P951">
        <f>IF(K951="","",I451)</f>
        <v/>
      </c>
      <c r="Q951">
        <f>IF(K951="","",FALSE)</f>
        <v/>
      </c>
      <c r="R951">
        <f>IF(K951="","",TRUE)</f>
        <v/>
      </c>
      <c r="S951">
        <f>IF(K951="","",IF(AND(Q951,R951),IF(O951=P951,"Match","Qty Different"),IF(Q951,"Only in List 1","Only in List 2")))</f>
        <v/>
      </c>
      <c r="T951">
        <f>IF(K951="","",IF(ISNUMBER(--L951),TEXT(--L951,"000000000000.000"),LOWER(L951)))</f>
        <v/>
      </c>
      <c r="U951">
        <f>IF(K951="","",IF(ISNUMBER(--M951),TEXT(--M951,"000000000000.000"),LOWER(M951)))</f>
        <v/>
      </c>
      <c r="V951">
        <f>IF(K951="","",LOWER(N951))</f>
        <v/>
      </c>
      <c r="W951">
        <f>IF(K951="","",G451)</f>
        <v/>
      </c>
      <c r="X951">
        <f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>
      <c r="K952">
        <f>IF(H452="","",IF(SUMPRODUCT(--($C$2:$C$501=H452))&gt;0,"",H452))</f>
        <v/>
      </c>
      <c r="L952">
        <f>IF(K952="","",IF(ISNUMBER('List 2'!A452),'List 2'!A452,TRIM('List 2'!A452)))</f>
        <v/>
      </c>
      <c r="M952">
        <f>IF(K952="","",IF(ISNUMBER('List 2'!C452),'List 2'!C452,TRIM('List 2'!C452)))</f>
        <v/>
      </c>
      <c r="N952">
        <f>IF(K952="","",IF(ISNUMBER('List 2'!D452),'List 2'!D452,TRIM('List 2'!D452)))</f>
        <v/>
      </c>
      <c r="O952">
        <f>IF(K952="","",0)</f>
        <v/>
      </c>
      <c r="P952">
        <f>IF(K952="","",I452)</f>
        <v/>
      </c>
      <c r="Q952">
        <f>IF(K952="","",FALSE)</f>
        <v/>
      </c>
      <c r="R952">
        <f>IF(K952="","",TRUE)</f>
        <v/>
      </c>
      <c r="S952">
        <f>IF(K952="","",IF(AND(Q952,R952),IF(O952=P952,"Match","Qty Different"),IF(Q952,"Only in List 1","Only in List 2")))</f>
        <v/>
      </c>
      <c r="T952">
        <f>IF(K952="","",IF(ISNUMBER(--L952),TEXT(--L952,"000000000000.000"),LOWER(L952)))</f>
        <v/>
      </c>
      <c r="U952">
        <f>IF(K952="","",IF(ISNUMBER(--M952),TEXT(--M952,"000000000000.000"),LOWER(M952)))</f>
        <v/>
      </c>
      <c r="V952">
        <f>IF(K952="","",LOWER(N952))</f>
        <v/>
      </c>
      <c r="W952">
        <f>IF(K952="","",G452)</f>
        <v/>
      </c>
      <c r="X952">
        <f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>
      <c r="K953">
        <f>IF(H453="","",IF(SUMPRODUCT(--($C$2:$C$501=H453))&gt;0,"",H453))</f>
        <v/>
      </c>
      <c r="L953">
        <f>IF(K953="","",IF(ISNUMBER('List 2'!A453),'List 2'!A453,TRIM('List 2'!A453)))</f>
        <v/>
      </c>
      <c r="M953">
        <f>IF(K953="","",IF(ISNUMBER('List 2'!C453),'List 2'!C453,TRIM('List 2'!C453)))</f>
        <v/>
      </c>
      <c r="N953">
        <f>IF(K953="","",IF(ISNUMBER('List 2'!D453),'List 2'!D453,TRIM('List 2'!D453)))</f>
        <v/>
      </c>
      <c r="O953">
        <f>IF(K953="","",0)</f>
        <v/>
      </c>
      <c r="P953">
        <f>IF(K953="","",I453)</f>
        <v/>
      </c>
      <c r="Q953">
        <f>IF(K953="","",FALSE)</f>
        <v/>
      </c>
      <c r="R953">
        <f>IF(K953="","",TRUE)</f>
        <v/>
      </c>
      <c r="S953">
        <f>IF(K953="","",IF(AND(Q953,R953),IF(O953=P953,"Match","Qty Different"),IF(Q953,"Only in List 1","Only in List 2")))</f>
        <v/>
      </c>
      <c r="T953">
        <f>IF(K953="","",IF(ISNUMBER(--L953),TEXT(--L953,"000000000000.000"),LOWER(L953)))</f>
        <v/>
      </c>
      <c r="U953">
        <f>IF(K953="","",IF(ISNUMBER(--M953),TEXT(--M953,"000000000000.000"),LOWER(M953)))</f>
        <v/>
      </c>
      <c r="V953">
        <f>IF(K953="","",LOWER(N953))</f>
        <v/>
      </c>
      <c r="W953">
        <f>IF(K953="","",G453)</f>
        <v/>
      </c>
      <c r="X953">
        <f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>
      <c r="K954">
        <f>IF(H454="","",IF(SUMPRODUCT(--($C$2:$C$501=H454))&gt;0,"",H454))</f>
        <v/>
      </c>
      <c r="L954">
        <f>IF(K954="","",IF(ISNUMBER('List 2'!A454),'List 2'!A454,TRIM('List 2'!A454)))</f>
        <v/>
      </c>
      <c r="M954">
        <f>IF(K954="","",IF(ISNUMBER('List 2'!C454),'List 2'!C454,TRIM('List 2'!C454)))</f>
        <v/>
      </c>
      <c r="N954">
        <f>IF(K954="","",IF(ISNUMBER('List 2'!D454),'List 2'!D454,TRIM('List 2'!D454)))</f>
        <v/>
      </c>
      <c r="O954">
        <f>IF(K954="","",0)</f>
        <v/>
      </c>
      <c r="P954">
        <f>IF(K954="","",I454)</f>
        <v/>
      </c>
      <c r="Q954">
        <f>IF(K954="","",FALSE)</f>
        <v/>
      </c>
      <c r="R954">
        <f>IF(K954="","",TRUE)</f>
        <v/>
      </c>
      <c r="S954">
        <f>IF(K954="","",IF(AND(Q954,R954),IF(O954=P954,"Match","Qty Different"),IF(Q954,"Only in List 1","Only in List 2")))</f>
        <v/>
      </c>
      <c r="T954">
        <f>IF(K954="","",IF(ISNUMBER(--L954),TEXT(--L954,"000000000000.000"),LOWER(L954)))</f>
        <v/>
      </c>
      <c r="U954">
        <f>IF(K954="","",IF(ISNUMBER(--M954),TEXT(--M954,"000000000000.000"),LOWER(M954)))</f>
        <v/>
      </c>
      <c r="V954">
        <f>IF(K954="","",LOWER(N954))</f>
        <v/>
      </c>
      <c r="W954">
        <f>IF(K954="","",G454)</f>
        <v/>
      </c>
      <c r="X954">
        <f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>
      <c r="K955">
        <f>IF(H455="","",IF(SUMPRODUCT(--($C$2:$C$501=H455))&gt;0,"",H455))</f>
        <v/>
      </c>
      <c r="L955">
        <f>IF(K955="","",IF(ISNUMBER('List 2'!A455),'List 2'!A455,TRIM('List 2'!A455)))</f>
        <v/>
      </c>
      <c r="M955">
        <f>IF(K955="","",IF(ISNUMBER('List 2'!C455),'List 2'!C455,TRIM('List 2'!C455)))</f>
        <v/>
      </c>
      <c r="N955">
        <f>IF(K955="","",IF(ISNUMBER('List 2'!D455),'List 2'!D455,TRIM('List 2'!D455)))</f>
        <v/>
      </c>
      <c r="O955">
        <f>IF(K955="","",0)</f>
        <v/>
      </c>
      <c r="P955">
        <f>IF(K955="","",I455)</f>
        <v/>
      </c>
      <c r="Q955">
        <f>IF(K955="","",FALSE)</f>
        <v/>
      </c>
      <c r="R955">
        <f>IF(K955="","",TRUE)</f>
        <v/>
      </c>
      <c r="S955">
        <f>IF(K955="","",IF(AND(Q955,R955),IF(O955=P955,"Match","Qty Different"),IF(Q955,"Only in List 1","Only in List 2")))</f>
        <v/>
      </c>
      <c r="T955">
        <f>IF(K955="","",IF(ISNUMBER(--L955),TEXT(--L955,"000000000000.000"),LOWER(L955)))</f>
        <v/>
      </c>
      <c r="U955">
        <f>IF(K955="","",IF(ISNUMBER(--M955),TEXT(--M955,"000000000000.000"),LOWER(M955)))</f>
        <v/>
      </c>
      <c r="V955">
        <f>IF(K955="","",LOWER(N955))</f>
        <v/>
      </c>
      <c r="W955">
        <f>IF(K955="","",G455)</f>
        <v/>
      </c>
      <c r="X955">
        <f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>
      <c r="K956">
        <f>IF(H456="","",IF(SUMPRODUCT(--($C$2:$C$501=H456))&gt;0,"",H456))</f>
        <v/>
      </c>
      <c r="L956">
        <f>IF(K956="","",IF(ISNUMBER('List 2'!A456),'List 2'!A456,TRIM('List 2'!A456)))</f>
        <v/>
      </c>
      <c r="M956">
        <f>IF(K956="","",IF(ISNUMBER('List 2'!C456),'List 2'!C456,TRIM('List 2'!C456)))</f>
        <v/>
      </c>
      <c r="N956">
        <f>IF(K956="","",IF(ISNUMBER('List 2'!D456),'List 2'!D456,TRIM('List 2'!D456)))</f>
        <v/>
      </c>
      <c r="O956">
        <f>IF(K956="","",0)</f>
        <v/>
      </c>
      <c r="P956">
        <f>IF(K956="","",I456)</f>
        <v/>
      </c>
      <c r="Q956">
        <f>IF(K956="","",FALSE)</f>
        <v/>
      </c>
      <c r="R956">
        <f>IF(K956="","",TRUE)</f>
        <v/>
      </c>
      <c r="S956">
        <f>IF(K956="","",IF(AND(Q956,R956),IF(O956=P956,"Match","Qty Different"),IF(Q956,"Only in List 1","Only in List 2")))</f>
        <v/>
      </c>
      <c r="T956">
        <f>IF(K956="","",IF(ISNUMBER(--L956),TEXT(--L956,"000000000000.000"),LOWER(L956)))</f>
        <v/>
      </c>
      <c r="U956">
        <f>IF(K956="","",IF(ISNUMBER(--M956),TEXT(--M956,"000000000000.000"),LOWER(M956)))</f>
        <v/>
      </c>
      <c r="V956">
        <f>IF(K956="","",LOWER(N956))</f>
        <v/>
      </c>
      <c r="W956">
        <f>IF(K956="","",G456)</f>
        <v/>
      </c>
      <c r="X956">
        <f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>
      <c r="K957">
        <f>IF(H457="","",IF(SUMPRODUCT(--($C$2:$C$501=H457))&gt;0,"",H457))</f>
        <v/>
      </c>
      <c r="L957">
        <f>IF(K957="","",IF(ISNUMBER('List 2'!A457),'List 2'!A457,TRIM('List 2'!A457)))</f>
        <v/>
      </c>
      <c r="M957">
        <f>IF(K957="","",IF(ISNUMBER('List 2'!C457),'List 2'!C457,TRIM('List 2'!C457)))</f>
        <v/>
      </c>
      <c r="N957">
        <f>IF(K957="","",IF(ISNUMBER('List 2'!D457),'List 2'!D457,TRIM('List 2'!D457)))</f>
        <v/>
      </c>
      <c r="O957">
        <f>IF(K957="","",0)</f>
        <v/>
      </c>
      <c r="P957">
        <f>IF(K957="","",I457)</f>
        <v/>
      </c>
      <c r="Q957">
        <f>IF(K957="","",FALSE)</f>
        <v/>
      </c>
      <c r="R957">
        <f>IF(K957="","",TRUE)</f>
        <v/>
      </c>
      <c r="S957">
        <f>IF(K957="","",IF(AND(Q957,R957),IF(O957=P957,"Match","Qty Different"),IF(Q957,"Only in List 1","Only in List 2")))</f>
        <v/>
      </c>
      <c r="T957">
        <f>IF(K957="","",IF(ISNUMBER(--L957),TEXT(--L957,"000000000000.000"),LOWER(L957)))</f>
        <v/>
      </c>
      <c r="U957">
        <f>IF(K957="","",IF(ISNUMBER(--M957),TEXT(--M957,"000000000000.000"),LOWER(M957)))</f>
        <v/>
      </c>
      <c r="V957">
        <f>IF(K957="","",LOWER(N957))</f>
        <v/>
      </c>
      <c r="W957">
        <f>IF(K957="","",G457)</f>
        <v/>
      </c>
      <c r="X957">
        <f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>
      <c r="K958">
        <f>IF(H458="","",IF(SUMPRODUCT(--($C$2:$C$501=H458))&gt;0,"",H458))</f>
        <v/>
      </c>
      <c r="L958">
        <f>IF(K958="","",IF(ISNUMBER('List 2'!A458),'List 2'!A458,TRIM('List 2'!A458)))</f>
        <v/>
      </c>
      <c r="M958">
        <f>IF(K958="","",IF(ISNUMBER('List 2'!C458),'List 2'!C458,TRIM('List 2'!C458)))</f>
        <v/>
      </c>
      <c r="N958">
        <f>IF(K958="","",IF(ISNUMBER('List 2'!D458),'List 2'!D458,TRIM('List 2'!D458)))</f>
        <v/>
      </c>
      <c r="O958">
        <f>IF(K958="","",0)</f>
        <v/>
      </c>
      <c r="P958">
        <f>IF(K958="","",I458)</f>
        <v/>
      </c>
      <c r="Q958">
        <f>IF(K958="","",FALSE)</f>
        <v/>
      </c>
      <c r="R958">
        <f>IF(K958="","",TRUE)</f>
        <v/>
      </c>
      <c r="S958">
        <f>IF(K958="","",IF(AND(Q958,R958),IF(O958=P958,"Match","Qty Different"),IF(Q958,"Only in List 1","Only in List 2")))</f>
        <v/>
      </c>
      <c r="T958">
        <f>IF(K958="","",IF(ISNUMBER(--L958),TEXT(--L958,"000000000000.000"),LOWER(L958)))</f>
        <v/>
      </c>
      <c r="U958">
        <f>IF(K958="","",IF(ISNUMBER(--M958),TEXT(--M958,"000000000000.000"),LOWER(M958)))</f>
        <v/>
      </c>
      <c r="V958">
        <f>IF(K958="","",LOWER(N958))</f>
        <v/>
      </c>
      <c r="W958">
        <f>IF(K958="","",G458)</f>
        <v/>
      </c>
      <c r="X958">
        <f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>
      <c r="K959">
        <f>IF(H459="","",IF(SUMPRODUCT(--($C$2:$C$501=H459))&gt;0,"",H459))</f>
        <v/>
      </c>
      <c r="L959">
        <f>IF(K959="","",IF(ISNUMBER('List 2'!A459),'List 2'!A459,TRIM('List 2'!A459)))</f>
        <v/>
      </c>
      <c r="M959">
        <f>IF(K959="","",IF(ISNUMBER('List 2'!C459),'List 2'!C459,TRIM('List 2'!C459)))</f>
        <v/>
      </c>
      <c r="N959">
        <f>IF(K959="","",IF(ISNUMBER('List 2'!D459),'List 2'!D459,TRIM('List 2'!D459)))</f>
        <v/>
      </c>
      <c r="O959">
        <f>IF(K959="","",0)</f>
        <v/>
      </c>
      <c r="P959">
        <f>IF(K959="","",I459)</f>
        <v/>
      </c>
      <c r="Q959">
        <f>IF(K959="","",FALSE)</f>
        <v/>
      </c>
      <c r="R959">
        <f>IF(K959="","",TRUE)</f>
        <v/>
      </c>
      <c r="S959">
        <f>IF(K959="","",IF(AND(Q959,R959),IF(O959=P959,"Match","Qty Different"),IF(Q959,"Only in List 1","Only in List 2")))</f>
        <v/>
      </c>
      <c r="T959">
        <f>IF(K959="","",IF(ISNUMBER(--L959),TEXT(--L959,"000000000000.000"),LOWER(L959)))</f>
        <v/>
      </c>
      <c r="U959">
        <f>IF(K959="","",IF(ISNUMBER(--M959),TEXT(--M959,"000000000000.000"),LOWER(M959)))</f>
        <v/>
      </c>
      <c r="V959">
        <f>IF(K959="","",LOWER(N959))</f>
        <v/>
      </c>
      <c r="W959">
        <f>IF(K959="","",G459)</f>
        <v/>
      </c>
      <c r="X959">
        <f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>
      <c r="K960">
        <f>IF(H460="","",IF(SUMPRODUCT(--($C$2:$C$501=H460))&gt;0,"",H460))</f>
        <v/>
      </c>
      <c r="L960">
        <f>IF(K960="","",IF(ISNUMBER('List 2'!A460),'List 2'!A460,TRIM('List 2'!A460)))</f>
        <v/>
      </c>
      <c r="M960">
        <f>IF(K960="","",IF(ISNUMBER('List 2'!C460),'List 2'!C460,TRIM('List 2'!C460)))</f>
        <v/>
      </c>
      <c r="N960">
        <f>IF(K960="","",IF(ISNUMBER('List 2'!D460),'List 2'!D460,TRIM('List 2'!D460)))</f>
        <v/>
      </c>
      <c r="O960">
        <f>IF(K960="","",0)</f>
        <v/>
      </c>
      <c r="P960">
        <f>IF(K960="","",I460)</f>
        <v/>
      </c>
      <c r="Q960">
        <f>IF(K960="","",FALSE)</f>
        <v/>
      </c>
      <c r="R960">
        <f>IF(K960="","",TRUE)</f>
        <v/>
      </c>
      <c r="S960">
        <f>IF(K960="","",IF(AND(Q960,R960),IF(O960=P960,"Match","Qty Different"),IF(Q960,"Only in List 1","Only in List 2")))</f>
        <v/>
      </c>
      <c r="T960">
        <f>IF(K960="","",IF(ISNUMBER(--L960),TEXT(--L960,"000000000000.000"),LOWER(L960)))</f>
        <v/>
      </c>
      <c r="U960">
        <f>IF(K960="","",IF(ISNUMBER(--M960),TEXT(--M960,"000000000000.000"),LOWER(M960)))</f>
        <v/>
      </c>
      <c r="V960">
        <f>IF(K960="","",LOWER(N960))</f>
        <v/>
      </c>
      <c r="W960">
        <f>IF(K960="","",G460)</f>
        <v/>
      </c>
      <c r="X960">
        <f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>
      <c r="K961">
        <f>IF(H461="","",IF(SUMPRODUCT(--($C$2:$C$501=H461))&gt;0,"",H461))</f>
        <v/>
      </c>
      <c r="L961">
        <f>IF(K961="","",IF(ISNUMBER('List 2'!A461),'List 2'!A461,TRIM('List 2'!A461)))</f>
        <v/>
      </c>
      <c r="M961">
        <f>IF(K961="","",IF(ISNUMBER('List 2'!C461),'List 2'!C461,TRIM('List 2'!C461)))</f>
        <v/>
      </c>
      <c r="N961">
        <f>IF(K961="","",IF(ISNUMBER('List 2'!D461),'List 2'!D461,TRIM('List 2'!D461)))</f>
        <v/>
      </c>
      <c r="O961">
        <f>IF(K961="","",0)</f>
        <v/>
      </c>
      <c r="P961">
        <f>IF(K961="","",I461)</f>
        <v/>
      </c>
      <c r="Q961">
        <f>IF(K961="","",FALSE)</f>
        <v/>
      </c>
      <c r="R961">
        <f>IF(K961="","",TRUE)</f>
        <v/>
      </c>
      <c r="S961">
        <f>IF(K961="","",IF(AND(Q961,R961),IF(O961=P961,"Match","Qty Different"),IF(Q961,"Only in List 1","Only in List 2")))</f>
        <v/>
      </c>
      <c r="T961">
        <f>IF(K961="","",IF(ISNUMBER(--L961),TEXT(--L961,"000000000000.000"),LOWER(L961)))</f>
        <v/>
      </c>
      <c r="U961">
        <f>IF(K961="","",IF(ISNUMBER(--M961),TEXT(--M961,"000000000000.000"),LOWER(M961)))</f>
        <v/>
      </c>
      <c r="V961">
        <f>IF(K961="","",LOWER(N961))</f>
        <v/>
      </c>
      <c r="W961">
        <f>IF(K961="","",G461)</f>
        <v/>
      </c>
      <c r="X961">
        <f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>
      <c r="K962">
        <f>IF(H462="","",IF(SUMPRODUCT(--($C$2:$C$501=H462))&gt;0,"",H462))</f>
        <v/>
      </c>
      <c r="L962">
        <f>IF(K962="","",IF(ISNUMBER('List 2'!A462),'List 2'!A462,TRIM('List 2'!A462)))</f>
        <v/>
      </c>
      <c r="M962">
        <f>IF(K962="","",IF(ISNUMBER('List 2'!C462),'List 2'!C462,TRIM('List 2'!C462)))</f>
        <v/>
      </c>
      <c r="N962">
        <f>IF(K962="","",IF(ISNUMBER('List 2'!D462),'List 2'!D462,TRIM('List 2'!D462)))</f>
        <v/>
      </c>
      <c r="O962">
        <f>IF(K962="","",0)</f>
        <v/>
      </c>
      <c r="P962">
        <f>IF(K962="","",I462)</f>
        <v/>
      </c>
      <c r="Q962">
        <f>IF(K962="","",FALSE)</f>
        <v/>
      </c>
      <c r="R962">
        <f>IF(K962="","",TRUE)</f>
        <v/>
      </c>
      <c r="S962">
        <f>IF(K962="","",IF(AND(Q962,R962),IF(O962=P962,"Match","Qty Different"),IF(Q962,"Only in List 1","Only in List 2")))</f>
        <v/>
      </c>
      <c r="T962">
        <f>IF(K962="","",IF(ISNUMBER(--L962),TEXT(--L962,"000000000000.000"),LOWER(L962)))</f>
        <v/>
      </c>
      <c r="U962">
        <f>IF(K962="","",IF(ISNUMBER(--M962),TEXT(--M962,"000000000000.000"),LOWER(M962)))</f>
        <v/>
      </c>
      <c r="V962">
        <f>IF(K962="","",LOWER(N962))</f>
        <v/>
      </c>
      <c r="W962">
        <f>IF(K962="","",G462)</f>
        <v/>
      </c>
      <c r="X962">
        <f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>
      <c r="K963">
        <f>IF(H463="","",IF(SUMPRODUCT(--($C$2:$C$501=H463))&gt;0,"",H463))</f>
        <v/>
      </c>
      <c r="L963">
        <f>IF(K963="","",IF(ISNUMBER('List 2'!A463),'List 2'!A463,TRIM('List 2'!A463)))</f>
        <v/>
      </c>
      <c r="M963">
        <f>IF(K963="","",IF(ISNUMBER('List 2'!C463),'List 2'!C463,TRIM('List 2'!C463)))</f>
        <v/>
      </c>
      <c r="N963">
        <f>IF(K963="","",IF(ISNUMBER('List 2'!D463),'List 2'!D463,TRIM('List 2'!D463)))</f>
        <v/>
      </c>
      <c r="O963">
        <f>IF(K963="","",0)</f>
        <v/>
      </c>
      <c r="P963">
        <f>IF(K963="","",I463)</f>
        <v/>
      </c>
      <c r="Q963">
        <f>IF(K963="","",FALSE)</f>
        <v/>
      </c>
      <c r="R963">
        <f>IF(K963="","",TRUE)</f>
        <v/>
      </c>
      <c r="S963">
        <f>IF(K963="","",IF(AND(Q963,R963),IF(O963=P963,"Match","Qty Different"),IF(Q963,"Only in List 1","Only in List 2")))</f>
        <v/>
      </c>
      <c r="T963">
        <f>IF(K963="","",IF(ISNUMBER(--L963),TEXT(--L963,"000000000000.000"),LOWER(L963)))</f>
        <v/>
      </c>
      <c r="U963">
        <f>IF(K963="","",IF(ISNUMBER(--M963),TEXT(--M963,"000000000000.000"),LOWER(M963)))</f>
        <v/>
      </c>
      <c r="V963">
        <f>IF(K963="","",LOWER(N963))</f>
        <v/>
      </c>
      <c r="W963">
        <f>IF(K963="","",G463)</f>
        <v/>
      </c>
      <c r="X963">
        <f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>
      <c r="K964">
        <f>IF(H464="","",IF(SUMPRODUCT(--($C$2:$C$501=H464))&gt;0,"",H464))</f>
        <v/>
      </c>
      <c r="L964">
        <f>IF(K964="","",IF(ISNUMBER('List 2'!A464),'List 2'!A464,TRIM('List 2'!A464)))</f>
        <v/>
      </c>
      <c r="M964">
        <f>IF(K964="","",IF(ISNUMBER('List 2'!C464),'List 2'!C464,TRIM('List 2'!C464)))</f>
        <v/>
      </c>
      <c r="N964">
        <f>IF(K964="","",IF(ISNUMBER('List 2'!D464),'List 2'!D464,TRIM('List 2'!D464)))</f>
        <v/>
      </c>
      <c r="O964">
        <f>IF(K964="","",0)</f>
        <v/>
      </c>
      <c r="P964">
        <f>IF(K964="","",I464)</f>
        <v/>
      </c>
      <c r="Q964">
        <f>IF(K964="","",FALSE)</f>
        <v/>
      </c>
      <c r="R964">
        <f>IF(K964="","",TRUE)</f>
        <v/>
      </c>
      <c r="S964">
        <f>IF(K964="","",IF(AND(Q964,R964),IF(O964=P964,"Match","Qty Different"),IF(Q964,"Only in List 1","Only in List 2")))</f>
        <v/>
      </c>
      <c r="T964">
        <f>IF(K964="","",IF(ISNUMBER(--L964),TEXT(--L964,"000000000000.000"),LOWER(L964)))</f>
        <v/>
      </c>
      <c r="U964">
        <f>IF(K964="","",IF(ISNUMBER(--M964),TEXT(--M964,"000000000000.000"),LOWER(M964)))</f>
        <v/>
      </c>
      <c r="V964">
        <f>IF(K964="","",LOWER(N964))</f>
        <v/>
      </c>
      <c r="W964">
        <f>IF(K964="","",G464)</f>
        <v/>
      </c>
      <c r="X964">
        <f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>
      <c r="K965">
        <f>IF(H465="","",IF(SUMPRODUCT(--($C$2:$C$501=H465))&gt;0,"",H465))</f>
        <v/>
      </c>
      <c r="L965">
        <f>IF(K965="","",IF(ISNUMBER('List 2'!A465),'List 2'!A465,TRIM('List 2'!A465)))</f>
        <v/>
      </c>
      <c r="M965">
        <f>IF(K965="","",IF(ISNUMBER('List 2'!C465),'List 2'!C465,TRIM('List 2'!C465)))</f>
        <v/>
      </c>
      <c r="N965">
        <f>IF(K965="","",IF(ISNUMBER('List 2'!D465),'List 2'!D465,TRIM('List 2'!D465)))</f>
        <v/>
      </c>
      <c r="O965">
        <f>IF(K965="","",0)</f>
        <v/>
      </c>
      <c r="P965">
        <f>IF(K965="","",I465)</f>
        <v/>
      </c>
      <c r="Q965">
        <f>IF(K965="","",FALSE)</f>
        <v/>
      </c>
      <c r="R965">
        <f>IF(K965="","",TRUE)</f>
        <v/>
      </c>
      <c r="S965">
        <f>IF(K965="","",IF(AND(Q965,R965),IF(O965=P965,"Match","Qty Different"),IF(Q965,"Only in List 1","Only in List 2")))</f>
        <v/>
      </c>
      <c r="T965">
        <f>IF(K965="","",IF(ISNUMBER(--L965),TEXT(--L965,"000000000000.000"),LOWER(L965)))</f>
        <v/>
      </c>
      <c r="U965">
        <f>IF(K965="","",IF(ISNUMBER(--M965),TEXT(--M965,"000000000000.000"),LOWER(M965)))</f>
        <v/>
      </c>
      <c r="V965">
        <f>IF(K965="","",LOWER(N965))</f>
        <v/>
      </c>
      <c r="W965">
        <f>IF(K965="","",G465)</f>
        <v/>
      </c>
      <c r="X965">
        <f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>
      <c r="K966">
        <f>IF(H466="","",IF(SUMPRODUCT(--($C$2:$C$501=H466))&gt;0,"",H466))</f>
        <v/>
      </c>
      <c r="L966">
        <f>IF(K966="","",IF(ISNUMBER('List 2'!A466),'List 2'!A466,TRIM('List 2'!A466)))</f>
        <v/>
      </c>
      <c r="M966">
        <f>IF(K966="","",IF(ISNUMBER('List 2'!C466),'List 2'!C466,TRIM('List 2'!C466)))</f>
        <v/>
      </c>
      <c r="N966">
        <f>IF(K966="","",IF(ISNUMBER('List 2'!D466),'List 2'!D466,TRIM('List 2'!D466)))</f>
        <v/>
      </c>
      <c r="O966">
        <f>IF(K966="","",0)</f>
        <v/>
      </c>
      <c r="P966">
        <f>IF(K966="","",I466)</f>
        <v/>
      </c>
      <c r="Q966">
        <f>IF(K966="","",FALSE)</f>
        <v/>
      </c>
      <c r="R966">
        <f>IF(K966="","",TRUE)</f>
        <v/>
      </c>
      <c r="S966">
        <f>IF(K966="","",IF(AND(Q966,R966),IF(O966=P966,"Match","Qty Different"),IF(Q966,"Only in List 1","Only in List 2")))</f>
        <v/>
      </c>
      <c r="T966">
        <f>IF(K966="","",IF(ISNUMBER(--L966),TEXT(--L966,"000000000000.000"),LOWER(L966)))</f>
        <v/>
      </c>
      <c r="U966">
        <f>IF(K966="","",IF(ISNUMBER(--M966),TEXT(--M966,"000000000000.000"),LOWER(M966)))</f>
        <v/>
      </c>
      <c r="V966">
        <f>IF(K966="","",LOWER(N966))</f>
        <v/>
      </c>
      <c r="W966">
        <f>IF(K966="","",G466)</f>
        <v/>
      </c>
      <c r="X966">
        <f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>
      <c r="K967">
        <f>IF(H467="","",IF(SUMPRODUCT(--($C$2:$C$501=H467))&gt;0,"",H467))</f>
        <v/>
      </c>
      <c r="L967">
        <f>IF(K967="","",IF(ISNUMBER('List 2'!A467),'List 2'!A467,TRIM('List 2'!A467)))</f>
        <v/>
      </c>
      <c r="M967">
        <f>IF(K967="","",IF(ISNUMBER('List 2'!C467),'List 2'!C467,TRIM('List 2'!C467)))</f>
        <v/>
      </c>
      <c r="N967">
        <f>IF(K967="","",IF(ISNUMBER('List 2'!D467),'List 2'!D467,TRIM('List 2'!D467)))</f>
        <v/>
      </c>
      <c r="O967">
        <f>IF(K967="","",0)</f>
        <v/>
      </c>
      <c r="P967">
        <f>IF(K967="","",I467)</f>
        <v/>
      </c>
      <c r="Q967">
        <f>IF(K967="","",FALSE)</f>
        <v/>
      </c>
      <c r="R967">
        <f>IF(K967="","",TRUE)</f>
        <v/>
      </c>
      <c r="S967">
        <f>IF(K967="","",IF(AND(Q967,R967),IF(O967=P967,"Match","Qty Different"),IF(Q967,"Only in List 1","Only in List 2")))</f>
        <v/>
      </c>
      <c r="T967">
        <f>IF(K967="","",IF(ISNUMBER(--L967),TEXT(--L967,"000000000000.000"),LOWER(L967)))</f>
        <v/>
      </c>
      <c r="U967">
        <f>IF(K967="","",IF(ISNUMBER(--M967),TEXT(--M967,"000000000000.000"),LOWER(M967)))</f>
        <v/>
      </c>
      <c r="V967">
        <f>IF(K967="","",LOWER(N967))</f>
        <v/>
      </c>
      <c r="W967">
        <f>IF(K967="","",G467)</f>
        <v/>
      </c>
      <c r="X967">
        <f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>
      <c r="K968">
        <f>IF(H468="","",IF(SUMPRODUCT(--($C$2:$C$501=H468))&gt;0,"",H468))</f>
        <v/>
      </c>
      <c r="L968">
        <f>IF(K968="","",IF(ISNUMBER('List 2'!A468),'List 2'!A468,TRIM('List 2'!A468)))</f>
        <v/>
      </c>
      <c r="M968">
        <f>IF(K968="","",IF(ISNUMBER('List 2'!C468),'List 2'!C468,TRIM('List 2'!C468)))</f>
        <v/>
      </c>
      <c r="N968">
        <f>IF(K968="","",IF(ISNUMBER('List 2'!D468),'List 2'!D468,TRIM('List 2'!D468)))</f>
        <v/>
      </c>
      <c r="O968">
        <f>IF(K968="","",0)</f>
        <v/>
      </c>
      <c r="P968">
        <f>IF(K968="","",I468)</f>
        <v/>
      </c>
      <c r="Q968">
        <f>IF(K968="","",FALSE)</f>
        <v/>
      </c>
      <c r="R968">
        <f>IF(K968="","",TRUE)</f>
        <v/>
      </c>
      <c r="S968">
        <f>IF(K968="","",IF(AND(Q968,R968),IF(O968=P968,"Match","Qty Different"),IF(Q968,"Only in List 1","Only in List 2")))</f>
        <v/>
      </c>
      <c r="T968">
        <f>IF(K968="","",IF(ISNUMBER(--L968),TEXT(--L968,"000000000000.000"),LOWER(L968)))</f>
        <v/>
      </c>
      <c r="U968">
        <f>IF(K968="","",IF(ISNUMBER(--M968),TEXT(--M968,"000000000000.000"),LOWER(M968)))</f>
        <v/>
      </c>
      <c r="V968">
        <f>IF(K968="","",LOWER(N968))</f>
        <v/>
      </c>
      <c r="W968">
        <f>IF(K968="","",G468)</f>
        <v/>
      </c>
      <c r="X968">
        <f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>
      <c r="K969">
        <f>IF(H469="","",IF(SUMPRODUCT(--($C$2:$C$501=H469))&gt;0,"",H469))</f>
        <v/>
      </c>
      <c r="L969">
        <f>IF(K969="","",IF(ISNUMBER('List 2'!A469),'List 2'!A469,TRIM('List 2'!A469)))</f>
        <v/>
      </c>
      <c r="M969">
        <f>IF(K969="","",IF(ISNUMBER('List 2'!C469),'List 2'!C469,TRIM('List 2'!C469)))</f>
        <v/>
      </c>
      <c r="N969">
        <f>IF(K969="","",IF(ISNUMBER('List 2'!D469),'List 2'!D469,TRIM('List 2'!D469)))</f>
        <v/>
      </c>
      <c r="O969">
        <f>IF(K969="","",0)</f>
        <v/>
      </c>
      <c r="P969">
        <f>IF(K969="","",I469)</f>
        <v/>
      </c>
      <c r="Q969">
        <f>IF(K969="","",FALSE)</f>
        <v/>
      </c>
      <c r="R969">
        <f>IF(K969="","",TRUE)</f>
        <v/>
      </c>
      <c r="S969">
        <f>IF(K969="","",IF(AND(Q969,R969),IF(O969=P969,"Match","Qty Different"),IF(Q969,"Only in List 1","Only in List 2")))</f>
        <v/>
      </c>
      <c r="T969">
        <f>IF(K969="","",IF(ISNUMBER(--L969),TEXT(--L969,"000000000000.000"),LOWER(L969)))</f>
        <v/>
      </c>
      <c r="U969">
        <f>IF(K969="","",IF(ISNUMBER(--M969),TEXT(--M969,"000000000000.000"),LOWER(M969)))</f>
        <v/>
      </c>
      <c r="V969">
        <f>IF(K969="","",LOWER(N969))</f>
        <v/>
      </c>
      <c r="W969">
        <f>IF(K969="","",G469)</f>
        <v/>
      </c>
      <c r="X969">
        <f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>
      <c r="K970">
        <f>IF(H470="","",IF(SUMPRODUCT(--($C$2:$C$501=H470))&gt;0,"",H470))</f>
        <v/>
      </c>
      <c r="L970">
        <f>IF(K970="","",IF(ISNUMBER('List 2'!A470),'List 2'!A470,TRIM('List 2'!A470)))</f>
        <v/>
      </c>
      <c r="M970">
        <f>IF(K970="","",IF(ISNUMBER('List 2'!C470),'List 2'!C470,TRIM('List 2'!C470)))</f>
        <v/>
      </c>
      <c r="N970">
        <f>IF(K970="","",IF(ISNUMBER('List 2'!D470),'List 2'!D470,TRIM('List 2'!D470)))</f>
        <v/>
      </c>
      <c r="O970">
        <f>IF(K970="","",0)</f>
        <v/>
      </c>
      <c r="P970">
        <f>IF(K970="","",I470)</f>
        <v/>
      </c>
      <c r="Q970">
        <f>IF(K970="","",FALSE)</f>
        <v/>
      </c>
      <c r="R970">
        <f>IF(K970="","",TRUE)</f>
        <v/>
      </c>
      <c r="S970">
        <f>IF(K970="","",IF(AND(Q970,R970),IF(O970=P970,"Match","Qty Different"),IF(Q970,"Only in List 1","Only in List 2")))</f>
        <v/>
      </c>
      <c r="T970">
        <f>IF(K970="","",IF(ISNUMBER(--L970),TEXT(--L970,"000000000000.000"),LOWER(L970)))</f>
        <v/>
      </c>
      <c r="U970">
        <f>IF(K970="","",IF(ISNUMBER(--M970),TEXT(--M970,"000000000000.000"),LOWER(M970)))</f>
        <v/>
      </c>
      <c r="V970">
        <f>IF(K970="","",LOWER(N970))</f>
        <v/>
      </c>
      <c r="W970">
        <f>IF(K970="","",G470)</f>
        <v/>
      </c>
      <c r="X970">
        <f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>
      <c r="K971">
        <f>IF(H471="","",IF(SUMPRODUCT(--($C$2:$C$501=H471))&gt;0,"",H471))</f>
        <v/>
      </c>
      <c r="L971">
        <f>IF(K971="","",IF(ISNUMBER('List 2'!A471),'List 2'!A471,TRIM('List 2'!A471)))</f>
        <v/>
      </c>
      <c r="M971">
        <f>IF(K971="","",IF(ISNUMBER('List 2'!C471),'List 2'!C471,TRIM('List 2'!C471)))</f>
        <v/>
      </c>
      <c r="N971">
        <f>IF(K971="","",IF(ISNUMBER('List 2'!D471),'List 2'!D471,TRIM('List 2'!D471)))</f>
        <v/>
      </c>
      <c r="O971">
        <f>IF(K971="","",0)</f>
        <v/>
      </c>
      <c r="P971">
        <f>IF(K971="","",I471)</f>
        <v/>
      </c>
      <c r="Q971">
        <f>IF(K971="","",FALSE)</f>
        <v/>
      </c>
      <c r="R971">
        <f>IF(K971="","",TRUE)</f>
        <v/>
      </c>
      <c r="S971">
        <f>IF(K971="","",IF(AND(Q971,R971),IF(O971=P971,"Match","Qty Different"),IF(Q971,"Only in List 1","Only in List 2")))</f>
        <v/>
      </c>
      <c r="T971">
        <f>IF(K971="","",IF(ISNUMBER(--L971),TEXT(--L971,"000000000000.000"),LOWER(L971)))</f>
        <v/>
      </c>
      <c r="U971">
        <f>IF(K971="","",IF(ISNUMBER(--M971),TEXT(--M971,"000000000000.000"),LOWER(M971)))</f>
        <v/>
      </c>
      <c r="V971">
        <f>IF(K971="","",LOWER(N971))</f>
        <v/>
      </c>
      <c r="W971">
        <f>IF(K971="","",G471)</f>
        <v/>
      </c>
      <c r="X971">
        <f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>
      <c r="K972">
        <f>IF(H472="","",IF(SUMPRODUCT(--($C$2:$C$501=H472))&gt;0,"",H472))</f>
        <v/>
      </c>
      <c r="L972">
        <f>IF(K972="","",IF(ISNUMBER('List 2'!A472),'List 2'!A472,TRIM('List 2'!A472)))</f>
        <v/>
      </c>
      <c r="M972">
        <f>IF(K972="","",IF(ISNUMBER('List 2'!C472),'List 2'!C472,TRIM('List 2'!C472)))</f>
        <v/>
      </c>
      <c r="N972">
        <f>IF(K972="","",IF(ISNUMBER('List 2'!D472),'List 2'!D472,TRIM('List 2'!D472)))</f>
        <v/>
      </c>
      <c r="O972">
        <f>IF(K972="","",0)</f>
        <v/>
      </c>
      <c r="P972">
        <f>IF(K972="","",I472)</f>
        <v/>
      </c>
      <c r="Q972">
        <f>IF(K972="","",FALSE)</f>
        <v/>
      </c>
      <c r="R972">
        <f>IF(K972="","",TRUE)</f>
        <v/>
      </c>
      <c r="S972">
        <f>IF(K972="","",IF(AND(Q972,R972),IF(O972=P972,"Match","Qty Different"),IF(Q972,"Only in List 1","Only in List 2")))</f>
        <v/>
      </c>
      <c r="T972">
        <f>IF(K972="","",IF(ISNUMBER(--L972),TEXT(--L972,"000000000000.000"),LOWER(L972)))</f>
        <v/>
      </c>
      <c r="U972">
        <f>IF(K972="","",IF(ISNUMBER(--M972),TEXT(--M972,"000000000000.000"),LOWER(M972)))</f>
        <v/>
      </c>
      <c r="V972">
        <f>IF(K972="","",LOWER(N972))</f>
        <v/>
      </c>
      <c r="W972">
        <f>IF(K972="","",G472)</f>
        <v/>
      </c>
      <c r="X972">
        <f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>
      <c r="K973">
        <f>IF(H473="","",IF(SUMPRODUCT(--($C$2:$C$501=H473))&gt;0,"",H473))</f>
        <v/>
      </c>
      <c r="L973">
        <f>IF(K973="","",IF(ISNUMBER('List 2'!A473),'List 2'!A473,TRIM('List 2'!A473)))</f>
        <v/>
      </c>
      <c r="M973">
        <f>IF(K973="","",IF(ISNUMBER('List 2'!C473),'List 2'!C473,TRIM('List 2'!C473)))</f>
        <v/>
      </c>
      <c r="N973">
        <f>IF(K973="","",IF(ISNUMBER('List 2'!D473),'List 2'!D473,TRIM('List 2'!D473)))</f>
        <v/>
      </c>
      <c r="O973">
        <f>IF(K973="","",0)</f>
        <v/>
      </c>
      <c r="P973">
        <f>IF(K973="","",I473)</f>
        <v/>
      </c>
      <c r="Q973">
        <f>IF(K973="","",FALSE)</f>
        <v/>
      </c>
      <c r="R973">
        <f>IF(K973="","",TRUE)</f>
        <v/>
      </c>
      <c r="S973">
        <f>IF(K973="","",IF(AND(Q973,R973),IF(O973=P973,"Match","Qty Different"),IF(Q973,"Only in List 1","Only in List 2")))</f>
        <v/>
      </c>
      <c r="T973">
        <f>IF(K973="","",IF(ISNUMBER(--L973),TEXT(--L973,"000000000000.000"),LOWER(L973)))</f>
        <v/>
      </c>
      <c r="U973">
        <f>IF(K973="","",IF(ISNUMBER(--M973),TEXT(--M973,"000000000000.000"),LOWER(M973)))</f>
        <v/>
      </c>
      <c r="V973">
        <f>IF(K973="","",LOWER(N973))</f>
        <v/>
      </c>
      <c r="W973">
        <f>IF(K973="","",G473)</f>
        <v/>
      </c>
      <c r="X973">
        <f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>
      <c r="K974">
        <f>IF(H474="","",IF(SUMPRODUCT(--($C$2:$C$501=H474))&gt;0,"",H474))</f>
        <v/>
      </c>
      <c r="L974">
        <f>IF(K974="","",IF(ISNUMBER('List 2'!A474),'List 2'!A474,TRIM('List 2'!A474)))</f>
        <v/>
      </c>
      <c r="M974">
        <f>IF(K974="","",IF(ISNUMBER('List 2'!C474),'List 2'!C474,TRIM('List 2'!C474)))</f>
        <v/>
      </c>
      <c r="N974">
        <f>IF(K974="","",IF(ISNUMBER('List 2'!D474),'List 2'!D474,TRIM('List 2'!D474)))</f>
        <v/>
      </c>
      <c r="O974">
        <f>IF(K974="","",0)</f>
        <v/>
      </c>
      <c r="P974">
        <f>IF(K974="","",I474)</f>
        <v/>
      </c>
      <c r="Q974">
        <f>IF(K974="","",FALSE)</f>
        <v/>
      </c>
      <c r="R974">
        <f>IF(K974="","",TRUE)</f>
        <v/>
      </c>
      <c r="S974">
        <f>IF(K974="","",IF(AND(Q974,R974),IF(O974=P974,"Match","Qty Different"),IF(Q974,"Only in List 1","Only in List 2")))</f>
        <v/>
      </c>
      <c r="T974">
        <f>IF(K974="","",IF(ISNUMBER(--L974),TEXT(--L974,"000000000000.000"),LOWER(L974)))</f>
        <v/>
      </c>
      <c r="U974">
        <f>IF(K974="","",IF(ISNUMBER(--M974),TEXT(--M974,"000000000000.000"),LOWER(M974)))</f>
        <v/>
      </c>
      <c r="V974">
        <f>IF(K974="","",LOWER(N974))</f>
        <v/>
      </c>
      <c r="W974">
        <f>IF(K974="","",G474)</f>
        <v/>
      </c>
      <c r="X974">
        <f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>
      <c r="K975">
        <f>IF(H475="","",IF(SUMPRODUCT(--($C$2:$C$501=H475))&gt;0,"",H475))</f>
        <v/>
      </c>
      <c r="L975">
        <f>IF(K975="","",IF(ISNUMBER('List 2'!A475),'List 2'!A475,TRIM('List 2'!A475)))</f>
        <v/>
      </c>
      <c r="M975">
        <f>IF(K975="","",IF(ISNUMBER('List 2'!C475),'List 2'!C475,TRIM('List 2'!C475)))</f>
        <v/>
      </c>
      <c r="N975">
        <f>IF(K975="","",IF(ISNUMBER('List 2'!D475),'List 2'!D475,TRIM('List 2'!D475)))</f>
        <v/>
      </c>
      <c r="O975">
        <f>IF(K975="","",0)</f>
        <v/>
      </c>
      <c r="P975">
        <f>IF(K975="","",I475)</f>
        <v/>
      </c>
      <c r="Q975">
        <f>IF(K975="","",FALSE)</f>
        <v/>
      </c>
      <c r="R975">
        <f>IF(K975="","",TRUE)</f>
        <v/>
      </c>
      <c r="S975">
        <f>IF(K975="","",IF(AND(Q975,R975),IF(O975=P975,"Match","Qty Different"),IF(Q975,"Only in List 1","Only in List 2")))</f>
        <v/>
      </c>
      <c r="T975">
        <f>IF(K975="","",IF(ISNUMBER(--L975),TEXT(--L975,"000000000000.000"),LOWER(L975)))</f>
        <v/>
      </c>
      <c r="U975">
        <f>IF(K975="","",IF(ISNUMBER(--M975),TEXT(--M975,"000000000000.000"),LOWER(M975)))</f>
        <v/>
      </c>
      <c r="V975">
        <f>IF(K975="","",LOWER(N975))</f>
        <v/>
      </c>
      <c r="W975">
        <f>IF(K975="","",G475)</f>
        <v/>
      </c>
      <c r="X975">
        <f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>
      <c r="K976">
        <f>IF(H476="","",IF(SUMPRODUCT(--($C$2:$C$501=H476))&gt;0,"",H476))</f>
        <v/>
      </c>
      <c r="L976">
        <f>IF(K976="","",IF(ISNUMBER('List 2'!A476),'List 2'!A476,TRIM('List 2'!A476)))</f>
        <v/>
      </c>
      <c r="M976">
        <f>IF(K976="","",IF(ISNUMBER('List 2'!C476),'List 2'!C476,TRIM('List 2'!C476)))</f>
        <v/>
      </c>
      <c r="N976">
        <f>IF(K976="","",IF(ISNUMBER('List 2'!D476),'List 2'!D476,TRIM('List 2'!D476)))</f>
        <v/>
      </c>
      <c r="O976">
        <f>IF(K976="","",0)</f>
        <v/>
      </c>
      <c r="P976">
        <f>IF(K976="","",I476)</f>
        <v/>
      </c>
      <c r="Q976">
        <f>IF(K976="","",FALSE)</f>
        <v/>
      </c>
      <c r="R976">
        <f>IF(K976="","",TRUE)</f>
        <v/>
      </c>
      <c r="S976">
        <f>IF(K976="","",IF(AND(Q976,R976),IF(O976=P976,"Match","Qty Different"),IF(Q976,"Only in List 1","Only in List 2")))</f>
        <v/>
      </c>
      <c r="T976">
        <f>IF(K976="","",IF(ISNUMBER(--L976),TEXT(--L976,"000000000000.000"),LOWER(L976)))</f>
        <v/>
      </c>
      <c r="U976">
        <f>IF(K976="","",IF(ISNUMBER(--M976),TEXT(--M976,"000000000000.000"),LOWER(M976)))</f>
        <v/>
      </c>
      <c r="V976">
        <f>IF(K976="","",LOWER(N976))</f>
        <v/>
      </c>
      <c r="W976">
        <f>IF(K976="","",G476)</f>
        <v/>
      </c>
      <c r="X976">
        <f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>
      <c r="K977">
        <f>IF(H477="","",IF(SUMPRODUCT(--($C$2:$C$501=H477))&gt;0,"",H477))</f>
        <v/>
      </c>
      <c r="L977">
        <f>IF(K977="","",IF(ISNUMBER('List 2'!A477),'List 2'!A477,TRIM('List 2'!A477)))</f>
        <v/>
      </c>
      <c r="M977">
        <f>IF(K977="","",IF(ISNUMBER('List 2'!C477),'List 2'!C477,TRIM('List 2'!C477)))</f>
        <v/>
      </c>
      <c r="N977">
        <f>IF(K977="","",IF(ISNUMBER('List 2'!D477),'List 2'!D477,TRIM('List 2'!D477)))</f>
        <v/>
      </c>
      <c r="O977">
        <f>IF(K977="","",0)</f>
        <v/>
      </c>
      <c r="P977">
        <f>IF(K977="","",I477)</f>
        <v/>
      </c>
      <c r="Q977">
        <f>IF(K977="","",FALSE)</f>
        <v/>
      </c>
      <c r="R977">
        <f>IF(K977="","",TRUE)</f>
        <v/>
      </c>
      <c r="S977">
        <f>IF(K977="","",IF(AND(Q977,R977),IF(O977=P977,"Match","Qty Different"),IF(Q977,"Only in List 1","Only in List 2")))</f>
        <v/>
      </c>
      <c r="T977">
        <f>IF(K977="","",IF(ISNUMBER(--L977),TEXT(--L977,"000000000000.000"),LOWER(L977)))</f>
        <v/>
      </c>
      <c r="U977">
        <f>IF(K977="","",IF(ISNUMBER(--M977),TEXT(--M977,"000000000000.000"),LOWER(M977)))</f>
        <v/>
      </c>
      <c r="V977">
        <f>IF(K977="","",LOWER(N977))</f>
        <v/>
      </c>
      <c r="W977">
        <f>IF(K977="","",G477)</f>
        <v/>
      </c>
      <c r="X977">
        <f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>
      <c r="K978">
        <f>IF(H478="","",IF(SUMPRODUCT(--($C$2:$C$501=H478))&gt;0,"",H478))</f>
        <v/>
      </c>
      <c r="L978">
        <f>IF(K978="","",IF(ISNUMBER('List 2'!A478),'List 2'!A478,TRIM('List 2'!A478)))</f>
        <v/>
      </c>
      <c r="M978">
        <f>IF(K978="","",IF(ISNUMBER('List 2'!C478),'List 2'!C478,TRIM('List 2'!C478)))</f>
        <v/>
      </c>
      <c r="N978">
        <f>IF(K978="","",IF(ISNUMBER('List 2'!D478),'List 2'!D478,TRIM('List 2'!D478)))</f>
        <v/>
      </c>
      <c r="O978">
        <f>IF(K978="","",0)</f>
        <v/>
      </c>
      <c r="P978">
        <f>IF(K978="","",I478)</f>
        <v/>
      </c>
      <c r="Q978">
        <f>IF(K978="","",FALSE)</f>
        <v/>
      </c>
      <c r="R978">
        <f>IF(K978="","",TRUE)</f>
        <v/>
      </c>
      <c r="S978">
        <f>IF(K978="","",IF(AND(Q978,R978),IF(O978=P978,"Match","Qty Different"),IF(Q978,"Only in List 1","Only in List 2")))</f>
        <v/>
      </c>
      <c r="T978">
        <f>IF(K978="","",IF(ISNUMBER(--L978),TEXT(--L978,"000000000000.000"),LOWER(L978)))</f>
        <v/>
      </c>
      <c r="U978">
        <f>IF(K978="","",IF(ISNUMBER(--M978),TEXT(--M978,"000000000000.000"),LOWER(M978)))</f>
        <v/>
      </c>
      <c r="V978">
        <f>IF(K978="","",LOWER(N978))</f>
        <v/>
      </c>
      <c r="W978">
        <f>IF(K978="","",G478)</f>
        <v/>
      </c>
      <c r="X978">
        <f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>
      <c r="K979">
        <f>IF(H479="","",IF(SUMPRODUCT(--($C$2:$C$501=H479))&gt;0,"",H479))</f>
        <v/>
      </c>
      <c r="L979">
        <f>IF(K979="","",IF(ISNUMBER('List 2'!A479),'List 2'!A479,TRIM('List 2'!A479)))</f>
        <v/>
      </c>
      <c r="M979">
        <f>IF(K979="","",IF(ISNUMBER('List 2'!C479),'List 2'!C479,TRIM('List 2'!C479)))</f>
        <v/>
      </c>
      <c r="N979">
        <f>IF(K979="","",IF(ISNUMBER('List 2'!D479),'List 2'!D479,TRIM('List 2'!D479)))</f>
        <v/>
      </c>
      <c r="O979">
        <f>IF(K979="","",0)</f>
        <v/>
      </c>
      <c r="P979">
        <f>IF(K979="","",I479)</f>
        <v/>
      </c>
      <c r="Q979">
        <f>IF(K979="","",FALSE)</f>
        <v/>
      </c>
      <c r="R979">
        <f>IF(K979="","",TRUE)</f>
        <v/>
      </c>
      <c r="S979">
        <f>IF(K979="","",IF(AND(Q979,R979),IF(O979=P979,"Match","Qty Different"),IF(Q979,"Only in List 1","Only in List 2")))</f>
        <v/>
      </c>
      <c r="T979">
        <f>IF(K979="","",IF(ISNUMBER(--L979),TEXT(--L979,"000000000000.000"),LOWER(L979)))</f>
        <v/>
      </c>
      <c r="U979">
        <f>IF(K979="","",IF(ISNUMBER(--M979),TEXT(--M979,"000000000000.000"),LOWER(M979)))</f>
        <v/>
      </c>
      <c r="V979">
        <f>IF(K979="","",LOWER(N979))</f>
        <v/>
      </c>
      <c r="W979">
        <f>IF(K979="","",G479)</f>
        <v/>
      </c>
      <c r="X979">
        <f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>
      <c r="K980">
        <f>IF(H480="","",IF(SUMPRODUCT(--($C$2:$C$501=H480))&gt;0,"",H480))</f>
        <v/>
      </c>
      <c r="L980">
        <f>IF(K980="","",IF(ISNUMBER('List 2'!A480),'List 2'!A480,TRIM('List 2'!A480)))</f>
        <v/>
      </c>
      <c r="M980">
        <f>IF(K980="","",IF(ISNUMBER('List 2'!C480),'List 2'!C480,TRIM('List 2'!C480)))</f>
        <v/>
      </c>
      <c r="N980">
        <f>IF(K980="","",IF(ISNUMBER('List 2'!D480),'List 2'!D480,TRIM('List 2'!D480)))</f>
        <v/>
      </c>
      <c r="O980">
        <f>IF(K980="","",0)</f>
        <v/>
      </c>
      <c r="P980">
        <f>IF(K980="","",I480)</f>
        <v/>
      </c>
      <c r="Q980">
        <f>IF(K980="","",FALSE)</f>
        <v/>
      </c>
      <c r="R980">
        <f>IF(K980="","",TRUE)</f>
        <v/>
      </c>
      <c r="S980">
        <f>IF(K980="","",IF(AND(Q980,R980),IF(O980=P980,"Match","Qty Different"),IF(Q980,"Only in List 1","Only in List 2")))</f>
        <v/>
      </c>
      <c r="T980">
        <f>IF(K980="","",IF(ISNUMBER(--L980),TEXT(--L980,"000000000000.000"),LOWER(L980)))</f>
        <v/>
      </c>
      <c r="U980">
        <f>IF(K980="","",IF(ISNUMBER(--M980),TEXT(--M980,"000000000000.000"),LOWER(M980)))</f>
        <v/>
      </c>
      <c r="V980">
        <f>IF(K980="","",LOWER(N980))</f>
        <v/>
      </c>
      <c r="W980">
        <f>IF(K980="","",G480)</f>
        <v/>
      </c>
      <c r="X980">
        <f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>
      <c r="K981">
        <f>IF(H481="","",IF(SUMPRODUCT(--($C$2:$C$501=H481))&gt;0,"",H481))</f>
        <v/>
      </c>
      <c r="L981">
        <f>IF(K981="","",IF(ISNUMBER('List 2'!A481),'List 2'!A481,TRIM('List 2'!A481)))</f>
        <v/>
      </c>
      <c r="M981">
        <f>IF(K981="","",IF(ISNUMBER('List 2'!C481),'List 2'!C481,TRIM('List 2'!C481)))</f>
        <v/>
      </c>
      <c r="N981">
        <f>IF(K981="","",IF(ISNUMBER('List 2'!D481),'List 2'!D481,TRIM('List 2'!D481)))</f>
        <v/>
      </c>
      <c r="O981">
        <f>IF(K981="","",0)</f>
        <v/>
      </c>
      <c r="P981">
        <f>IF(K981="","",I481)</f>
        <v/>
      </c>
      <c r="Q981">
        <f>IF(K981="","",FALSE)</f>
        <v/>
      </c>
      <c r="R981">
        <f>IF(K981="","",TRUE)</f>
        <v/>
      </c>
      <c r="S981">
        <f>IF(K981="","",IF(AND(Q981,R981),IF(O981=P981,"Match","Qty Different"),IF(Q981,"Only in List 1","Only in List 2")))</f>
        <v/>
      </c>
      <c r="T981">
        <f>IF(K981="","",IF(ISNUMBER(--L981),TEXT(--L981,"000000000000.000"),LOWER(L981)))</f>
        <v/>
      </c>
      <c r="U981">
        <f>IF(K981="","",IF(ISNUMBER(--M981),TEXT(--M981,"000000000000.000"),LOWER(M981)))</f>
        <v/>
      </c>
      <c r="V981">
        <f>IF(K981="","",LOWER(N981))</f>
        <v/>
      </c>
      <c r="W981">
        <f>IF(K981="","",G481)</f>
        <v/>
      </c>
      <c r="X981">
        <f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>
      <c r="K982">
        <f>IF(H482="","",IF(SUMPRODUCT(--($C$2:$C$501=H482))&gt;0,"",H482))</f>
        <v/>
      </c>
      <c r="L982">
        <f>IF(K982="","",IF(ISNUMBER('List 2'!A482),'List 2'!A482,TRIM('List 2'!A482)))</f>
        <v/>
      </c>
      <c r="M982">
        <f>IF(K982="","",IF(ISNUMBER('List 2'!C482),'List 2'!C482,TRIM('List 2'!C482)))</f>
        <v/>
      </c>
      <c r="N982">
        <f>IF(K982="","",IF(ISNUMBER('List 2'!D482),'List 2'!D482,TRIM('List 2'!D482)))</f>
        <v/>
      </c>
      <c r="O982">
        <f>IF(K982="","",0)</f>
        <v/>
      </c>
      <c r="P982">
        <f>IF(K982="","",I482)</f>
        <v/>
      </c>
      <c r="Q982">
        <f>IF(K982="","",FALSE)</f>
        <v/>
      </c>
      <c r="R982">
        <f>IF(K982="","",TRUE)</f>
        <v/>
      </c>
      <c r="S982">
        <f>IF(K982="","",IF(AND(Q982,R982),IF(O982=P982,"Match","Qty Different"),IF(Q982,"Only in List 1","Only in List 2")))</f>
        <v/>
      </c>
      <c r="T982">
        <f>IF(K982="","",IF(ISNUMBER(--L982),TEXT(--L982,"000000000000.000"),LOWER(L982)))</f>
        <v/>
      </c>
      <c r="U982">
        <f>IF(K982="","",IF(ISNUMBER(--M982),TEXT(--M982,"000000000000.000"),LOWER(M982)))</f>
        <v/>
      </c>
      <c r="V982">
        <f>IF(K982="","",LOWER(N982))</f>
        <v/>
      </c>
      <c r="W982">
        <f>IF(K982="","",G482)</f>
        <v/>
      </c>
      <c r="X982">
        <f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>
      <c r="K983">
        <f>IF(H483="","",IF(SUMPRODUCT(--($C$2:$C$501=H483))&gt;0,"",H483))</f>
        <v/>
      </c>
      <c r="L983">
        <f>IF(K983="","",IF(ISNUMBER('List 2'!A483),'List 2'!A483,TRIM('List 2'!A483)))</f>
        <v/>
      </c>
      <c r="M983">
        <f>IF(K983="","",IF(ISNUMBER('List 2'!C483),'List 2'!C483,TRIM('List 2'!C483)))</f>
        <v/>
      </c>
      <c r="N983">
        <f>IF(K983="","",IF(ISNUMBER('List 2'!D483),'List 2'!D483,TRIM('List 2'!D483)))</f>
        <v/>
      </c>
      <c r="O983">
        <f>IF(K983="","",0)</f>
        <v/>
      </c>
      <c r="P983">
        <f>IF(K983="","",I483)</f>
        <v/>
      </c>
      <c r="Q983">
        <f>IF(K983="","",FALSE)</f>
        <v/>
      </c>
      <c r="R983">
        <f>IF(K983="","",TRUE)</f>
        <v/>
      </c>
      <c r="S983">
        <f>IF(K983="","",IF(AND(Q983,R983),IF(O983=P983,"Match","Qty Different"),IF(Q983,"Only in List 1","Only in List 2")))</f>
        <v/>
      </c>
      <c r="T983">
        <f>IF(K983="","",IF(ISNUMBER(--L983),TEXT(--L983,"000000000000.000"),LOWER(L983)))</f>
        <v/>
      </c>
      <c r="U983">
        <f>IF(K983="","",IF(ISNUMBER(--M983),TEXT(--M983,"000000000000.000"),LOWER(M983)))</f>
        <v/>
      </c>
      <c r="V983">
        <f>IF(K983="","",LOWER(N983))</f>
        <v/>
      </c>
      <c r="W983">
        <f>IF(K983="","",G483)</f>
        <v/>
      </c>
      <c r="X983">
        <f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>
      <c r="K984">
        <f>IF(H484="","",IF(SUMPRODUCT(--($C$2:$C$501=H484))&gt;0,"",H484))</f>
        <v/>
      </c>
      <c r="L984">
        <f>IF(K984="","",IF(ISNUMBER('List 2'!A484),'List 2'!A484,TRIM('List 2'!A484)))</f>
        <v/>
      </c>
      <c r="M984">
        <f>IF(K984="","",IF(ISNUMBER('List 2'!C484),'List 2'!C484,TRIM('List 2'!C484)))</f>
        <v/>
      </c>
      <c r="N984">
        <f>IF(K984="","",IF(ISNUMBER('List 2'!D484),'List 2'!D484,TRIM('List 2'!D484)))</f>
        <v/>
      </c>
      <c r="O984">
        <f>IF(K984="","",0)</f>
        <v/>
      </c>
      <c r="P984">
        <f>IF(K984="","",I484)</f>
        <v/>
      </c>
      <c r="Q984">
        <f>IF(K984="","",FALSE)</f>
        <v/>
      </c>
      <c r="R984">
        <f>IF(K984="","",TRUE)</f>
        <v/>
      </c>
      <c r="S984">
        <f>IF(K984="","",IF(AND(Q984,R984),IF(O984=P984,"Match","Qty Different"),IF(Q984,"Only in List 1","Only in List 2")))</f>
        <v/>
      </c>
      <c r="T984">
        <f>IF(K984="","",IF(ISNUMBER(--L984),TEXT(--L984,"000000000000.000"),LOWER(L984)))</f>
        <v/>
      </c>
      <c r="U984">
        <f>IF(K984="","",IF(ISNUMBER(--M984),TEXT(--M984,"000000000000.000"),LOWER(M984)))</f>
        <v/>
      </c>
      <c r="V984">
        <f>IF(K984="","",LOWER(N984))</f>
        <v/>
      </c>
      <c r="W984">
        <f>IF(K984="","",G484)</f>
        <v/>
      </c>
      <c r="X984">
        <f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>
      <c r="K985">
        <f>IF(H485="","",IF(SUMPRODUCT(--($C$2:$C$501=H485))&gt;0,"",H485))</f>
        <v/>
      </c>
      <c r="L985">
        <f>IF(K985="","",IF(ISNUMBER('List 2'!A485),'List 2'!A485,TRIM('List 2'!A485)))</f>
        <v/>
      </c>
      <c r="M985">
        <f>IF(K985="","",IF(ISNUMBER('List 2'!C485),'List 2'!C485,TRIM('List 2'!C485)))</f>
        <v/>
      </c>
      <c r="N985">
        <f>IF(K985="","",IF(ISNUMBER('List 2'!D485),'List 2'!D485,TRIM('List 2'!D485)))</f>
        <v/>
      </c>
      <c r="O985">
        <f>IF(K985="","",0)</f>
        <v/>
      </c>
      <c r="P985">
        <f>IF(K985="","",I485)</f>
        <v/>
      </c>
      <c r="Q985">
        <f>IF(K985="","",FALSE)</f>
        <v/>
      </c>
      <c r="R985">
        <f>IF(K985="","",TRUE)</f>
        <v/>
      </c>
      <c r="S985">
        <f>IF(K985="","",IF(AND(Q985,R985),IF(O985=P985,"Match","Qty Different"),IF(Q985,"Only in List 1","Only in List 2")))</f>
        <v/>
      </c>
      <c r="T985">
        <f>IF(K985="","",IF(ISNUMBER(--L985),TEXT(--L985,"000000000000.000"),LOWER(L985)))</f>
        <v/>
      </c>
      <c r="U985">
        <f>IF(K985="","",IF(ISNUMBER(--M985),TEXT(--M985,"000000000000.000"),LOWER(M985)))</f>
        <v/>
      </c>
      <c r="V985">
        <f>IF(K985="","",LOWER(N985))</f>
        <v/>
      </c>
      <c r="W985">
        <f>IF(K985="","",G485)</f>
        <v/>
      </c>
      <c r="X985">
        <f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>
      <c r="K986">
        <f>IF(H486="","",IF(SUMPRODUCT(--($C$2:$C$501=H486))&gt;0,"",H486))</f>
        <v/>
      </c>
      <c r="L986">
        <f>IF(K986="","",IF(ISNUMBER('List 2'!A486),'List 2'!A486,TRIM('List 2'!A486)))</f>
        <v/>
      </c>
      <c r="M986">
        <f>IF(K986="","",IF(ISNUMBER('List 2'!C486),'List 2'!C486,TRIM('List 2'!C486)))</f>
        <v/>
      </c>
      <c r="N986">
        <f>IF(K986="","",IF(ISNUMBER('List 2'!D486),'List 2'!D486,TRIM('List 2'!D486)))</f>
        <v/>
      </c>
      <c r="O986">
        <f>IF(K986="","",0)</f>
        <v/>
      </c>
      <c r="P986">
        <f>IF(K986="","",I486)</f>
        <v/>
      </c>
      <c r="Q986">
        <f>IF(K986="","",FALSE)</f>
        <v/>
      </c>
      <c r="R986">
        <f>IF(K986="","",TRUE)</f>
        <v/>
      </c>
      <c r="S986">
        <f>IF(K986="","",IF(AND(Q986,R986),IF(O986=P986,"Match","Qty Different"),IF(Q986,"Only in List 1","Only in List 2")))</f>
        <v/>
      </c>
      <c r="T986">
        <f>IF(K986="","",IF(ISNUMBER(--L986),TEXT(--L986,"000000000000.000"),LOWER(L986)))</f>
        <v/>
      </c>
      <c r="U986">
        <f>IF(K986="","",IF(ISNUMBER(--M986),TEXT(--M986,"000000000000.000"),LOWER(M986)))</f>
        <v/>
      </c>
      <c r="V986">
        <f>IF(K986="","",LOWER(N986))</f>
        <v/>
      </c>
      <c r="W986">
        <f>IF(K986="","",G486)</f>
        <v/>
      </c>
      <c r="X986">
        <f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>
      <c r="K987">
        <f>IF(H487="","",IF(SUMPRODUCT(--($C$2:$C$501=H487))&gt;0,"",H487))</f>
        <v/>
      </c>
      <c r="L987">
        <f>IF(K987="","",IF(ISNUMBER('List 2'!A487),'List 2'!A487,TRIM('List 2'!A487)))</f>
        <v/>
      </c>
      <c r="M987">
        <f>IF(K987="","",IF(ISNUMBER('List 2'!C487),'List 2'!C487,TRIM('List 2'!C487)))</f>
        <v/>
      </c>
      <c r="N987">
        <f>IF(K987="","",IF(ISNUMBER('List 2'!D487),'List 2'!D487,TRIM('List 2'!D487)))</f>
        <v/>
      </c>
      <c r="O987">
        <f>IF(K987="","",0)</f>
        <v/>
      </c>
      <c r="P987">
        <f>IF(K987="","",I487)</f>
        <v/>
      </c>
      <c r="Q987">
        <f>IF(K987="","",FALSE)</f>
        <v/>
      </c>
      <c r="R987">
        <f>IF(K987="","",TRUE)</f>
        <v/>
      </c>
      <c r="S987">
        <f>IF(K987="","",IF(AND(Q987,R987),IF(O987=P987,"Match","Qty Different"),IF(Q987,"Only in List 1","Only in List 2")))</f>
        <v/>
      </c>
      <c r="T987">
        <f>IF(K987="","",IF(ISNUMBER(--L987),TEXT(--L987,"000000000000.000"),LOWER(L987)))</f>
        <v/>
      </c>
      <c r="U987">
        <f>IF(K987="","",IF(ISNUMBER(--M987),TEXT(--M987,"000000000000.000"),LOWER(M987)))</f>
        <v/>
      </c>
      <c r="V987">
        <f>IF(K987="","",LOWER(N987))</f>
        <v/>
      </c>
      <c r="W987">
        <f>IF(K987="","",G487)</f>
        <v/>
      </c>
      <c r="X987">
        <f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>
      <c r="K988">
        <f>IF(H488="","",IF(SUMPRODUCT(--($C$2:$C$501=H488))&gt;0,"",H488))</f>
        <v/>
      </c>
      <c r="L988">
        <f>IF(K988="","",IF(ISNUMBER('List 2'!A488),'List 2'!A488,TRIM('List 2'!A488)))</f>
        <v/>
      </c>
      <c r="M988">
        <f>IF(K988="","",IF(ISNUMBER('List 2'!C488),'List 2'!C488,TRIM('List 2'!C488)))</f>
        <v/>
      </c>
      <c r="N988">
        <f>IF(K988="","",IF(ISNUMBER('List 2'!D488),'List 2'!D488,TRIM('List 2'!D488)))</f>
        <v/>
      </c>
      <c r="O988">
        <f>IF(K988="","",0)</f>
        <v/>
      </c>
      <c r="P988">
        <f>IF(K988="","",I488)</f>
        <v/>
      </c>
      <c r="Q988">
        <f>IF(K988="","",FALSE)</f>
        <v/>
      </c>
      <c r="R988">
        <f>IF(K988="","",TRUE)</f>
        <v/>
      </c>
      <c r="S988">
        <f>IF(K988="","",IF(AND(Q988,R988),IF(O988=P988,"Match","Qty Different"),IF(Q988,"Only in List 1","Only in List 2")))</f>
        <v/>
      </c>
      <c r="T988">
        <f>IF(K988="","",IF(ISNUMBER(--L988),TEXT(--L988,"000000000000.000"),LOWER(L988)))</f>
        <v/>
      </c>
      <c r="U988">
        <f>IF(K988="","",IF(ISNUMBER(--M988),TEXT(--M988,"000000000000.000"),LOWER(M988)))</f>
        <v/>
      </c>
      <c r="V988">
        <f>IF(K988="","",LOWER(N988))</f>
        <v/>
      </c>
      <c r="W988">
        <f>IF(K988="","",G488)</f>
        <v/>
      </c>
      <c r="X988">
        <f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>
      <c r="K989">
        <f>IF(H489="","",IF(SUMPRODUCT(--($C$2:$C$501=H489))&gt;0,"",H489))</f>
        <v/>
      </c>
      <c r="L989">
        <f>IF(K989="","",IF(ISNUMBER('List 2'!A489),'List 2'!A489,TRIM('List 2'!A489)))</f>
        <v/>
      </c>
      <c r="M989">
        <f>IF(K989="","",IF(ISNUMBER('List 2'!C489),'List 2'!C489,TRIM('List 2'!C489)))</f>
        <v/>
      </c>
      <c r="N989">
        <f>IF(K989="","",IF(ISNUMBER('List 2'!D489),'List 2'!D489,TRIM('List 2'!D489)))</f>
        <v/>
      </c>
      <c r="O989">
        <f>IF(K989="","",0)</f>
        <v/>
      </c>
      <c r="P989">
        <f>IF(K989="","",I489)</f>
        <v/>
      </c>
      <c r="Q989">
        <f>IF(K989="","",FALSE)</f>
        <v/>
      </c>
      <c r="R989">
        <f>IF(K989="","",TRUE)</f>
        <v/>
      </c>
      <c r="S989">
        <f>IF(K989="","",IF(AND(Q989,R989),IF(O989=P989,"Match","Qty Different"),IF(Q989,"Only in List 1","Only in List 2")))</f>
        <v/>
      </c>
      <c r="T989">
        <f>IF(K989="","",IF(ISNUMBER(--L989),TEXT(--L989,"000000000000.000"),LOWER(L989)))</f>
        <v/>
      </c>
      <c r="U989">
        <f>IF(K989="","",IF(ISNUMBER(--M989),TEXT(--M989,"000000000000.000"),LOWER(M989)))</f>
        <v/>
      </c>
      <c r="V989">
        <f>IF(K989="","",LOWER(N989))</f>
        <v/>
      </c>
      <c r="W989">
        <f>IF(K989="","",G489)</f>
        <v/>
      </c>
      <c r="X989">
        <f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>
      <c r="K990">
        <f>IF(H490="","",IF(SUMPRODUCT(--($C$2:$C$501=H490))&gt;0,"",H490))</f>
        <v/>
      </c>
      <c r="L990">
        <f>IF(K990="","",IF(ISNUMBER('List 2'!A490),'List 2'!A490,TRIM('List 2'!A490)))</f>
        <v/>
      </c>
      <c r="M990">
        <f>IF(K990="","",IF(ISNUMBER('List 2'!C490),'List 2'!C490,TRIM('List 2'!C490)))</f>
        <v/>
      </c>
      <c r="N990">
        <f>IF(K990="","",IF(ISNUMBER('List 2'!D490),'List 2'!D490,TRIM('List 2'!D490)))</f>
        <v/>
      </c>
      <c r="O990">
        <f>IF(K990="","",0)</f>
        <v/>
      </c>
      <c r="P990">
        <f>IF(K990="","",I490)</f>
        <v/>
      </c>
      <c r="Q990">
        <f>IF(K990="","",FALSE)</f>
        <v/>
      </c>
      <c r="R990">
        <f>IF(K990="","",TRUE)</f>
        <v/>
      </c>
      <c r="S990">
        <f>IF(K990="","",IF(AND(Q990,R990),IF(O990=P990,"Match","Qty Different"),IF(Q990,"Only in List 1","Only in List 2")))</f>
        <v/>
      </c>
      <c r="T990">
        <f>IF(K990="","",IF(ISNUMBER(--L990),TEXT(--L990,"000000000000.000"),LOWER(L990)))</f>
        <v/>
      </c>
      <c r="U990">
        <f>IF(K990="","",IF(ISNUMBER(--M990),TEXT(--M990,"000000000000.000"),LOWER(M990)))</f>
        <v/>
      </c>
      <c r="V990">
        <f>IF(K990="","",LOWER(N990))</f>
        <v/>
      </c>
      <c r="W990">
        <f>IF(K990="","",G490)</f>
        <v/>
      </c>
      <c r="X990">
        <f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>
      <c r="K991">
        <f>IF(H491="","",IF(SUMPRODUCT(--($C$2:$C$501=H491))&gt;0,"",H491))</f>
        <v/>
      </c>
      <c r="L991">
        <f>IF(K991="","",IF(ISNUMBER('List 2'!A491),'List 2'!A491,TRIM('List 2'!A491)))</f>
        <v/>
      </c>
      <c r="M991">
        <f>IF(K991="","",IF(ISNUMBER('List 2'!C491),'List 2'!C491,TRIM('List 2'!C491)))</f>
        <v/>
      </c>
      <c r="N991">
        <f>IF(K991="","",IF(ISNUMBER('List 2'!D491),'List 2'!D491,TRIM('List 2'!D491)))</f>
        <v/>
      </c>
      <c r="O991">
        <f>IF(K991="","",0)</f>
        <v/>
      </c>
      <c r="P991">
        <f>IF(K991="","",I491)</f>
        <v/>
      </c>
      <c r="Q991">
        <f>IF(K991="","",FALSE)</f>
        <v/>
      </c>
      <c r="R991">
        <f>IF(K991="","",TRUE)</f>
        <v/>
      </c>
      <c r="S991">
        <f>IF(K991="","",IF(AND(Q991,R991),IF(O991=P991,"Match","Qty Different"),IF(Q991,"Only in List 1","Only in List 2")))</f>
        <v/>
      </c>
      <c r="T991">
        <f>IF(K991="","",IF(ISNUMBER(--L991),TEXT(--L991,"000000000000.000"),LOWER(L991)))</f>
        <v/>
      </c>
      <c r="U991">
        <f>IF(K991="","",IF(ISNUMBER(--M991),TEXT(--M991,"000000000000.000"),LOWER(M991)))</f>
        <v/>
      </c>
      <c r="V991">
        <f>IF(K991="","",LOWER(N991))</f>
        <v/>
      </c>
      <c r="W991">
        <f>IF(K991="","",G491)</f>
        <v/>
      </c>
      <c r="X991">
        <f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>
      <c r="K992">
        <f>IF(H492="","",IF(SUMPRODUCT(--($C$2:$C$501=H492))&gt;0,"",H492))</f>
        <v/>
      </c>
      <c r="L992">
        <f>IF(K992="","",IF(ISNUMBER('List 2'!A492),'List 2'!A492,TRIM('List 2'!A492)))</f>
        <v/>
      </c>
      <c r="M992">
        <f>IF(K992="","",IF(ISNUMBER('List 2'!C492),'List 2'!C492,TRIM('List 2'!C492)))</f>
        <v/>
      </c>
      <c r="N992">
        <f>IF(K992="","",IF(ISNUMBER('List 2'!D492),'List 2'!D492,TRIM('List 2'!D492)))</f>
        <v/>
      </c>
      <c r="O992">
        <f>IF(K992="","",0)</f>
        <v/>
      </c>
      <c r="P992">
        <f>IF(K992="","",I492)</f>
        <v/>
      </c>
      <c r="Q992">
        <f>IF(K992="","",FALSE)</f>
        <v/>
      </c>
      <c r="R992">
        <f>IF(K992="","",TRUE)</f>
        <v/>
      </c>
      <c r="S992">
        <f>IF(K992="","",IF(AND(Q992,R992),IF(O992=P992,"Match","Qty Different"),IF(Q992,"Only in List 1","Only in List 2")))</f>
        <v/>
      </c>
      <c r="T992">
        <f>IF(K992="","",IF(ISNUMBER(--L992),TEXT(--L992,"000000000000.000"),LOWER(L992)))</f>
        <v/>
      </c>
      <c r="U992">
        <f>IF(K992="","",IF(ISNUMBER(--M992),TEXT(--M992,"000000000000.000"),LOWER(M992)))</f>
        <v/>
      </c>
      <c r="V992">
        <f>IF(K992="","",LOWER(N992))</f>
        <v/>
      </c>
      <c r="W992">
        <f>IF(K992="","",G492)</f>
        <v/>
      </c>
      <c r="X992">
        <f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>
      <c r="K993">
        <f>IF(H493="","",IF(SUMPRODUCT(--($C$2:$C$501=H493))&gt;0,"",H493))</f>
        <v/>
      </c>
      <c r="L993">
        <f>IF(K993="","",IF(ISNUMBER('List 2'!A493),'List 2'!A493,TRIM('List 2'!A493)))</f>
        <v/>
      </c>
      <c r="M993">
        <f>IF(K993="","",IF(ISNUMBER('List 2'!C493),'List 2'!C493,TRIM('List 2'!C493)))</f>
        <v/>
      </c>
      <c r="N993">
        <f>IF(K993="","",IF(ISNUMBER('List 2'!D493),'List 2'!D493,TRIM('List 2'!D493)))</f>
        <v/>
      </c>
      <c r="O993">
        <f>IF(K993="","",0)</f>
        <v/>
      </c>
      <c r="P993">
        <f>IF(K993="","",I493)</f>
        <v/>
      </c>
      <c r="Q993">
        <f>IF(K993="","",FALSE)</f>
        <v/>
      </c>
      <c r="R993">
        <f>IF(K993="","",TRUE)</f>
        <v/>
      </c>
      <c r="S993">
        <f>IF(K993="","",IF(AND(Q993,R993),IF(O993=P993,"Match","Qty Different"),IF(Q993,"Only in List 1","Only in List 2")))</f>
        <v/>
      </c>
      <c r="T993">
        <f>IF(K993="","",IF(ISNUMBER(--L993),TEXT(--L993,"000000000000.000"),LOWER(L993)))</f>
        <v/>
      </c>
      <c r="U993">
        <f>IF(K993="","",IF(ISNUMBER(--M993),TEXT(--M993,"000000000000.000"),LOWER(M993)))</f>
        <v/>
      </c>
      <c r="V993">
        <f>IF(K993="","",LOWER(N993))</f>
        <v/>
      </c>
      <c r="W993">
        <f>IF(K993="","",G493)</f>
        <v/>
      </c>
      <c r="X993">
        <f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>
      <c r="K994">
        <f>IF(H494="","",IF(SUMPRODUCT(--($C$2:$C$501=H494))&gt;0,"",H494))</f>
        <v/>
      </c>
      <c r="L994">
        <f>IF(K994="","",IF(ISNUMBER('List 2'!A494),'List 2'!A494,TRIM('List 2'!A494)))</f>
        <v/>
      </c>
      <c r="M994">
        <f>IF(K994="","",IF(ISNUMBER('List 2'!C494),'List 2'!C494,TRIM('List 2'!C494)))</f>
        <v/>
      </c>
      <c r="N994">
        <f>IF(K994="","",IF(ISNUMBER('List 2'!D494),'List 2'!D494,TRIM('List 2'!D494)))</f>
        <v/>
      </c>
      <c r="O994">
        <f>IF(K994="","",0)</f>
        <v/>
      </c>
      <c r="P994">
        <f>IF(K994="","",I494)</f>
        <v/>
      </c>
      <c r="Q994">
        <f>IF(K994="","",FALSE)</f>
        <v/>
      </c>
      <c r="R994">
        <f>IF(K994="","",TRUE)</f>
        <v/>
      </c>
      <c r="S994">
        <f>IF(K994="","",IF(AND(Q994,R994),IF(O994=P994,"Match","Qty Different"),IF(Q994,"Only in List 1","Only in List 2")))</f>
        <v/>
      </c>
      <c r="T994">
        <f>IF(K994="","",IF(ISNUMBER(--L994),TEXT(--L994,"000000000000.000"),LOWER(L994)))</f>
        <v/>
      </c>
      <c r="U994">
        <f>IF(K994="","",IF(ISNUMBER(--M994),TEXT(--M994,"000000000000.000"),LOWER(M994)))</f>
        <v/>
      </c>
      <c r="V994">
        <f>IF(K994="","",LOWER(N994))</f>
        <v/>
      </c>
      <c r="W994">
        <f>IF(K994="","",G494)</f>
        <v/>
      </c>
      <c r="X994">
        <f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>
      <c r="K995">
        <f>IF(H495="","",IF(SUMPRODUCT(--($C$2:$C$501=H495))&gt;0,"",H495))</f>
        <v/>
      </c>
      <c r="L995">
        <f>IF(K995="","",IF(ISNUMBER('List 2'!A495),'List 2'!A495,TRIM('List 2'!A495)))</f>
        <v/>
      </c>
      <c r="M995">
        <f>IF(K995="","",IF(ISNUMBER('List 2'!C495),'List 2'!C495,TRIM('List 2'!C495)))</f>
        <v/>
      </c>
      <c r="N995">
        <f>IF(K995="","",IF(ISNUMBER('List 2'!D495),'List 2'!D495,TRIM('List 2'!D495)))</f>
        <v/>
      </c>
      <c r="O995">
        <f>IF(K995="","",0)</f>
        <v/>
      </c>
      <c r="P995">
        <f>IF(K995="","",I495)</f>
        <v/>
      </c>
      <c r="Q995">
        <f>IF(K995="","",FALSE)</f>
        <v/>
      </c>
      <c r="R995">
        <f>IF(K995="","",TRUE)</f>
        <v/>
      </c>
      <c r="S995">
        <f>IF(K995="","",IF(AND(Q995,R995),IF(O995=P995,"Match","Qty Different"),IF(Q995,"Only in List 1","Only in List 2")))</f>
        <v/>
      </c>
      <c r="T995">
        <f>IF(K995="","",IF(ISNUMBER(--L995),TEXT(--L995,"000000000000.000"),LOWER(L995)))</f>
        <v/>
      </c>
      <c r="U995">
        <f>IF(K995="","",IF(ISNUMBER(--M995),TEXT(--M995,"000000000000.000"),LOWER(M995)))</f>
        <v/>
      </c>
      <c r="V995">
        <f>IF(K995="","",LOWER(N995))</f>
        <v/>
      </c>
      <c r="W995">
        <f>IF(K995="","",G495)</f>
        <v/>
      </c>
      <c r="X995">
        <f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>
      <c r="K996">
        <f>IF(H496="","",IF(SUMPRODUCT(--($C$2:$C$501=H496))&gt;0,"",H496))</f>
        <v/>
      </c>
      <c r="L996">
        <f>IF(K996="","",IF(ISNUMBER('List 2'!A496),'List 2'!A496,TRIM('List 2'!A496)))</f>
        <v/>
      </c>
      <c r="M996">
        <f>IF(K996="","",IF(ISNUMBER('List 2'!C496),'List 2'!C496,TRIM('List 2'!C496)))</f>
        <v/>
      </c>
      <c r="N996">
        <f>IF(K996="","",IF(ISNUMBER('List 2'!D496),'List 2'!D496,TRIM('List 2'!D496)))</f>
        <v/>
      </c>
      <c r="O996">
        <f>IF(K996="","",0)</f>
        <v/>
      </c>
      <c r="P996">
        <f>IF(K996="","",I496)</f>
        <v/>
      </c>
      <c r="Q996">
        <f>IF(K996="","",FALSE)</f>
        <v/>
      </c>
      <c r="R996">
        <f>IF(K996="","",TRUE)</f>
        <v/>
      </c>
      <c r="S996">
        <f>IF(K996="","",IF(AND(Q996,R996),IF(O996=P996,"Match","Qty Different"),IF(Q996,"Only in List 1","Only in List 2")))</f>
        <v/>
      </c>
      <c r="T996">
        <f>IF(K996="","",IF(ISNUMBER(--L996),TEXT(--L996,"000000000000.000"),LOWER(L996)))</f>
        <v/>
      </c>
      <c r="U996">
        <f>IF(K996="","",IF(ISNUMBER(--M996),TEXT(--M996,"000000000000.000"),LOWER(M996)))</f>
        <v/>
      </c>
      <c r="V996">
        <f>IF(K996="","",LOWER(N996))</f>
        <v/>
      </c>
      <c r="W996">
        <f>IF(K996="","",G496)</f>
        <v/>
      </c>
      <c r="X996">
        <f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>
      <c r="K997">
        <f>IF(H497="","",IF(SUMPRODUCT(--($C$2:$C$501=H497))&gt;0,"",H497))</f>
        <v/>
      </c>
      <c r="L997">
        <f>IF(K997="","",IF(ISNUMBER('List 2'!A497),'List 2'!A497,TRIM('List 2'!A497)))</f>
        <v/>
      </c>
      <c r="M997">
        <f>IF(K997="","",IF(ISNUMBER('List 2'!C497),'List 2'!C497,TRIM('List 2'!C497)))</f>
        <v/>
      </c>
      <c r="N997">
        <f>IF(K997="","",IF(ISNUMBER('List 2'!D497),'List 2'!D497,TRIM('List 2'!D497)))</f>
        <v/>
      </c>
      <c r="O997">
        <f>IF(K997="","",0)</f>
        <v/>
      </c>
      <c r="P997">
        <f>IF(K997="","",I497)</f>
        <v/>
      </c>
      <c r="Q997">
        <f>IF(K997="","",FALSE)</f>
        <v/>
      </c>
      <c r="R997">
        <f>IF(K997="","",TRUE)</f>
        <v/>
      </c>
      <c r="S997">
        <f>IF(K997="","",IF(AND(Q997,R997),IF(O997=P997,"Match","Qty Different"),IF(Q997,"Only in List 1","Only in List 2")))</f>
        <v/>
      </c>
      <c r="T997">
        <f>IF(K997="","",IF(ISNUMBER(--L997),TEXT(--L997,"000000000000.000"),LOWER(L997)))</f>
        <v/>
      </c>
      <c r="U997">
        <f>IF(K997="","",IF(ISNUMBER(--M997),TEXT(--M997,"000000000000.000"),LOWER(M997)))</f>
        <v/>
      </c>
      <c r="V997">
        <f>IF(K997="","",LOWER(N997))</f>
        <v/>
      </c>
      <c r="W997">
        <f>IF(K997="","",G497)</f>
        <v/>
      </c>
      <c r="X997">
        <f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>
      <c r="K998">
        <f>IF(H498="","",IF(SUMPRODUCT(--($C$2:$C$501=H498))&gt;0,"",H498))</f>
        <v/>
      </c>
      <c r="L998">
        <f>IF(K998="","",IF(ISNUMBER('List 2'!A498),'List 2'!A498,TRIM('List 2'!A498)))</f>
        <v/>
      </c>
      <c r="M998">
        <f>IF(K998="","",IF(ISNUMBER('List 2'!C498),'List 2'!C498,TRIM('List 2'!C498)))</f>
        <v/>
      </c>
      <c r="N998">
        <f>IF(K998="","",IF(ISNUMBER('List 2'!D498),'List 2'!D498,TRIM('List 2'!D498)))</f>
        <v/>
      </c>
      <c r="O998">
        <f>IF(K998="","",0)</f>
        <v/>
      </c>
      <c r="P998">
        <f>IF(K998="","",I498)</f>
        <v/>
      </c>
      <c r="Q998">
        <f>IF(K998="","",FALSE)</f>
        <v/>
      </c>
      <c r="R998">
        <f>IF(K998="","",TRUE)</f>
        <v/>
      </c>
      <c r="S998">
        <f>IF(K998="","",IF(AND(Q998,R998),IF(O998=P998,"Match","Qty Different"),IF(Q998,"Only in List 1","Only in List 2")))</f>
        <v/>
      </c>
      <c r="T998">
        <f>IF(K998="","",IF(ISNUMBER(--L998),TEXT(--L998,"000000000000.000"),LOWER(L998)))</f>
        <v/>
      </c>
      <c r="U998">
        <f>IF(K998="","",IF(ISNUMBER(--M998),TEXT(--M998,"000000000000.000"),LOWER(M998)))</f>
        <v/>
      </c>
      <c r="V998">
        <f>IF(K998="","",LOWER(N998))</f>
        <v/>
      </c>
      <c r="W998">
        <f>IF(K998="","",G498)</f>
        <v/>
      </c>
      <c r="X998">
        <f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>
      <c r="K999">
        <f>IF(H499="","",IF(SUMPRODUCT(--($C$2:$C$501=H499))&gt;0,"",H499))</f>
        <v/>
      </c>
      <c r="L999">
        <f>IF(K999="","",IF(ISNUMBER('List 2'!A499),'List 2'!A499,TRIM('List 2'!A499)))</f>
        <v/>
      </c>
      <c r="M999">
        <f>IF(K999="","",IF(ISNUMBER('List 2'!C499),'List 2'!C499,TRIM('List 2'!C499)))</f>
        <v/>
      </c>
      <c r="N999">
        <f>IF(K999="","",IF(ISNUMBER('List 2'!D499),'List 2'!D499,TRIM('List 2'!D499)))</f>
        <v/>
      </c>
      <c r="O999">
        <f>IF(K999="","",0)</f>
        <v/>
      </c>
      <c r="P999">
        <f>IF(K999="","",I499)</f>
        <v/>
      </c>
      <c r="Q999">
        <f>IF(K999="","",FALSE)</f>
        <v/>
      </c>
      <c r="R999">
        <f>IF(K999="","",TRUE)</f>
        <v/>
      </c>
      <c r="S999">
        <f>IF(K999="","",IF(AND(Q999,R999),IF(O999=P999,"Match","Qty Different"),IF(Q999,"Only in List 1","Only in List 2")))</f>
        <v/>
      </c>
      <c r="T999">
        <f>IF(K999="","",IF(ISNUMBER(--L999),TEXT(--L999,"000000000000.000"),LOWER(L999)))</f>
        <v/>
      </c>
      <c r="U999">
        <f>IF(K999="","",IF(ISNUMBER(--M999),TEXT(--M999,"000000000000.000"),LOWER(M999)))</f>
        <v/>
      </c>
      <c r="V999">
        <f>IF(K999="","",LOWER(N999))</f>
        <v/>
      </c>
      <c r="W999">
        <f>IF(K999="","",G499)</f>
        <v/>
      </c>
      <c r="X999">
        <f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>
      <c r="K1000">
        <f>IF(H500="","",IF(SUMPRODUCT(--($C$2:$C$501=H500))&gt;0,"",H500))</f>
        <v/>
      </c>
      <c r="L1000">
        <f>IF(K1000="","",IF(ISNUMBER('List 2'!A500),'List 2'!A500,TRIM('List 2'!A500)))</f>
        <v/>
      </c>
      <c r="M1000">
        <f>IF(K1000="","",IF(ISNUMBER('List 2'!C500),'List 2'!C500,TRIM('List 2'!C500)))</f>
        <v/>
      </c>
      <c r="N1000">
        <f>IF(K1000="","",IF(ISNUMBER('List 2'!D500),'List 2'!D500,TRIM('List 2'!D500)))</f>
        <v/>
      </c>
      <c r="O1000">
        <f>IF(K1000="","",0)</f>
        <v/>
      </c>
      <c r="P1000">
        <f>IF(K1000="","",I500)</f>
        <v/>
      </c>
      <c r="Q1000">
        <f>IF(K1000="","",FALSE)</f>
        <v/>
      </c>
      <c r="R1000">
        <f>IF(K1000="","",TRUE)</f>
        <v/>
      </c>
      <c r="S1000">
        <f>IF(K1000="","",IF(AND(Q1000,R1000),IF(O1000=P1000,"Match","Qty Different"),IF(Q1000,"Only in List 1","Only in List 2")))</f>
        <v/>
      </c>
      <c r="T1000">
        <f>IF(K1000="","",IF(ISNUMBER(--L1000),TEXT(--L1000,"000000000000.000"),LOWER(L1000)))</f>
        <v/>
      </c>
      <c r="U1000">
        <f>IF(K1000="","",IF(ISNUMBER(--M1000),TEXT(--M1000,"000000000000.000"),LOWER(M1000)))</f>
        <v/>
      </c>
      <c r="V1000">
        <f>IF(K1000="","",LOWER(N1000))</f>
        <v/>
      </c>
      <c r="W1000">
        <f>IF(K1000="","",G500)</f>
        <v/>
      </c>
      <c r="X1000">
        <f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>
      <c r="K1001">
        <f>IF(H501="","",IF(SUMPRODUCT(--($C$2:$C$501=H501))&gt;0,"",H501))</f>
        <v/>
      </c>
      <c r="L1001">
        <f>IF(K1001="","",IF(ISNUMBER('List 2'!A501),'List 2'!A501,TRIM('List 2'!A501)))</f>
        <v/>
      </c>
      <c r="M1001">
        <f>IF(K1001="","",IF(ISNUMBER('List 2'!C501),'List 2'!C501,TRIM('List 2'!C501)))</f>
        <v/>
      </c>
      <c r="N1001">
        <f>IF(K1001="","",IF(ISNUMBER('List 2'!D501),'List 2'!D501,TRIM('List 2'!D501)))</f>
        <v/>
      </c>
      <c r="O1001">
        <f>IF(K1001="","",0)</f>
        <v/>
      </c>
      <c r="P1001">
        <f>IF(K1001="","",I501)</f>
        <v/>
      </c>
      <c r="Q1001">
        <f>IF(K1001="","",FALSE)</f>
        <v/>
      </c>
      <c r="R1001">
        <f>IF(K1001="","",TRUE)</f>
        <v/>
      </c>
      <c r="S1001">
        <f>IF(K1001="","",IF(AND(Q1001,R1001),IF(O1001=P1001,"Match","Qty Different"),IF(Q1001,"Only in List 1","Only in List 2")))</f>
        <v/>
      </c>
      <c r="T1001">
        <f>IF(K1001="","",IF(ISNUMBER(--L1001),TEXT(--L1001,"000000000000.000"),LOWER(L1001)))</f>
        <v/>
      </c>
      <c r="U1001">
        <f>IF(K1001="","",IF(ISNUMBER(--M1001),TEXT(--M1001,"000000000000.000"),LOWER(M1001)))</f>
        <v/>
      </c>
      <c r="V1001">
        <f>IF(K1001="","",LOWER(N1001))</f>
        <v/>
      </c>
      <c r="W1001">
        <f>IF(K1001="","",G501)</f>
        <v/>
      </c>
      <c r="X1001">
        <f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2026-09-27T01:44:47Z</dcterms:created>
  <dcterms:modified xsi:type="dcterms:W3CDTF">2026-09-27T01:44:47Z</dcterms:modified>
</cp:coreProperties>
</file>