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t 1" sheetId="1" state="visible" r:id="rId3"/>
    <sheet name="List 2" sheetId="2" state="visible" r:id="rId4"/>
    <sheet name="Comparison" sheetId="3" state="visible" r:id="rId5"/>
    <sheet name="Calc" sheetId="4" state="hidden" r:id="rId6"/>
  </sheets>
  <definedNames>
    <definedName function="false" hidden="true" localSheetId="2" name="_xlnm._FilterDatabase" vbProcedure="false">Comparison!$A$1:$G$1001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<sst xmlns="http://schemas.openxmlformats.org/spreadsheetml/2006/main" count="116" uniqueCount="75">
  <si>
    <t xml:space="preserve">Item #</t>
  </si>
  <si>
    <t xml:space="preserve">Quantity</t>
  </si>
  <si>
    <t xml:space="preserve">Part #</t>
  </si>
  <si>
    <t xml:space="preserve">Part Description</t>
  </si>
  <si>
    <t xml:space="preserve">100</t>
  </si>
  <si>
    <t xml:space="preserve">PN-001</t>
  </si>
  <si>
    <t xml:space="preserve">Bolt M6</t>
  </si>
  <si>
    <t xml:space="preserve">101</t>
  </si>
  <si>
    <t xml:space="preserve">PN-002</t>
  </si>
  <si>
    <t xml:space="preserve">Nut M6</t>
  </si>
  <si>
    <t xml:space="preserve">102</t>
  </si>
  <si>
    <t xml:space="preserve">PN-003</t>
  </si>
  <si>
    <t xml:space="preserve">Washer M6</t>
  </si>
  <si>
    <t xml:space="preserve">103</t>
  </si>
  <si>
    <t xml:space="preserve">pn-004</t>
  </si>
  <si>
    <t xml:space="preserve">Bracket Left  </t>
  </si>
  <si>
    <t xml:space="preserve">104</t>
  </si>
  <si>
    <t xml:space="preserve">PN-005</t>
  </si>
  <si>
    <t xml:space="preserve">Gasket</t>
  </si>
  <si>
    <t xml:space="preserve">105</t>
  </si>
  <si>
    <t xml:space="preserve">PN-006</t>
  </si>
  <si>
    <t xml:space="preserve">Hinge</t>
  </si>
  <si>
    <t xml:space="preserve">106</t>
  </si>
  <si>
    <t xml:space="preserve">PN-007</t>
  </si>
  <si>
    <t xml:space="preserve">Screw M4</t>
  </si>
  <si>
    <t xml:space="preserve">107</t>
  </si>
  <si>
    <t xml:space="preserve">PN-008</t>
  </si>
  <si>
    <t xml:space="preserve">Cable 2m</t>
  </si>
  <si>
    <t xml:space="preserve">108</t>
  </si>
  <si>
    <t xml:space="preserve">PN-009</t>
  </si>
  <si>
    <t xml:space="preserve">Fuse 5A</t>
  </si>
  <si>
    <t xml:space="preserve">109</t>
  </si>
  <si>
    <t xml:space="preserve">PN-010</t>
  </si>
  <si>
    <t xml:space="preserve">Relay 12V</t>
  </si>
  <si>
    <t xml:space="preserve">112</t>
  </si>
  <si>
    <t xml:space="preserve">PN-013</t>
  </si>
  <si>
    <t xml:space="preserve">Pump A</t>
  </si>
  <si>
    <t xml:space="preserve">PN-004</t>
  </si>
  <si>
    <t xml:space="preserve">bracket left</t>
  </si>
  <si>
    <t xml:space="preserve">110</t>
  </si>
  <si>
    <t xml:space="preserve">PN-011</t>
  </si>
  <si>
    <t xml:space="preserve">Sensor</t>
  </si>
  <si>
    <t xml:space="preserve">Pump B</t>
  </si>
  <si>
    <t xml:space="preserve">Qty List 1</t>
  </si>
  <si>
    <t xml:space="preserve">Qty List 2</t>
  </si>
  <si>
    <t xml:space="preserve">Difference (L2 - L1)</t>
  </si>
  <si>
    <t xml:space="preserve">Status</t>
  </si>
  <si>
    <t xml:space="preserve">Summary</t>
  </si>
  <si>
    <t xml:space="preserve">Count</t>
  </si>
  <si>
    <t xml:space="preserve">Match</t>
  </si>
  <si>
    <t xml:space="preserve">Qty Different</t>
  </si>
  <si>
    <t xml:space="preserve">Only in List 1</t>
  </si>
  <si>
    <t xml:space="preserve">Only in List 2</t>
  </si>
  <si>
    <t xml:space="preserve">Total</t>
  </si>
  <si>
    <t xml:space="preserve">Match rows on</t>
  </si>
  <si>
    <t xml:space="preserve">Item # + Part # + Description</t>
  </si>
  <si>
    <t xml:space="preserve">Tap the cell above to change the key</t>
  </si>
  <si>
    <t xml:space="preserve">key1</t>
  </si>
  <si>
    <t xml:space="preserve">occ1</t>
  </si>
  <si>
    <t xml:space="preserve">keyocc1</t>
  </si>
  <si>
    <t xml:space="preserve">qty1</t>
  </si>
  <si>
    <t xml:space="preserve">key2</t>
  </si>
  <si>
    <t xml:space="preserve">occ2</t>
  </si>
  <si>
    <t xml:space="preserve">keyocc2</t>
  </si>
  <si>
    <t xml:space="preserve">qty2</t>
  </si>
  <si>
    <t xml:space="preserve">keyocc</t>
  </si>
  <si>
    <t xml:space="preserve">q1</t>
  </si>
  <si>
    <t xml:space="preserve">q2</t>
  </si>
  <si>
    <t xml:space="preserve">in1</t>
  </si>
  <si>
    <t xml:space="preserve">in2</t>
  </si>
  <si>
    <t xml:space="preserve">itemKey</t>
  </si>
  <si>
    <t xml:space="preserve">partKey</t>
  </si>
  <si>
    <t xml:space="preserve">descKey</t>
  </si>
  <si>
    <t xml:space="preserve">occ</t>
  </si>
  <si>
    <t xml:space="preserve">rank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</si>
</sst>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2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n">
        <v>1</v>
      </c>
      <c r="C4" s="0" t="s">
        <v>11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n">
        <v>3</v>
      </c>
      <c r="C5" s="0" t="s">
        <v>14</v>
      </c>
      <c r="D5" s="0" t="s">
        <v>15</v>
      </c>
    </row>
    <row r="6" customFormat="false" ht="15" hidden="false" customHeight="false" outlineLevel="0" collapsed="false">
      <c r="A6" s="0" t="s">
        <v>16</v>
      </c>
      <c r="B6" s="0" t="n">
        <v>2</v>
      </c>
      <c r="C6" s="0" t="s">
        <v>17</v>
      </c>
      <c r="D6" s="0" t="s">
        <v>18</v>
      </c>
    </row>
    <row r="7" customFormat="false" ht="15" hidden="false" customHeight="false" outlineLevel="0" collapsed="false">
      <c r="A7" s="0" t="s">
        <v>16</v>
      </c>
      <c r="B7" s="0" t="n">
        <v>2</v>
      </c>
      <c r="C7" s="0" t="s">
        <v>17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n">
        <v>6</v>
      </c>
      <c r="C8" s="0" t="s">
        <v>20</v>
      </c>
      <c r="D8" s="0" t="s">
        <v>21</v>
      </c>
    </row>
    <row r="9" customFormat="false" ht="15" hidden="false" customHeight="false" outlineLevel="0" collapsed="false">
      <c r="A9" s="0" t="s">
        <v>22</v>
      </c>
      <c r="B9" s="0" t="n">
        <v>1</v>
      </c>
      <c r="C9" s="0" t="s">
        <v>23</v>
      </c>
      <c r="D9" s="0" t="s">
        <v>24</v>
      </c>
    </row>
    <row r="10" customFormat="false" ht="15" hidden="false" customHeight="false" outlineLevel="0" collapsed="false">
      <c r="A10" s="0" t="s">
        <v>25</v>
      </c>
      <c r="B10" s="0" t="n">
        <v>10</v>
      </c>
      <c r="C10" s="0" t="s">
        <v>26</v>
      </c>
      <c r="D10" s="0" t="s">
        <v>27</v>
      </c>
    </row>
    <row r="11" customFormat="false" ht="15" hidden="false" customHeight="false" outlineLevel="0" collapsed="false">
      <c r="A11" s="0" t="s">
        <v>28</v>
      </c>
      <c r="B11" s="0" t="n">
        <v>1</v>
      </c>
      <c r="C11" s="0" t="s">
        <v>29</v>
      </c>
      <c r="D11" s="0" t="s">
        <v>30</v>
      </c>
    </row>
    <row r="12" customFormat="false" ht="15" hidden="false" customHeight="false" outlineLevel="0" collapsed="false">
      <c r="A12" s="0" t="s">
        <v>31</v>
      </c>
      <c r="C12" s="0" t="s">
        <v>32</v>
      </c>
      <c r="D12" s="0" t="s">
        <v>33</v>
      </c>
    </row>
    <row r="13" customFormat="false" ht="15" hidden="false" customHeight="false" outlineLevel="0" collapsed="false">
      <c r="A13" s="0" t="s">
        <v>34</v>
      </c>
      <c r="B13" s="0" t="n">
        <v>1</v>
      </c>
      <c r="C13" s="0" t="s">
        <v>35</v>
      </c>
      <c r="D13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5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13</v>
      </c>
      <c r="B4" s="0" t="n">
        <v>3</v>
      </c>
      <c r="C4" s="0" t="s">
        <v>37</v>
      </c>
      <c r="D4" s="0" t="s">
        <v>38</v>
      </c>
    </row>
    <row r="5" customFormat="false" ht="15" hidden="false" customHeight="false" outlineLevel="0" collapsed="false">
      <c r="A5" s="0" t="s">
        <v>16</v>
      </c>
      <c r="B5" s="0" t="n">
        <v>2</v>
      </c>
      <c r="C5" s="0" t="s">
        <v>17</v>
      </c>
      <c r="D5" s="0" t="s">
        <v>18</v>
      </c>
    </row>
    <row r="6" customFormat="false" ht="15" hidden="false" customHeight="false" outlineLevel="0" collapsed="false">
      <c r="A6" s="0" t="s">
        <v>19</v>
      </c>
      <c r="B6" s="0" t="n">
        <v>6</v>
      </c>
      <c r="C6" s="0" t="s">
        <v>20</v>
      </c>
      <c r="D6" s="0" t="s">
        <v>21</v>
      </c>
    </row>
    <row r="7" customFormat="false" ht="15" hidden="false" customHeight="false" outlineLevel="0" collapsed="false">
      <c r="A7" s="0" t="s">
        <v>19</v>
      </c>
      <c r="B7" s="0" t="n">
        <v>7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22</v>
      </c>
      <c r="B8" s="0" t="n">
        <v>1</v>
      </c>
      <c r="C8" s="0" t="s">
        <v>23</v>
      </c>
      <c r="D8" s="0" t="s">
        <v>24</v>
      </c>
    </row>
    <row r="9" customFormat="false" ht="15" hidden="false" customHeight="false" outlineLevel="0" collapsed="false">
      <c r="A9" s="0" t="s">
        <v>25</v>
      </c>
      <c r="B9" s="0" t="n">
        <v>8</v>
      </c>
      <c r="C9" s="0" t="s">
        <v>26</v>
      </c>
      <c r="D9" s="0" t="s">
        <v>27</v>
      </c>
    </row>
    <row r="10" customFormat="false" ht="15" hidden="false" customHeight="false" outlineLevel="0" collapsed="false">
      <c r="A10" s="0" t="s">
        <v>31</v>
      </c>
      <c r="B10" s="0" t="n">
        <v>2</v>
      </c>
      <c r="C10" s="0" t="s">
        <v>32</v>
      </c>
      <c r="D10" s="0" t="s">
        <v>33</v>
      </c>
    </row>
    <row r="11" customFormat="false" ht="15" hidden="false" customHeight="false" outlineLevel="0" collapsed="false">
      <c r="A11" s="0" t="s">
        <v>39</v>
      </c>
      <c r="B11" s="0" t="n">
        <v>3</v>
      </c>
      <c r="C11" s="0" t="s">
        <v>40</v>
      </c>
      <c r="D11" s="0" t="s">
        <v>41</v>
      </c>
    </row>
    <row r="12" customFormat="false" ht="15" hidden="false" customHeight="false" outlineLevel="0" collapsed="false">
      <c r="A12" s="0" t="s">
        <v>34</v>
      </c>
      <c r="B12" s="0" t="n">
        <v>1</v>
      </c>
      <c r="C12" s="0" t="s">
        <v>35</v>
      </c>
      <c r="D12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43</v>
      </c>
      <c r="E1" s="2" t="s">
        <v>44</v>
      </c>
      <c r="F1" s="2" t="s">
        <v>45</v>
      </c>
      <c r="G1" s="2" t="s">
        <v>46</v>
      </c>
      <c r="I1" s="1" t="s">
        <v>47</v>
      </c>
      <c r="J1" s="1" t="s">
        <v>48</v>
      </c>
    </row>
    <row r="2" customFormat="false" ht="15" hidden="false" customHeight="false" outlineLevel="0" collapsed="false">
      <c r="A2" s="0" t="str">
        <f aca="false">IFERROR(INDEX(Calc!$L$2:$L$1001,MATCH(ROW()-1,Calc!$X$2:$X$1001,0)),"")</f>
        <v>100</v>
      </c>
      <c r="B2" s="0" t="str">
        <f aca="false">IFERROR(INDEX(Calc!$M$2:$M$1001,MATCH(ROW()-1,Calc!$X$2:$X$1001,0)),"")</f>
        <v>PN-001</v>
      </c>
      <c r="C2" s="0" t="str">
        <f aca="false">IFERROR(INDEX(Calc!$N$2:$N$1001,MATCH(ROW()-1,Calc!$X$2:$X$1001,0)),"")</f>
        <v>Bolt M6</v>
      </c>
      <c r="D2" s="3" t="n">
        <f aca="false">IFERROR(INDEX(Calc!$O$2:$O$1001,MATCH(ROW()-1,Calc!$X$2:$X$1001,0)),"")</f>
        <v>4</v>
      </c>
      <c r="E2" s="3" t="n">
        <f aca="false">IFERROR(INDEX(Calc!$P$2:$P$1001,MATCH(ROW()-1,Calc!$X$2:$X$1001,0)),"")</f>
        <v>4</v>
      </c>
      <c r="F2" s="3" t="n">
        <f aca="false">IF(G2="","",E2-D2)</f>
        <v>0</v>
      </c>
      <c r="G2" s="0" t="str">
        <f aca="false">IFERROR(INDEX(Calc!$S$2:$S$1001,MATCH(ROW()-1,Calc!$X$2:$X$1001,0)),"")</f>
        <v>Match</v>
      </c>
      <c r="I2" s="4" t="s">
        <v>49</v>
      </c>
      <c r="J2" s="4" t="n">
        <f aca="false">COUNTIF($G$2:$G$1001,I2)</f>
        <v>5</v>
      </c>
    </row>
    <row r="3" customFormat="false" ht="15" hidden="false" customHeight="false" outlineLevel="0" collapsed="false">
      <c r="A3" s="0" t="str">
        <f aca="false">IFERROR(INDEX(Calc!$L$2:$L$1001,MATCH(ROW()-1,Calc!$X$2:$X$1001,0)),"")</f>
        <v>101</v>
      </c>
      <c r="B3" s="0" t="str">
        <f aca="false">IFERROR(INDEX(Calc!$M$2:$M$1001,MATCH(ROW()-1,Calc!$X$2:$X$1001,0)),"")</f>
        <v>PN-002</v>
      </c>
      <c r="C3" s="0" t="str">
        <f aca="false">IFERROR(INDEX(Calc!$N$2:$N$1001,MATCH(ROW()-1,Calc!$X$2:$X$1001,0)),"")</f>
        <v>Nut M6</v>
      </c>
      <c r="D3" s="3" t="n">
        <f aca="false">IFERROR(INDEX(Calc!$O$2:$O$1001,MATCH(ROW()-1,Calc!$X$2:$X$1001,0)),"")</f>
        <v>2</v>
      </c>
      <c r="E3" s="3" t="n">
        <f aca="false">IFERROR(INDEX(Calc!$P$2:$P$1001,MATCH(ROW()-1,Calc!$X$2:$X$1001,0)),"")</f>
        <v>5</v>
      </c>
      <c r="F3" s="3" t="n">
        <f aca="false">IF(G3="","",E3-D3)</f>
        <v>3</v>
      </c>
      <c r="G3" s="0" t="str">
        <f aca="false">IFERROR(INDEX(Calc!$S$2:$S$1001,MATCH(ROW()-1,Calc!$X$2:$X$1001,0)),"")</f>
        <v>Qty Different</v>
      </c>
      <c r="I3" s="5" t="s">
        <v>50</v>
      </c>
      <c r="J3" s="5" t="n">
        <f aca="false">COUNTIF($G$2:$G$1001,I3)</f>
        <v>3</v>
      </c>
    </row>
    <row r="4" customFormat="false" ht="15" hidden="false" customHeight="false" outlineLevel="0" collapsed="false">
      <c r="A4" s="0" t="str">
        <f aca="false">IFERROR(INDEX(Calc!$L$2:$L$1001,MATCH(ROW()-1,Calc!$X$2:$X$1001,0)),"")</f>
        <v>102</v>
      </c>
      <c r="B4" s="0" t="str">
        <f aca="false">IFERROR(INDEX(Calc!$M$2:$M$1001,MATCH(ROW()-1,Calc!$X$2:$X$1001,0)),"")</f>
        <v>PN-003</v>
      </c>
      <c r="C4" s="0" t="str">
        <f aca="false">IFERROR(INDEX(Calc!$N$2:$N$1001,MATCH(ROW()-1,Calc!$X$2:$X$1001,0)),"")</f>
        <v>Washer M6</v>
      </c>
      <c r="D4" s="3" t="n">
        <f aca="false">IFERROR(INDEX(Calc!$O$2:$O$1001,MATCH(ROW()-1,Calc!$X$2:$X$1001,0)),"")</f>
        <v>1</v>
      </c>
      <c r="E4" s="3" t="n">
        <f aca="false">IFERROR(INDEX(Calc!$P$2:$P$1001,MATCH(ROW()-1,Calc!$X$2:$X$1001,0)),"")</f>
        <v>0</v>
      </c>
      <c r="F4" s="3" t="n">
        <f aca="false">IF(G4="","",E4-D4)</f>
        <v>-1</v>
      </c>
      <c r="G4" s="0" t="str">
        <f aca="false">IFERROR(INDEX(Calc!$S$2:$S$1001,MATCH(ROW()-1,Calc!$X$2:$X$1001,0)),"")</f>
        <v>Only in List 1</v>
      </c>
      <c r="I4" s="6" t="s">
        <v>51</v>
      </c>
      <c r="J4" s="6" t="n">
        <f aca="false">COUNTIF($G$2:$G$1001,I4)</f>
        <v>4</v>
      </c>
    </row>
    <row r="5" customFormat="false" ht="15" hidden="false" customHeight="false" outlineLevel="0" collapsed="false">
      <c r="A5" s="0" t="str">
        <f aca="false">IFERROR(INDEX(Calc!$L$2:$L$1001,MATCH(ROW()-1,Calc!$X$2:$X$1001,0)),"")</f>
        <v>103</v>
      </c>
      <c r="B5" s="0" t="str">
        <f aca="false">IFERROR(INDEX(Calc!$M$2:$M$1001,MATCH(ROW()-1,Calc!$X$2:$X$1001,0)),"")</f>
        <v>pn-004</v>
      </c>
      <c r="C5" s="0" t="str">
        <f aca="false">IFERROR(INDEX(Calc!$N$2:$N$1001,MATCH(ROW()-1,Calc!$X$2:$X$1001,0)),"")</f>
        <v>Bracket Left</v>
      </c>
      <c r="D5" s="3" t="n">
        <f aca="false">IFERROR(INDEX(Calc!$O$2:$O$1001,MATCH(ROW()-1,Calc!$X$2:$X$1001,0)),"")</f>
        <v>3</v>
      </c>
      <c r="E5" s="3" t="n">
        <f aca="false">IFERROR(INDEX(Calc!$P$2:$P$1001,MATCH(ROW()-1,Calc!$X$2:$X$1001,0)),"")</f>
        <v>3</v>
      </c>
      <c r="F5" s="3" t="n">
        <f aca="false">IF(G5="","",E5-D5)</f>
        <v>0</v>
      </c>
      <c r="G5" s="0" t="str">
        <f aca="false">IFERROR(INDEX(Calc!$S$2:$S$1001,MATCH(ROW()-1,Calc!$X$2:$X$1001,0)),"")</f>
        <v>Match</v>
      </c>
      <c r="I5" s="7" t="s">
        <v>52</v>
      </c>
      <c r="J5" s="7" t="n">
        <f aca="false">COUNTIF($G$2:$G$1001,I5)</f>
        <v>3</v>
      </c>
    </row>
    <row r="6" customFormat="false" ht="15" hidden="false" customHeight="false" outlineLevel="0" collapsed="false">
      <c r="A6" s="0" t="str">
        <f aca="false">IFERROR(INDEX(Calc!$L$2:$L$1001,MATCH(ROW()-1,Calc!$X$2:$X$1001,0)),"")</f>
        <v>104</v>
      </c>
      <c r="B6" s="0" t="str">
        <f aca="false">IFERROR(INDEX(Calc!$M$2:$M$1001,MATCH(ROW()-1,Calc!$X$2:$X$1001,0)),"")</f>
        <v>PN-005</v>
      </c>
      <c r="C6" s="0" t="str">
        <f aca="false">IFERROR(INDEX(Calc!$N$2:$N$1001,MATCH(ROW()-1,Calc!$X$2:$X$1001,0)),"")</f>
        <v>Gasket</v>
      </c>
      <c r="D6" s="3" t="n">
        <f aca="false">IFERROR(INDEX(Calc!$O$2:$O$1001,MATCH(ROW()-1,Calc!$X$2:$X$1001,0)),"")</f>
        <v>2</v>
      </c>
      <c r="E6" s="3" t="n">
        <f aca="false">IFERROR(INDEX(Calc!$P$2:$P$1001,MATCH(ROW()-1,Calc!$X$2:$X$1001,0)),"")</f>
        <v>2</v>
      </c>
      <c r="F6" s="3" t="n">
        <f aca="false">IF(G6="","",E6-D6)</f>
        <v>0</v>
      </c>
      <c r="G6" s="0" t="str">
        <f aca="false">IFERROR(INDEX(Calc!$S$2:$S$1001,MATCH(ROW()-1,Calc!$X$2:$X$1001,0)),"")</f>
        <v>Match</v>
      </c>
      <c r="I6" s="1" t="s">
        <v>53</v>
      </c>
      <c r="J6" s="1" t="n">
        <f aca="false">SUM(J2:J5)</f>
        <v>15</v>
      </c>
    </row>
    <row r="7" customFormat="false" ht="15" hidden="false" customHeight="false" outlineLevel="0" collapsed="false">
      <c r="A7" s="0" t="str">
        <f aca="false">IFERROR(INDEX(Calc!$L$2:$L$1001,MATCH(ROW()-1,Calc!$X$2:$X$1001,0)),"")</f>
        <v>104</v>
      </c>
      <c r="B7" s="0" t="str">
        <f aca="false">IFERROR(INDEX(Calc!$M$2:$M$1001,MATCH(ROW()-1,Calc!$X$2:$X$1001,0)),"")</f>
        <v>PN-005</v>
      </c>
      <c r="C7" s="0" t="str">
        <f aca="false">IFERROR(INDEX(Calc!$N$2:$N$1001,MATCH(ROW()-1,Calc!$X$2:$X$1001,0)),"")</f>
        <v>Gasket</v>
      </c>
      <c r="D7" s="3" t="n">
        <f aca="false">IFERROR(INDEX(Calc!$O$2:$O$1001,MATCH(ROW()-1,Calc!$X$2:$X$1001,0)),"")</f>
        <v>2</v>
      </c>
      <c r="E7" s="3" t="n">
        <f aca="false">IFERROR(INDEX(Calc!$P$2:$P$1001,MATCH(ROW()-1,Calc!$X$2:$X$1001,0)),"")</f>
        <v>0</v>
      </c>
      <c r="F7" s="3" t="n">
        <f aca="false">IF(G7="","",E7-D7)</f>
        <v>-2</v>
      </c>
      <c r="G7" s="0" t="str">
        <f aca="false">IFERROR(INDEX(Calc!$S$2:$S$1001,MATCH(ROW()-1,Calc!$X$2:$X$1001,0)),"")</f>
        <v>Only in List 1</v>
      </c>
    </row>
    <row r="8" customFormat="false" ht="15" hidden="false" customHeight="false" outlineLevel="0" collapsed="false">
      <c r="A8" s="0" t="str">
        <f aca="false">IFERROR(INDEX(Calc!$L$2:$L$1001,MATCH(ROW()-1,Calc!$X$2:$X$1001,0)),"")</f>
        <v>105</v>
      </c>
      <c r="B8" s="0" t="str">
        <f aca="false">IFERROR(INDEX(Calc!$M$2:$M$1001,MATCH(ROW()-1,Calc!$X$2:$X$1001,0)),"")</f>
        <v>PN-006</v>
      </c>
      <c r="C8" s="0" t="str">
        <f aca="false">IFERROR(INDEX(Calc!$N$2:$N$1001,MATCH(ROW()-1,Calc!$X$2:$X$1001,0)),"")</f>
        <v>Hinge</v>
      </c>
      <c r="D8" s="3" t="n">
        <f aca="false">IFERROR(INDEX(Calc!$O$2:$O$1001,MATCH(ROW()-1,Calc!$X$2:$X$1001,0)),"")</f>
        <v>6</v>
      </c>
      <c r="E8" s="3" t="n">
        <f aca="false">IFERROR(INDEX(Calc!$P$2:$P$1001,MATCH(ROW()-1,Calc!$X$2:$X$1001,0)),"")</f>
        <v>6</v>
      </c>
      <c r="F8" s="3" t="n">
        <f aca="false">IF(G8="","",E8-D8)</f>
        <v>0</v>
      </c>
      <c r="G8" s="0" t="str">
        <f aca="false">IFERROR(INDEX(Calc!$S$2:$S$1001,MATCH(ROW()-1,Calc!$X$2:$X$1001,0)),"")</f>
        <v>Match</v>
      </c>
      <c r="I8" s="1" t="s">
        <v>54</v>
      </c>
    </row>
    <row r="9" customFormat="false" ht="15" hidden="false" customHeight="false" outlineLevel="0" collapsed="false">
      <c r="A9" s="0" t="str">
        <f aca="false">IFERROR(INDEX(Calc!$L$2:$L$1001,MATCH(ROW()-1,Calc!$X$2:$X$1001,0)),"")</f>
        <v>105</v>
      </c>
      <c r="B9" s="0" t="str">
        <f aca="false">IFERROR(INDEX(Calc!$M$2:$M$1001,MATCH(ROW()-1,Calc!$X$2:$X$1001,0)),"")</f>
        <v>PN-006</v>
      </c>
      <c r="C9" s="0" t="str">
        <f aca="false">IFERROR(INDEX(Calc!$N$2:$N$1001,MATCH(ROW()-1,Calc!$X$2:$X$1001,0)),"")</f>
        <v>Hinge</v>
      </c>
      <c r="D9" s="3" t="n">
        <f aca="false">IFERROR(INDEX(Calc!$O$2:$O$1001,MATCH(ROW()-1,Calc!$X$2:$X$1001,0)),"")</f>
        <v>0</v>
      </c>
      <c r="E9" s="3" t="n">
        <f aca="false">IFERROR(INDEX(Calc!$P$2:$P$1001,MATCH(ROW()-1,Calc!$X$2:$X$1001,0)),"")</f>
        <v>7</v>
      </c>
      <c r="F9" s="3" t="n">
        <f aca="false">IF(G9="","",E9-D9)</f>
        <v>7</v>
      </c>
      <c r="G9" s="0" t="str">
        <f aca="false">IFERROR(INDEX(Calc!$S$2:$S$1001,MATCH(ROW()-1,Calc!$X$2:$X$1001,0)),"")</f>
        <v>Only in List 2</v>
      </c>
      <c r="I9" s="8" t="s">
        <v>55</v>
      </c>
    </row>
    <row r="10" customFormat="false" ht="15" hidden="false" customHeight="false" outlineLevel="0" collapsed="false">
      <c r="A10" s="0" t="str">
        <f aca="false">IFERROR(INDEX(Calc!$L$2:$L$1001,MATCH(ROW()-1,Calc!$X$2:$X$1001,0)),"")</f>
        <v>106</v>
      </c>
      <c r="B10" s="0" t="str">
        <f aca="false">IFERROR(INDEX(Calc!$M$2:$M$1001,MATCH(ROW()-1,Calc!$X$2:$X$1001,0)),"")</f>
        <v>PN-007</v>
      </c>
      <c r="C10" s="0" t="str">
        <f aca="false">IFERROR(INDEX(Calc!$N$2:$N$1001,MATCH(ROW()-1,Calc!$X$2:$X$1001,0)),"")</f>
        <v>Screw M4</v>
      </c>
      <c r="D10" s="3" t="n">
        <f aca="false">IFERROR(INDEX(Calc!$O$2:$O$1001,MATCH(ROW()-1,Calc!$X$2:$X$1001,0)),"")</f>
        <v>1</v>
      </c>
      <c r="E10" s="3" t="n">
        <f aca="false">IFERROR(INDEX(Calc!$P$2:$P$1001,MATCH(ROW()-1,Calc!$X$2:$X$1001,0)),"")</f>
        <v>1</v>
      </c>
      <c r="F10" s="3" t="n">
        <f aca="false">IF(G10="","",E10-D10)</f>
        <v>0</v>
      </c>
      <c r="G10" s="0" t="str">
        <f aca="false">IFERROR(INDEX(Calc!$S$2:$S$1001,MATCH(ROW()-1,Calc!$X$2:$X$1001,0)),"")</f>
        <v>Match</v>
      </c>
      <c r="I10" s="9" t="s">
        <v>56</v>
      </c>
    </row>
    <row r="11" customFormat="false" ht="15" hidden="false" customHeight="false" outlineLevel="0" collapsed="false">
      <c r="A11" s="0" t="str">
        <f aca="false">IFERROR(INDEX(Calc!$L$2:$L$1001,MATCH(ROW()-1,Calc!$X$2:$X$1001,0)),"")</f>
        <v>107</v>
      </c>
      <c r="B11" s="0" t="str">
        <f aca="false">IFERROR(INDEX(Calc!$M$2:$M$1001,MATCH(ROW()-1,Calc!$X$2:$X$1001,0)),"")</f>
        <v>PN-008</v>
      </c>
      <c r="C11" s="0" t="str">
        <f aca="false">IFERROR(INDEX(Calc!$N$2:$N$1001,MATCH(ROW()-1,Calc!$X$2:$X$1001,0)),"")</f>
        <v>Cable 2m</v>
      </c>
      <c r="D11" s="3" t="n">
        <f aca="false">IFERROR(INDEX(Calc!$O$2:$O$1001,MATCH(ROW()-1,Calc!$X$2:$X$1001,0)),"")</f>
        <v>10</v>
      </c>
      <c r="E11" s="3" t="n">
        <f aca="false">IFERROR(INDEX(Calc!$P$2:$P$1001,MATCH(ROW()-1,Calc!$X$2:$X$1001,0)),"")</f>
        <v>8</v>
      </c>
      <c r="F11" s="3" t="n">
        <f aca="false">IF(G11="","",E11-D11)</f>
        <v>-2</v>
      </c>
      <c r="G11" s="0" t="str">
        <f aca="false">IFERROR(INDEX(Calc!$S$2:$S$1001,MATCH(ROW()-1,Calc!$X$2:$X$1001,0)),"")</f>
        <v>Qty Different</v>
      </c>
    </row>
    <row r="12" customFormat="false" ht="15" hidden="false" customHeight="false" outlineLevel="0" collapsed="false">
      <c r="A12" s="0" t="str">
        <f aca="false">IFERROR(INDEX(Calc!$L$2:$L$1001,MATCH(ROW()-1,Calc!$X$2:$X$1001,0)),"")</f>
        <v>108</v>
      </c>
      <c r="B12" s="0" t="str">
        <f aca="false">IFERROR(INDEX(Calc!$M$2:$M$1001,MATCH(ROW()-1,Calc!$X$2:$X$1001,0)),"")</f>
        <v>PN-009</v>
      </c>
      <c r="C12" s="0" t="str">
        <f aca="false">IFERROR(INDEX(Calc!$N$2:$N$1001,MATCH(ROW()-1,Calc!$X$2:$X$1001,0)),"")</f>
        <v>Fuse 5A</v>
      </c>
      <c r="D12" s="3" t="n">
        <f aca="false">IFERROR(INDEX(Calc!$O$2:$O$1001,MATCH(ROW()-1,Calc!$X$2:$X$1001,0)),"")</f>
        <v>1</v>
      </c>
      <c r="E12" s="3" t="n">
        <f aca="false">IFERROR(INDEX(Calc!$P$2:$P$1001,MATCH(ROW()-1,Calc!$X$2:$X$1001,0)),"")</f>
        <v>0</v>
      </c>
      <c r="F12" s="3" t="n">
        <f aca="false">IF(G12="","",E12-D12)</f>
        <v>-1</v>
      </c>
      <c r="G12" s="0" t="str">
        <f aca="false">IFERROR(INDEX(Calc!$S$2:$S$1001,MATCH(ROW()-1,Calc!$X$2:$X$1001,0)),"")</f>
        <v>Only in List 1</v>
      </c>
    </row>
    <row r="13" customFormat="false" ht="15" hidden="false" customHeight="false" outlineLevel="0" collapsed="false">
      <c r="A13" s="0" t="str">
        <f aca="false">IFERROR(INDEX(Calc!$L$2:$L$1001,MATCH(ROW()-1,Calc!$X$2:$X$1001,0)),"")</f>
        <v>109</v>
      </c>
      <c r="B13" s="0" t="str">
        <f aca="false">IFERROR(INDEX(Calc!$M$2:$M$1001,MATCH(ROW()-1,Calc!$X$2:$X$1001,0)),"")</f>
        <v>PN-010</v>
      </c>
      <c r="C13" s="0" t="str">
        <f aca="false">IFERROR(INDEX(Calc!$N$2:$N$1001,MATCH(ROW()-1,Calc!$X$2:$X$1001,0)),"")</f>
        <v>Relay 12V</v>
      </c>
      <c r="D13" s="3" t="n">
        <f aca="false">IFERROR(INDEX(Calc!$O$2:$O$1001,MATCH(ROW()-1,Calc!$X$2:$X$1001,0)),"")</f>
        <v>0</v>
      </c>
      <c r="E13" s="3" t="n">
        <f aca="false">IFERROR(INDEX(Calc!$P$2:$P$1001,MATCH(ROW()-1,Calc!$X$2:$X$1001,0)),"")</f>
        <v>2</v>
      </c>
      <c r="F13" s="3" t="n">
        <f aca="false">IF(G13="","",E13-D13)</f>
        <v>2</v>
      </c>
      <c r="G13" s="0" t="str">
        <f aca="false">IFERROR(INDEX(Calc!$S$2:$S$1001,MATCH(ROW()-1,Calc!$X$2:$X$1001,0)),"")</f>
        <v>Qty Different</v>
      </c>
    </row>
    <row r="14" customFormat="false" ht="15" hidden="false" customHeight="false" outlineLevel="0" collapsed="false">
      <c r="A14" s="0" t="str">
        <f aca="false">IFERROR(INDEX(Calc!$L$2:$L$1001,MATCH(ROW()-1,Calc!$X$2:$X$1001,0)),"")</f>
        <v>110</v>
      </c>
      <c r="B14" s="0" t="str">
        <f aca="false">IFERROR(INDEX(Calc!$M$2:$M$1001,MATCH(ROW()-1,Calc!$X$2:$X$1001,0)),"")</f>
        <v>PN-011</v>
      </c>
      <c r="C14" s="0" t="str">
        <f aca="false">IFERROR(INDEX(Calc!$N$2:$N$1001,MATCH(ROW()-1,Calc!$X$2:$X$1001,0)),"")</f>
        <v>Sensor</v>
      </c>
      <c r="D14" s="3" t="n">
        <f aca="false">IFERROR(INDEX(Calc!$O$2:$O$1001,MATCH(ROW()-1,Calc!$X$2:$X$1001,0)),"")</f>
        <v>0</v>
      </c>
      <c r="E14" s="3" t="n">
        <f aca="false">IFERROR(INDEX(Calc!$P$2:$P$1001,MATCH(ROW()-1,Calc!$X$2:$X$1001,0)),"")</f>
        <v>3</v>
      </c>
      <c r="F14" s="3" t="n">
        <f aca="false">IF(G14="","",E14-D14)</f>
        <v>3</v>
      </c>
      <c r="G14" s="0" t="str">
        <f aca="false">IFERROR(INDEX(Calc!$S$2:$S$1001,MATCH(ROW()-1,Calc!$X$2:$X$1001,0)),"")</f>
        <v>Only in List 2</v>
      </c>
    </row>
    <row r="15" customFormat="false" ht="15" hidden="false" customHeight="false" outlineLevel="0" collapsed="false">
      <c r="A15" s="0" t="str">
        <f aca="false">IFERROR(INDEX(Calc!$L$2:$L$1001,MATCH(ROW()-1,Calc!$X$2:$X$1001,0)),"")</f>
        <v>112</v>
      </c>
      <c r="B15" s="0" t="str">
        <f aca="false">IFERROR(INDEX(Calc!$M$2:$M$1001,MATCH(ROW()-1,Calc!$X$2:$X$1001,0)),"")</f>
        <v>PN-013</v>
      </c>
      <c r="C15" s="0" t="str">
        <f aca="false">IFERROR(INDEX(Calc!$N$2:$N$1001,MATCH(ROW()-1,Calc!$X$2:$X$1001,0)),"")</f>
        <v>Pump A</v>
      </c>
      <c r="D15" s="3" t="n">
        <f aca="false">IFERROR(INDEX(Calc!$O$2:$O$1001,MATCH(ROW()-1,Calc!$X$2:$X$1001,0)),"")</f>
        <v>1</v>
      </c>
      <c r="E15" s="3" t="n">
        <f aca="false">IFERROR(INDEX(Calc!$P$2:$P$1001,MATCH(ROW()-1,Calc!$X$2:$X$1001,0)),"")</f>
        <v>0</v>
      </c>
      <c r="F15" s="3" t="n">
        <f aca="false">IF(G15="","",E15-D15)</f>
        <v>-1</v>
      </c>
      <c r="G15" s="0" t="str">
        <f aca="false">IFERROR(INDEX(Calc!$S$2:$S$1001,MATCH(ROW()-1,Calc!$X$2:$X$1001,0)),"")</f>
        <v>Only in List 1</v>
      </c>
    </row>
    <row r="16" customFormat="false" ht="15" hidden="false" customHeight="false" outlineLevel="0" collapsed="false">
      <c r="A16" s="0" t="str">
        <f aca="false">IFERROR(INDEX(Calc!$L$2:$L$1001,MATCH(ROW()-1,Calc!$X$2:$X$1001,0)),"")</f>
        <v>112</v>
      </c>
      <c r="B16" s="0" t="str">
        <f aca="false">IFERROR(INDEX(Calc!$M$2:$M$1001,MATCH(ROW()-1,Calc!$X$2:$X$1001,0)),"")</f>
        <v>PN-013</v>
      </c>
      <c r="C16" s="0" t="str">
        <f aca="false">IFERROR(INDEX(Calc!$N$2:$N$1001,MATCH(ROW()-1,Calc!$X$2:$X$1001,0)),"")</f>
        <v>Pump B</v>
      </c>
      <c r="D16" s="3" t="n">
        <f aca="false">IFERROR(INDEX(Calc!$O$2:$O$1001,MATCH(ROW()-1,Calc!$X$2:$X$1001,0)),"")</f>
        <v>0</v>
      </c>
      <c r="E16" s="3" t="n">
        <f aca="false">IFERROR(INDEX(Calc!$P$2:$P$1001,MATCH(ROW()-1,Calc!$X$2:$X$1001,0)),"")</f>
        <v>1</v>
      </c>
      <c r="F16" s="3" t="n">
        <f aca="false">IF(G16="","",E16-D16)</f>
        <v>1</v>
      </c>
      <c r="G16" s="0" t="str">
        <f aca="false">IFERROR(INDEX(Calc!$S$2:$S$1001,MATCH(ROW()-1,Calc!$X$2:$X$1001,0)),"")</f>
        <v>Only in List 2</v>
      </c>
    </row>
    <row r="17" customFormat="false" ht="15" hidden="false" customHeight="false" outlineLevel="0" collapsed="false">
      <c r="A17" s="0" t="str">
        <f aca="false">IFERROR(INDEX(Calc!$L$2:$L$1001,MATCH(ROW()-1,Calc!$X$2:$X$1001,0)),"")</f>
        <v/>
      </c>
      <c r="B17" s="0" t="str">
        <f aca="false">IFERROR(INDEX(Calc!$M$2:$M$1001,MATCH(ROW()-1,Calc!$X$2:$X$1001,0)),"")</f>
        <v/>
      </c>
      <c r="C17" s="0" t="str">
        <f aca="false">IFERROR(INDEX(Calc!$N$2:$N$1001,MATCH(ROW()-1,Calc!$X$2:$X$1001,0)),"")</f>
        <v/>
      </c>
      <c r="D17" s="3" t="str">
        <f aca="false">IFERROR(INDEX(Calc!$O$2:$O$1001,MATCH(ROW()-1,Calc!$X$2:$X$1001,0)),"")</f>
        <v/>
      </c>
      <c r="E17" s="3" t="str">
        <f aca="false">IFERROR(INDEX(Calc!$P$2:$P$1001,MATCH(ROW()-1,Calc!$X$2:$X$1001,0)),"")</f>
        <v/>
      </c>
      <c r="F17" s="3" t="str">
        <f aca="false">IF(G17="","",E17-D17)</f>
        <v/>
      </c>
      <c r="G17" s="0" t="str">
        <f aca="false">IFERROR(INDEX(Calc!$S$2:$S$1001,MATCH(ROW()-1,Calc!$X$2:$X$1001,0)),"")</f>
        <v/>
      </c>
    </row>
    <row r="18" customFormat="false" ht="15" hidden="false" customHeight="false" outlineLevel="0" collapsed="false">
      <c r="A18" s="0" t="str">
        <f aca="false">IFERROR(INDEX(Calc!$L$2:$L$1001,MATCH(ROW()-1,Calc!$X$2:$X$1001,0)),"")</f>
        <v/>
      </c>
      <c r="B18" s="0" t="str">
        <f aca="false">IFERROR(INDEX(Calc!$M$2:$M$1001,MATCH(ROW()-1,Calc!$X$2:$X$1001,0)),"")</f>
        <v/>
      </c>
      <c r="C18" s="0" t="str">
        <f aca="false">IFERROR(INDEX(Calc!$N$2:$N$1001,MATCH(ROW()-1,Calc!$X$2:$X$1001,0)),"")</f>
        <v/>
      </c>
      <c r="D18" s="3" t="str">
        <f aca="false">IFERROR(INDEX(Calc!$O$2:$O$1001,MATCH(ROW()-1,Calc!$X$2:$X$1001,0)),"")</f>
        <v/>
      </c>
      <c r="E18" s="3" t="str">
        <f aca="false">IFERROR(INDEX(Calc!$P$2:$P$1001,MATCH(ROW()-1,Calc!$X$2:$X$1001,0)),"")</f>
        <v/>
      </c>
      <c r="F18" s="3" t="str">
        <f aca="false">IF(G18="","",E18-D18)</f>
        <v/>
      </c>
      <c r="G18" s="0" t="str">
        <f aca="false">IFERROR(INDEX(Calc!$S$2:$S$1001,MATCH(ROW()-1,Calc!$X$2:$X$1001,0)),"")</f>
        <v/>
      </c>
    </row>
    <row r="19" customFormat="false" ht="15" hidden="false" customHeight="false" outlineLevel="0" collapsed="false">
      <c r="A19" s="0" t="str">
        <f aca="false">IFERROR(INDEX(Calc!$L$2:$L$1001,MATCH(ROW()-1,Calc!$X$2:$X$1001,0)),"")</f>
        <v/>
      </c>
      <c r="B19" s="0" t="str">
        <f aca="false">IFERROR(INDEX(Calc!$M$2:$M$1001,MATCH(ROW()-1,Calc!$X$2:$X$1001,0)),"")</f>
        <v/>
      </c>
      <c r="C19" s="0" t="str">
        <f aca="false">IFERROR(INDEX(Calc!$N$2:$N$1001,MATCH(ROW()-1,Calc!$X$2:$X$1001,0)),"")</f>
        <v/>
      </c>
      <c r="D19" s="3" t="str">
        <f aca="false">IFERROR(INDEX(Calc!$O$2:$O$1001,MATCH(ROW()-1,Calc!$X$2:$X$1001,0)),"")</f>
        <v/>
      </c>
      <c r="E19" s="3" t="str">
        <f aca="false">IFERROR(INDEX(Calc!$P$2:$P$1001,MATCH(ROW()-1,Calc!$X$2:$X$1001,0)),"")</f>
        <v/>
      </c>
      <c r="F19" s="3" t="str">
        <f aca="false">IF(G19="","",E19-D19)</f>
        <v/>
      </c>
      <c r="G19" s="0" t="str">
        <f aca="false">IFERROR(INDEX(Calc!$S$2:$S$1001,MATCH(ROW()-1,Calc!$X$2:$X$1001,0)),"")</f>
        <v/>
      </c>
    </row>
    <row r="20" customFormat="false" ht="15" hidden="false" customHeight="false" outlineLevel="0" collapsed="false">
      <c r="A20" s="0" t="str">
        <f aca="false">IFERROR(INDEX(Calc!$L$2:$L$1001,MATCH(ROW()-1,Calc!$X$2:$X$1001,0)),"")</f>
        <v/>
      </c>
      <c r="B20" s="0" t="str">
        <f aca="false">IFERROR(INDEX(Calc!$M$2:$M$1001,MATCH(ROW()-1,Calc!$X$2:$X$1001,0)),"")</f>
        <v/>
      </c>
      <c r="C20" s="0" t="str">
        <f aca="false">IFERROR(INDEX(Calc!$N$2:$N$1001,MATCH(ROW()-1,Calc!$X$2:$X$1001,0)),"")</f>
        <v/>
      </c>
      <c r="D20" s="3" t="str">
        <f aca="false">IFERROR(INDEX(Calc!$O$2:$O$1001,MATCH(ROW()-1,Calc!$X$2:$X$1001,0)),"")</f>
        <v/>
      </c>
      <c r="E20" s="3" t="str">
        <f aca="false">IFERROR(INDEX(Calc!$P$2:$P$1001,MATCH(ROW()-1,Calc!$X$2:$X$1001,0)),"")</f>
        <v/>
      </c>
      <c r="F20" s="3" t="str">
        <f aca="false">IF(G20="","",E20-D20)</f>
        <v/>
      </c>
      <c r="G20" s="0" t="str">
        <f aca="false">IFERROR(INDEX(Calc!$S$2:$S$1001,MATCH(ROW()-1,Calc!$X$2:$X$1001,0)),"")</f>
        <v/>
      </c>
    </row>
    <row r="21" customFormat="false" ht="15" hidden="false" customHeight="false" outlineLevel="0" collapsed="false">
      <c r="A21" s="0" t="str">
        <f aca="false">IFERROR(INDEX(Calc!$L$2:$L$1001,MATCH(ROW()-1,Calc!$X$2:$X$1001,0)),"")</f>
        <v/>
      </c>
      <c r="B21" s="0" t="str">
        <f aca="false">IFERROR(INDEX(Calc!$M$2:$M$1001,MATCH(ROW()-1,Calc!$X$2:$X$1001,0)),"")</f>
        <v/>
      </c>
      <c r="C21" s="0" t="str">
        <f aca="false">IFERROR(INDEX(Calc!$N$2:$N$1001,MATCH(ROW()-1,Calc!$X$2:$X$1001,0)),"")</f>
        <v/>
      </c>
      <c r="D21" s="3" t="str">
        <f aca="false">IFERROR(INDEX(Calc!$O$2:$O$1001,MATCH(ROW()-1,Calc!$X$2:$X$1001,0)),"")</f>
        <v/>
      </c>
      <c r="E21" s="3" t="str">
        <f aca="false">IFERROR(INDEX(Calc!$P$2:$P$1001,MATCH(ROW()-1,Calc!$X$2:$X$1001,0)),"")</f>
        <v/>
      </c>
      <c r="F21" s="3" t="str">
        <f aca="false">IF(G21="","",E21-D21)</f>
        <v/>
      </c>
      <c r="G21" s="0" t="str">
        <f aca="false">IFERROR(INDEX(Calc!$S$2:$S$1001,MATCH(ROW()-1,Calc!$X$2:$X$1001,0)),"")</f>
        <v/>
      </c>
    </row>
    <row r="22" customFormat="false" ht="15" hidden="false" customHeight="false" outlineLevel="0" collapsed="false">
      <c r="A22" s="0" t="str">
        <f aca="false">IFERROR(INDEX(Calc!$L$2:$L$1001,MATCH(ROW()-1,Calc!$X$2:$X$1001,0)),"")</f>
        <v/>
      </c>
      <c r="B22" s="0" t="str">
        <f aca="false">IFERROR(INDEX(Calc!$M$2:$M$1001,MATCH(ROW()-1,Calc!$X$2:$X$1001,0)),"")</f>
        <v/>
      </c>
      <c r="C22" s="0" t="str">
        <f aca="false">IFERROR(INDEX(Calc!$N$2:$N$1001,MATCH(ROW()-1,Calc!$X$2:$X$1001,0)),"")</f>
        <v/>
      </c>
      <c r="D22" s="3" t="str">
        <f aca="false">IFERROR(INDEX(Calc!$O$2:$O$1001,MATCH(ROW()-1,Calc!$X$2:$X$1001,0)),"")</f>
        <v/>
      </c>
      <c r="E22" s="3" t="str">
        <f aca="false">IFERROR(INDEX(Calc!$P$2:$P$1001,MATCH(ROW()-1,Calc!$X$2:$X$1001,0)),"")</f>
        <v/>
      </c>
      <c r="F22" s="3" t="str">
        <f aca="false">IF(G22="","",E22-D22)</f>
        <v/>
      </c>
      <c r="G22" s="0" t="str">
        <f aca="false">IFERROR(INDEX(Calc!$S$2:$S$1001,MATCH(ROW()-1,Calc!$X$2:$X$1001,0)),"")</f>
        <v/>
      </c>
    </row>
    <row r="23" customFormat="false" ht="15" hidden="false" customHeight="false" outlineLevel="0" collapsed="false">
      <c r="A23" s="0" t="str">
        <f aca="false">IFERROR(INDEX(Calc!$L$2:$L$1001,MATCH(ROW()-1,Calc!$X$2:$X$1001,0)),"")</f>
        <v/>
      </c>
      <c r="B23" s="0" t="str">
        <f aca="false">IFERROR(INDEX(Calc!$M$2:$M$1001,MATCH(ROW()-1,Calc!$X$2:$X$1001,0)),"")</f>
        <v/>
      </c>
      <c r="C23" s="0" t="str">
        <f aca="false">IFERROR(INDEX(Calc!$N$2:$N$1001,MATCH(ROW()-1,Calc!$X$2:$X$1001,0)),"")</f>
        <v/>
      </c>
      <c r="D23" s="3" t="str">
        <f aca="false">IFERROR(INDEX(Calc!$O$2:$O$1001,MATCH(ROW()-1,Calc!$X$2:$X$1001,0)),"")</f>
        <v/>
      </c>
      <c r="E23" s="3" t="str">
        <f aca="false">IFERROR(INDEX(Calc!$P$2:$P$1001,MATCH(ROW()-1,Calc!$X$2:$X$1001,0)),"")</f>
        <v/>
      </c>
      <c r="F23" s="3" t="str">
        <f aca="false">IF(G23="","",E23-D23)</f>
        <v/>
      </c>
      <c r="G23" s="0" t="str">
        <f aca="false">IFERROR(INDEX(Calc!$S$2:$S$1001,MATCH(ROW()-1,Calc!$X$2:$X$1001,0)),"")</f>
        <v/>
      </c>
    </row>
    <row r="24" customFormat="false" ht="15" hidden="false" customHeight="false" outlineLevel="0" collapsed="false">
      <c r="A24" s="0" t="str">
        <f aca="false">IFERROR(INDEX(Calc!$L$2:$L$1001,MATCH(ROW()-1,Calc!$X$2:$X$1001,0)),"")</f>
        <v/>
      </c>
      <c r="B24" s="0" t="str">
        <f aca="false">IFERROR(INDEX(Calc!$M$2:$M$1001,MATCH(ROW()-1,Calc!$X$2:$X$1001,0)),"")</f>
        <v/>
      </c>
      <c r="C24" s="0" t="str">
        <f aca="false">IFERROR(INDEX(Calc!$N$2:$N$1001,MATCH(ROW()-1,Calc!$X$2:$X$1001,0)),"")</f>
        <v/>
      </c>
      <c r="D24" s="3" t="str">
        <f aca="false">IFERROR(INDEX(Calc!$O$2:$O$1001,MATCH(ROW()-1,Calc!$X$2:$X$1001,0)),"")</f>
        <v/>
      </c>
      <c r="E24" s="3" t="str">
        <f aca="false">IFERROR(INDEX(Calc!$P$2:$P$1001,MATCH(ROW()-1,Calc!$X$2:$X$1001,0)),"")</f>
        <v/>
      </c>
      <c r="F24" s="3" t="str">
        <f aca="false">IF(G24="","",E24-D24)</f>
        <v/>
      </c>
      <c r="G24" s="0" t="str">
        <f aca="false">IFERROR(INDEX(Calc!$S$2:$S$1001,MATCH(ROW()-1,Calc!$X$2:$X$1001,0)),"")</f>
        <v/>
      </c>
    </row>
    <row r="25" customFormat="false" ht="15" hidden="false" customHeight="false" outlineLevel="0" collapsed="false">
      <c r="A25" s="0" t="str">
        <f aca="false">IFERROR(INDEX(Calc!$L$2:$L$1001,MATCH(ROW()-1,Calc!$X$2:$X$1001,0)),"")</f>
        <v/>
      </c>
      <c r="B25" s="0" t="str">
        <f aca="false">IFERROR(INDEX(Calc!$M$2:$M$1001,MATCH(ROW()-1,Calc!$X$2:$X$1001,0)),"")</f>
        <v/>
      </c>
      <c r="C25" s="0" t="str">
        <f aca="false">IFERROR(INDEX(Calc!$N$2:$N$1001,MATCH(ROW()-1,Calc!$X$2:$X$1001,0)),"")</f>
        <v/>
      </c>
      <c r="D25" s="3" t="str">
        <f aca="false">IFERROR(INDEX(Calc!$O$2:$O$1001,MATCH(ROW()-1,Calc!$X$2:$X$1001,0)),"")</f>
        <v/>
      </c>
      <c r="E25" s="3" t="str">
        <f aca="false">IFERROR(INDEX(Calc!$P$2:$P$1001,MATCH(ROW()-1,Calc!$X$2:$X$1001,0)),"")</f>
        <v/>
      </c>
      <c r="F25" s="3" t="str">
        <f aca="false">IF(G25="","",E25-D25)</f>
        <v/>
      </c>
      <c r="G25" s="0" t="str">
        <f aca="false">IFERROR(INDEX(Calc!$S$2:$S$1001,MATCH(ROW()-1,Calc!$X$2:$X$1001,0)),"")</f>
        <v/>
      </c>
    </row>
    <row r="26" customFormat="false" ht="15" hidden="false" customHeight="false" outlineLevel="0" collapsed="false">
      <c r="A26" s="0" t="str">
        <f aca="false">IFERROR(INDEX(Calc!$L$2:$L$1001,MATCH(ROW()-1,Calc!$X$2:$X$1001,0)),"")</f>
        <v/>
      </c>
      <c r="B26" s="0" t="str">
        <f aca="false">IFERROR(INDEX(Calc!$M$2:$M$1001,MATCH(ROW()-1,Calc!$X$2:$X$1001,0)),"")</f>
        <v/>
      </c>
      <c r="C26" s="0" t="str">
        <f aca="false">IFERROR(INDEX(Calc!$N$2:$N$1001,MATCH(ROW()-1,Calc!$X$2:$X$1001,0)),"")</f>
        <v/>
      </c>
      <c r="D26" s="3" t="str">
        <f aca="false">IFERROR(INDEX(Calc!$O$2:$O$1001,MATCH(ROW()-1,Calc!$X$2:$X$1001,0)),"")</f>
        <v/>
      </c>
      <c r="E26" s="3" t="str">
        <f aca="false">IFERROR(INDEX(Calc!$P$2:$P$1001,MATCH(ROW()-1,Calc!$X$2:$X$1001,0)),"")</f>
        <v/>
      </c>
      <c r="F26" s="3" t="str">
        <f aca="false">IF(G26="","",E26-D26)</f>
        <v/>
      </c>
      <c r="G26" s="0" t="str">
        <f aca="false">IFERROR(INDEX(Calc!$S$2:$S$1001,MATCH(ROW()-1,Calc!$X$2:$X$1001,0)),"")</f>
        <v/>
      </c>
    </row>
    <row r="27" customFormat="false" ht="15" hidden="false" customHeight="false" outlineLevel="0" collapsed="false">
      <c r="A27" s="0" t="str">
        <f aca="false">IFERROR(INDEX(Calc!$L$2:$L$1001,MATCH(ROW()-1,Calc!$X$2:$X$1001,0)),"")</f>
        <v/>
      </c>
      <c r="B27" s="0" t="str">
        <f aca="false">IFERROR(INDEX(Calc!$M$2:$M$1001,MATCH(ROW()-1,Calc!$X$2:$X$1001,0)),"")</f>
        <v/>
      </c>
      <c r="C27" s="0" t="str">
        <f aca="false">IFERROR(INDEX(Calc!$N$2:$N$1001,MATCH(ROW()-1,Calc!$X$2:$X$1001,0)),"")</f>
        <v/>
      </c>
      <c r="D27" s="3" t="str">
        <f aca="false">IFERROR(INDEX(Calc!$O$2:$O$1001,MATCH(ROW()-1,Calc!$X$2:$X$1001,0)),"")</f>
        <v/>
      </c>
      <c r="E27" s="3" t="str">
        <f aca="false">IFERROR(INDEX(Calc!$P$2:$P$1001,MATCH(ROW()-1,Calc!$X$2:$X$1001,0)),"")</f>
        <v/>
      </c>
      <c r="F27" s="3" t="str">
        <f aca="false">IF(G27="","",E27-D27)</f>
        <v/>
      </c>
      <c r="G27" s="0" t="str">
        <f aca="false">IFERROR(INDEX(Calc!$S$2:$S$1001,MATCH(ROW()-1,Calc!$X$2:$X$1001,0)),"")</f>
        <v/>
      </c>
    </row>
    <row r="28" customFormat="false" ht="15" hidden="false" customHeight="false" outlineLevel="0" collapsed="false">
      <c r="A28" s="0" t="str">
        <f aca="false">IFERROR(INDEX(Calc!$L$2:$L$1001,MATCH(ROW()-1,Calc!$X$2:$X$1001,0)),"")</f>
        <v/>
      </c>
      <c r="B28" s="0" t="str">
        <f aca="false">IFERROR(INDEX(Calc!$M$2:$M$1001,MATCH(ROW()-1,Calc!$X$2:$X$1001,0)),"")</f>
        <v/>
      </c>
      <c r="C28" s="0" t="str">
        <f aca="false">IFERROR(INDEX(Calc!$N$2:$N$1001,MATCH(ROW()-1,Calc!$X$2:$X$1001,0)),"")</f>
        <v/>
      </c>
      <c r="D28" s="3" t="str">
        <f aca="false">IFERROR(INDEX(Calc!$O$2:$O$1001,MATCH(ROW()-1,Calc!$X$2:$X$1001,0)),"")</f>
        <v/>
      </c>
      <c r="E28" s="3" t="str">
        <f aca="false">IFERROR(INDEX(Calc!$P$2:$P$1001,MATCH(ROW()-1,Calc!$X$2:$X$1001,0)),"")</f>
        <v/>
      </c>
      <c r="F28" s="3" t="str">
        <f aca="false">IF(G28="","",E28-D28)</f>
        <v/>
      </c>
      <c r="G28" s="0" t="str">
        <f aca="false">IFERROR(INDEX(Calc!$S$2:$S$1001,MATCH(ROW()-1,Calc!$X$2:$X$1001,0)),"")</f>
        <v/>
      </c>
    </row>
    <row r="29" customFormat="false" ht="15" hidden="false" customHeight="false" outlineLevel="0" collapsed="false">
      <c r="A29" s="0" t="str">
        <f aca="false">IFERROR(INDEX(Calc!$L$2:$L$1001,MATCH(ROW()-1,Calc!$X$2:$X$1001,0)),"")</f>
        <v/>
      </c>
      <c r="B29" s="0" t="str">
        <f aca="false">IFERROR(INDEX(Calc!$M$2:$M$1001,MATCH(ROW()-1,Calc!$X$2:$X$1001,0)),"")</f>
        <v/>
      </c>
      <c r="C29" s="0" t="str">
        <f aca="false">IFERROR(INDEX(Calc!$N$2:$N$1001,MATCH(ROW()-1,Calc!$X$2:$X$1001,0)),"")</f>
        <v/>
      </c>
      <c r="D29" s="3" t="str">
        <f aca="false">IFERROR(INDEX(Calc!$O$2:$O$1001,MATCH(ROW()-1,Calc!$X$2:$X$1001,0)),"")</f>
        <v/>
      </c>
      <c r="E29" s="3" t="str">
        <f aca="false">IFERROR(INDEX(Calc!$P$2:$P$1001,MATCH(ROW()-1,Calc!$X$2:$X$1001,0)),"")</f>
        <v/>
      </c>
      <c r="F29" s="3" t="str">
        <f aca="false">IF(G29="","",E29-D29)</f>
        <v/>
      </c>
      <c r="G29" s="0" t="str">
        <f aca="false">IFERROR(INDEX(Calc!$S$2:$S$1001,MATCH(ROW()-1,Calc!$X$2:$X$1001,0)),"")</f>
        <v/>
      </c>
    </row>
    <row r="30" customFormat="false" ht="15" hidden="false" customHeight="false" outlineLevel="0" collapsed="false">
      <c r="A30" s="0" t="str">
        <f aca="false">IFERROR(INDEX(Calc!$L$2:$L$1001,MATCH(ROW()-1,Calc!$X$2:$X$1001,0)),"")</f>
        <v/>
      </c>
      <c r="B30" s="0" t="str">
        <f aca="false">IFERROR(INDEX(Calc!$M$2:$M$1001,MATCH(ROW()-1,Calc!$X$2:$X$1001,0)),"")</f>
        <v/>
      </c>
      <c r="C30" s="0" t="str">
        <f aca="false">IFERROR(INDEX(Calc!$N$2:$N$1001,MATCH(ROW()-1,Calc!$X$2:$X$1001,0)),"")</f>
        <v/>
      </c>
      <c r="D30" s="3" t="str">
        <f aca="false">IFERROR(INDEX(Calc!$O$2:$O$1001,MATCH(ROW()-1,Calc!$X$2:$X$1001,0)),"")</f>
        <v/>
      </c>
      <c r="E30" s="3" t="str">
        <f aca="false">IFERROR(INDEX(Calc!$P$2:$P$1001,MATCH(ROW()-1,Calc!$X$2:$X$1001,0)),"")</f>
        <v/>
      </c>
      <c r="F30" s="3" t="str">
        <f aca="false">IF(G30="","",E30-D30)</f>
        <v/>
      </c>
      <c r="G30" s="0" t="str">
        <f aca="false">IFERROR(INDEX(Calc!$S$2:$S$1001,MATCH(ROW()-1,Calc!$X$2:$X$1001,0)),"")</f>
        <v/>
      </c>
    </row>
    <row r="31" customFormat="false" ht="15" hidden="false" customHeight="false" outlineLevel="0" collapsed="false">
      <c r="A31" s="0" t="str">
        <f aca="false">IFERROR(INDEX(Calc!$L$2:$L$1001,MATCH(ROW()-1,Calc!$X$2:$X$1001,0)),"")</f>
        <v/>
      </c>
      <c r="B31" s="0" t="str">
        <f aca="false">IFERROR(INDEX(Calc!$M$2:$M$1001,MATCH(ROW()-1,Calc!$X$2:$X$1001,0)),"")</f>
        <v/>
      </c>
      <c r="C31" s="0" t="str">
        <f aca="false">IFERROR(INDEX(Calc!$N$2:$N$1001,MATCH(ROW()-1,Calc!$X$2:$X$1001,0)),"")</f>
        <v/>
      </c>
      <c r="D31" s="3" t="str">
        <f aca="false">IFERROR(INDEX(Calc!$O$2:$O$1001,MATCH(ROW()-1,Calc!$X$2:$X$1001,0)),"")</f>
        <v/>
      </c>
      <c r="E31" s="3" t="str">
        <f aca="false">IFERROR(INDEX(Calc!$P$2:$P$1001,MATCH(ROW()-1,Calc!$X$2:$X$1001,0)),"")</f>
        <v/>
      </c>
      <c r="F31" s="3" t="str">
        <f aca="false">IF(G31="","",E31-D31)</f>
        <v/>
      </c>
      <c r="G31" s="0" t="str">
        <f aca="false">IFERROR(INDEX(Calc!$S$2:$S$1001,MATCH(ROW()-1,Calc!$X$2:$X$1001,0)),"")</f>
        <v/>
      </c>
    </row>
    <row r="32" customFormat="false" ht="15" hidden="false" customHeight="false" outlineLevel="0" collapsed="false">
      <c r="A32" s="0" t="str">
        <f aca="false">IFERROR(INDEX(Calc!$L$2:$L$1001,MATCH(ROW()-1,Calc!$X$2:$X$1001,0)),"")</f>
        <v/>
      </c>
      <c r="B32" s="0" t="str">
        <f aca="false">IFERROR(INDEX(Calc!$M$2:$M$1001,MATCH(ROW()-1,Calc!$X$2:$X$1001,0)),"")</f>
        <v/>
      </c>
      <c r="C32" s="0" t="str">
        <f aca="false">IFERROR(INDEX(Calc!$N$2:$N$1001,MATCH(ROW()-1,Calc!$X$2:$X$1001,0)),"")</f>
        <v/>
      </c>
      <c r="D32" s="3" t="str">
        <f aca="false">IFERROR(INDEX(Calc!$O$2:$O$1001,MATCH(ROW()-1,Calc!$X$2:$X$1001,0)),"")</f>
        <v/>
      </c>
      <c r="E32" s="3" t="str">
        <f aca="false">IFERROR(INDEX(Calc!$P$2:$P$1001,MATCH(ROW()-1,Calc!$X$2:$X$1001,0)),"")</f>
        <v/>
      </c>
      <c r="F32" s="3" t="str">
        <f aca="false">IF(G32="","",E32-D32)</f>
        <v/>
      </c>
      <c r="G32" s="0" t="str">
        <f aca="false">IFERROR(INDEX(Calc!$S$2:$S$1001,MATCH(ROW()-1,Calc!$X$2:$X$1001,0)),"")</f>
        <v/>
      </c>
    </row>
    <row r="33" customFormat="false" ht="15" hidden="false" customHeight="false" outlineLevel="0" collapsed="false">
      <c r="A33" s="0" t="str">
        <f aca="false">IFERROR(INDEX(Calc!$L$2:$L$1001,MATCH(ROW()-1,Calc!$X$2:$X$1001,0)),"")</f>
        <v/>
      </c>
      <c r="B33" s="0" t="str">
        <f aca="false">IFERROR(INDEX(Calc!$M$2:$M$1001,MATCH(ROW()-1,Calc!$X$2:$X$1001,0)),"")</f>
        <v/>
      </c>
      <c r="C33" s="0" t="str">
        <f aca="false">IFERROR(INDEX(Calc!$N$2:$N$1001,MATCH(ROW()-1,Calc!$X$2:$X$1001,0)),"")</f>
        <v/>
      </c>
      <c r="D33" s="3" t="str">
        <f aca="false">IFERROR(INDEX(Calc!$O$2:$O$1001,MATCH(ROW()-1,Calc!$X$2:$X$1001,0)),"")</f>
        <v/>
      </c>
      <c r="E33" s="3" t="str">
        <f aca="false">IFERROR(INDEX(Calc!$P$2:$P$1001,MATCH(ROW()-1,Calc!$X$2:$X$1001,0)),"")</f>
        <v/>
      </c>
      <c r="F33" s="3" t="str">
        <f aca="false">IF(G33="","",E33-D33)</f>
        <v/>
      </c>
      <c r="G33" s="0" t="str">
        <f aca="false">IFERROR(INDEX(Calc!$S$2:$S$1001,MATCH(ROW()-1,Calc!$X$2:$X$1001,0)),"")</f>
        <v/>
      </c>
    </row>
    <row r="34" customFormat="false" ht="15" hidden="false" customHeight="false" outlineLevel="0" collapsed="false">
      <c r="A34" s="0" t="str">
        <f aca="false">IFERROR(INDEX(Calc!$L$2:$L$1001,MATCH(ROW()-1,Calc!$X$2:$X$1001,0)),"")</f>
        <v/>
      </c>
      <c r="B34" s="0" t="str">
        <f aca="false">IFERROR(INDEX(Calc!$M$2:$M$1001,MATCH(ROW()-1,Calc!$X$2:$X$1001,0)),"")</f>
        <v/>
      </c>
      <c r="C34" s="0" t="str">
        <f aca="false">IFERROR(INDEX(Calc!$N$2:$N$1001,MATCH(ROW()-1,Calc!$X$2:$X$1001,0)),"")</f>
        <v/>
      </c>
      <c r="D34" s="3" t="str">
        <f aca="false">IFERROR(INDEX(Calc!$O$2:$O$1001,MATCH(ROW()-1,Calc!$X$2:$X$1001,0)),"")</f>
        <v/>
      </c>
      <c r="E34" s="3" t="str">
        <f aca="false">IFERROR(INDEX(Calc!$P$2:$P$1001,MATCH(ROW()-1,Calc!$X$2:$X$1001,0)),"")</f>
        <v/>
      </c>
      <c r="F34" s="3" t="str">
        <f aca="false">IF(G34="","",E34-D34)</f>
        <v/>
      </c>
      <c r="G34" s="0" t="str">
        <f aca="false">IFERROR(INDEX(Calc!$S$2:$S$1001,MATCH(ROW()-1,Calc!$X$2:$X$1001,0)),"")</f>
        <v/>
      </c>
    </row>
    <row r="35" customFormat="false" ht="15" hidden="false" customHeight="false" outlineLevel="0" collapsed="false">
      <c r="A35" s="0" t="str">
        <f aca="false">IFERROR(INDEX(Calc!$L$2:$L$1001,MATCH(ROW()-1,Calc!$X$2:$X$1001,0)),"")</f>
        <v/>
      </c>
      <c r="B35" s="0" t="str">
        <f aca="false">IFERROR(INDEX(Calc!$M$2:$M$1001,MATCH(ROW()-1,Calc!$X$2:$X$1001,0)),"")</f>
        <v/>
      </c>
      <c r="C35" s="0" t="str">
        <f aca="false">IFERROR(INDEX(Calc!$N$2:$N$1001,MATCH(ROW()-1,Calc!$X$2:$X$1001,0)),"")</f>
        <v/>
      </c>
      <c r="D35" s="3" t="str">
        <f aca="false">IFERROR(INDEX(Calc!$O$2:$O$1001,MATCH(ROW()-1,Calc!$X$2:$X$1001,0)),"")</f>
        <v/>
      </c>
      <c r="E35" s="3" t="str">
        <f aca="false">IFERROR(INDEX(Calc!$P$2:$P$1001,MATCH(ROW()-1,Calc!$X$2:$X$1001,0)),"")</f>
        <v/>
      </c>
      <c r="F35" s="3" t="str">
        <f aca="false">IF(G35="","",E35-D35)</f>
        <v/>
      </c>
      <c r="G35" s="0" t="str">
        <f aca="false">IFERROR(INDEX(Calc!$S$2:$S$1001,MATCH(ROW()-1,Calc!$X$2:$X$1001,0)),"")</f>
        <v/>
      </c>
    </row>
    <row r="36" customFormat="false" ht="15" hidden="false" customHeight="false" outlineLevel="0" collapsed="false">
      <c r="A36" s="0" t="str">
        <f aca="false">IFERROR(INDEX(Calc!$L$2:$L$1001,MATCH(ROW()-1,Calc!$X$2:$X$1001,0)),"")</f>
        <v/>
      </c>
      <c r="B36" s="0" t="str">
        <f aca="false">IFERROR(INDEX(Calc!$M$2:$M$1001,MATCH(ROW()-1,Calc!$X$2:$X$1001,0)),"")</f>
        <v/>
      </c>
      <c r="C36" s="0" t="str">
        <f aca="false">IFERROR(INDEX(Calc!$N$2:$N$1001,MATCH(ROW()-1,Calc!$X$2:$X$1001,0)),"")</f>
        <v/>
      </c>
      <c r="D36" s="3" t="str">
        <f aca="false">IFERROR(INDEX(Calc!$O$2:$O$1001,MATCH(ROW()-1,Calc!$X$2:$X$1001,0)),"")</f>
        <v/>
      </c>
      <c r="E36" s="3" t="str">
        <f aca="false">IFERROR(INDEX(Calc!$P$2:$P$1001,MATCH(ROW()-1,Calc!$X$2:$X$1001,0)),"")</f>
        <v/>
      </c>
      <c r="F36" s="3" t="str">
        <f aca="false">IF(G36="","",E36-D36)</f>
        <v/>
      </c>
      <c r="G36" s="0" t="str">
        <f aca="false">IFERROR(INDEX(Calc!$S$2:$S$1001,MATCH(ROW()-1,Calc!$X$2:$X$1001,0)),"")</f>
        <v/>
      </c>
    </row>
    <row r="37" customFormat="false" ht="15" hidden="false" customHeight="false" outlineLevel="0" collapsed="false">
      <c r="A37" s="0" t="str">
        <f aca="false">IFERROR(INDEX(Calc!$L$2:$L$1001,MATCH(ROW()-1,Calc!$X$2:$X$1001,0)),"")</f>
        <v/>
      </c>
      <c r="B37" s="0" t="str">
        <f aca="false">IFERROR(INDEX(Calc!$M$2:$M$1001,MATCH(ROW()-1,Calc!$X$2:$X$1001,0)),"")</f>
        <v/>
      </c>
      <c r="C37" s="0" t="str">
        <f aca="false">IFERROR(INDEX(Calc!$N$2:$N$1001,MATCH(ROW()-1,Calc!$X$2:$X$1001,0)),"")</f>
        <v/>
      </c>
      <c r="D37" s="3" t="str">
        <f aca="false">IFERROR(INDEX(Calc!$O$2:$O$1001,MATCH(ROW()-1,Calc!$X$2:$X$1001,0)),"")</f>
        <v/>
      </c>
      <c r="E37" s="3" t="str">
        <f aca="false">IFERROR(INDEX(Calc!$P$2:$P$1001,MATCH(ROW()-1,Calc!$X$2:$X$1001,0)),"")</f>
        <v/>
      </c>
      <c r="F37" s="3" t="str">
        <f aca="false">IF(G37="","",E37-D37)</f>
        <v/>
      </c>
      <c r="G37" s="0" t="str">
        <f aca="false">IFERROR(INDEX(Calc!$S$2:$S$1001,MATCH(ROW()-1,Calc!$X$2:$X$1001,0)),"")</f>
        <v/>
      </c>
    </row>
    <row r="38" customFormat="false" ht="15" hidden="false" customHeight="false" outlineLevel="0" collapsed="false">
      <c r="A38" s="0" t="str">
        <f aca="false">IFERROR(INDEX(Calc!$L$2:$L$1001,MATCH(ROW()-1,Calc!$X$2:$X$1001,0)),"")</f>
        <v/>
      </c>
      <c r="B38" s="0" t="str">
        <f aca="false">IFERROR(INDEX(Calc!$M$2:$M$1001,MATCH(ROW()-1,Calc!$X$2:$X$1001,0)),"")</f>
        <v/>
      </c>
      <c r="C38" s="0" t="str">
        <f aca="false">IFERROR(INDEX(Calc!$N$2:$N$1001,MATCH(ROW()-1,Calc!$X$2:$X$1001,0)),"")</f>
        <v/>
      </c>
      <c r="D38" s="3" t="str">
        <f aca="false">IFERROR(INDEX(Calc!$O$2:$O$1001,MATCH(ROW()-1,Calc!$X$2:$X$1001,0)),"")</f>
        <v/>
      </c>
      <c r="E38" s="3" t="str">
        <f aca="false">IFERROR(INDEX(Calc!$P$2:$P$1001,MATCH(ROW()-1,Calc!$X$2:$X$1001,0)),"")</f>
        <v/>
      </c>
      <c r="F38" s="3" t="str">
        <f aca="false">IF(G38="","",E38-D38)</f>
        <v/>
      </c>
      <c r="G38" s="0" t="str">
        <f aca="false">IFERROR(INDEX(Calc!$S$2:$S$1001,MATCH(ROW()-1,Calc!$X$2:$X$1001,0)),"")</f>
        <v/>
      </c>
    </row>
    <row r="39" customFormat="false" ht="15" hidden="false" customHeight="false" outlineLevel="0" collapsed="false">
      <c r="A39" s="0" t="str">
        <f aca="false">IFERROR(INDEX(Calc!$L$2:$L$1001,MATCH(ROW()-1,Calc!$X$2:$X$1001,0)),"")</f>
        <v/>
      </c>
      <c r="B39" s="0" t="str">
        <f aca="false">IFERROR(INDEX(Calc!$M$2:$M$1001,MATCH(ROW()-1,Calc!$X$2:$X$1001,0)),"")</f>
        <v/>
      </c>
      <c r="C39" s="0" t="str">
        <f aca="false">IFERROR(INDEX(Calc!$N$2:$N$1001,MATCH(ROW()-1,Calc!$X$2:$X$1001,0)),"")</f>
        <v/>
      </c>
      <c r="D39" s="3" t="str">
        <f aca="false">IFERROR(INDEX(Calc!$O$2:$O$1001,MATCH(ROW()-1,Calc!$X$2:$X$1001,0)),"")</f>
        <v/>
      </c>
      <c r="E39" s="3" t="str">
        <f aca="false">IFERROR(INDEX(Calc!$P$2:$P$1001,MATCH(ROW()-1,Calc!$X$2:$X$1001,0)),"")</f>
        <v/>
      </c>
      <c r="F39" s="3" t="str">
        <f aca="false">IF(G39="","",E39-D39)</f>
        <v/>
      </c>
      <c r="G39" s="0" t="str">
        <f aca="false">IFERROR(INDEX(Calc!$S$2:$S$1001,MATCH(ROW()-1,Calc!$X$2:$X$1001,0)),"")</f>
        <v/>
      </c>
    </row>
    <row r="40" customFormat="false" ht="15" hidden="false" customHeight="false" outlineLevel="0" collapsed="false">
      <c r="A40" s="0" t="str">
        <f aca="false">IFERROR(INDEX(Calc!$L$2:$L$1001,MATCH(ROW()-1,Calc!$X$2:$X$1001,0)),"")</f>
        <v/>
      </c>
      <c r="B40" s="0" t="str">
        <f aca="false">IFERROR(INDEX(Calc!$M$2:$M$1001,MATCH(ROW()-1,Calc!$X$2:$X$1001,0)),"")</f>
        <v/>
      </c>
      <c r="C40" s="0" t="str">
        <f aca="false">IFERROR(INDEX(Calc!$N$2:$N$1001,MATCH(ROW()-1,Calc!$X$2:$X$1001,0)),"")</f>
        <v/>
      </c>
      <c r="D40" s="3" t="str">
        <f aca="false">IFERROR(INDEX(Calc!$O$2:$O$1001,MATCH(ROW()-1,Calc!$X$2:$X$1001,0)),"")</f>
        <v/>
      </c>
      <c r="E40" s="3" t="str">
        <f aca="false">IFERROR(INDEX(Calc!$P$2:$P$1001,MATCH(ROW()-1,Calc!$X$2:$X$1001,0)),"")</f>
        <v/>
      </c>
      <c r="F40" s="3" t="str">
        <f aca="false">IF(G40="","",E40-D40)</f>
        <v/>
      </c>
      <c r="G40" s="0" t="str">
        <f aca="false">IFERROR(INDEX(Calc!$S$2:$S$1001,MATCH(ROW()-1,Calc!$X$2:$X$1001,0)),"")</f>
        <v/>
      </c>
    </row>
    <row r="41" customFormat="false" ht="15" hidden="false" customHeight="false" outlineLevel="0" collapsed="false">
      <c r="A41" s="0" t="str">
        <f aca="false">IFERROR(INDEX(Calc!$L$2:$L$1001,MATCH(ROW()-1,Calc!$X$2:$X$1001,0)),"")</f>
        <v/>
      </c>
      <c r="B41" s="0" t="str">
        <f aca="false">IFERROR(INDEX(Calc!$M$2:$M$1001,MATCH(ROW()-1,Calc!$X$2:$X$1001,0)),"")</f>
        <v/>
      </c>
      <c r="C41" s="0" t="str">
        <f aca="false">IFERROR(INDEX(Calc!$N$2:$N$1001,MATCH(ROW()-1,Calc!$X$2:$X$1001,0)),"")</f>
        <v/>
      </c>
      <c r="D41" s="3" t="str">
        <f aca="false">IFERROR(INDEX(Calc!$O$2:$O$1001,MATCH(ROW()-1,Calc!$X$2:$X$1001,0)),"")</f>
        <v/>
      </c>
      <c r="E41" s="3" t="str">
        <f aca="false">IFERROR(INDEX(Calc!$P$2:$P$1001,MATCH(ROW()-1,Calc!$X$2:$X$1001,0)),"")</f>
        <v/>
      </c>
      <c r="F41" s="3" t="str">
        <f aca="false">IF(G41="","",E41-D41)</f>
        <v/>
      </c>
      <c r="G41" s="0" t="str">
        <f aca="false">IFERROR(INDEX(Calc!$S$2:$S$1001,MATCH(ROW()-1,Calc!$X$2:$X$1001,0)),"")</f>
        <v/>
      </c>
    </row>
    <row r="42" customFormat="false" ht="15" hidden="false" customHeight="false" outlineLevel="0" collapsed="false">
      <c r="A42" s="0" t="str">
        <f aca="false">IFERROR(INDEX(Calc!$L$2:$L$1001,MATCH(ROW()-1,Calc!$X$2:$X$1001,0)),"")</f>
        <v/>
      </c>
      <c r="B42" s="0" t="str">
        <f aca="false">IFERROR(INDEX(Calc!$M$2:$M$1001,MATCH(ROW()-1,Calc!$X$2:$X$1001,0)),"")</f>
        <v/>
      </c>
      <c r="C42" s="0" t="str">
        <f aca="false">IFERROR(INDEX(Calc!$N$2:$N$1001,MATCH(ROW()-1,Calc!$X$2:$X$1001,0)),"")</f>
        <v/>
      </c>
      <c r="D42" s="3" t="str">
        <f aca="false">IFERROR(INDEX(Calc!$O$2:$O$1001,MATCH(ROW()-1,Calc!$X$2:$X$1001,0)),"")</f>
        <v/>
      </c>
      <c r="E42" s="3" t="str">
        <f aca="false">IFERROR(INDEX(Calc!$P$2:$P$1001,MATCH(ROW()-1,Calc!$X$2:$X$1001,0)),"")</f>
        <v/>
      </c>
      <c r="F42" s="3" t="str">
        <f aca="false">IF(G42="","",E42-D42)</f>
        <v/>
      </c>
      <c r="G42" s="0" t="str">
        <f aca="false">IFERROR(INDEX(Calc!$S$2:$S$1001,MATCH(ROW()-1,Calc!$X$2:$X$1001,0)),"")</f>
        <v/>
      </c>
    </row>
    <row r="43" customFormat="false" ht="15" hidden="false" customHeight="false" outlineLevel="0" collapsed="false">
      <c r="A43" s="0" t="str">
        <f aca="false">IFERROR(INDEX(Calc!$L$2:$L$1001,MATCH(ROW()-1,Calc!$X$2:$X$1001,0)),"")</f>
        <v/>
      </c>
      <c r="B43" s="0" t="str">
        <f aca="false">IFERROR(INDEX(Calc!$M$2:$M$1001,MATCH(ROW()-1,Calc!$X$2:$X$1001,0)),"")</f>
        <v/>
      </c>
      <c r="C43" s="0" t="str">
        <f aca="false">IFERROR(INDEX(Calc!$N$2:$N$1001,MATCH(ROW()-1,Calc!$X$2:$X$1001,0)),"")</f>
        <v/>
      </c>
      <c r="D43" s="3" t="str">
        <f aca="false">IFERROR(INDEX(Calc!$O$2:$O$1001,MATCH(ROW()-1,Calc!$X$2:$X$1001,0)),"")</f>
        <v/>
      </c>
      <c r="E43" s="3" t="str">
        <f aca="false">IFERROR(INDEX(Calc!$P$2:$P$1001,MATCH(ROW()-1,Calc!$X$2:$X$1001,0)),"")</f>
        <v/>
      </c>
      <c r="F43" s="3" t="str">
        <f aca="false">IF(G43="","",E43-D43)</f>
        <v/>
      </c>
      <c r="G43" s="0" t="str">
        <f aca="false">IFERROR(INDEX(Calc!$S$2:$S$1001,MATCH(ROW()-1,Calc!$X$2:$X$1001,0)),"")</f>
        <v/>
      </c>
    </row>
    <row r="44" customFormat="false" ht="15" hidden="false" customHeight="false" outlineLevel="0" collapsed="false">
      <c r="A44" s="0" t="str">
        <f aca="false">IFERROR(INDEX(Calc!$L$2:$L$1001,MATCH(ROW()-1,Calc!$X$2:$X$1001,0)),"")</f>
        <v/>
      </c>
      <c r="B44" s="0" t="str">
        <f aca="false">IFERROR(INDEX(Calc!$M$2:$M$1001,MATCH(ROW()-1,Calc!$X$2:$X$1001,0)),"")</f>
        <v/>
      </c>
      <c r="C44" s="0" t="str">
        <f aca="false">IFERROR(INDEX(Calc!$N$2:$N$1001,MATCH(ROW()-1,Calc!$X$2:$X$1001,0)),"")</f>
        <v/>
      </c>
      <c r="D44" s="3" t="str">
        <f aca="false">IFERROR(INDEX(Calc!$O$2:$O$1001,MATCH(ROW()-1,Calc!$X$2:$X$1001,0)),"")</f>
        <v/>
      </c>
      <c r="E44" s="3" t="str">
        <f aca="false">IFERROR(INDEX(Calc!$P$2:$P$1001,MATCH(ROW()-1,Calc!$X$2:$X$1001,0)),"")</f>
        <v/>
      </c>
      <c r="F44" s="3" t="str">
        <f aca="false">IF(G44="","",E44-D44)</f>
        <v/>
      </c>
      <c r="G44" s="0" t="str">
        <f aca="false">IFERROR(INDEX(Calc!$S$2:$S$1001,MATCH(ROW()-1,Calc!$X$2:$X$1001,0)),"")</f>
        <v/>
      </c>
    </row>
    <row r="45" customFormat="false" ht="15" hidden="false" customHeight="false" outlineLevel="0" collapsed="false">
      <c r="A45" s="0" t="str">
        <f aca="false">IFERROR(INDEX(Calc!$L$2:$L$1001,MATCH(ROW()-1,Calc!$X$2:$X$1001,0)),"")</f>
        <v/>
      </c>
      <c r="B45" s="0" t="str">
        <f aca="false">IFERROR(INDEX(Calc!$M$2:$M$1001,MATCH(ROW()-1,Calc!$X$2:$X$1001,0)),"")</f>
        <v/>
      </c>
      <c r="C45" s="0" t="str">
        <f aca="false">IFERROR(INDEX(Calc!$N$2:$N$1001,MATCH(ROW()-1,Calc!$X$2:$X$1001,0)),"")</f>
        <v/>
      </c>
      <c r="D45" s="3" t="str">
        <f aca="false">IFERROR(INDEX(Calc!$O$2:$O$1001,MATCH(ROW()-1,Calc!$X$2:$X$1001,0)),"")</f>
        <v/>
      </c>
      <c r="E45" s="3" t="str">
        <f aca="false">IFERROR(INDEX(Calc!$P$2:$P$1001,MATCH(ROW()-1,Calc!$X$2:$X$1001,0)),"")</f>
        <v/>
      </c>
      <c r="F45" s="3" t="str">
        <f aca="false">IF(G45="","",E45-D45)</f>
        <v/>
      </c>
      <c r="G45" s="0" t="str">
        <f aca="false">IFERROR(INDEX(Calc!$S$2:$S$1001,MATCH(ROW()-1,Calc!$X$2:$X$1001,0)),"")</f>
        <v/>
      </c>
    </row>
    <row r="46" customFormat="false" ht="15" hidden="false" customHeight="false" outlineLevel="0" collapsed="false">
      <c r="A46" s="0" t="str">
        <f aca="false">IFERROR(INDEX(Calc!$L$2:$L$1001,MATCH(ROW()-1,Calc!$X$2:$X$1001,0)),"")</f>
        <v/>
      </c>
      <c r="B46" s="0" t="str">
        <f aca="false">IFERROR(INDEX(Calc!$M$2:$M$1001,MATCH(ROW()-1,Calc!$X$2:$X$1001,0)),"")</f>
        <v/>
      </c>
      <c r="C46" s="0" t="str">
        <f aca="false">IFERROR(INDEX(Calc!$N$2:$N$1001,MATCH(ROW()-1,Calc!$X$2:$X$1001,0)),"")</f>
        <v/>
      </c>
      <c r="D46" s="3" t="str">
        <f aca="false">IFERROR(INDEX(Calc!$O$2:$O$1001,MATCH(ROW()-1,Calc!$X$2:$X$1001,0)),"")</f>
        <v/>
      </c>
      <c r="E46" s="3" t="str">
        <f aca="false">IFERROR(INDEX(Calc!$P$2:$P$1001,MATCH(ROW()-1,Calc!$X$2:$X$1001,0)),"")</f>
        <v/>
      </c>
      <c r="F46" s="3" t="str">
        <f aca="false">IF(G46="","",E46-D46)</f>
        <v/>
      </c>
      <c r="G46" s="0" t="str">
        <f aca="false">IFERROR(INDEX(Calc!$S$2:$S$1001,MATCH(ROW()-1,Calc!$X$2:$X$1001,0)),"")</f>
        <v/>
      </c>
    </row>
    <row r="47" customFormat="false" ht="15" hidden="false" customHeight="false" outlineLevel="0" collapsed="false">
      <c r="A47" s="0" t="str">
        <f aca="false">IFERROR(INDEX(Calc!$L$2:$L$1001,MATCH(ROW()-1,Calc!$X$2:$X$1001,0)),"")</f>
        <v/>
      </c>
      <c r="B47" s="0" t="str">
        <f aca="false">IFERROR(INDEX(Calc!$M$2:$M$1001,MATCH(ROW()-1,Calc!$X$2:$X$1001,0)),"")</f>
        <v/>
      </c>
      <c r="C47" s="0" t="str">
        <f aca="false">IFERROR(INDEX(Calc!$N$2:$N$1001,MATCH(ROW()-1,Calc!$X$2:$X$1001,0)),"")</f>
        <v/>
      </c>
      <c r="D47" s="3" t="str">
        <f aca="false">IFERROR(INDEX(Calc!$O$2:$O$1001,MATCH(ROW()-1,Calc!$X$2:$X$1001,0)),"")</f>
        <v/>
      </c>
      <c r="E47" s="3" t="str">
        <f aca="false">IFERROR(INDEX(Calc!$P$2:$P$1001,MATCH(ROW()-1,Calc!$X$2:$X$1001,0)),"")</f>
        <v/>
      </c>
      <c r="F47" s="3" t="str">
        <f aca="false">IF(G47="","",E47-D47)</f>
        <v/>
      </c>
      <c r="G47" s="0" t="str">
        <f aca="false">IFERROR(INDEX(Calc!$S$2:$S$1001,MATCH(ROW()-1,Calc!$X$2:$X$1001,0)),"")</f>
        <v/>
      </c>
    </row>
    <row r="48" customFormat="false" ht="15" hidden="false" customHeight="false" outlineLevel="0" collapsed="false">
      <c r="A48" s="0" t="str">
        <f aca="false">IFERROR(INDEX(Calc!$L$2:$L$1001,MATCH(ROW()-1,Calc!$X$2:$X$1001,0)),"")</f>
        <v/>
      </c>
      <c r="B48" s="0" t="str">
        <f aca="false">IFERROR(INDEX(Calc!$M$2:$M$1001,MATCH(ROW()-1,Calc!$X$2:$X$1001,0)),"")</f>
        <v/>
      </c>
      <c r="C48" s="0" t="str">
        <f aca="false">IFERROR(INDEX(Calc!$N$2:$N$1001,MATCH(ROW()-1,Calc!$X$2:$X$1001,0)),"")</f>
        <v/>
      </c>
      <c r="D48" s="3" t="str">
        <f aca="false">IFERROR(INDEX(Calc!$O$2:$O$1001,MATCH(ROW()-1,Calc!$X$2:$X$1001,0)),"")</f>
        <v/>
      </c>
      <c r="E48" s="3" t="str">
        <f aca="false">IFERROR(INDEX(Calc!$P$2:$P$1001,MATCH(ROW()-1,Calc!$X$2:$X$1001,0)),"")</f>
        <v/>
      </c>
      <c r="F48" s="3" t="str">
        <f aca="false">IF(G48="","",E48-D48)</f>
        <v/>
      </c>
      <c r="G48" s="0" t="str">
        <f aca="false">IFERROR(INDEX(Calc!$S$2:$S$1001,MATCH(ROW()-1,Calc!$X$2:$X$1001,0)),"")</f>
        <v/>
      </c>
    </row>
    <row r="49" customFormat="false" ht="15" hidden="false" customHeight="false" outlineLevel="0" collapsed="false">
      <c r="A49" s="0" t="str">
        <f aca="false">IFERROR(INDEX(Calc!$L$2:$L$1001,MATCH(ROW()-1,Calc!$X$2:$X$1001,0)),"")</f>
        <v/>
      </c>
      <c r="B49" s="0" t="str">
        <f aca="false">IFERROR(INDEX(Calc!$M$2:$M$1001,MATCH(ROW()-1,Calc!$X$2:$X$1001,0)),"")</f>
        <v/>
      </c>
      <c r="C49" s="0" t="str">
        <f aca="false">IFERROR(INDEX(Calc!$N$2:$N$1001,MATCH(ROW()-1,Calc!$X$2:$X$1001,0)),"")</f>
        <v/>
      </c>
      <c r="D49" s="3" t="str">
        <f aca="false">IFERROR(INDEX(Calc!$O$2:$O$1001,MATCH(ROW()-1,Calc!$X$2:$X$1001,0)),"")</f>
        <v/>
      </c>
      <c r="E49" s="3" t="str">
        <f aca="false">IFERROR(INDEX(Calc!$P$2:$P$1001,MATCH(ROW()-1,Calc!$X$2:$X$1001,0)),"")</f>
        <v/>
      </c>
      <c r="F49" s="3" t="str">
        <f aca="false">IF(G49="","",E49-D49)</f>
        <v/>
      </c>
      <c r="G49" s="0" t="str">
        <f aca="false">IFERROR(INDEX(Calc!$S$2:$S$1001,MATCH(ROW()-1,Calc!$X$2:$X$1001,0)),"")</f>
        <v/>
      </c>
    </row>
    <row r="50" customFormat="false" ht="15" hidden="false" customHeight="false" outlineLevel="0" collapsed="false">
      <c r="A50" s="0" t="str">
        <f aca="false">IFERROR(INDEX(Calc!$L$2:$L$1001,MATCH(ROW()-1,Calc!$X$2:$X$1001,0)),"")</f>
        <v/>
      </c>
      <c r="B50" s="0" t="str">
        <f aca="false">IFERROR(INDEX(Calc!$M$2:$M$1001,MATCH(ROW()-1,Calc!$X$2:$X$1001,0)),"")</f>
        <v/>
      </c>
      <c r="C50" s="0" t="str">
        <f aca="false">IFERROR(INDEX(Calc!$N$2:$N$1001,MATCH(ROW()-1,Calc!$X$2:$X$1001,0)),"")</f>
        <v/>
      </c>
      <c r="D50" s="3" t="str">
        <f aca="false">IFERROR(INDEX(Calc!$O$2:$O$1001,MATCH(ROW()-1,Calc!$X$2:$X$1001,0)),"")</f>
        <v/>
      </c>
      <c r="E50" s="3" t="str">
        <f aca="false">IFERROR(INDEX(Calc!$P$2:$P$1001,MATCH(ROW()-1,Calc!$X$2:$X$1001,0)),"")</f>
        <v/>
      </c>
      <c r="F50" s="3" t="str">
        <f aca="false">IF(G50="","",E50-D50)</f>
        <v/>
      </c>
      <c r="G50" s="0" t="str">
        <f aca="false">IFERROR(INDEX(Calc!$S$2:$S$1001,MATCH(ROW()-1,Calc!$X$2:$X$1001,0)),"")</f>
        <v/>
      </c>
    </row>
    <row r="51" customFormat="false" ht="15" hidden="false" customHeight="false" outlineLevel="0" collapsed="false">
      <c r="A51" s="0" t="str">
        <f aca="false">IFERROR(INDEX(Calc!$L$2:$L$1001,MATCH(ROW()-1,Calc!$X$2:$X$1001,0)),"")</f>
        <v/>
      </c>
      <c r="B51" s="0" t="str">
        <f aca="false">IFERROR(INDEX(Calc!$M$2:$M$1001,MATCH(ROW()-1,Calc!$X$2:$X$1001,0)),"")</f>
        <v/>
      </c>
      <c r="C51" s="0" t="str">
        <f aca="false">IFERROR(INDEX(Calc!$N$2:$N$1001,MATCH(ROW()-1,Calc!$X$2:$X$1001,0)),"")</f>
        <v/>
      </c>
      <c r="D51" s="3" t="str">
        <f aca="false">IFERROR(INDEX(Calc!$O$2:$O$1001,MATCH(ROW()-1,Calc!$X$2:$X$1001,0)),"")</f>
        <v/>
      </c>
      <c r="E51" s="3" t="str">
        <f aca="false">IFERROR(INDEX(Calc!$P$2:$P$1001,MATCH(ROW()-1,Calc!$X$2:$X$1001,0)),"")</f>
        <v/>
      </c>
      <c r="F51" s="3" t="str">
        <f aca="false">IF(G51="","",E51-D51)</f>
        <v/>
      </c>
      <c r="G51" s="0" t="str">
        <f aca="false">IFERROR(INDEX(Calc!$S$2:$S$1001,MATCH(ROW()-1,Calc!$X$2:$X$1001,0)),"")</f>
        <v/>
      </c>
    </row>
    <row r="52" customFormat="false" ht="15" hidden="false" customHeight="false" outlineLevel="0" collapsed="false">
      <c r="A52" s="0" t="str">
        <f aca="false">IFERROR(INDEX(Calc!$L$2:$L$1001,MATCH(ROW()-1,Calc!$X$2:$X$1001,0)),"")</f>
        <v/>
      </c>
      <c r="B52" s="0" t="str">
        <f aca="false">IFERROR(INDEX(Calc!$M$2:$M$1001,MATCH(ROW()-1,Calc!$X$2:$X$1001,0)),"")</f>
        <v/>
      </c>
      <c r="C52" s="0" t="str">
        <f aca="false">IFERROR(INDEX(Calc!$N$2:$N$1001,MATCH(ROW()-1,Calc!$X$2:$X$1001,0)),"")</f>
        <v/>
      </c>
      <c r="D52" s="3" t="str">
        <f aca="false">IFERROR(INDEX(Calc!$O$2:$O$1001,MATCH(ROW()-1,Calc!$X$2:$X$1001,0)),"")</f>
        <v/>
      </c>
      <c r="E52" s="3" t="str">
        <f aca="false">IFERROR(INDEX(Calc!$P$2:$P$1001,MATCH(ROW()-1,Calc!$X$2:$X$1001,0)),"")</f>
        <v/>
      </c>
      <c r="F52" s="3" t="str">
        <f aca="false">IF(G52="","",E52-D52)</f>
        <v/>
      </c>
      <c r="G52" s="0" t="str">
        <f aca="false">IFERROR(INDEX(Calc!$S$2:$S$1001,MATCH(ROW()-1,Calc!$X$2:$X$1001,0)),"")</f>
        <v/>
      </c>
    </row>
    <row r="53" customFormat="false" ht="15" hidden="false" customHeight="false" outlineLevel="0" collapsed="false">
      <c r="A53" s="0" t="str">
        <f aca="false">IFERROR(INDEX(Calc!$L$2:$L$1001,MATCH(ROW()-1,Calc!$X$2:$X$1001,0)),"")</f>
        <v/>
      </c>
      <c r="B53" s="0" t="str">
        <f aca="false">IFERROR(INDEX(Calc!$M$2:$M$1001,MATCH(ROW()-1,Calc!$X$2:$X$1001,0)),"")</f>
        <v/>
      </c>
      <c r="C53" s="0" t="str">
        <f aca="false">IFERROR(INDEX(Calc!$N$2:$N$1001,MATCH(ROW()-1,Calc!$X$2:$X$1001,0)),"")</f>
        <v/>
      </c>
      <c r="D53" s="3" t="str">
        <f aca="false">IFERROR(INDEX(Calc!$O$2:$O$1001,MATCH(ROW()-1,Calc!$X$2:$X$1001,0)),"")</f>
        <v/>
      </c>
      <c r="E53" s="3" t="str">
        <f aca="false">IFERROR(INDEX(Calc!$P$2:$P$1001,MATCH(ROW()-1,Calc!$X$2:$X$1001,0)),"")</f>
        <v/>
      </c>
      <c r="F53" s="3" t="str">
        <f aca="false">IF(G53="","",E53-D53)</f>
        <v/>
      </c>
      <c r="G53" s="0" t="str">
        <f aca="false">IFERROR(INDEX(Calc!$S$2:$S$1001,MATCH(ROW()-1,Calc!$X$2:$X$1001,0)),"")</f>
        <v/>
      </c>
    </row>
    <row r="54" customFormat="false" ht="15" hidden="false" customHeight="false" outlineLevel="0" collapsed="false">
      <c r="A54" s="0" t="str">
        <f aca="false">IFERROR(INDEX(Calc!$L$2:$L$1001,MATCH(ROW()-1,Calc!$X$2:$X$1001,0)),"")</f>
        <v/>
      </c>
      <c r="B54" s="0" t="str">
        <f aca="false">IFERROR(INDEX(Calc!$M$2:$M$1001,MATCH(ROW()-1,Calc!$X$2:$X$1001,0)),"")</f>
        <v/>
      </c>
      <c r="C54" s="0" t="str">
        <f aca="false">IFERROR(INDEX(Calc!$N$2:$N$1001,MATCH(ROW()-1,Calc!$X$2:$X$1001,0)),"")</f>
        <v/>
      </c>
      <c r="D54" s="3" t="str">
        <f aca="false">IFERROR(INDEX(Calc!$O$2:$O$1001,MATCH(ROW()-1,Calc!$X$2:$X$1001,0)),"")</f>
        <v/>
      </c>
      <c r="E54" s="3" t="str">
        <f aca="false">IFERROR(INDEX(Calc!$P$2:$P$1001,MATCH(ROW()-1,Calc!$X$2:$X$1001,0)),"")</f>
        <v/>
      </c>
      <c r="F54" s="3" t="str">
        <f aca="false">IF(G54="","",E54-D54)</f>
        <v/>
      </c>
      <c r="G54" s="0" t="str">
        <f aca="false">IFERROR(INDEX(Calc!$S$2:$S$1001,MATCH(ROW()-1,Calc!$X$2:$X$1001,0)),"")</f>
        <v/>
      </c>
    </row>
    <row r="55" customFormat="false" ht="15" hidden="false" customHeight="false" outlineLevel="0" collapsed="false">
      <c r="A55" s="0" t="str">
        <f aca="false">IFERROR(INDEX(Calc!$L$2:$L$1001,MATCH(ROW()-1,Calc!$X$2:$X$1001,0)),"")</f>
        <v/>
      </c>
      <c r="B55" s="0" t="str">
        <f aca="false">IFERROR(INDEX(Calc!$M$2:$M$1001,MATCH(ROW()-1,Calc!$X$2:$X$1001,0)),"")</f>
        <v/>
      </c>
      <c r="C55" s="0" t="str">
        <f aca="false">IFERROR(INDEX(Calc!$N$2:$N$1001,MATCH(ROW()-1,Calc!$X$2:$X$1001,0)),"")</f>
        <v/>
      </c>
      <c r="D55" s="3" t="str">
        <f aca="false">IFERROR(INDEX(Calc!$O$2:$O$1001,MATCH(ROW()-1,Calc!$X$2:$X$1001,0)),"")</f>
        <v/>
      </c>
      <c r="E55" s="3" t="str">
        <f aca="false">IFERROR(INDEX(Calc!$P$2:$P$1001,MATCH(ROW()-1,Calc!$X$2:$X$1001,0)),"")</f>
        <v/>
      </c>
      <c r="F55" s="3" t="str">
        <f aca="false">IF(G55="","",E55-D55)</f>
        <v/>
      </c>
      <c r="G55" s="0" t="str">
        <f aca="false">IFERROR(INDEX(Calc!$S$2:$S$1001,MATCH(ROW()-1,Calc!$X$2:$X$1001,0)),"")</f>
        <v/>
      </c>
    </row>
    <row r="56" customFormat="false" ht="15" hidden="false" customHeight="false" outlineLevel="0" collapsed="false">
      <c r="A56" s="0" t="str">
        <f aca="false">IFERROR(INDEX(Calc!$L$2:$L$1001,MATCH(ROW()-1,Calc!$X$2:$X$1001,0)),"")</f>
        <v/>
      </c>
      <c r="B56" s="0" t="str">
        <f aca="false">IFERROR(INDEX(Calc!$M$2:$M$1001,MATCH(ROW()-1,Calc!$X$2:$X$1001,0)),"")</f>
        <v/>
      </c>
      <c r="C56" s="0" t="str">
        <f aca="false">IFERROR(INDEX(Calc!$N$2:$N$1001,MATCH(ROW()-1,Calc!$X$2:$X$1001,0)),"")</f>
        <v/>
      </c>
      <c r="D56" s="3" t="str">
        <f aca="false">IFERROR(INDEX(Calc!$O$2:$O$1001,MATCH(ROW()-1,Calc!$X$2:$X$1001,0)),"")</f>
        <v/>
      </c>
      <c r="E56" s="3" t="str">
        <f aca="false">IFERROR(INDEX(Calc!$P$2:$P$1001,MATCH(ROW()-1,Calc!$X$2:$X$1001,0)),"")</f>
        <v/>
      </c>
      <c r="F56" s="3" t="str">
        <f aca="false">IF(G56="","",E56-D56)</f>
        <v/>
      </c>
      <c r="G56" s="0" t="str">
        <f aca="false">IFERROR(INDEX(Calc!$S$2:$S$1001,MATCH(ROW()-1,Calc!$X$2:$X$1001,0)),"")</f>
        <v/>
      </c>
    </row>
    <row r="57" customFormat="false" ht="15" hidden="false" customHeight="false" outlineLevel="0" collapsed="false">
      <c r="A57" s="0" t="str">
        <f aca="false">IFERROR(INDEX(Calc!$L$2:$L$1001,MATCH(ROW()-1,Calc!$X$2:$X$1001,0)),"")</f>
        <v/>
      </c>
      <c r="B57" s="0" t="str">
        <f aca="false">IFERROR(INDEX(Calc!$M$2:$M$1001,MATCH(ROW()-1,Calc!$X$2:$X$1001,0)),"")</f>
        <v/>
      </c>
      <c r="C57" s="0" t="str">
        <f aca="false">IFERROR(INDEX(Calc!$N$2:$N$1001,MATCH(ROW()-1,Calc!$X$2:$X$1001,0)),"")</f>
        <v/>
      </c>
      <c r="D57" s="3" t="str">
        <f aca="false">IFERROR(INDEX(Calc!$O$2:$O$1001,MATCH(ROW()-1,Calc!$X$2:$X$1001,0)),"")</f>
        <v/>
      </c>
      <c r="E57" s="3" t="str">
        <f aca="false">IFERROR(INDEX(Calc!$P$2:$P$1001,MATCH(ROW()-1,Calc!$X$2:$X$1001,0)),"")</f>
        <v/>
      </c>
      <c r="F57" s="3" t="str">
        <f aca="false">IF(G57="","",E57-D57)</f>
        <v/>
      </c>
      <c r="G57" s="0" t="str">
        <f aca="false">IFERROR(INDEX(Calc!$S$2:$S$1001,MATCH(ROW()-1,Calc!$X$2:$X$1001,0)),"")</f>
        <v/>
      </c>
    </row>
    <row r="58" customFormat="false" ht="15" hidden="false" customHeight="false" outlineLevel="0" collapsed="false">
      <c r="A58" s="0" t="str">
        <f aca="false">IFERROR(INDEX(Calc!$L$2:$L$1001,MATCH(ROW()-1,Calc!$X$2:$X$1001,0)),"")</f>
        <v/>
      </c>
      <c r="B58" s="0" t="str">
        <f aca="false">IFERROR(INDEX(Calc!$M$2:$M$1001,MATCH(ROW()-1,Calc!$X$2:$X$1001,0)),"")</f>
        <v/>
      </c>
      <c r="C58" s="0" t="str">
        <f aca="false">IFERROR(INDEX(Calc!$N$2:$N$1001,MATCH(ROW()-1,Calc!$X$2:$X$1001,0)),"")</f>
        <v/>
      </c>
      <c r="D58" s="3" t="str">
        <f aca="false">IFERROR(INDEX(Calc!$O$2:$O$1001,MATCH(ROW()-1,Calc!$X$2:$X$1001,0)),"")</f>
        <v/>
      </c>
      <c r="E58" s="3" t="str">
        <f aca="false">IFERROR(INDEX(Calc!$P$2:$P$1001,MATCH(ROW()-1,Calc!$X$2:$X$1001,0)),"")</f>
        <v/>
      </c>
      <c r="F58" s="3" t="str">
        <f aca="false">IF(G58="","",E58-D58)</f>
        <v/>
      </c>
      <c r="G58" s="0" t="str">
        <f aca="false">IFERROR(INDEX(Calc!$S$2:$S$1001,MATCH(ROW()-1,Calc!$X$2:$X$1001,0)),"")</f>
        <v/>
      </c>
    </row>
    <row r="59" customFormat="false" ht="15" hidden="false" customHeight="false" outlineLevel="0" collapsed="false">
      <c r="A59" s="0" t="str">
        <f aca="false">IFERROR(INDEX(Calc!$L$2:$L$1001,MATCH(ROW()-1,Calc!$X$2:$X$1001,0)),"")</f>
        <v/>
      </c>
      <c r="B59" s="0" t="str">
        <f aca="false">IFERROR(INDEX(Calc!$M$2:$M$1001,MATCH(ROW()-1,Calc!$X$2:$X$1001,0)),"")</f>
        <v/>
      </c>
      <c r="C59" s="0" t="str">
        <f aca="false">IFERROR(INDEX(Calc!$N$2:$N$1001,MATCH(ROW()-1,Calc!$X$2:$X$1001,0)),"")</f>
        <v/>
      </c>
      <c r="D59" s="3" t="str">
        <f aca="false">IFERROR(INDEX(Calc!$O$2:$O$1001,MATCH(ROW()-1,Calc!$X$2:$X$1001,0)),"")</f>
        <v/>
      </c>
      <c r="E59" s="3" t="str">
        <f aca="false">IFERROR(INDEX(Calc!$P$2:$P$1001,MATCH(ROW()-1,Calc!$X$2:$X$1001,0)),"")</f>
        <v/>
      </c>
      <c r="F59" s="3" t="str">
        <f aca="false">IF(G59="","",E59-D59)</f>
        <v/>
      </c>
      <c r="G59" s="0" t="str">
        <f aca="false">IFERROR(INDEX(Calc!$S$2:$S$1001,MATCH(ROW()-1,Calc!$X$2:$X$1001,0)),"")</f>
        <v/>
      </c>
    </row>
    <row r="60" customFormat="false" ht="15" hidden="false" customHeight="false" outlineLevel="0" collapsed="false">
      <c r="A60" s="0" t="str">
        <f aca="false">IFERROR(INDEX(Calc!$L$2:$L$1001,MATCH(ROW()-1,Calc!$X$2:$X$1001,0)),"")</f>
        <v/>
      </c>
      <c r="B60" s="0" t="str">
        <f aca="false">IFERROR(INDEX(Calc!$M$2:$M$1001,MATCH(ROW()-1,Calc!$X$2:$X$1001,0)),"")</f>
        <v/>
      </c>
      <c r="C60" s="0" t="str">
        <f aca="false">IFERROR(INDEX(Calc!$N$2:$N$1001,MATCH(ROW()-1,Calc!$X$2:$X$1001,0)),"")</f>
        <v/>
      </c>
      <c r="D60" s="3" t="str">
        <f aca="false">IFERROR(INDEX(Calc!$O$2:$O$1001,MATCH(ROW()-1,Calc!$X$2:$X$1001,0)),"")</f>
        <v/>
      </c>
      <c r="E60" s="3" t="str">
        <f aca="false">IFERROR(INDEX(Calc!$P$2:$P$1001,MATCH(ROW()-1,Calc!$X$2:$X$1001,0)),"")</f>
        <v/>
      </c>
      <c r="F60" s="3" t="str">
        <f aca="false">IF(G60="","",E60-D60)</f>
        <v/>
      </c>
      <c r="G60" s="0" t="str">
        <f aca="false">IFERROR(INDEX(Calc!$S$2:$S$1001,MATCH(ROW()-1,Calc!$X$2:$X$1001,0)),"")</f>
        <v/>
      </c>
    </row>
    <row r="61" customFormat="false" ht="15" hidden="false" customHeight="false" outlineLevel="0" collapsed="false">
      <c r="A61" s="0" t="str">
        <f aca="false">IFERROR(INDEX(Calc!$L$2:$L$1001,MATCH(ROW()-1,Calc!$X$2:$X$1001,0)),"")</f>
        <v/>
      </c>
      <c r="B61" s="0" t="str">
        <f aca="false">IFERROR(INDEX(Calc!$M$2:$M$1001,MATCH(ROW()-1,Calc!$X$2:$X$1001,0)),"")</f>
        <v/>
      </c>
      <c r="C61" s="0" t="str">
        <f aca="false">IFERROR(INDEX(Calc!$N$2:$N$1001,MATCH(ROW()-1,Calc!$X$2:$X$1001,0)),"")</f>
        <v/>
      </c>
      <c r="D61" s="3" t="str">
        <f aca="false">IFERROR(INDEX(Calc!$O$2:$O$1001,MATCH(ROW()-1,Calc!$X$2:$X$1001,0)),"")</f>
        <v/>
      </c>
      <c r="E61" s="3" t="str">
        <f aca="false">IFERROR(INDEX(Calc!$P$2:$P$1001,MATCH(ROW()-1,Calc!$X$2:$X$1001,0)),"")</f>
        <v/>
      </c>
      <c r="F61" s="3" t="str">
        <f aca="false">IF(G61="","",E61-D61)</f>
        <v/>
      </c>
      <c r="G61" s="0" t="str">
        <f aca="false">IFERROR(INDEX(Calc!$S$2:$S$1001,MATCH(ROW()-1,Calc!$X$2:$X$1001,0)),"")</f>
        <v/>
      </c>
    </row>
    <row r="62" customFormat="false" ht="15" hidden="false" customHeight="false" outlineLevel="0" collapsed="false">
      <c r="A62" s="0" t="str">
        <f aca="false">IFERROR(INDEX(Calc!$L$2:$L$1001,MATCH(ROW()-1,Calc!$X$2:$X$1001,0)),"")</f>
        <v/>
      </c>
      <c r="B62" s="0" t="str">
        <f aca="false">IFERROR(INDEX(Calc!$M$2:$M$1001,MATCH(ROW()-1,Calc!$X$2:$X$1001,0)),"")</f>
        <v/>
      </c>
      <c r="C62" s="0" t="str">
        <f aca="false">IFERROR(INDEX(Calc!$N$2:$N$1001,MATCH(ROW()-1,Calc!$X$2:$X$1001,0)),"")</f>
        <v/>
      </c>
      <c r="D62" s="3" t="str">
        <f aca="false">IFERROR(INDEX(Calc!$O$2:$O$1001,MATCH(ROW()-1,Calc!$X$2:$X$1001,0)),"")</f>
        <v/>
      </c>
      <c r="E62" s="3" t="str">
        <f aca="false">IFERROR(INDEX(Calc!$P$2:$P$1001,MATCH(ROW()-1,Calc!$X$2:$X$1001,0)),"")</f>
        <v/>
      </c>
      <c r="F62" s="3" t="str">
        <f aca="false">IF(G62="","",E62-D62)</f>
        <v/>
      </c>
      <c r="G62" s="0" t="str">
        <f aca="false">IFERROR(INDEX(Calc!$S$2:$S$1001,MATCH(ROW()-1,Calc!$X$2:$X$1001,0)),"")</f>
        <v/>
      </c>
    </row>
    <row r="63" customFormat="false" ht="15" hidden="false" customHeight="false" outlineLevel="0" collapsed="false">
      <c r="A63" s="0" t="str">
        <f aca="false">IFERROR(INDEX(Calc!$L$2:$L$1001,MATCH(ROW()-1,Calc!$X$2:$X$1001,0)),"")</f>
        <v/>
      </c>
      <c r="B63" s="0" t="str">
        <f aca="false">IFERROR(INDEX(Calc!$M$2:$M$1001,MATCH(ROW()-1,Calc!$X$2:$X$1001,0)),"")</f>
        <v/>
      </c>
      <c r="C63" s="0" t="str">
        <f aca="false">IFERROR(INDEX(Calc!$N$2:$N$1001,MATCH(ROW()-1,Calc!$X$2:$X$1001,0)),"")</f>
        <v/>
      </c>
      <c r="D63" s="3" t="str">
        <f aca="false">IFERROR(INDEX(Calc!$O$2:$O$1001,MATCH(ROW()-1,Calc!$X$2:$X$1001,0)),"")</f>
        <v/>
      </c>
      <c r="E63" s="3" t="str">
        <f aca="false">IFERROR(INDEX(Calc!$P$2:$P$1001,MATCH(ROW()-1,Calc!$X$2:$X$1001,0)),"")</f>
        <v/>
      </c>
      <c r="F63" s="3" t="str">
        <f aca="false">IF(G63="","",E63-D63)</f>
        <v/>
      </c>
      <c r="G63" s="0" t="str">
        <f aca="false">IFERROR(INDEX(Calc!$S$2:$S$1001,MATCH(ROW()-1,Calc!$X$2:$X$1001,0)),"")</f>
        <v/>
      </c>
    </row>
    <row r="64" customFormat="false" ht="15" hidden="false" customHeight="false" outlineLevel="0" collapsed="false">
      <c r="A64" s="0" t="str">
        <f aca="false">IFERROR(INDEX(Calc!$L$2:$L$1001,MATCH(ROW()-1,Calc!$X$2:$X$1001,0)),"")</f>
        <v/>
      </c>
      <c r="B64" s="0" t="str">
        <f aca="false">IFERROR(INDEX(Calc!$M$2:$M$1001,MATCH(ROW()-1,Calc!$X$2:$X$1001,0)),"")</f>
        <v/>
      </c>
      <c r="C64" s="0" t="str">
        <f aca="false">IFERROR(INDEX(Calc!$N$2:$N$1001,MATCH(ROW()-1,Calc!$X$2:$X$1001,0)),"")</f>
        <v/>
      </c>
      <c r="D64" s="3" t="str">
        <f aca="false">IFERROR(INDEX(Calc!$O$2:$O$1001,MATCH(ROW()-1,Calc!$X$2:$X$1001,0)),"")</f>
        <v/>
      </c>
      <c r="E64" s="3" t="str">
        <f aca="false">IFERROR(INDEX(Calc!$P$2:$P$1001,MATCH(ROW()-1,Calc!$X$2:$X$1001,0)),"")</f>
        <v/>
      </c>
      <c r="F64" s="3" t="str">
        <f aca="false">IF(G64="","",E64-D64)</f>
        <v/>
      </c>
      <c r="G64" s="0" t="str">
        <f aca="false">IFERROR(INDEX(Calc!$S$2:$S$1001,MATCH(ROW()-1,Calc!$X$2:$X$1001,0)),"")</f>
        <v/>
      </c>
    </row>
    <row r="65" customFormat="false" ht="15" hidden="false" customHeight="false" outlineLevel="0" collapsed="false">
      <c r="A65" s="0" t="str">
        <f aca="false">IFERROR(INDEX(Calc!$L$2:$L$1001,MATCH(ROW()-1,Calc!$X$2:$X$1001,0)),"")</f>
        <v/>
      </c>
      <c r="B65" s="0" t="str">
        <f aca="false">IFERROR(INDEX(Calc!$M$2:$M$1001,MATCH(ROW()-1,Calc!$X$2:$X$1001,0)),"")</f>
        <v/>
      </c>
      <c r="C65" s="0" t="str">
        <f aca="false">IFERROR(INDEX(Calc!$N$2:$N$1001,MATCH(ROW()-1,Calc!$X$2:$X$1001,0)),"")</f>
        <v/>
      </c>
      <c r="D65" s="3" t="str">
        <f aca="false">IFERROR(INDEX(Calc!$O$2:$O$1001,MATCH(ROW()-1,Calc!$X$2:$X$1001,0)),"")</f>
        <v/>
      </c>
      <c r="E65" s="3" t="str">
        <f aca="false">IFERROR(INDEX(Calc!$P$2:$P$1001,MATCH(ROW()-1,Calc!$X$2:$X$1001,0)),"")</f>
        <v/>
      </c>
      <c r="F65" s="3" t="str">
        <f aca="false">IF(G65="","",E65-D65)</f>
        <v/>
      </c>
      <c r="G65" s="0" t="str">
        <f aca="false">IFERROR(INDEX(Calc!$S$2:$S$1001,MATCH(ROW()-1,Calc!$X$2:$X$1001,0)),"")</f>
        <v/>
      </c>
    </row>
    <row r="66" customFormat="false" ht="15" hidden="false" customHeight="false" outlineLevel="0" collapsed="false">
      <c r="A66" s="0" t="str">
        <f aca="false">IFERROR(INDEX(Calc!$L$2:$L$1001,MATCH(ROW()-1,Calc!$X$2:$X$1001,0)),"")</f>
        <v/>
      </c>
      <c r="B66" s="0" t="str">
        <f aca="false">IFERROR(INDEX(Calc!$M$2:$M$1001,MATCH(ROW()-1,Calc!$X$2:$X$1001,0)),"")</f>
        <v/>
      </c>
      <c r="C66" s="0" t="str">
        <f aca="false">IFERROR(INDEX(Calc!$N$2:$N$1001,MATCH(ROW()-1,Calc!$X$2:$X$1001,0)),"")</f>
        <v/>
      </c>
      <c r="D66" s="3" t="str">
        <f aca="false">IFERROR(INDEX(Calc!$O$2:$O$1001,MATCH(ROW()-1,Calc!$X$2:$X$1001,0)),"")</f>
        <v/>
      </c>
      <c r="E66" s="3" t="str">
        <f aca="false">IFERROR(INDEX(Calc!$P$2:$P$1001,MATCH(ROW()-1,Calc!$X$2:$X$1001,0)),"")</f>
        <v/>
      </c>
      <c r="F66" s="3" t="str">
        <f aca="false">IF(G66="","",E66-D66)</f>
        <v/>
      </c>
      <c r="G66" s="0" t="str">
        <f aca="false">IFERROR(INDEX(Calc!$S$2:$S$1001,MATCH(ROW()-1,Calc!$X$2:$X$1001,0)),"")</f>
        <v/>
      </c>
    </row>
    <row r="67" customFormat="false" ht="15" hidden="false" customHeight="false" outlineLevel="0" collapsed="false">
      <c r="A67" s="0" t="str">
        <f aca="false">IFERROR(INDEX(Calc!$L$2:$L$1001,MATCH(ROW()-1,Calc!$X$2:$X$1001,0)),"")</f>
        <v/>
      </c>
      <c r="B67" s="0" t="str">
        <f aca="false">IFERROR(INDEX(Calc!$M$2:$M$1001,MATCH(ROW()-1,Calc!$X$2:$X$1001,0)),"")</f>
        <v/>
      </c>
      <c r="C67" s="0" t="str">
        <f aca="false">IFERROR(INDEX(Calc!$N$2:$N$1001,MATCH(ROW()-1,Calc!$X$2:$X$1001,0)),"")</f>
        <v/>
      </c>
      <c r="D67" s="3" t="str">
        <f aca="false">IFERROR(INDEX(Calc!$O$2:$O$1001,MATCH(ROW()-1,Calc!$X$2:$X$1001,0)),"")</f>
        <v/>
      </c>
      <c r="E67" s="3" t="str">
        <f aca="false">IFERROR(INDEX(Calc!$P$2:$P$1001,MATCH(ROW()-1,Calc!$X$2:$X$1001,0)),"")</f>
        <v/>
      </c>
      <c r="F67" s="3" t="str">
        <f aca="false">IF(G67="","",E67-D67)</f>
        <v/>
      </c>
      <c r="G67" s="0" t="str">
        <f aca="false">IFERROR(INDEX(Calc!$S$2:$S$1001,MATCH(ROW()-1,Calc!$X$2:$X$1001,0)),"")</f>
        <v/>
      </c>
    </row>
    <row r="68" customFormat="false" ht="15" hidden="false" customHeight="false" outlineLevel="0" collapsed="false">
      <c r="A68" s="0" t="str">
        <f aca="false">IFERROR(INDEX(Calc!$L$2:$L$1001,MATCH(ROW()-1,Calc!$X$2:$X$1001,0)),"")</f>
        <v/>
      </c>
      <c r="B68" s="0" t="str">
        <f aca="false">IFERROR(INDEX(Calc!$M$2:$M$1001,MATCH(ROW()-1,Calc!$X$2:$X$1001,0)),"")</f>
        <v/>
      </c>
      <c r="C68" s="0" t="str">
        <f aca="false">IFERROR(INDEX(Calc!$N$2:$N$1001,MATCH(ROW()-1,Calc!$X$2:$X$1001,0)),"")</f>
        <v/>
      </c>
      <c r="D68" s="3" t="str">
        <f aca="false">IFERROR(INDEX(Calc!$O$2:$O$1001,MATCH(ROW()-1,Calc!$X$2:$X$1001,0)),"")</f>
        <v/>
      </c>
      <c r="E68" s="3" t="str">
        <f aca="false">IFERROR(INDEX(Calc!$P$2:$P$1001,MATCH(ROW()-1,Calc!$X$2:$X$1001,0)),"")</f>
        <v/>
      </c>
      <c r="F68" s="3" t="str">
        <f aca="false">IF(G68="","",E68-D68)</f>
        <v/>
      </c>
      <c r="G68" s="0" t="str">
        <f aca="false">IFERROR(INDEX(Calc!$S$2:$S$1001,MATCH(ROW()-1,Calc!$X$2:$X$1001,0)),"")</f>
        <v/>
      </c>
    </row>
    <row r="69" customFormat="false" ht="15" hidden="false" customHeight="false" outlineLevel="0" collapsed="false">
      <c r="A69" s="0" t="str">
        <f aca="false">IFERROR(INDEX(Calc!$L$2:$L$1001,MATCH(ROW()-1,Calc!$X$2:$X$1001,0)),"")</f>
        <v/>
      </c>
      <c r="B69" s="0" t="str">
        <f aca="false">IFERROR(INDEX(Calc!$M$2:$M$1001,MATCH(ROW()-1,Calc!$X$2:$X$1001,0)),"")</f>
        <v/>
      </c>
      <c r="C69" s="0" t="str">
        <f aca="false">IFERROR(INDEX(Calc!$N$2:$N$1001,MATCH(ROW()-1,Calc!$X$2:$X$1001,0)),"")</f>
        <v/>
      </c>
      <c r="D69" s="3" t="str">
        <f aca="false">IFERROR(INDEX(Calc!$O$2:$O$1001,MATCH(ROW()-1,Calc!$X$2:$X$1001,0)),"")</f>
        <v/>
      </c>
      <c r="E69" s="3" t="str">
        <f aca="false">IFERROR(INDEX(Calc!$P$2:$P$1001,MATCH(ROW()-1,Calc!$X$2:$X$1001,0)),"")</f>
        <v/>
      </c>
      <c r="F69" s="3" t="str">
        <f aca="false">IF(G69="","",E69-D69)</f>
        <v/>
      </c>
      <c r="G69" s="0" t="str">
        <f aca="false">IFERROR(INDEX(Calc!$S$2:$S$1001,MATCH(ROW()-1,Calc!$X$2:$X$1001,0)),"")</f>
        <v/>
      </c>
    </row>
    <row r="70" customFormat="false" ht="15" hidden="false" customHeight="false" outlineLevel="0" collapsed="false">
      <c r="A70" s="0" t="str">
        <f aca="false">IFERROR(INDEX(Calc!$L$2:$L$1001,MATCH(ROW()-1,Calc!$X$2:$X$1001,0)),"")</f>
        <v/>
      </c>
      <c r="B70" s="0" t="str">
        <f aca="false">IFERROR(INDEX(Calc!$M$2:$M$1001,MATCH(ROW()-1,Calc!$X$2:$X$1001,0)),"")</f>
        <v/>
      </c>
      <c r="C70" s="0" t="str">
        <f aca="false">IFERROR(INDEX(Calc!$N$2:$N$1001,MATCH(ROW()-1,Calc!$X$2:$X$1001,0)),"")</f>
        <v/>
      </c>
      <c r="D70" s="3" t="str">
        <f aca="false">IFERROR(INDEX(Calc!$O$2:$O$1001,MATCH(ROW()-1,Calc!$X$2:$X$1001,0)),"")</f>
        <v/>
      </c>
      <c r="E70" s="3" t="str">
        <f aca="false">IFERROR(INDEX(Calc!$P$2:$P$1001,MATCH(ROW()-1,Calc!$X$2:$X$1001,0)),"")</f>
        <v/>
      </c>
      <c r="F70" s="3" t="str">
        <f aca="false">IF(G70="","",E70-D70)</f>
        <v/>
      </c>
      <c r="G70" s="0" t="str">
        <f aca="false">IFERROR(INDEX(Calc!$S$2:$S$1001,MATCH(ROW()-1,Calc!$X$2:$X$1001,0)),"")</f>
        <v/>
      </c>
    </row>
    <row r="71" customFormat="false" ht="15" hidden="false" customHeight="false" outlineLevel="0" collapsed="false">
      <c r="A71" s="0" t="str">
        <f aca="false">IFERROR(INDEX(Calc!$L$2:$L$1001,MATCH(ROW()-1,Calc!$X$2:$X$1001,0)),"")</f>
        <v/>
      </c>
      <c r="B71" s="0" t="str">
        <f aca="false">IFERROR(INDEX(Calc!$M$2:$M$1001,MATCH(ROW()-1,Calc!$X$2:$X$1001,0)),"")</f>
        <v/>
      </c>
      <c r="C71" s="0" t="str">
        <f aca="false">IFERROR(INDEX(Calc!$N$2:$N$1001,MATCH(ROW()-1,Calc!$X$2:$X$1001,0)),"")</f>
        <v/>
      </c>
      <c r="D71" s="3" t="str">
        <f aca="false">IFERROR(INDEX(Calc!$O$2:$O$1001,MATCH(ROW()-1,Calc!$X$2:$X$1001,0)),"")</f>
        <v/>
      </c>
      <c r="E71" s="3" t="str">
        <f aca="false">IFERROR(INDEX(Calc!$P$2:$P$1001,MATCH(ROW()-1,Calc!$X$2:$X$1001,0)),"")</f>
        <v/>
      </c>
      <c r="F71" s="3" t="str">
        <f aca="false">IF(G71="","",E71-D71)</f>
        <v/>
      </c>
      <c r="G71" s="0" t="str">
        <f aca="false">IFERROR(INDEX(Calc!$S$2:$S$1001,MATCH(ROW()-1,Calc!$X$2:$X$1001,0)),"")</f>
        <v/>
      </c>
    </row>
    <row r="72" customFormat="false" ht="15" hidden="false" customHeight="false" outlineLevel="0" collapsed="false">
      <c r="A72" s="0" t="str">
        <f aca="false">IFERROR(INDEX(Calc!$L$2:$L$1001,MATCH(ROW()-1,Calc!$X$2:$X$1001,0)),"")</f>
        <v/>
      </c>
      <c r="B72" s="0" t="str">
        <f aca="false">IFERROR(INDEX(Calc!$M$2:$M$1001,MATCH(ROW()-1,Calc!$X$2:$X$1001,0)),"")</f>
        <v/>
      </c>
      <c r="C72" s="0" t="str">
        <f aca="false">IFERROR(INDEX(Calc!$N$2:$N$1001,MATCH(ROW()-1,Calc!$X$2:$X$1001,0)),"")</f>
        <v/>
      </c>
      <c r="D72" s="3" t="str">
        <f aca="false">IFERROR(INDEX(Calc!$O$2:$O$1001,MATCH(ROW()-1,Calc!$X$2:$X$1001,0)),"")</f>
        <v/>
      </c>
      <c r="E72" s="3" t="str">
        <f aca="false">IFERROR(INDEX(Calc!$P$2:$P$1001,MATCH(ROW()-1,Calc!$X$2:$X$1001,0)),"")</f>
        <v/>
      </c>
      <c r="F72" s="3" t="str">
        <f aca="false">IF(G72="","",E72-D72)</f>
        <v/>
      </c>
      <c r="G72" s="0" t="str">
        <f aca="false">IFERROR(INDEX(Calc!$S$2:$S$1001,MATCH(ROW()-1,Calc!$X$2:$X$1001,0)),"")</f>
        <v/>
      </c>
    </row>
    <row r="73" customFormat="false" ht="15" hidden="false" customHeight="false" outlineLevel="0" collapsed="false">
      <c r="A73" s="0" t="str">
        <f aca="false">IFERROR(INDEX(Calc!$L$2:$L$1001,MATCH(ROW()-1,Calc!$X$2:$X$1001,0)),"")</f>
        <v/>
      </c>
      <c r="B73" s="0" t="str">
        <f aca="false">IFERROR(INDEX(Calc!$M$2:$M$1001,MATCH(ROW()-1,Calc!$X$2:$X$1001,0)),"")</f>
        <v/>
      </c>
      <c r="C73" s="0" t="str">
        <f aca="false">IFERROR(INDEX(Calc!$N$2:$N$1001,MATCH(ROW()-1,Calc!$X$2:$X$1001,0)),"")</f>
        <v/>
      </c>
      <c r="D73" s="3" t="str">
        <f aca="false">IFERROR(INDEX(Calc!$O$2:$O$1001,MATCH(ROW()-1,Calc!$X$2:$X$1001,0)),"")</f>
        <v/>
      </c>
      <c r="E73" s="3" t="str">
        <f aca="false">IFERROR(INDEX(Calc!$P$2:$P$1001,MATCH(ROW()-1,Calc!$X$2:$X$1001,0)),"")</f>
        <v/>
      </c>
      <c r="F73" s="3" t="str">
        <f aca="false">IF(G73="","",E73-D73)</f>
        <v/>
      </c>
      <c r="G73" s="0" t="str">
        <f aca="false">IFERROR(INDEX(Calc!$S$2:$S$1001,MATCH(ROW()-1,Calc!$X$2:$X$1001,0)),"")</f>
        <v/>
      </c>
    </row>
    <row r="74" customFormat="false" ht="15" hidden="false" customHeight="false" outlineLevel="0" collapsed="false">
      <c r="A74" s="0" t="str">
        <f aca="false">IFERROR(INDEX(Calc!$L$2:$L$1001,MATCH(ROW()-1,Calc!$X$2:$X$1001,0)),"")</f>
        <v/>
      </c>
      <c r="B74" s="0" t="str">
        <f aca="false">IFERROR(INDEX(Calc!$M$2:$M$1001,MATCH(ROW()-1,Calc!$X$2:$X$1001,0)),"")</f>
        <v/>
      </c>
      <c r="C74" s="0" t="str">
        <f aca="false">IFERROR(INDEX(Calc!$N$2:$N$1001,MATCH(ROW()-1,Calc!$X$2:$X$1001,0)),"")</f>
        <v/>
      </c>
      <c r="D74" s="3" t="str">
        <f aca="false">IFERROR(INDEX(Calc!$O$2:$O$1001,MATCH(ROW()-1,Calc!$X$2:$X$1001,0)),"")</f>
        <v/>
      </c>
      <c r="E74" s="3" t="str">
        <f aca="false">IFERROR(INDEX(Calc!$P$2:$P$1001,MATCH(ROW()-1,Calc!$X$2:$X$1001,0)),"")</f>
        <v/>
      </c>
      <c r="F74" s="3" t="str">
        <f aca="false">IF(G74="","",E74-D74)</f>
        <v/>
      </c>
      <c r="G74" s="0" t="str">
        <f aca="false">IFERROR(INDEX(Calc!$S$2:$S$1001,MATCH(ROW()-1,Calc!$X$2:$X$1001,0)),"")</f>
        <v/>
      </c>
    </row>
    <row r="75" customFormat="false" ht="15" hidden="false" customHeight="false" outlineLevel="0" collapsed="false">
      <c r="A75" s="0" t="str">
        <f aca="false">IFERROR(INDEX(Calc!$L$2:$L$1001,MATCH(ROW()-1,Calc!$X$2:$X$1001,0)),"")</f>
        <v/>
      </c>
      <c r="B75" s="0" t="str">
        <f aca="false">IFERROR(INDEX(Calc!$M$2:$M$1001,MATCH(ROW()-1,Calc!$X$2:$X$1001,0)),"")</f>
        <v/>
      </c>
      <c r="C75" s="0" t="str">
        <f aca="false">IFERROR(INDEX(Calc!$N$2:$N$1001,MATCH(ROW()-1,Calc!$X$2:$X$1001,0)),"")</f>
        <v/>
      </c>
      <c r="D75" s="3" t="str">
        <f aca="false">IFERROR(INDEX(Calc!$O$2:$O$1001,MATCH(ROW()-1,Calc!$X$2:$X$1001,0)),"")</f>
        <v/>
      </c>
      <c r="E75" s="3" t="str">
        <f aca="false">IFERROR(INDEX(Calc!$P$2:$P$1001,MATCH(ROW()-1,Calc!$X$2:$X$1001,0)),"")</f>
        <v/>
      </c>
      <c r="F75" s="3" t="str">
        <f aca="false">IF(G75="","",E75-D75)</f>
        <v/>
      </c>
      <c r="G75" s="0" t="str">
        <f aca="false">IFERROR(INDEX(Calc!$S$2:$S$1001,MATCH(ROW()-1,Calc!$X$2:$X$1001,0)),"")</f>
        <v/>
      </c>
    </row>
    <row r="76" customFormat="false" ht="15" hidden="false" customHeight="false" outlineLevel="0" collapsed="false">
      <c r="A76" s="0" t="str">
        <f aca="false">IFERROR(INDEX(Calc!$L$2:$L$1001,MATCH(ROW()-1,Calc!$X$2:$X$1001,0)),"")</f>
        <v/>
      </c>
      <c r="B76" s="0" t="str">
        <f aca="false">IFERROR(INDEX(Calc!$M$2:$M$1001,MATCH(ROW()-1,Calc!$X$2:$X$1001,0)),"")</f>
        <v/>
      </c>
      <c r="C76" s="0" t="str">
        <f aca="false">IFERROR(INDEX(Calc!$N$2:$N$1001,MATCH(ROW()-1,Calc!$X$2:$X$1001,0)),"")</f>
        <v/>
      </c>
      <c r="D76" s="3" t="str">
        <f aca="false">IFERROR(INDEX(Calc!$O$2:$O$1001,MATCH(ROW()-1,Calc!$X$2:$X$1001,0)),"")</f>
        <v/>
      </c>
      <c r="E76" s="3" t="str">
        <f aca="false">IFERROR(INDEX(Calc!$P$2:$P$1001,MATCH(ROW()-1,Calc!$X$2:$X$1001,0)),"")</f>
        <v/>
      </c>
      <c r="F76" s="3" t="str">
        <f aca="false">IF(G76="","",E76-D76)</f>
        <v/>
      </c>
      <c r="G76" s="0" t="str">
        <f aca="false">IFERROR(INDEX(Calc!$S$2:$S$1001,MATCH(ROW()-1,Calc!$X$2:$X$1001,0)),"")</f>
        <v/>
      </c>
    </row>
    <row r="77" customFormat="false" ht="15" hidden="false" customHeight="false" outlineLevel="0" collapsed="false">
      <c r="A77" s="0" t="str">
        <f aca="false">IFERROR(INDEX(Calc!$L$2:$L$1001,MATCH(ROW()-1,Calc!$X$2:$X$1001,0)),"")</f>
        <v/>
      </c>
      <c r="B77" s="0" t="str">
        <f aca="false">IFERROR(INDEX(Calc!$M$2:$M$1001,MATCH(ROW()-1,Calc!$X$2:$X$1001,0)),"")</f>
        <v/>
      </c>
      <c r="C77" s="0" t="str">
        <f aca="false">IFERROR(INDEX(Calc!$N$2:$N$1001,MATCH(ROW()-1,Calc!$X$2:$X$1001,0)),"")</f>
        <v/>
      </c>
      <c r="D77" s="3" t="str">
        <f aca="false">IFERROR(INDEX(Calc!$O$2:$O$1001,MATCH(ROW()-1,Calc!$X$2:$X$1001,0)),"")</f>
        <v/>
      </c>
      <c r="E77" s="3" t="str">
        <f aca="false">IFERROR(INDEX(Calc!$P$2:$P$1001,MATCH(ROW()-1,Calc!$X$2:$X$1001,0)),"")</f>
        <v/>
      </c>
      <c r="F77" s="3" t="str">
        <f aca="false">IF(G77="","",E77-D77)</f>
        <v/>
      </c>
      <c r="G77" s="0" t="str">
        <f aca="false">IFERROR(INDEX(Calc!$S$2:$S$1001,MATCH(ROW()-1,Calc!$X$2:$X$1001,0)),"")</f>
        <v/>
      </c>
    </row>
    <row r="78" customFormat="false" ht="15" hidden="false" customHeight="false" outlineLevel="0" collapsed="false">
      <c r="A78" s="0" t="str">
        <f aca="false">IFERROR(INDEX(Calc!$L$2:$L$1001,MATCH(ROW()-1,Calc!$X$2:$X$1001,0)),"")</f>
        <v/>
      </c>
      <c r="B78" s="0" t="str">
        <f aca="false">IFERROR(INDEX(Calc!$M$2:$M$1001,MATCH(ROW()-1,Calc!$X$2:$X$1001,0)),"")</f>
        <v/>
      </c>
      <c r="C78" s="0" t="str">
        <f aca="false">IFERROR(INDEX(Calc!$N$2:$N$1001,MATCH(ROW()-1,Calc!$X$2:$X$1001,0)),"")</f>
        <v/>
      </c>
      <c r="D78" s="3" t="str">
        <f aca="false">IFERROR(INDEX(Calc!$O$2:$O$1001,MATCH(ROW()-1,Calc!$X$2:$X$1001,0)),"")</f>
        <v/>
      </c>
      <c r="E78" s="3" t="str">
        <f aca="false">IFERROR(INDEX(Calc!$P$2:$P$1001,MATCH(ROW()-1,Calc!$X$2:$X$1001,0)),"")</f>
        <v/>
      </c>
      <c r="F78" s="3" t="str">
        <f aca="false">IF(G78="","",E78-D78)</f>
        <v/>
      </c>
      <c r="G78" s="0" t="str">
        <f aca="false">IFERROR(INDEX(Calc!$S$2:$S$1001,MATCH(ROW()-1,Calc!$X$2:$X$1001,0)),"")</f>
        <v/>
      </c>
    </row>
    <row r="79" customFormat="false" ht="15" hidden="false" customHeight="false" outlineLevel="0" collapsed="false">
      <c r="A79" s="0" t="str">
        <f aca="false">IFERROR(INDEX(Calc!$L$2:$L$1001,MATCH(ROW()-1,Calc!$X$2:$X$1001,0)),"")</f>
        <v/>
      </c>
      <c r="B79" s="0" t="str">
        <f aca="false">IFERROR(INDEX(Calc!$M$2:$M$1001,MATCH(ROW()-1,Calc!$X$2:$X$1001,0)),"")</f>
        <v/>
      </c>
      <c r="C79" s="0" t="str">
        <f aca="false">IFERROR(INDEX(Calc!$N$2:$N$1001,MATCH(ROW()-1,Calc!$X$2:$X$1001,0)),"")</f>
        <v/>
      </c>
      <c r="D79" s="3" t="str">
        <f aca="false">IFERROR(INDEX(Calc!$O$2:$O$1001,MATCH(ROW()-1,Calc!$X$2:$X$1001,0)),"")</f>
        <v/>
      </c>
      <c r="E79" s="3" t="str">
        <f aca="false">IFERROR(INDEX(Calc!$P$2:$P$1001,MATCH(ROW()-1,Calc!$X$2:$X$1001,0)),"")</f>
        <v/>
      </c>
      <c r="F79" s="3" t="str">
        <f aca="false">IF(G79="","",E79-D79)</f>
        <v/>
      </c>
      <c r="G79" s="0" t="str">
        <f aca="false">IFERROR(INDEX(Calc!$S$2:$S$1001,MATCH(ROW()-1,Calc!$X$2:$X$1001,0)),"")</f>
        <v/>
      </c>
    </row>
    <row r="80" customFormat="false" ht="15" hidden="false" customHeight="false" outlineLevel="0" collapsed="false">
      <c r="A80" s="0" t="str">
        <f aca="false">IFERROR(INDEX(Calc!$L$2:$L$1001,MATCH(ROW()-1,Calc!$X$2:$X$1001,0)),"")</f>
        <v/>
      </c>
      <c r="B80" s="0" t="str">
        <f aca="false">IFERROR(INDEX(Calc!$M$2:$M$1001,MATCH(ROW()-1,Calc!$X$2:$X$1001,0)),"")</f>
        <v/>
      </c>
      <c r="C80" s="0" t="str">
        <f aca="false">IFERROR(INDEX(Calc!$N$2:$N$1001,MATCH(ROW()-1,Calc!$X$2:$X$1001,0)),"")</f>
        <v/>
      </c>
      <c r="D80" s="3" t="str">
        <f aca="false">IFERROR(INDEX(Calc!$O$2:$O$1001,MATCH(ROW()-1,Calc!$X$2:$X$1001,0)),"")</f>
        <v/>
      </c>
      <c r="E80" s="3" t="str">
        <f aca="false">IFERROR(INDEX(Calc!$P$2:$P$1001,MATCH(ROW()-1,Calc!$X$2:$X$1001,0)),"")</f>
        <v/>
      </c>
      <c r="F80" s="3" t="str">
        <f aca="false">IF(G80="","",E80-D80)</f>
        <v/>
      </c>
      <c r="G80" s="0" t="str">
        <f aca="false">IFERROR(INDEX(Calc!$S$2:$S$1001,MATCH(ROW()-1,Calc!$X$2:$X$1001,0)),"")</f>
        <v/>
      </c>
    </row>
    <row r="81" customFormat="false" ht="15" hidden="false" customHeight="false" outlineLevel="0" collapsed="false">
      <c r="A81" s="0" t="str">
        <f aca="false">IFERROR(INDEX(Calc!$L$2:$L$1001,MATCH(ROW()-1,Calc!$X$2:$X$1001,0)),"")</f>
        <v/>
      </c>
      <c r="B81" s="0" t="str">
        <f aca="false">IFERROR(INDEX(Calc!$M$2:$M$1001,MATCH(ROW()-1,Calc!$X$2:$X$1001,0)),"")</f>
        <v/>
      </c>
      <c r="C81" s="0" t="str">
        <f aca="false">IFERROR(INDEX(Calc!$N$2:$N$1001,MATCH(ROW()-1,Calc!$X$2:$X$1001,0)),"")</f>
        <v/>
      </c>
      <c r="D81" s="3" t="str">
        <f aca="false">IFERROR(INDEX(Calc!$O$2:$O$1001,MATCH(ROW()-1,Calc!$X$2:$X$1001,0)),"")</f>
        <v/>
      </c>
      <c r="E81" s="3" t="str">
        <f aca="false">IFERROR(INDEX(Calc!$P$2:$P$1001,MATCH(ROW()-1,Calc!$X$2:$X$1001,0)),"")</f>
        <v/>
      </c>
      <c r="F81" s="3" t="str">
        <f aca="false">IF(G81="","",E81-D81)</f>
        <v/>
      </c>
      <c r="G81" s="0" t="str">
        <f aca="false">IFERROR(INDEX(Calc!$S$2:$S$1001,MATCH(ROW()-1,Calc!$X$2:$X$1001,0)),"")</f>
        <v/>
      </c>
    </row>
    <row r="82" customFormat="false" ht="15" hidden="false" customHeight="false" outlineLevel="0" collapsed="false">
      <c r="A82" s="0" t="str">
        <f aca="false">IFERROR(INDEX(Calc!$L$2:$L$1001,MATCH(ROW()-1,Calc!$X$2:$X$1001,0)),"")</f>
        <v/>
      </c>
      <c r="B82" s="0" t="str">
        <f aca="false">IFERROR(INDEX(Calc!$M$2:$M$1001,MATCH(ROW()-1,Calc!$X$2:$X$1001,0)),"")</f>
        <v/>
      </c>
      <c r="C82" s="0" t="str">
        <f aca="false">IFERROR(INDEX(Calc!$N$2:$N$1001,MATCH(ROW()-1,Calc!$X$2:$X$1001,0)),"")</f>
        <v/>
      </c>
      <c r="D82" s="3" t="str">
        <f aca="false">IFERROR(INDEX(Calc!$O$2:$O$1001,MATCH(ROW()-1,Calc!$X$2:$X$1001,0)),"")</f>
        <v/>
      </c>
      <c r="E82" s="3" t="str">
        <f aca="false">IFERROR(INDEX(Calc!$P$2:$P$1001,MATCH(ROW()-1,Calc!$X$2:$X$1001,0)),"")</f>
        <v/>
      </c>
      <c r="F82" s="3" t="str">
        <f aca="false">IF(G82="","",E82-D82)</f>
        <v/>
      </c>
      <c r="G82" s="0" t="str">
        <f aca="false">IFERROR(INDEX(Calc!$S$2:$S$1001,MATCH(ROW()-1,Calc!$X$2:$X$1001,0)),"")</f>
        <v/>
      </c>
    </row>
    <row r="83" customFormat="false" ht="15" hidden="false" customHeight="false" outlineLevel="0" collapsed="false">
      <c r="A83" s="0" t="str">
        <f aca="false">IFERROR(INDEX(Calc!$L$2:$L$1001,MATCH(ROW()-1,Calc!$X$2:$X$1001,0)),"")</f>
        <v/>
      </c>
      <c r="B83" s="0" t="str">
        <f aca="false">IFERROR(INDEX(Calc!$M$2:$M$1001,MATCH(ROW()-1,Calc!$X$2:$X$1001,0)),"")</f>
        <v/>
      </c>
      <c r="C83" s="0" t="str">
        <f aca="false">IFERROR(INDEX(Calc!$N$2:$N$1001,MATCH(ROW()-1,Calc!$X$2:$X$1001,0)),"")</f>
        <v/>
      </c>
      <c r="D83" s="3" t="str">
        <f aca="false">IFERROR(INDEX(Calc!$O$2:$O$1001,MATCH(ROW()-1,Calc!$X$2:$X$1001,0)),"")</f>
        <v/>
      </c>
      <c r="E83" s="3" t="str">
        <f aca="false">IFERROR(INDEX(Calc!$P$2:$P$1001,MATCH(ROW()-1,Calc!$X$2:$X$1001,0)),"")</f>
        <v/>
      </c>
      <c r="F83" s="3" t="str">
        <f aca="false">IF(G83="","",E83-D83)</f>
        <v/>
      </c>
      <c r="G83" s="0" t="str">
        <f aca="false">IFERROR(INDEX(Calc!$S$2:$S$1001,MATCH(ROW()-1,Calc!$X$2:$X$1001,0)),"")</f>
        <v/>
      </c>
    </row>
    <row r="84" customFormat="false" ht="15" hidden="false" customHeight="false" outlineLevel="0" collapsed="false">
      <c r="A84" s="0" t="str">
        <f aca="false">IFERROR(INDEX(Calc!$L$2:$L$1001,MATCH(ROW()-1,Calc!$X$2:$X$1001,0)),"")</f>
        <v/>
      </c>
      <c r="B84" s="0" t="str">
        <f aca="false">IFERROR(INDEX(Calc!$M$2:$M$1001,MATCH(ROW()-1,Calc!$X$2:$X$1001,0)),"")</f>
        <v/>
      </c>
      <c r="C84" s="0" t="str">
        <f aca="false">IFERROR(INDEX(Calc!$N$2:$N$1001,MATCH(ROW()-1,Calc!$X$2:$X$1001,0)),"")</f>
        <v/>
      </c>
      <c r="D84" s="3" t="str">
        <f aca="false">IFERROR(INDEX(Calc!$O$2:$O$1001,MATCH(ROW()-1,Calc!$X$2:$X$1001,0)),"")</f>
        <v/>
      </c>
      <c r="E84" s="3" t="str">
        <f aca="false">IFERROR(INDEX(Calc!$P$2:$P$1001,MATCH(ROW()-1,Calc!$X$2:$X$1001,0)),"")</f>
        <v/>
      </c>
      <c r="F84" s="3" t="str">
        <f aca="false">IF(G84="","",E84-D84)</f>
        <v/>
      </c>
      <c r="G84" s="0" t="str">
        <f aca="false">IFERROR(INDEX(Calc!$S$2:$S$1001,MATCH(ROW()-1,Calc!$X$2:$X$1001,0)),"")</f>
        <v/>
      </c>
    </row>
    <row r="85" customFormat="false" ht="15" hidden="false" customHeight="false" outlineLevel="0" collapsed="false">
      <c r="A85" s="0" t="str">
        <f aca="false">IFERROR(INDEX(Calc!$L$2:$L$1001,MATCH(ROW()-1,Calc!$X$2:$X$1001,0)),"")</f>
        <v/>
      </c>
      <c r="B85" s="0" t="str">
        <f aca="false">IFERROR(INDEX(Calc!$M$2:$M$1001,MATCH(ROW()-1,Calc!$X$2:$X$1001,0)),"")</f>
        <v/>
      </c>
      <c r="C85" s="0" t="str">
        <f aca="false">IFERROR(INDEX(Calc!$N$2:$N$1001,MATCH(ROW()-1,Calc!$X$2:$X$1001,0)),"")</f>
        <v/>
      </c>
      <c r="D85" s="3" t="str">
        <f aca="false">IFERROR(INDEX(Calc!$O$2:$O$1001,MATCH(ROW()-1,Calc!$X$2:$X$1001,0)),"")</f>
        <v/>
      </c>
      <c r="E85" s="3" t="str">
        <f aca="false">IFERROR(INDEX(Calc!$P$2:$P$1001,MATCH(ROW()-1,Calc!$X$2:$X$1001,0)),"")</f>
        <v/>
      </c>
      <c r="F85" s="3" t="str">
        <f aca="false">IF(G85="","",E85-D85)</f>
        <v/>
      </c>
      <c r="G85" s="0" t="str">
        <f aca="false">IFERROR(INDEX(Calc!$S$2:$S$1001,MATCH(ROW()-1,Calc!$X$2:$X$1001,0)),"")</f>
        <v/>
      </c>
    </row>
    <row r="86" customFormat="false" ht="15" hidden="false" customHeight="false" outlineLevel="0" collapsed="false">
      <c r="A86" s="0" t="str">
        <f aca="false">IFERROR(INDEX(Calc!$L$2:$L$1001,MATCH(ROW()-1,Calc!$X$2:$X$1001,0)),"")</f>
        <v/>
      </c>
      <c r="B86" s="0" t="str">
        <f aca="false">IFERROR(INDEX(Calc!$M$2:$M$1001,MATCH(ROW()-1,Calc!$X$2:$X$1001,0)),"")</f>
        <v/>
      </c>
      <c r="C86" s="0" t="str">
        <f aca="false">IFERROR(INDEX(Calc!$N$2:$N$1001,MATCH(ROW()-1,Calc!$X$2:$X$1001,0)),"")</f>
        <v/>
      </c>
      <c r="D86" s="3" t="str">
        <f aca="false">IFERROR(INDEX(Calc!$O$2:$O$1001,MATCH(ROW()-1,Calc!$X$2:$X$1001,0)),"")</f>
        <v/>
      </c>
      <c r="E86" s="3" t="str">
        <f aca="false">IFERROR(INDEX(Calc!$P$2:$P$1001,MATCH(ROW()-1,Calc!$X$2:$X$1001,0)),"")</f>
        <v/>
      </c>
      <c r="F86" s="3" t="str">
        <f aca="false">IF(G86="","",E86-D86)</f>
        <v/>
      </c>
      <c r="G86" s="0" t="str">
        <f aca="false">IFERROR(INDEX(Calc!$S$2:$S$1001,MATCH(ROW()-1,Calc!$X$2:$X$1001,0)),"")</f>
        <v/>
      </c>
    </row>
    <row r="87" customFormat="false" ht="15" hidden="false" customHeight="false" outlineLevel="0" collapsed="false">
      <c r="A87" s="0" t="str">
        <f aca="false">IFERROR(INDEX(Calc!$L$2:$L$1001,MATCH(ROW()-1,Calc!$X$2:$X$1001,0)),"")</f>
        <v/>
      </c>
      <c r="B87" s="0" t="str">
        <f aca="false">IFERROR(INDEX(Calc!$M$2:$M$1001,MATCH(ROW()-1,Calc!$X$2:$X$1001,0)),"")</f>
        <v/>
      </c>
      <c r="C87" s="0" t="str">
        <f aca="false">IFERROR(INDEX(Calc!$N$2:$N$1001,MATCH(ROW()-1,Calc!$X$2:$X$1001,0)),"")</f>
        <v/>
      </c>
      <c r="D87" s="3" t="str">
        <f aca="false">IFERROR(INDEX(Calc!$O$2:$O$1001,MATCH(ROW()-1,Calc!$X$2:$X$1001,0)),"")</f>
        <v/>
      </c>
      <c r="E87" s="3" t="str">
        <f aca="false">IFERROR(INDEX(Calc!$P$2:$P$1001,MATCH(ROW()-1,Calc!$X$2:$X$1001,0)),"")</f>
        <v/>
      </c>
      <c r="F87" s="3" t="str">
        <f aca="false">IF(G87="","",E87-D87)</f>
        <v/>
      </c>
      <c r="G87" s="0" t="str">
        <f aca="false">IFERROR(INDEX(Calc!$S$2:$S$1001,MATCH(ROW()-1,Calc!$X$2:$X$1001,0)),"")</f>
        <v/>
      </c>
    </row>
    <row r="88" customFormat="false" ht="15" hidden="false" customHeight="false" outlineLevel="0" collapsed="false">
      <c r="A88" s="0" t="str">
        <f aca="false">IFERROR(INDEX(Calc!$L$2:$L$1001,MATCH(ROW()-1,Calc!$X$2:$X$1001,0)),"")</f>
        <v/>
      </c>
      <c r="B88" s="0" t="str">
        <f aca="false">IFERROR(INDEX(Calc!$M$2:$M$1001,MATCH(ROW()-1,Calc!$X$2:$X$1001,0)),"")</f>
        <v/>
      </c>
      <c r="C88" s="0" t="str">
        <f aca="false">IFERROR(INDEX(Calc!$N$2:$N$1001,MATCH(ROW()-1,Calc!$X$2:$X$1001,0)),"")</f>
        <v/>
      </c>
      <c r="D88" s="3" t="str">
        <f aca="false">IFERROR(INDEX(Calc!$O$2:$O$1001,MATCH(ROW()-1,Calc!$X$2:$X$1001,0)),"")</f>
        <v/>
      </c>
      <c r="E88" s="3" t="str">
        <f aca="false">IFERROR(INDEX(Calc!$P$2:$P$1001,MATCH(ROW()-1,Calc!$X$2:$X$1001,0)),"")</f>
        <v/>
      </c>
      <c r="F88" s="3" t="str">
        <f aca="false">IF(G88="","",E88-D88)</f>
        <v/>
      </c>
      <c r="G88" s="0" t="str">
        <f aca="false">IFERROR(INDEX(Calc!$S$2:$S$1001,MATCH(ROW()-1,Calc!$X$2:$X$1001,0)),"")</f>
        <v/>
      </c>
    </row>
    <row r="89" customFormat="false" ht="15" hidden="false" customHeight="false" outlineLevel="0" collapsed="false">
      <c r="A89" s="0" t="str">
        <f aca="false">IFERROR(INDEX(Calc!$L$2:$L$1001,MATCH(ROW()-1,Calc!$X$2:$X$1001,0)),"")</f>
        <v/>
      </c>
      <c r="B89" s="0" t="str">
        <f aca="false">IFERROR(INDEX(Calc!$M$2:$M$1001,MATCH(ROW()-1,Calc!$X$2:$X$1001,0)),"")</f>
        <v/>
      </c>
      <c r="C89" s="0" t="str">
        <f aca="false">IFERROR(INDEX(Calc!$N$2:$N$1001,MATCH(ROW()-1,Calc!$X$2:$X$1001,0)),"")</f>
        <v/>
      </c>
      <c r="D89" s="3" t="str">
        <f aca="false">IFERROR(INDEX(Calc!$O$2:$O$1001,MATCH(ROW()-1,Calc!$X$2:$X$1001,0)),"")</f>
        <v/>
      </c>
      <c r="E89" s="3" t="str">
        <f aca="false">IFERROR(INDEX(Calc!$P$2:$P$1001,MATCH(ROW()-1,Calc!$X$2:$X$1001,0)),"")</f>
        <v/>
      </c>
      <c r="F89" s="3" t="str">
        <f aca="false">IF(G89="","",E89-D89)</f>
        <v/>
      </c>
      <c r="G89" s="0" t="str">
        <f aca="false">IFERROR(INDEX(Calc!$S$2:$S$1001,MATCH(ROW()-1,Calc!$X$2:$X$1001,0)),"")</f>
        <v/>
      </c>
    </row>
    <row r="90" customFormat="false" ht="15" hidden="false" customHeight="false" outlineLevel="0" collapsed="false">
      <c r="A90" s="0" t="str">
        <f aca="false">IFERROR(INDEX(Calc!$L$2:$L$1001,MATCH(ROW()-1,Calc!$X$2:$X$1001,0)),"")</f>
        <v/>
      </c>
      <c r="B90" s="0" t="str">
        <f aca="false">IFERROR(INDEX(Calc!$M$2:$M$1001,MATCH(ROW()-1,Calc!$X$2:$X$1001,0)),"")</f>
        <v/>
      </c>
      <c r="C90" s="0" t="str">
        <f aca="false">IFERROR(INDEX(Calc!$N$2:$N$1001,MATCH(ROW()-1,Calc!$X$2:$X$1001,0)),"")</f>
        <v/>
      </c>
      <c r="D90" s="3" t="str">
        <f aca="false">IFERROR(INDEX(Calc!$O$2:$O$1001,MATCH(ROW()-1,Calc!$X$2:$X$1001,0)),"")</f>
        <v/>
      </c>
      <c r="E90" s="3" t="str">
        <f aca="false">IFERROR(INDEX(Calc!$P$2:$P$1001,MATCH(ROW()-1,Calc!$X$2:$X$1001,0)),"")</f>
        <v/>
      </c>
      <c r="F90" s="3" t="str">
        <f aca="false">IF(G90="","",E90-D90)</f>
        <v/>
      </c>
      <c r="G90" s="0" t="str">
        <f aca="false">IFERROR(INDEX(Calc!$S$2:$S$1001,MATCH(ROW()-1,Calc!$X$2:$X$1001,0)),"")</f>
        <v/>
      </c>
    </row>
    <row r="91" customFormat="false" ht="15" hidden="false" customHeight="false" outlineLevel="0" collapsed="false">
      <c r="A91" s="0" t="str">
        <f aca="false">IFERROR(INDEX(Calc!$L$2:$L$1001,MATCH(ROW()-1,Calc!$X$2:$X$1001,0)),"")</f>
        <v/>
      </c>
      <c r="B91" s="0" t="str">
        <f aca="false">IFERROR(INDEX(Calc!$M$2:$M$1001,MATCH(ROW()-1,Calc!$X$2:$X$1001,0)),"")</f>
        <v/>
      </c>
      <c r="C91" s="0" t="str">
        <f aca="false">IFERROR(INDEX(Calc!$N$2:$N$1001,MATCH(ROW()-1,Calc!$X$2:$X$1001,0)),"")</f>
        <v/>
      </c>
      <c r="D91" s="3" t="str">
        <f aca="false">IFERROR(INDEX(Calc!$O$2:$O$1001,MATCH(ROW()-1,Calc!$X$2:$X$1001,0)),"")</f>
        <v/>
      </c>
      <c r="E91" s="3" t="str">
        <f aca="false">IFERROR(INDEX(Calc!$P$2:$P$1001,MATCH(ROW()-1,Calc!$X$2:$X$1001,0)),"")</f>
        <v/>
      </c>
      <c r="F91" s="3" t="str">
        <f aca="false">IF(G91="","",E91-D91)</f>
        <v/>
      </c>
      <c r="G91" s="0" t="str">
        <f aca="false">IFERROR(INDEX(Calc!$S$2:$S$1001,MATCH(ROW()-1,Calc!$X$2:$X$1001,0)),"")</f>
        <v/>
      </c>
    </row>
    <row r="92" customFormat="false" ht="15" hidden="false" customHeight="false" outlineLevel="0" collapsed="false">
      <c r="A92" s="0" t="str">
        <f aca="false">IFERROR(INDEX(Calc!$L$2:$L$1001,MATCH(ROW()-1,Calc!$X$2:$X$1001,0)),"")</f>
        <v/>
      </c>
      <c r="B92" s="0" t="str">
        <f aca="false">IFERROR(INDEX(Calc!$M$2:$M$1001,MATCH(ROW()-1,Calc!$X$2:$X$1001,0)),"")</f>
        <v/>
      </c>
      <c r="C92" s="0" t="str">
        <f aca="false">IFERROR(INDEX(Calc!$N$2:$N$1001,MATCH(ROW()-1,Calc!$X$2:$X$1001,0)),"")</f>
        <v/>
      </c>
      <c r="D92" s="3" t="str">
        <f aca="false">IFERROR(INDEX(Calc!$O$2:$O$1001,MATCH(ROW()-1,Calc!$X$2:$X$1001,0)),"")</f>
        <v/>
      </c>
      <c r="E92" s="3" t="str">
        <f aca="false">IFERROR(INDEX(Calc!$P$2:$P$1001,MATCH(ROW()-1,Calc!$X$2:$X$1001,0)),"")</f>
        <v/>
      </c>
      <c r="F92" s="3" t="str">
        <f aca="false">IF(G92="","",E92-D92)</f>
        <v/>
      </c>
      <c r="G92" s="0" t="str">
        <f aca="false">IFERROR(INDEX(Calc!$S$2:$S$1001,MATCH(ROW()-1,Calc!$X$2:$X$1001,0)),"")</f>
        <v/>
      </c>
    </row>
    <row r="93" customFormat="false" ht="15" hidden="false" customHeight="false" outlineLevel="0" collapsed="false">
      <c r="A93" s="0" t="str">
        <f aca="false">IFERROR(INDEX(Calc!$L$2:$L$1001,MATCH(ROW()-1,Calc!$X$2:$X$1001,0)),"")</f>
        <v/>
      </c>
      <c r="B93" s="0" t="str">
        <f aca="false">IFERROR(INDEX(Calc!$M$2:$M$1001,MATCH(ROW()-1,Calc!$X$2:$X$1001,0)),"")</f>
        <v/>
      </c>
      <c r="C93" s="0" t="str">
        <f aca="false">IFERROR(INDEX(Calc!$N$2:$N$1001,MATCH(ROW()-1,Calc!$X$2:$X$1001,0)),"")</f>
        <v/>
      </c>
      <c r="D93" s="3" t="str">
        <f aca="false">IFERROR(INDEX(Calc!$O$2:$O$1001,MATCH(ROW()-1,Calc!$X$2:$X$1001,0)),"")</f>
        <v/>
      </c>
      <c r="E93" s="3" t="str">
        <f aca="false">IFERROR(INDEX(Calc!$P$2:$P$1001,MATCH(ROW()-1,Calc!$X$2:$X$1001,0)),"")</f>
        <v/>
      </c>
      <c r="F93" s="3" t="str">
        <f aca="false">IF(G93="","",E93-D93)</f>
        <v/>
      </c>
      <c r="G93" s="0" t="str">
        <f aca="false">IFERROR(INDEX(Calc!$S$2:$S$1001,MATCH(ROW()-1,Calc!$X$2:$X$1001,0)),"")</f>
        <v/>
      </c>
    </row>
    <row r="94" customFormat="false" ht="15" hidden="false" customHeight="false" outlineLevel="0" collapsed="false">
      <c r="A94" s="0" t="str">
        <f aca="false">IFERROR(INDEX(Calc!$L$2:$L$1001,MATCH(ROW()-1,Calc!$X$2:$X$1001,0)),"")</f>
        <v/>
      </c>
      <c r="B94" s="0" t="str">
        <f aca="false">IFERROR(INDEX(Calc!$M$2:$M$1001,MATCH(ROW()-1,Calc!$X$2:$X$1001,0)),"")</f>
        <v/>
      </c>
      <c r="C94" s="0" t="str">
        <f aca="false">IFERROR(INDEX(Calc!$N$2:$N$1001,MATCH(ROW()-1,Calc!$X$2:$X$1001,0)),"")</f>
        <v/>
      </c>
      <c r="D94" s="3" t="str">
        <f aca="false">IFERROR(INDEX(Calc!$O$2:$O$1001,MATCH(ROW()-1,Calc!$X$2:$X$1001,0)),"")</f>
        <v/>
      </c>
      <c r="E94" s="3" t="str">
        <f aca="false">IFERROR(INDEX(Calc!$P$2:$P$1001,MATCH(ROW()-1,Calc!$X$2:$X$1001,0)),"")</f>
        <v/>
      </c>
      <c r="F94" s="3" t="str">
        <f aca="false">IF(G94="","",E94-D94)</f>
        <v/>
      </c>
      <c r="G94" s="0" t="str">
        <f aca="false">IFERROR(INDEX(Calc!$S$2:$S$1001,MATCH(ROW()-1,Calc!$X$2:$X$1001,0)),"")</f>
        <v/>
      </c>
    </row>
    <row r="95" customFormat="false" ht="15" hidden="false" customHeight="false" outlineLevel="0" collapsed="false">
      <c r="A95" s="0" t="str">
        <f aca="false">IFERROR(INDEX(Calc!$L$2:$L$1001,MATCH(ROW()-1,Calc!$X$2:$X$1001,0)),"")</f>
        <v/>
      </c>
      <c r="B95" s="0" t="str">
        <f aca="false">IFERROR(INDEX(Calc!$M$2:$M$1001,MATCH(ROW()-1,Calc!$X$2:$X$1001,0)),"")</f>
        <v/>
      </c>
      <c r="C95" s="0" t="str">
        <f aca="false">IFERROR(INDEX(Calc!$N$2:$N$1001,MATCH(ROW()-1,Calc!$X$2:$X$1001,0)),"")</f>
        <v/>
      </c>
      <c r="D95" s="3" t="str">
        <f aca="false">IFERROR(INDEX(Calc!$O$2:$O$1001,MATCH(ROW()-1,Calc!$X$2:$X$1001,0)),"")</f>
        <v/>
      </c>
      <c r="E95" s="3" t="str">
        <f aca="false">IFERROR(INDEX(Calc!$P$2:$P$1001,MATCH(ROW()-1,Calc!$X$2:$X$1001,0)),"")</f>
        <v/>
      </c>
      <c r="F95" s="3" t="str">
        <f aca="false">IF(G95="","",E95-D95)</f>
        <v/>
      </c>
      <c r="G95" s="0" t="str">
        <f aca="false">IFERROR(INDEX(Calc!$S$2:$S$1001,MATCH(ROW()-1,Calc!$X$2:$X$1001,0)),"")</f>
        <v/>
      </c>
    </row>
    <row r="96" customFormat="false" ht="15" hidden="false" customHeight="false" outlineLevel="0" collapsed="false">
      <c r="A96" s="0" t="str">
        <f aca="false">IFERROR(INDEX(Calc!$L$2:$L$1001,MATCH(ROW()-1,Calc!$X$2:$X$1001,0)),"")</f>
        <v/>
      </c>
      <c r="B96" s="0" t="str">
        <f aca="false">IFERROR(INDEX(Calc!$M$2:$M$1001,MATCH(ROW()-1,Calc!$X$2:$X$1001,0)),"")</f>
        <v/>
      </c>
      <c r="C96" s="0" t="str">
        <f aca="false">IFERROR(INDEX(Calc!$N$2:$N$1001,MATCH(ROW()-1,Calc!$X$2:$X$1001,0)),"")</f>
        <v/>
      </c>
      <c r="D96" s="3" t="str">
        <f aca="false">IFERROR(INDEX(Calc!$O$2:$O$1001,MATCH(ROW()-1,Calc!$X$2:$X$1001,0)),"")</f>
        <v/>
      </c>
      <c r="E96" s="3" t="str">
        <f aca="false">IFERROR(INDEX(Calc!$P$2:$P$1001,MATCH(ROW()-1,Calc!$X$2:$X$1001,0)),"")</f>
        <v/>
      </c>
      <c r="F96" s="3" t="str">
        <f aca="false">IF(G96="","",E96-D96)</f>
        <v/>
      </c>
      <c r="G96" s="0" t="str">
        <f aca="false">IFERROR(INDEX(Calc!$S$2:$S$1001,MATCH(ROW()-1,Calc!$X$2:$X$1001,0)),"")</f>
        <v/>
      </c>
    </row>
    <row r="97" customFormat="false" ht="15" hidden="false" customHeight="false" outlineLevel="0" collapsed="false">
      <c r="A97" s="0" t="str">
        <f aca="false">IFERROR(INDEX(Calc!$L$2:$L$1001,MATCH(ROW()-1,Calc!$X$2:$X$1001,0)),"")</f>
        <v/>
      </c>
      <c r="B97" s="0" t="str">
        <f aca="false">IFERROR(INDEX(Calc!$M$2:$M$1001,MATCH(ROW()-1,Calc!$X$2:$X$1001,0)),"")</f>
        <v/>
      </c>
      <c r="C97" s="0" t="str">
        <f aca="false">IFERROR(INDEX(Calc!$N$2:$N$1001,MATCH(ROW()-1,Calc!$X$2:$X$1001,0)),"")</f>
        <v/>
      </c>
      <c r="D97" s="3" t="str">
        <f aca="false">IFERROR(INDEX(Calc!$O$2:$O$1001,MATCH(ROW()-1,Calc!$X$2:$X$1001,0)),"")</f>
        <v/>
      </c>
      <c r="E97" s="3" t="str">
        <f aca="false">IFERROR(INDEX(Calc!$P$2:$P$1001,MATCH(ROW()-1,Calc!$X$2:$X$1001,0)),"")</f>
        <v/>
      </c>
      <c r="F97" s="3" t="str">
        <f aca="false">IF(G97="","",E97-D97)</f>
        <v/>
      </c>
      <c r="G97" s="0" t="str">
        <f aca="false">IFERROR(INDEX(Calc!$S$2:$S$1001,MATCH(ROW()-1,Calc!$X$2:$X$1001,0)),"")</f>
        <v/>
      </c>
    </row>
    <row r="98" customFormat="false" ht="15" hidden="false" customHeight="false" outlineLevel="0" collapsed="false">
      <c r="A98" s="0" t="str">
        <f aca="false">IFERROR(INDEX(Calc!$L$2:$L$1001,MATCH(ROW()-1,Calc!$X$2:$X$1001,0)),"")</f>
        <v/>
      </c>
      <c r="B98" s="0" t="str">
        <f aca="false">IFERROR(INDEX(Calc!$M$2:$M$1001,MATCH(ROW()-1,Calc!$X$2:$X$1001,0)),"")</f>
        <v/>
      </c>
      <c r="C98" s="0" t="str">
        <f aca="false">IFERROR(INDEX(Calc!$N$2:$N$1001,MATCH(ROW()-1,Calc!$X$2:$X$1001,0)),"")</f>
        <v/>
      </c>
      <c r="D98" s="3" t="str">
        <f aca="false">IFERROR(INDEX(Calc!$O$2:$O$1001,MATCH(ROW()-1,Calc!$X$2:$X$1001,0)),"")</f>
        <v/>
      </c>
      <c r="E98" s="3" t="str">
        <f aca="false">IFERROR(INDEX(Calc!$P$2:$P$1001,MATCH(ROW()-1,Calc!$X$2:$X$1001,0)),"")</f>
        <v/>
      </c>
      <c r="F98" s="3" t="str">
        <f aca="false">IF(G98="","",E98-D98)</f>
        <v/>
      </c>
      <c r="G98" s="0" t="str">
        <f aca="false">IFERROR(INDEX(Calc!$S$2:$S$1001,MATCH(ROW()-1,Calc!$X$2:$X$1001,0)),"")</f>
        <v/>
      </c>
    </row>
    <row r="99" customFormat="false" ht="15" hidden="false" customHeight="false" outlineLevel="0" collapsed="false">
      <c r="A99" s="0" t="str">
        <f aca="false">IFERROR(INDEX(Calc!$L$2:$L$1001,MATCH(ROW()-1,Calc!$X$2:$X$1001,0)),"")</f>
        <v/>
      </c>
      <c r="B99" s="0" t="str">
        <f aca="false">IFERROR(INDEX(Calc!$M$2:$M$1001,MATCH(ROW()-1,Calc!$X$2:$X$1001,0)),"")</f>
        <v/>
      </c>
      <c r="C99" s="0" t="str">
        <f aca="false">IFERROR(INDEX(Calc!$N$2:$N$1001,MATCH(ROW()-1,Calc!$X$2:$X$1001,0)),"")</f>
        <v/>
      </c>
      <c r="D99" s="3" t="str">
        <f aca="false">IFERROR(INDEX(Calc!$O$2:$O$1001,MATCH(ROW()-1,Calc!$X$2:$X$1001,0)),"")</f>
        <v/>
      </c>
      <c r="E99" s="3" t="str">
        <f aca="false">IFERROR(INDEX(Calc!$P$2:$P$1001,MATCH(ROW()-1,Calc!$X$2:$X$1001,0)),"")</f>
        <v/>
      </c>
      <c r="F99" s="3" t="str">
        <f aca="false">IF(G99="","",E99-D99)</f>
        <v/>
      </c>
      <c r="G99" s="0" t="str">
        <f aca="false">IFERROR(INDEX(Calc!$S$2:$S$1001,MATCH(ROW()-1,Calc!$X$2:$X$1001,0)),"")</f>
        <v/>
      </c>
    </row>
    <row r="100" customFormat="false" ht="15" hidden="false" customHeight="false" outlineLevel="0" collapsed="false">
      <c r="A100" s="0" t="str">
        <f aca="false">IFERROR(INDEX(Calc!$L$2:$L$1001,MATCH(ROW()-1,Calc!$X$2:$X$1001,0)),"")</f>
        <v/>
      </c>
      <c r="B100" s="0" t="str">
        <f aca="false">IFERROR(INDEX(Calc!$M$2:$M$1001,MATCH(ROW()-1,Calc!$X$2:$X$1001,0)),"")</f>
        <v/>
      </c>
      <c r="C100" s="0" t="str">
        <f aca="false">IFERROR(INDEX(Calc!$N$2:$N$1001,MATCH(ROW()-1,Calc!$X$2:$X$1001,0)),"")</f>
        <v/>
      </c>
      <c r="D100" s="3" t="str">
        <f aca="false">IFERROR(INDEX(Calc!$O$2:$O$1001,MATCH(ROW()-1,Calc!$X$2:$X$1001,0)),"")</f>
        <v/>
      </c>
      <c r="E100" s="3" t="str">
        <f aca="false">IFERROR(INDEX(Calc!$P$2:$P$1001,MATCH(ROW()-1,Calc!$X$2:$X$1001,0)),"")</f>
        <v/>
      </c>
      <c r="F100" s="3" t="str">
        <f aca="false">IF(G100="","",E100-D100)</f>
        <v/>
      </c>
      <c r="G100" s="0" t="str">
        <f aca="false">IFERROR(INDEX(Calc!$S$2:$S$1001,MATCH(ROW()-1,Calc!$X$2:$X$1001,0)),"")</f>
        <v/>
      </c>
    </row>
    <row r="101" customFormat="false" ht="15" hidden="false" customHeight="false" outlineLevel="0" collapsed="false">
      <c r="A101" s="0" t="str">
        <f aca="false">IFERROR(INDEX(Calc!$L$2:$L$1001,MATCH(ROW()-1,Calc!$X$2:$X$1001,0)),"")</f>
        <v/>
      </c>
      <c r="B101" s="0" t="str">
        <f aca="false">IFERROR(INDEX(Calc!$M$2:$M$1001,MATCH(ROW()-1,Calc!$X$2:$X$1001,0)),"")</f>
        <v/>
      </c>
      <c r="C101" s="0" t="str">
        <f aca="false">IFERROR(INDEX(Calc!$N$2:$N$1001,MATCH(ROW()-1,Calc!$X$2:$X$1001,0)),"")</f>
        <v/>
      </c>
      <c r="D101" s="3" t="str">
        <f aca="false">IFERROR(INDEX(Calc!$O$2:$O$1001,MATCH(ROW()-1,Calc!$X$2:$X$1001,0)),"")</f>
        <v/>
      </c>
      <c r="E101" s="3" t="str">
        <f aca="false">IFERROR(INDEX(Calc!$P$2:$P$1001,MATCH(ROW()-1,Calc!$X$2:$X$1001,0)),"")</f>
        <v/>
      </c>
      <c r="F101" s="3" t="str">
        <f aca="false">IF(G101="","",E101-D101)</f>
        <v/>
      </c>
      <c r="G101" s="0" t="str">
        <f aca="false">IFERROR(INDEX(Calc!$S$2:$S$1001,MATCH(ROW()-1,Calc!$X$2:$X$1001,0)),"")</f>
        <v/>
      </c>
    </row>
    <row r="102" customFormat="false" ht="15" hidden="false" customHeight="false" outlineLevel="0" collapsed="false">
      <c r="A102" s="0" t="str">
        <f aca="false">IFERROR(INDEX(Calc!$L$2:$L$1001,MATCH(ROW()-1,Calc!$X$2:$X$1001,0)),"")</f>
        <v/>
      </c>
      <c r="B102" s="0" t="str">
        <f aca="false">IFERROR(INDEX(Calc!$M$2:$M$1001,MATCH(ROW()-1,Calc!$X$2:$X$1001,0)),"")</f>
        <v/>
      </c>
      <c r="C102" s="0" t="str">
        <f aca="false">IFERROR(INDEX(Calc!$N$2:$N$1001,MATCH(ROW()-1,Calc!$X$2:$X$1001,0)),"")</f>
        <v/>
      </c>
      <c r="D102" s="3" t="str">
        <f aca="false">IFERROR(INDEX(Calc!$O$2:$O$1001,MATCH(ROW()-1,Calc!$X$2:$X$1001,0)),"")</f>
        <v/>
      </c>
      <c r="E102" s="3" t="str">
        <f aca="false">IFERROR(INDEX(Calc!$P$2:$P$1001,MATCH(ROW()-1,Calc!$X$2:$X$1001,0)),"")</f>
        <v/>
      </c>
      <c r="F102" s="3" t="str">
        <f aca="false">IF(G102="","",E102-D102)</f>
        <v/>
      </c>
      <c r="G102" s="0" t="str">
        <f aca="false">IFERROR(INDEX(Calc!$S$2:$S$1001,MATCH(ROW()-1,Calc!$X$2:$X$1001,0)),"")</f>
        <v/>
      </c>
    </row>
    <row r="103" customFormat="false" ht="15" hidden="false" customHeight="false" outlineLevel="0" collapsed="false">
      <c r="A103" s="0" t="str">
        <f aca="false">IFERROR(INDEX(Calc!$L$2:$L$1001,MATCH(ROW()-1,Calc!$X$2:$X$1001,0)),"")</f>
        <v/>
      </c>
      <c r="B103" s="0" t="str">
        <f aca="false">IFERROR(INDEX(Calc!$M$2:$M$1001,MATCH(ROW()-1,Calc!$X$2:$X$1001,0)),"")</f>
        <v/>
      </c>
      <c r="C103" s="0" t="str">
        <f aca="false">IFERROR(INDEX(Calc!$N$2:$N$1001,MATCH(ROW()-1,Calc!$X$2:$X$1001,0)),"")</f>
        <v/>
      </c>
      <c r="D103" s="3" t="str">
        <f aca="false">IFERROR(INDEX(Calc!$O$2:$O$1001,MATCH(ROW()-1,Calc!$X$2:$X$1001,0)),"")</f>
        <v/>
      </c>
      <c r="E103" s="3" t="str">
        <f aca="false">IFERROR(INDEX(Calc!$P$2:$P$1001,MATCH(ROW()-1,Calc!$X$2:$X$1001,0)),"")</f>
        <v/>
      </c>
      <c r="F103" s="3" t="str">
        <f aca="false">IF(G103="","",E103-D103)</f>
        <v/>
      </c>
      <c r="G103" s="0" t="str">
        <f aca="false">IFERROR(INDEX(Calc!$S$2:$S$1001,MATCH(ROW()-1,Calc!$X$2:$X$1001,0)),"")</f>
        <v/>
      </c>
    </row>
    <row r="104" customFormat="false" ht="15" hidden="false" customHeight="false" outlineLevel="0" collapsed="false">
      <c r="A104" s="0" t="str">
        <f aca="false">IFERROR(INDEX(Calc!$L$2:$L$1001,MATCH(ROW()-1,Calc!$X$2:$X$1001,0)),"")</f>
        <v/>
      </c>
      <c r="B104" s="0" t="str">
        <f aca="false">IFERROR(INDEX(Calc!$M$2:$M$1001,MATCH(ROW()-1,Calc!$X$2:$X$1001,0)),"")</f>
        <v/>
      </c>
      <c r="C104" s="0" t="str">
        <f aca="false">IFERROR(INDEX(Calc!$N$2:$N$1001,MATCH(ROW()-1,Calc!$X$2:$X$1001,0)),"")</f>
        <v/>
      </c>
      <c r="D104" s="3" t="str">
        <f aca="false">IFERROR(INDEX(Calc!$O$2:$O$1001,MATCH(ROW()-1,Calc!$X$2:$X$1001,0)),"")</f>
        <v/>
      </c>
      <c r="E104" s="3" t="str">
        <f aca="false">IFERROR(INDEX(Calc!$P$2:$P$1001,MATCH(ROW()-1,Calc!$X$2:$X$1001,0)),"")</f>
        <v/>
      </c>
      <c r="F104" s="3" t="str">
        <f aca="false">IF(G104="","",E104-D104)</f>
        <v/>
      </c>
      <c r="G104" s="0" t="str">
        <f aca="false">IFERROR(INDEX(Calc!$S$2:$S$1001,MATCH(ROW()-1,Calc!$X$2:$X$1001,0)),"")</f>
        <v/>
      </c>
    </row>
    <row r="105" customFormat="false" ht="15" hidden="false" customHeight="false" outlineLevel="0" collapsed="false">
      <c r="A105" s="0" t="str">
        <f aca="false">IFERROR(INDEX(Calc!$L$2:$L$1001,MATCH(ROW()-1,Calc!$X$2:$X$1001,0)),"")</f>
        <v/>
      </c>
      <c r="B105" s="0" t="str">
        <f aca="false">IFERROR(INDEX(Calc!$M$2:$M$1001,MATCH(ROW()-1,Calc!$X$2:$X$1001,0)),"")</f>
        <v/>
      </c>
      <c r="C105" s="0" t="str">
        <f aca="false">IFERROR(INDEX(Calc!$N$2:$N$1001,MATCH(ROW()-1,Calc!$X$2:$X$1001,0)),"")</f>
        <v/>
      </c>
      <c r="D105" s="3" t="str">
        <f aca="false">IFERROR(INDEX(Calc!$O$2:$O$1001,MATCH(ROW()-1,Calc!$X$2:$X$1001,0)),"")</f>
        <v/>
      </c>
      <c r="E105" s="3" t="str">
        <f aca="false">IFERROR(INDEX(Calc!$P$2:$P$1001,MATCH(ROW()-1,Calc!$X$2:$X$1001,0)),"")</f>
        <v/>
      </c>
      <c r="F105" s="3" t="str">
        <f aca="false">IF(G105="","",E105-D105)</f>
        <v/>
      </c>
      <c r="G105" s="0" t="str">
        <f aca="false">IFERROR(INDEX(Calc!$S$2:$S$1001,MATCH(ROW()-1,Calc!$X$2:$X$1001,0)),"")</f>
        <v/>
      </c>
    </row>
    <row r="106" customFormat="false" ht="15" hidden="false" customHeight="false" outlineLevel="0" collapsed="false">
      <c r="A106" s="0" t="str">
        <f aca="false">IFERROR(INDEX(Calc!$L$2:$L$1001,MATCH(ROW()-1,Calc!$X$2:$X$1001,0)),"")</f>
        <v/>
      </c>
      <c r="B106" s="0" t="str">
        <f aca="false">IFERROR(INDEX(Calc!$M$2:$M$1001,MATCH(ROW()-1,Calc!$X$2:$X$1001,0)),"")</f>
        <v/>
      </c>
      <c r="C106" s="0" t="str">
        <f aca="false">IFERROR(INDEX(Calc!$N$2:$N$1001,MATCH(ROW()-1,Calc!$X$2:$X$1001,0)),"")</f>
        <v/>
      </c>
      <c r="D106" s="3" t="str">
        <f aca="false">IFERROR(INDEX(Calc!$O$2:$O$1001,MATCH(ROW()-1,Calc!$X$2:$X$1001,0)),"")</f>
        <v/>
      </c>
      <c r="E106" s="3" t="str">
        <f aca="false">IFERROR(INDEX(Calc!$P$2:$P$1001,MATCH(ROW()-1,Calc!$X$2:$X$1001,0)),"")</f>
        <v/>
      </c>
      <c r="F106" s="3" t="str">
        <f aca="false">IF(G106="","",E106-D106)</f>
        <v/>
      </c>
      <c r="G106" s="0" t="str">
        <f aca="false">IFERROR(INDEX(Calc!$S$2:$S$1001,MATCH(ROW()-1,Calc!$X$2:$X$1001,0)),"")</f>
        <v/>
      </c>
    </row>
    <row r="107" customFormat="false" ht="15" hidden="false" customHeight="false" outlineLevel="0" collapsed="false">
      <c r="A107" s="0" t="str">
        <f aca="false">IFERROR(INDEX(Calc!$L$2:$L$1001,MATCH(ROW()-1,Calc!$X$2:$X$1001,0)),"")</f>
        <v/>
      </c>
      <c r="B107" s="0" t="str">
        <f aca="false">IFERROR(INDEX(Calc!$M$2:$M$1001,MATCH(ROW()-1,Calc!$X$2:$X$1001,0)),"")</f>
        <v/>
      </c>
      <c r="C107" s="0" t="str">
        <f aca="false">IFERROR(INDEX(Calc!$N$2:$N$1001,MATCH(ROW()-1,Calc!$X$2:$X$1001,0)),"")</f>
        <v/>
      </c>
      <c r="D107" s="3" t="str">
        <f aca="false">IFERROR(INDEX(Calc!$O$2:$O$1001,MATCH(ROW()-1,Calc!$X$2:$X$1001,0)),"")</f>
        <v/>
      </c>
      <c r="E107" s="3" t="str">
        <f aca="false">IFERROR(INDEX(Calc!$P$2:$P$1001,MATCH(ROW()-1,Calc!$X$2:$X$1001,0)),"")</f>
        <v/>
      </c>
      <c r="F107" s="3" t="str">
        <f aca="false">IF(G107="","",E107-D107)</f>
        <v/>
      </c>
      <c r="G107" s="0" t="str">
        <f aca="false">IFERROR(INDEX(Calc!$S$2:$S$1001,MATCH(ROW()-1,Calc!$X$2:$X$1001,0)),"")</f>
        <v/>
      </c>
    </row>
    <row r="108" customFormat="false" ht="15" hidden="false" customHeight="false" outlineLevel="0" collapsed="false">
      <c r="A108" s="0" t="str">
        <f aca="false">IFERROR(INDEX(Calc!$L$2:$L$1001,MATCH(ROW()-1,Calc!$X$2:$X$1001,0)),"")</f>
        <v/>
      </c>
      <c r="B108" s="0" t="str">
        <f aca="false">IFERROR(INDEX(Calc!$M$2:$M$1001,MATCH(ROW()-1,Calc!$X$2:$X$1001,0)),"")</f>
        <v/>
      </c>
      <c r="C108" s="0" t="str">
        <f aca="false">IFERROR(INDEX(Calc!$N$2:$N$1001,MATCH(ROW()-1,Calc!$X$2:$X$1001,0)),"")</f>
        <v/>
      </c>
      <c r="D108" s="3" t="str">
        <f aca="false">IFERROR(INDEX(Calc!$O$2:$O$1001,MATCH(ROW()-1,Calc!$X$2:$X$1001,0)),"")</f>
        <v/>
      </c>
      <c r="E108" s="3" t="str">
        <f aca="false">IFERROR(INDEX(Calc!$P$2:$P$1001,MATCH(ROW()-1,Calc!$X$2:$X$1001,0)),"")</f>
        <v/>
      </c>
      <c r="F108" s="3" t="str">
        <f aca="false">IF(G108="","",E108-D108)</f>
        <v/>
      </c>
      <c r="G108" s="0" t="str">
        <f aca="false">IFERROR(INDEX(Calc!$S$2:$S$1001,MATCH(ROW()-1,Calc!$X$2:$X$1001,0)),"")</f>
        <v/>
      </c>
    </row>
    <row r="109" customFormat="false" ht="15" hidden="false" customHeight="false" outlineLevel="0" collapsed="false">
      <c r="A109" s="0" t="str">
        <f aca="false">IFERROR(INDEX(Calc!$L$2:$L$1001,MATCH(ROW()-1,Calc!$X$2:$X$1001,0)),"")</f>
        <v/>
      </c>
      <c r="B109" s="0" t="str">
        <f aca="false">IFERROR(INDEX(Calc!$M$2:$M$1001,MATCH(ROW()-1,Calc!$X$2:$X$1001,0)),"")</f>
        <v/>
      </c>
      <c r="C109" s="0" t="str">
        <f aca="false">IFERROR(INDEX(Calc!$N$2:$N$1001,MATCH(ROW()-1,Calc!$X$2:$X$1001,0)),"")</f>
        <v/>
      </c>
      <c r="D109" s="3" t="str">
        <f aca="false">IFERROR(INDEX(Calc!$O$2:$O$1001,MATCH(ROW()-1,Calc!$X$2:$X$1001,0)),"")</f>
        <v/>
      </c>
      <c r="E109" s="3" t="str">
        <f aca="false">IFERROR(INDEX(Calc!$P$2:$P$1001,MATCH(ROW()-1,Calc!$X$2:$X$1001,0)),"")</f>
        <v/>
      </c>
      <c r="F109" s="3" t="str">
        <f aca="false">IF(G109="","",E109-D109)</f>
        <v/>
      </c>
      <c r="G109" s="0" t="str">
        <f aca="false">IFERROR(INDEX(Calc!$S$2:$S$1001,MATCH(ROW()-1,Calc!$X$2:$X$1001,0)),"")</f>
        <v/>
      </c>
    </row>
    <row r="110" customFormat="false" ht="15" hidden="false" customHeight="false" outlineLevel="0" collapsed="false">
      <c r="A110" s="0" t="str">
        <f aca="false">IFERROR(INDEX(Calc!$L$2:$L$1001,MATCH(ROW()-1,Calc!$X$2:$X$1001,0)),"")</f>
        <v/>
      </c>
      <c r="B110" s="0" t="str">
        <f aca="false">IFERROR(INDEX(Calc!$M$2:$M$1001,MATCH(ROW()-1,Calc!$X$2:$X$1001,0)),"")</f>
        <v/>
      </c>
      <c r="C110" s="0" t="str">
        <f aca="false">IFERROR(INDEX(Calc!$N$2:$N$1001,MATCH(ROW()-1,Calc!$X$2:$X$1001,0)),"")</f>
        <v/>
      </c>
      <c r="D110" s="3" t="str">
        <f aca="false">IFERROR(INDEX(Calc!$O$2:$O$1001,MATCH(ROW()-1,Calc!$X$2:$X$1001,0)),"")</f>
        <v/>
      </c>
      <c r="E110" s="3" t="str">
        <f aca="false">IFERROR(INDEX(Calc!$P$2:$P$1001,MATCH(ROW()-1,Calc!$X$2:$X$1001,0)),"")</f>
        <v/>
      </c>
      <c r="F110" s="3" t="str">
        <f aca="false">IF(G110="","",E110-D110)</f>
        <v/>
      </c>
      <c r="G110" s="0" t="str">
        <f aca="false">IFERROR(INDEX(Calc!$S$2:$S$1001,MATCH(ROW()-1,Calc!$X$2:$X$1001,0)),"")</f>
        <v/>
      </c>
    </row>
    <row r="111" customFormat="false" ht="15" hidden="false" customHeight="false" outlineLevel="0" collapsed="false">
      <c r="A111" s="0" t="str">
        <f aca="false">IFERROR(INDEX(Calc!$L$2:$L$1001,MATCH(ROW()-1,Calc!$X$2:$X$1001,0)),"")</f>
        <v/>
      </c>
      <c r="B111" s="0" t="str">
        <f aca="false">IFERROR(INDEX(Calc!$M$2:$M$1001,MATCH(ROW()-1,Calc!$X$2:$X$1001,0)),"")</f>
        <v/>
      </c>
      <c r="C111" s="0" t="str">
        <f aca="false">IFERROR(INDEX(Calc!$N$2:$N$1001,MATCH(ROW()-1,Calc!$X$2:$X$1001,0)),"")</f>
        <v/>
      </c>
      <c r="D111" s="3" t="str">
        <f aca="false">IFERROR(INDEX(Calc!$O$2:$O$1001,MATCH(ROW()-1,Calc!$X$2:$X$1001,0)),"")</f>
        <v/>
      </c>
      <c r="E111" s="3" t="str">
        <f aca="false">IFERROR(INDEX(Calc!$P$2:$P$1001,MATCH(ROW()-1,Calc!$X$2:$X$1001,0)),"")</f>
        <v/>
      </c>
      <c r="F111" s="3" t="str">
        <f aca="false">IF(G111="","",E111-D111)</f>
        <v/>
      </c>
      <c r="G111" s="0" t="str">
        <f aca="false">IFERROR(INDEX(Calc!$S$2:$S$1001,MATCH(ROW()-1,Calc!$X$2:$X$1001,0)),"")</f>
        <v/>
      </c>
    </row>
    <row r="112" customFormat="false" ht="15" hidden="false" customHeight="false" outlineLevel="0" collapsed="false">
      <c r="A112" s="0" t="str">
        <f aca="false">IFERROR(INDEX(Calc!$L$2:$L$1001,MATCH(ROW()-1,Calc!$X$2:$X$1001,0)),"")</f>
        <v/>
      </c>
      <c r="B112" s="0" t="str">
        <f aca="false">IFERROR(INDEX(Calc!$M$2:$M$1001,MATCH(ROW()-1,Calc!$X$2:$X$1001,0)),"")</f>
        <v/>
      </c>
      <c r="C112" s="0" t="str">
        <f aca="false">IFERROR(INDEX(Calc!$N$2:$N$1001,MATCH(ROW()-1,Calc!$X$2:$X$1001,0)),"")</f>
        <v/>
      </c>
      <c r="D112" s="3" t="str">
        <f aca="false">IFERROR(INDEX(Calc!$O$2:$O$1001,MATCH(ROW()-1,Calc!$X$2:$X$1001,0)),"")</f>
        <v/>
      </c>
      <c r="E112" s="3" t="str">
        <f aca="false">IFERROR(INDEX(Calc!$P$2:$P$1001,MATCH(ROW()-1,Calc!$X$2:$X$1001,0)),"")</f>
        <v/>
      </c>
      <c r="F112" s="3" t="str">
        <f aca="false">IF(G112="","",E112-D112)</f>
        <v/>
      </c>
      <c r="G112" s="0" t="str">
        <f aca="false">IFERROR(INDEX(Calc!$S$2:$S$1001,MATCH(ROW()-1,Calc!$X$2:$X$1001,0)),"")</f>
        <v/>
      </c>
    </row>
    <row r="113" customFormat="false" ht="15" hidden="false" customHeight="false" outlineLevel="0" collapsed="false">
      <c r="A113" s="0" t="str">
        <f aca="false">IFERROR(INDEX(Calc!$L$2:$L$1001,MATCH(ROW()-1,Calc!$X$2:$X$1001,0)),"")</f>
        <v/>
      </c>
      <c r="B113" s="0" t="str">
        <f aca="false">IFERROR(INDEX(Calc!$M$2:$M$1001,MATCH(ROW()-1,Calc!$X$2:$X$1001,0)),"")</f>
        <v/>
      </c>
      <c r="C113" s="0" t="str">
        <f aca="false">IFERROR(INDEX(Calc!$N$2:$N$1001,MATCH(ROW()-1,Calc!$X$2:$X$1001,0)),"")</f>
        <v/>
      </c>
      <c r="D113" s="3" t="str">
        <f aca="false">IFERROR(INDEX(Calc!$O$2:$O$1001,MATCH(ROW()-1,Calc!$X$2:$X$1001,0)),"")</f>
        <v/>
      </c>
      <c r="E113" s="3" t="str">
        <f aca="false">IFERROR(INDEX(Calc!$P$2:$P$1001,MATCH(ROW()-1,Calc!$X$2:$X$1001,0)),"")</f>
        <v/>
      </c>
      <c r="F113" s="3" t="str">
        <f aca="false">IF(G113="","",E113-D113)</f>
        <v/>
      </c>
      <c r="G113" s="0" t="str">
        <f aca="false">IFERROR(INDEX(Calc!$S$2:$S$1001,MATCH(ROW()-1,Calc!$X$2:$X$1001,0)),"")</f>
        <v/>
      </c>
    </row>
    <row r="114" customFormat="false" ht="15" hidden="false" customHeight="false" outlineLevel="0" collapsed="false">
      <c r="A114" s="0" t="str">
        <f aca="false">IFERROR(INDEX(Calc!$L$2:$L$1001,MATCH(ROW()-1,Calc!$X$2:$X$1001,0)),"")</f>
        <v/>
      </c>
      <c r="B114" s="0" t="str">
        <f aca="false">IFERROR(INDEX(Calc!$M$2:$M$1001,MATCH(ROW()-1,Calc!$X$2:$X$1001,0)),"")</f>
        <v/>
      </c>
      <c r="C114" s="0" t="str">
        <f aca="false">IFERROR(INDEX(Calc!$N$2:$N$1001,MATCH(ROW()-1,Calc!$X$2:$X$1001,0)),"")</f>
        <v/>
      </c>
      <c r="D114" s="3" t="str">
        <f aca="false">IFERROR(INDEX(Calc!$O$2:$O$1001,MATCH(ROW()-1,Calc!$X$2:$X$1001,0)),"")</f>
        <v/>
      </c>
      <c r="E114" s="3" t="str">
        <f aca="false">IFERROR(INDEX(Calc!$P$2:$P$1001,MATCH(ROW()-1,Calc!$X$2:$X$1001,0)),"")</f>
        <v/>
      </c>
      <c r="F114" s="3" t="str">
        <f aca="false">IF(G114="","",E114-D114)</f>
        <v/>
      </c>
      <c r="G114" s="0" t="str">
        <f aca="false">IFERROR(INDEX(Calc!$S$2:$S$1001,MATCH(ROW()-1,Calc!$X$2:$X$1001,0)),"")</f>
        <v/>
      </c>
    </row>
    <row r="115" customFormat="false" ht="15" hidden="false" customHeight="false" outlineLevel="0" collapsed="false">
      <c r="A115" s="0" t="str">
        <f aca="false">IFERROR(INDEX(Calc!$L$2:$L$1001,MATCH(ROW()-1,Calc!$X$2:$X$1001,0)),"")</f>
        <v/>
      </c>
      <c r="B115" s="0" t="str">
        <f aca="false">IFERROR(INDEX(Calc!$M$2:$M$1001,MATCH(ROW()-1,Calc!$X$2:$X$1001,0)),"")</f>
        <v/>
      </c>
      <c r="C115" s="0" t="str">
        <f aca="false">IFERROR(INDEX(Calc!$N$2:$N$1001,MATCH(ROW()-1,Calc!$X$2:$X$1001,0)),"")</f>
        <v/>
      </c>
      <c r="D115" s="3" t="str">
        <f aca="false">IFERROR(INDEX(Calc!$O$2:$O$1001,MATCH(ROW()-1,Calc!$X$2:$X$1001,0)),"")</f>
        <v/>
      </c>
      <c r="E115" s="3" t="str">
        <f aca="false">IFERROR(INDEX(Calc!$P$2:$P$1001,MATCH(ROW()-1,Calc!$X$2:$X$1001,0)),"")</f>
        <v/>
      </c>
      <c r="F115" s="3" t="str">
        <f aca="false">IF(G115="","",E115-D115)</f>
        <v/>
      </c>
      <c r="G115" s="0" t="str">
        <f aca="false">IFERROR(INDEX(Calc!$S$2:$S$1001,MATCH(ROW()-1,Calc!$X$2:$X$1001,0)),"")</f>
        <v/>
      </c>
    </row>
    <row r="116" customFormat="false" ht="15" hidden="false" customHeight="false" outlineLevel="0" collapsed="false">
      <c r="A116" s="0" t="str">
        <f aca="false">IFERROR(INDEX(Calc!$L$2:$L$1001,MATCH(ROW()-1,Calc!$X$2:$X$1001,0)),"")</f>
        <v/>
      </c>
      <c r="B116" s="0" t="str">
        <f aca="false">IFERROR(INDEX(Calc!$M$2:$M$1001,MATCH(ROW()-1,Calc!$X$2:$X$1001,0)),"")</f>
        <v/>
      </c>
      <c r="C116" s="0" t="str">
        <f aca="false">IFERROR(INDEX(Calc!$N$2:$N$1001,MATCH(ROW()-1,Calc!$X$2:$X$1001,0)),"")</f>
        <v/>
      </c>
      <c r="D116" s="3" t="str">
        <f aca="false">IFERROR(INDEX(Calc!$O$2:$O$1001,MATCH(ROW()-1,Calc!$X$2:$X$1001,0)),"")</f>
        <v/>
      </c>
      <c r="E116" s="3" t="str">
        <f aca="false">IFERROR(INDEX(Calc!$P$2:$P$1001,MATCH(ROW()-1,Calc!$X$2:$X$1001,0)),"")</f>
        <v/>
      </c>
      <c r="F116" s="3" t="str">
        <f aca="false">IF(G116="","",E116-D116)</f>
        <v/>
      </c>
      <c r="G116" s="0" t="str">
        <f aca="false">IFERROR(INDEX(Calc!$S$2:$S$1001,MATCH(ROW()-1,Calc!$X$2:$X$1001,0)),"")</f>
        <v/>
      </c>
    </row>
    <row r="117" customFormat="false" ht="15" hidden="false" customHeight="false" outlineLevel="0" collapsed="false">
      <c r="A117" s="0" t="str">
        <f aca="false">IFERROR(INDEX(Calc!$L$2:$L$1001,MATCH(ROW()-1,Calc!$X$2:$X$1001,0)),"")</f>
        <v/>
      </c>
      <c r="B117" s="0" t="str">
        <f aca="false">IFERROR(INDEX(Calc!$M$2:$M$1001,MATCH(ROW()-1,Calc!$X$2:$X$1001,0)),"")</f>
        <v/>
      </c>
      <c r="C117" s="0" t="str">
        <f aca="false">IFERROR(INDEX(Calc!$N$2:$N$1001,MATCH(ROW()-1,Calc!$X$2:$X$1001,0)),"")</f>
        <v/>
      </c>
      <c r="D117" s="3" t="str">
        <f aca="false">IFERROR(INDEX(Calc!$O$2:$O$1001,MATCH(ROW()-1,Calc!$X$2:$X$1001,0)),"")</f>
        <v/>
      </c>
      <c r="E117" s="3" t="str">
        <f aca="false">IFERROR(INDEX(Calc!$P$2:$P$1001,MATCH(ROW()-1,Calc!$X$2:$X$1001,0)),"")</f>
        <v/>
      </c>
      <c r="F117" s="3" t="str">
        <f aca="false">IF(G117="","",E117-D117)</f>
        <v/>
      </c>
      <c r="G117" s="0" t="str">
        <f aca="false">IFERROR(INDEX(Calc!$S$2:$S$1001,MATCH(ROW()-1,Calc!$X$2:$X$1001,0)),"")</f>
        <v/>
      </c>
    </row>
    <row r="118" customFormat="false" ht="15" hidden="false" customHeight="false" outlineLevel="0" collapsed="false">
      <c r="A118" s="0" t="str">
        <f aca="false">IFERROR(INDEX(Calc!$L$2:$L$1001,MATCH(ROW()-1,Calc!$X$2:$X$1001,0)),"")</f>
        <v/>
      </c>
      <c r="B118" s="0" t="str">
        <f aca="false">IFERROR(INDEX(Calc!$M$2:$M$1001,MATCH(ROW()-1,Calc!$X$2:$X$1001,0)),"")</f>
        <v/>
      </c>
      <c r="C118" s="0" t="str">
        <f aca="false">IFERROR(INDEX(Calc!$N$2:$N$1001,MATCH(ROW()-1,Calc!$X$2:$X$1001,0)),"")</f>
        <v/>
      </c>
      <c r="D118" s="3" t="str">
        <f aca="false">IFERROR(INDEX(Calc!$O$2:$O$1001,MATCH(ROW()-1,Calc!$X$2:$X$1001,0)),"")</f>
        <v/>
      </c>
      <c r="E118" s="3" t="str">
        <f aca="false">IFERROR(INDEX(Calc!$P$2:$P$1001,MATCH(ROW()-1,Calc!$X$2:$X$1001,0)),"")</f>
        <v/>
      </c>
      <c r="F118" s="3" t="str">
        <f aca="false">IF(G118="","",E118-D118)</f>
        <v/>
      </c>
      <c r="G118" s="0" t="str">
        <f aca="false">IFERROR(INDEX(Calc!$S$2:$S$1001,MATCH(ROW()-1,Calc!$X$2:$X$1001,0)),"")</f>
        <v/>
      </c>
    </row>
    <row r="119" customFormat="false" ht="15" hidden="false" customHeight="false" outlineLevel="0" collapsed="false">
      <c r="A119" s="0" t="str">
        <f aca="false">IFERROR(INDEX(Calc!$L$2:$L$1001,MATCH(ROW()-1,Calc!$X$2:$X$1001,0)),"")</f>
        <v/>
      </c>
      <c r="B119" s="0" t="str">
        <f aca="false">IFERROR(INDEX(Calc!$M$2:$M$1001,MATCH(ROW()-1,Calc!$X$2:$X$1001,0)),"")</f>
        <v/>
      </c>
      <c r="C119" s="0" t="str">
        <f aca="false">IFERROR(INDEX(Calc!$N$2:$N$1001,MATCH(ROW()-1,Calc!$X$2:$X$1001,0)),"")</f>
        <v/>
      </c>
      <c r="D119" s="3" t="str">
        <f aca="false">IFERROR(INDEX(Calc!$O$2:$O$1001,MATCH(ROW()-1,Calc!$X$2:$X$1001,0)),"")</f>
        <v/>
      </c>
      <c r="E119" s="3" t="str">
        <f aca="false">IFERROR(INDEX(Calc!$P$2:$P$1001,MATCH(ROW()-1,Calc!$X$2:$X$1001,0)),"")</f>
        <v/>
      </c>
      <c r="F119" s="3" t="str">
        <f aca="false">IF(G119="","",E119-D119)</f>
        <v/>
      </c>
      <c r="G119" s="0" t="str">
        <f aca="false">IFERROR(INDEX(Calc!$S$2:$S$1001,MATCH(ROW()-1,Calc!$X$2:$X$1001,0)),"")</f>
        <v/>
      </c>
    </row>
    <row r="120" customFormat="false" ht="15" hidden="false" customHeight="false" outlineLevel="0" collapsed="false">
      <c r="A120" s="0" t="str">
        <f aca="false">IFERROR(INDEX(Calc!$L$2:$L$1001,MATCH(ROW()-1,Calc!$X$2:$X$1001,0)),"")</f>
        <v/>
      </c>
      <c r="B120" s="0" t="str">
        <f aca="false">IFERROR(INDEX(Calc!$M$2:$M$1001,MATCH(ROW()-1,Calc!$X$2:$X$1001,0)),"")</f>
        <v/>
      </c>
      <c r="C120" s="0" t="str">
        <f aca="false">IFERROR(INDEX(Calc!$N$2:$N$1001,MATCH(ROW()-1,Calc!$X$2:$X$1001,0)),"")</f>
        <v/>
      </c>
      <c r="D120" s="3" t="str">
        <f aca="false">IFERROR(INDEX(Calc!$O$2:$O$1001,MATCH(ROW()-1,Calc!$X$2:$X$1001,0)),"")</f>
        <v/>
      </c>
      <c r="E120" s="3" t="str">
        <f aca="false">IFERROR(INDEX(Calc!$P$2:$P$1001,MATCH(ROW()-1,Calc!$X$2:$X$1001,0)),"")</f>
        <v/>
      </c>
      <c r="F120" s="3" t="str">
        <f aca="false">IF(G120="","",E120-D120)</f>
        <v/>
      </c>
      <c r="G120" s="0" t="str">
        <f aca="false">IFERROR(INDEX(Calc!$S$2:$S$1001,MATCH(ROW()-1,Calc!$X$2:$X$1001,0)),"")</f>
        <v/>
      </c>
    </row>
    <row r="121" customFormat="false" ht="15" hidden="false" customHeight="false" outlineLevel="0" collapsed="false">
      <c r="A121" s="0" t="str">
        <f aca="false">IFERROR(INDEX(Calc!$L$2:$L$1001,MATCH(ROW()-1,Calc!$X$2:$X$1001,0)),"")</f>
        <v/>
      </c>
      <c r="B121" s="0" t="str">
        <f aca="false">IFERROR(INDEX(Calc!$M$2:$M$1001,MATCH(ROW()-1,Calc!$X$2:$X$1001,0)),"")</f>
        <v/>
      </c>
      <c r="C121" s="0" t="str">
        <f aca="false">IFERROR(INDEX(Calc!$N$2:$N$1001,MATCH(ROW()-1,Calc!$X$2:$X$1001,0)),"")</f>
        <v/>
      </c>
      <c r="D121" s="3" t="str">
        <f aca="false">IFERROR(INDEX(Calc!$O$2:$O$1001,MATCH(ROW()-1,Calc!$X$2:$X$1001,0)),"")</f>
        <v/>
      </c>
      <c r="E121" s="3" t="str">
        <f aca="false">IFERROR(INDEX(Calc!$P$2:$P$1001,MATCH(ROW()-1,Calc!$X$2:$X$1001,0)),"")</f>
        <v/>
      </c>
      <c r="F121" s="3" t="str">
        <f aca="false">IF(G121="","",E121-D121)</f>
        <v/>
      </c>
      <c r="G121" s="0" t="str">
        <f aca="false">IFERROR(INDEX(Calc!$S$2:$S$1001,MATCH(ROW()-1,Calc!$X$2:$X$1001,0)),"")</f>
        <v/>
      </c>
    </row>
    <row r="122" customFormat="false" ht="15" hidden="false" customHeight="false" outlineLevel="0" collapsed="false">
      <c r="A122" s="0" t="str">
        <f aca="false">IFERROR(INDEX(Calc!$L$2:$L$1001,MATCH(ROW()-1,Calc!$X$2:$X$1001,0)),"")</f>
        <v/>
      </c>
      <c r="B122" s="0" t="str">
        <f aca="false">IFERROR(INDEX(Calc!$M$2:$M$1001,MATCH(ROW()-1,Calc!$X$2:$X$1001,0)),"")</f>
        <v/>
      </c>
      <c r="C122" s="0" t="str">
        <f aca="false">IFERROR(INDEX(Calc!$N$2:$N$1001,MATCH(ROW()-1,Calc!$X$2:$X$1001,0)),"")</f>
        <v/>
      </c>
      <c r="D122" s="3" t="str">
        <f aca="false">IFERROR(INDEX(Calc!$O$2:$O$1001,MATCH(ROW()-1,Calc!$X$2:$X$1001,0)),"")</f>
        <v/>
      </c>
      <c r="E122" s="3" t="str">
        <f aca="false">IFERROR(INDEX(Calc!$P$2:$P$1001,MATCH(ROW()-1,Calc!$X$2:$X$1001,0)),"")</f>
        <v/>
      </c>
      <c r="F122" s="3" t="str">
        <f aca="false">IF(G122="","",E122-D122)</f>
        <v/>
      </c>
      <c r="G122" s="0" t="str">
        <f aca="false">IFERROR(INDEX(Calc!$S$2:$S$1001,MATCH(ROW()-1,Calc!$X$2:$X$1001,0)),"")</f>
        <v/>
      </c>
    </row>
    <row r="123" customFormat="false" ht="15" hidden="false" customHeight="false" outlineLevel="0" collapsed="false">
      <c r="A123" s="0" t="str">
        <f aca="false">IFERROR(INDEX(Calc!$L$2:$L$1001,MATCH(ROW()-1,Calc!$X$2:$X$1001,0)),"")</f>
        <v/>
      </c>
      <c r="B123" s="0" t="str">
        <f aca="false">IFERROR(INDEX(Calc!$M$2:$M$1001,MATCH(ROW()-1,Calc!$X$2:$X$1001,0)),"")</f>
        <v/>
      </c>
      <c r="C123" s="0" t="str">
        <f aca="false">IFERROR(INDEX(Calc!$N$2:$N$1001,MATCH(ROW()-1,Calc!$X$2:$X$1001,0)),"")</f>
        <v/>
      </c>
      <c r="D123" s="3" t="str">
        <f aca="false">IFERROR(INDEX(Calc!$O$2:$O$1001,MATCH(ROW()-1,Calc!$X$2:$X$1001,0)),"")</f>
        <v/>
      </c>
      <c r="E123" s="3" t="str">
        <f aca="false">IFERROR(INDEX(Calc!$P$2:$P$1001,MATCH(ROW()-1,Calc!$X$2:$X$1001,0)),"")</f>
        <v/>
      </c>
      <c r="F123" s="3" t="str">
        <f aca="false">IF(G123="","",E123-D123)</f>
        <v/>
      </c>
      <c r="G123" s="0" t="str">
        <f aca="false">IFERROR(INDEX(Calc!$S$2:$S$1001,MATCH(ROW()-1,Calc!$X$2:$X$1001,0)),"")</f>
        <v/>
      </c>
    </row>
    <row r="124" customFormat="false" ht="15" hidden="false" customHeight="false" outlineLevel="0" collapsed="false">
      <c r="A124" s="0" t="str">
        <f aca="false">IFERROR(INDEX(Calc!$L$2:$L$1001,MATCH(ROW()-1,Calc!$X$2:$X$1001,0)),"")</f>
        <v/>
      </c>
      <c r="B124" s="0" t="str">
        <f aca="false">IFERROR(INDEX(Calc!$M$2:$M$1001,MATCH(ROW()-1,Calc!$X$2:$X$1001,0)),"")</f>
        <v/>
      </c>
      <c r="C124" s="0" t="str">
        <f aca="false">IFERROR(INDEX(Calc!$N$2:$N$1001,MATCH(ROW()-1,Calc!$X$2:$X$1001,0)),"")</f>
        <v/>
      </c>
      <c r="D124" s="3" t="str">
        <f aca="false">IFERROR(INDEX(Calc!$O$2:$O$1001,MATCH(ROW()-1,Calc!$X$2:$X$1001,0)),"")</f>
        <v/>
      </c>
      <c r="E124" s="3" t="str">
        <f aca="false">IFERROR(INDEX(Calc!$P$2:$P$1001,MATCH(ROW()-1,Calc!$X$2:$X$1001,0)),"")</f>
        <v/>
      </c>
      <c r="F124" s="3" t="str">
        <f aca="false">IF(G124="","",E124-D124)</f>
        <v/>
      </c>
      <c r="G124" s="0" t="str">
        <f aca="false">IFERROR(INDEX(Calc!$S$2:$S$1001,MATCH(ROW()-1,Calc!$X$2:$X$1001,0)),"")</f>
        <v/>
      </c>
    </row>
    <row r="125" customFormat="false" ht="15" hidden="false" customHeight="false" outlineLevel="0" collapsed="false">
      <c r="A125" s="0" t="str">
        <f aca="false">IFERROR(INDEX(Calc!$L$2:$L$1001,MATCH(ROW()-1,Calc!$X$2:$X$1001,0)),"")</f>
        <v/>
      </c>
      <c r="B125" s="0" t="str">
        <f aca="false">IFERROR(INDEX(Calc!$M$2:$M$1001,MATCH(ROW()-1,Calc!$X$2:$X$1001,0)),"")</f>
        <v/>
      </c>
      <c r="C125" s="0" t="str">
        <f aca="false">IFERROR(INDEX(Calc!$N$2:$N$1001,MATCH(ROW()-1,Calc!$X$2:$X$1001,0)),"")</f>
        <v/>
      </c>
      <c r="D125" s="3" t="str">
        <f aca="false">IFERROR(INDEX(Calc!$O$2:$O$1001,MATCH(ROW()-1,Calc!$X$2:$X$1001,0)),"")</f>
        <v/>
      </c>
      <c r="E125" s="3" t="str">
        <f aca="false">IFERROR(INDEX(Calc!$P$2:$P$1001,MATCH(ROW()-1,Calc!$X$2:$X$1001,0)),"")</f>
        <v/>
      </c>
      <c r="F125" s="3" t="str">
        <f aca="false">IF(G125="","",E125-D125)</f>
        <v/>
      </c>
      <c r="G125" s="0" t="str">
        <f aca="false">IFERROR(INDEX(Calc!$S$2:$S$1001,MATCH(ROW()-1,Calc!$X$2:$X$1001,0)),"")</f>
        <v/>
      </c>
    </row>
    <row r="126" customFormat="false" ht="15" hidden="false" customHeight="false" outlineLevel="0" collapsed="false">
      <c r="A126" s="0" t="str">
        <f aca="false">IFERROR(INDEX(Calc!$L$2:$L$1001,MATCH(ROW()-1,Calc!$X$2:$X$1001,0)),"")</f>
        <v/>
      </c>
      <c r="B126" s="0" t="str">
        <f aca="false">IFERROR(INDEX(Calc!$M$2:$M$1001,MATCH(ROW()-1,Calc!$X$2:$X$1001,0)),"")</f>
        <v/>
      </c>
      <c r="C126" s="0" t="str">
        <f aca="false">IFERROR(INDEX(Calc!$N$2:$N$1001,MATCH(ROW()-1,Calc!$X$2:$X$1001,0)),"")</f>
        <v/>
      </c>
      <c r="D126" s="3" t="str">
        <f aca="false">IFERROR(INDEX(Calc!$O$2:$O$1001,MATCH(ROW()-1,Calc!$X$2:$X$1001,0)),"")</f>
        <v/>
      </c>
      <c r="E126" s="3" t="str">
        <f aca="false">IFERROR(INDEX(Calc!$P$2:$P$1001,MATCH(ROW()-1,Calc!$X$2:$X$1001,0)),"")</f>
        <v/>
      </c>
      <c r="F126" s="3" t="str">
        <f aca="false">IF(G126="","",E126-D126)</f>
        <v/>
      </c>
      <c r="G126" s="0" t="str">
        <f aca="false">IFERROR(INDEX(Calc!$S$2:$S$1001,MATCH(ROW()-1,Calc!$X$2:$X$1001,0)),"")</f>
        <v/>
      </c>
    </row>
    <row r="127" customFormat="false" ht="15" hidden="false" customHeight="false" outlineLevel="0" collapsed="false">
      <c r="A127" s="0" t="str">
        <f aca="false">IFERROR(INDEX(Calc!$L$2:$L$1001,MATCH(ROW()-1,Calc!$X$2:$X$1001,0)),"")</f>
        <v/>
      </c>
      <c r="B127" s="0" t="str">
        <f aca="false">IFERROR(INDEX(Calc!$M$2:$M$1001,MATCH(ROW()-1,Calc!$X$2:$X$1001,0)),"")</f>
        <v/>
      </c>
      <c r="C127" s="0" t="str">
        <f aca="false">IFERROR(INDEX(Calc!$N$2:$N$1001,MATCH(ROW()-1,Calc!$X$2:$X$1001,0)),"")</f>
        <v/>
      </c>
      <c r="D127" s="3" t="str">
        <f aca="false">IFERROR(INDEX(Calc!$O$2:$O$1001,MATCH(ROW()-1,Calc!$X$2:$X$1001,0)),"")</f>
        <v/>
      </c>
      <c r="E127" s="3" t="str">
        <f aca="false">IFERROR(INDEX(Calc!$P$2:$P$1001,MATCH(ROW()-1,Calc!$X$2:$X$1001,0)),"")</f>
        <v/>
      </c>
      <c r="F127" s="3" t="str">
        <f aca="false">IF(G127="","",E127-D127)</f>
        <v/>
      </c>
      <c r="G127" s="0" t="str">
        <f aca="false">IFERROR(INDEX(Calc!$S$2:$S$1001,MATCH(ROW()-1,Calc!$X$2:$X$1001,0)),"")</f>
        <v/>
      </c>
    </row>
    <row r="128" customFormat="false" ht="15" hidden="false" customHeight="false" outlineLevel="0" collapsed="false">
      <c r="A128" s="0" t="str">
        <f aca="false">IFERROR(INDEX(Calc!$L$2:$L$1001,MATCH(ROW()-1,Calc!$X$2:$X$1001,0)),"")</f>
        <v/>
      </c>
      <c r="B128" s="0" t="str">
        <f aca="false">IFERROR(INDEX(Calc!$M$2:$M$1001,MATCH(ROW()-1,Calc!$X$2:$X$1001,0)),"")</f>
        <v/>
      </c>
      <c r="C128" s="0" t="str">
        <f aca="false">IFERROR(INDEX(Calc!$N$2:$N$1001,MATCH(ROW()-1,Calc!$X$2:$X$1001,0)),"")</f>
        <v/>
      </c>
      <c r="D128" s="3" t="str">
        <f aca="false">IFERROR(INDEX(Calc!$O$2:$O$1001,MATCH(ROW()-1,Calc!$X$2:$X$1001,0)),"")</f>
        <v/>
      </c>
      <c r="E128" s="3" t="str">
        <f aca="false">IFERROR(INDEX(Calc!$P$2:$P$1001,MATCH(ROW()-1,Calc!$X$2:$X$1001,0)),"")</f>
        <v/>
      </c>
      <c r="F128" s="3" t="str">
        <f aca="false">IF(G128="","",E128-D128)</f>
        <v/>
      </c>
      <c r="G128" s="0" t="str">
        <f aca="false">IFERROR(INDEX(Calc!$S$2:$S$1001,MATCH(ROW()-1,Calc!$X$2:$X$1001,0)),"")</f>
        <v/>
      </c>
    </row>
    <row r="129" customFormat="false" ht="15" hidden="false" customHeight="false" outlineLevel="0" collapsed="false">
      <c r="A129" s="0" t="str">
        <f aca="false">IFERROR(INDEX(Calc!$L$2:$L$1001,MATCH(ROW()-1,Calc!$X$2:$X$1001,0)),"")</f>
        <v/>
      </c>
      <c r="B129" s="0" t="str">
        <f aca="false">IFERROR(INDEX(Calc!$M$2:$M$1001,MATCH(ROW()-1,Calc!$X$2:$X$1001,0)),"")</f>
        <v/>
      </c>
      <c r="C129" s="0" t="str">
        <f aca="false">IFERROR(INDEX(Calc!$N$2:$N$1001,MATCH(ROW()-1,Calc!$X$2:$X$1001,0)),"")</f>
        <v/>
      </c>
      <c r="D129" s="3" t="str">
        <f aca="false">IFERROR(INDEX(Calc!$O$2:$O$1001,MATCH(ROW()-1,Calc!$X$2:$X$1001,0)),"")</f>
        <v/>
      </c>
      <c r="E129" s="3" t="str">
        <f aca="false">IFERROR(INDEX(Calc!$P$2:$P$1001,MATCH(ROW()-1,Calc!$X$2:$X$1001,0)),"")</f>
        <v/>
      </c>
      <c r="F129" s="3" t="str">
        <f aca="false">IF(G129="","",E129-D129)</f>
        <v/>
      </c>
      <c r="G129" s="0" t="str">
        <f aca="false">IFERROR(INDEX(Calc!$S$2:$S$1001,MATCH(ROW()-1,Calc!$X$2:$X$1001,0)),"")</f>
        <v/>
      </c>
    </row>
    <row r="130" customFormat="false" ht="15" hidden="false" customHeight="false" outlineLevel="0" collapsed="false">
      <c r="A130" s="0" t="str">
        <f aca="false">IFERROR(INDEX(Calc!$L$2:$L$1001,MATCH(ROW()-1,Calc!$X$2:$X$1001,0)),"")</f>
        <v/>
      </c>
      <c r="B130" s="0" t="str">
        <f aca="false">IFERROR(INDEX(Calc!$M$2:$M$1001,MATCH(ROW()-1,Calc!$X$2:$X$1001,0)),"")</f>
        <v/>
      </c>
      <c r="C130" s="0" t="str">
        <f aca="false">IFERROR(INDEX(Calc!$N$2:$N$1001,MATCH(ROW()-1,Calc!$X$2:$X$1001,0)),"")</f>
        <v/>
      </c>
      <c r="D130" s="3" t="str">
        <f aca="false">IFERROR(INDEX(Calc!$O$2:$O$1001,MATCH(ROW()-1,Calc!$X$2:$X$1001,0)),"")</f>
        <v/>
      </c>
      <c r="E130" s="3" t="str">
        <f aca="false">IFERROR(INDEX(Calc!$P$2:$P$1001,MATCH(ROW()-1,Calc!$X$2:$X$1001,0)),"")</f>
        <v/>
      </c>
      <c r="F130" s="3" t="str">
        <f aca="false">IF(G130="","",E130-D130)</f>
        <v/>
      </c>
      <c r="G130" s="0" t="str">
        <f aca="false">IFERROR(INDEX(Calc!$S$2:$S$1001,MATCH(ROW()-1,Calc!$X$2:$X$1001,0)),"")</f>
        <v/>
      </c>
    </row>
    <row r="131" customFormat="false" ht="15" hidden="false" customHeight="false" outlineLevel="0" collapsed="false">
      <c r="A131" s="0" t="str">
        <f aca="false">IFERROR(INDEX(Calc!$L$2:$L$1001,MATCH(ROW()-1,Calc!$X$2:$X$1001,0)),"")</f>
        <v/>
      </c>
      <c r="B131" s="0" t="str">
        <f aca="false">IFERROR(INDEX(Calc!$M$2:$M$1001,MATCH(ROW()-1,Calc!$X$2:$X$1001,0)),"")</f>
        <v/>
      </c>
      <c r="C131" s="0" t="str">
        <f aca="false">IFERROR(INDEX(Calc!$N$2:$N$1001,MATCH(ROW()-1,Calc!$X$2:$X$1001,0)),"")</f>
        <v/>
      </c>
      <c r="D131" s="3" t="str">
        <f aca="false">IFERROR(INDEX(Calc!$O$2:$O$1001,MATCH(ROW()-1,Calc!$X$2:$X$1001,0)),"")</f>
        <v/>
      </c>
      <c r="E131" s="3" t="str">
        <f aca="false">IFERROR(INDEX(Calc!$P$2:$P$1001,MATCH(ROW()-1,Calc!$X$2:$X$1001,0)),"")</f>
        <v/>
      </c>
      <c r="F131" s="3" t="str">
        <f aca="false">IF(G131="","",E131-D131)</f>
        <v/>
      </c>
      <c r="G131" s="0" t="str">
        <f aca="false">IFERROR(INDEX(Calc!$S$2:$S$1001,MATCH(ROW()-1,Calc!$X$2:$X$1001,0)),"")</f>
        <v/>
      </c>
    </row>
    <row r="132" customFormat="false" ht="15" hidden="false" customHeight="false" outlineLevel="0" collapsed="false">
      <c r="A132" s="0" t="str">
        <f aca="false">IFERROR(INDEX(Calc!$L$2:$L$1001,MATCH(ROW()-1,Calc!$X$2:$X$1001,0)),"")</f>
        <v/>
      </c>
      <c r="B132" s="0" t="str">
        <f aca="false">IFERROR(INDEX(Calc!$M$2:$M$1001,MATCH(ROW()-1,Calc!$X$2:$X$1001,0)),"")</f>
        <v/>
      </c>
      <c r="C132" s="0" t="str">
        <f aca="false">IFERROR(INDEX(Calc!$N$2:$N$1001,MATCH(ROW()-1,Calc!$X$2:$X$1001,0)),"")</f>
        <v/>
      </c>
      <c r="D132" s="3" t="str">
        <f aca="false">IFERROR(INDEX(Calc!$O$2:$O$1001,MATCH(ROW()-1,Calc!$X$2:$X$1001,0)),"")</f>
        <v/>
      </c>
      <c r="E132" s="3" t="str">
        <f aca="false">IFERROR(INDEX(Calc!$P$2:$P$1001,MATCH(ROW()-1,Calc!$X$2:$X$1001,0)),"")</f>
        <v/>
      </c>
      <c r="F132" s="3" t="str">
        <f aca="false">IF(G132="","",E132-D132)</f>
        <v/>
      </c>
      <c r="G132" s="0" t="str">
        <f aca="false">IFERROR(INDEX(Calc!$S$2:$S$1001,MATCH(ROW()-1,Calc!$X$2:$X$1001,0)),"")</f>
        <v/>
      </c>
    </row>
    <row r="133" customFormat="false" ht="15" hidden="false" customHeight="false" outlineLevel="0" collapsed="false">
      <c r="A133" s="0" t="str">
        <f aca="false">IFERROR(INDEX(Calc!$L$2:$L$1001,MATCH(ROW()-1,Calc!$X$2:$X$1001,0)),"")</f>
        <v/>
      </c>
      <c r="B133" s="0" t="str">
        <f aca="false">IFERROR(INDEX(Calc!$M$2:$M$1001,MATCH(ROW()-1,Calc!$X$2:$X$1001,0)),"")</f>
        <v/>
      </c>
      <c r="C133" s="0" t="str">
        <f aca="false">IFERROR(INDEX(Calc!$N$2:$N$1001,MATCH(ROW()-1,Calc!$X$2:$X$1001,0)),"")</f>
        <v/>
      </c>
      <c r="D133" s="3" t="str">
        <f aca="false">IFERROR(INDEX(Calc!$O$2:$O$1001,MATCH(ROW()-1,Calc!$X$2:$X$1001,0)),"")</f>
        <v/>
      </c>
      <c r="E133" s="3" t="str">
        <f aca="false">IFERROR(INDEX(Calc!$P$2:$P$1001,MATCH(ROW()-1,Calc!$X$2:$X$1001,0)),"")</f>
        <v/>
      </c>
      <c r="F133" s="3" t="str">
        <f aca="false">IF(G133="","",E133-D133)</f>
        <v/>
      </c>
      <c r="G133" s="0" t="str">
        <f aca="false">IFERROR(INDEX(Calc!$S$2:$S$1001,MATCH(ROW()-1,Calc!$X$2:$X$1001,0)),"")</f>
        <v/>
      </c>
    </row>
    <row r="134" customFormat="false" ht="15" hidden="false" customHeight="false" outlineLevel="0" collapsed="false">
      <c r="A134" s="0" t="str">
        <f aca="false">IFERROR(INDEX(Calc!$L$2:$L$1001,MATCH(ROW()-1,Calc!$X$2:$X$1001,0)),"")</f>
        <v/>
      </c>
      <c r="B134" s="0" t="str">
        <f aca="false">IFERROR(INDEX(Calc!$M$2:$M$1001,MATCH(ROW()-1,Calc!$X$2:$X$1001,0)),"")</f>
        <v/>
      </c>
      <c r="C134" s="0" t="str">
        <f aca="false">IFERROR(INDEX(Calc!$N$2:$N$1001,MATCH(ROW()-1,Calc!$X$2:$X$1001,0)),"")</f>
        <v/>
      </c>
      <c r="D134" s="3" t="str">
        <f aca="false">IFERROR(INDEX(Calc!$O$2:$O$1001,MATCH(ROW()-1,Calc!$X$2:$X$1001,0)),"")</f>
        <v/>
      </c>
      <c r="E134" s="3" t="str">
        <f aca="false">IFERROR(INDEX(Calc!$P$2:$P$1001,MATCH(ROW()-1,Calc!$X$2:$X$1001,0)),"")</f>
        <v/>
      </c>
      <c r="F134" s="3" t="str">
        <f aca="false">IF(G134="","",E134-D134)</f>
        <v/>
      </c>
      <c r="G134" s="0" t="str">
        <f aca="false">IFERROR(INDEX(Calc!$S$2:$S$1001,MATCH(ROW()-1,Calc!$X$2:$X$1001,0)),"")</f>
        <v/>
      </c>
    </row>
    <row r="135" customFormat="false" ht="15" hidden="false" customHeight="false" outlineLevel="0" collapsed="false">
      <c r="A135" s="0" t="str">
        <f aca="false">IFERROR(INDEX(Calc!$L$2:$L$1001,MATCH(ROW()-1,Calc!$X$2:$X$1001,0)),"")</f>
        <v/>
      </c>
      <c r="B135" s="0" t="str">
        <f aca="false">IFERROR(INDEX(Calc!$M$2:$M$1001,MATCH(ROW()-1,Calc!$X$2:$X$1001,0)),"")</f>
        <v/>
      </c>
      <c r="C135" s="0" t="str">
        <f aca="false">IFERROR(INDEX(Calc!$N$2:$N$1001,MATCH(ROW()-1,Calc!$X$2:$X$1001,0)),"")</f>
        <v/>
      </c>
      <c r="D135" s="3" t="str">
        <f aca="false">IFERROR(INDEX(Calc!$O$2:$O$1001,MATCH(ROW()-1,Calc!$X$2:$X$1001,0)),"")</f>
        <v/>
      </c>
      <c r="E135" s="3" t="str">
        <f aca="false">IFERROR(INDEX(Calc!$P$2:$P$1001,MATCH(ROW()-1,Calc!$X$2:$X$1001,0)),"")</f>
        <v/>
      </c>
      <c r="F135" s="3" t="str">
        <f aca="false">IF(G135="","",E135-D135)</f>
        <v/>
      </c>
      <c r="G135" s="0" t="str">
        <f aca="false">IFERROR(INDEX(Calc!$S$2:$S$1001,MATCH(ROW()-1,Calc!$X$2:$X$1001,0)),"")</f>
        <v/>
      </c>
    </row>
    <row r="136" customFormat="false" ht="15" hidden="false" customHeight="false" outlineLevel="0" collapsed="false">
      <c r="A136" s="0" t="str">
        <f aca="false">IFERROR(INDEX(Calc!$L$2:$L$1001,MATCH(ROW()-1,Calc!$X$2:$X$1001,0)),"")</f>
        <v/>
      </c>
      <c r="B136" s="0" t="str">
        <f aca="false">IFERROR(INDEX(Calc!$M$2:$M$1001,MATCH(ROW()-1,Calc!$X$2:$X$1001,0)),"")</f>
        <v/>
      </c>
      <c r="C136" s="0" t="str">
        <f aca="false">IFERROR(INDEX(Calc!$N$2:$N$1001,MATCH(ROW()-1,Calc!$X$2:$X$1001,0)),"")</f>
        <v/>
      </c>
      <c r="D136" s="3" t="str">
        <f aca="false">IFERROR(INDEX(Calc!$O$2:$O$1001,MATCH(ROW()-1,Calc!$X$2:$X$1001,0)),"")</f>
        <v/>
      </c>
      <c r="E136" s="3" t="str">
        <f aca="false">IFERROR(INDEX(Calc!$P$2:$P$1001,MATCH(ROW()-1,Calc!$X$2:$X$1001,0)),"")</f>
        <v/>
      </c>
      <c r="F136" s="3" t="str">
        <f aca="false">IF(G136="","",E136-D136)</f>
        <v/>
      </c>
      <c r="G136" s="0" t="str">
        <f aca="false">IFERROR(INDEX(Calc!$S$2:$S$1001,MATCH(ROW()-1,Calc!$X$2:$X$1001,0)),"")</f>
        <v/>
      </c>
    </row>
    <row r="137" customFormat="false" ht="15" hidden="false" customHeight="false" outlineLevel="0" collapsed="false">
      <c r="A137" s="0" t="str">
        <f aca="false">IFERROR(INDEX(Calc!$L$2:$L$1001,MATCH(ROW()-1,Calc!$X$2:$X$1001,0)),"")</f>
        <v/>
      </c>
      <c r="B137" s="0" t="str">
        <f aca="false">IFERROR(INDEX(Calc!$M$2:$M$1001,MATCH(ROW()-1,Calc!$X$2:$X$1001,0)),"")</f>
        <v/>
      </c>
      <c r="C137" s="0" t="str">
        <f aca="false">IFERROR(INDEX(Calc!$N$2:$N$1001,MATCH(ROW()-1,Calc!$X$2:$X$1001,0)),"")</f>
        <v/>
      </c>
      <c r="D137" s="3" t="str">
        <f aca="false">IFERROR(INDEX(Calc!$O$2:$O$1001,MATCH(ROW()-1,Calc!$X$2:$X$1001,0)),"")</f>
        <v/>
      </c>
      <c r="E137" s="3" t="str">
        <f aca="false">IFERROR(INDEX(Calc!$P$2:$P$1001,MATCH(ROW()-1,Calc!$X$2:$X$1001,0)),"")</f>
        <v/>
      </c>
      <c r="F137" s="3" t="str">
        <f aca="false">IF(G137="","",E137-D137)</f>
        <v/>
      </c>
      <c r="G137" s="0" t="str">
        <f aca="false">IFERROR(INDEX(Calc!$S$2:$S$1001,MATCH(ROW()-1,Calc!$X$2:$X$1001,0)),"")</f>
        <v/>
      </c>
    </row>
    <row r="138" customFormat="false" ht="15" hidden="false" customHeight="false" outlineLevel="0" collapsed="false">
      <c r="A138" s="0" t="str">
        <f aca="false">IFERROR(INDEX(Calc!$L$2:$L$1001,MATCH(ROW()-1,Calc!$X$2:$X$1001,0)),"")</f>
        <v/>
      </c>
      <c r="B138" s="0" t="str">
        <f aca="false">IFERROR(INDEX(Calc!$M$2:$M$1001,MATCH(ROW()-1,Calc!$X$2:$X$1001,0)),"")</f>
        <v/>
      </c>
      <c r="C138" s="0" t="str">
        <f aca="false">IFERROR(INDEX(Calc!$N$2:$N$1001,MATCH(ROW()-1,Calc!$X$2:$X$1001,0)),"")</f>
        <v/>
      </c>
      <c r="D138" s="3" t="str">
        <f aca="false">IFERROR(INDEX(Calc!$O$2:$O$1001,MATCH(ROW()-1,Calc!$X$2:$X$1001,0)),"")</f>
        <v/>
      </c>
      <c r="E138" s="3" t="str">
        <f aca="false">IFERROR(INDEX(Calc!$P$2:$P$1001,MATCH(ROW()-1,Calc!$X$2:$X$1001,0)),"")</f>
        <v/>
      </c>
      <c r="F138" s="3" t="str">
        <f aca="false">IF(G138="","",E138-D138)</f>
        <v/>
      </c>
      <c r="G138" s="0" t="str">
        <f aca="false">IFERROR(INDEX(Calc!$S$2:$S$1001,MATCH(ROW()-1,Calc!$X$2:$X$1001,0)),"")</f>
        <v/>
      </c>
    </row>
    <row r="139" customFormat="false" ht="15" hidden="false" customHeight="false" outlineLevel="0" collapsed="false">
      <c r="A139" s="0" t="str">
        <f aca="false">IFERROR(INDEX(Calc!$L$2:$L$1001,MATCH(ROW()-1,Calc!$X$2:$X$1001,0)),"")</f>
        <v/>
      </c>
      <c r="B139" s="0" t="str">
        <f aca="false">IFERROR(INDEX(Calc!$M$2:$M$1001,MATCH(ROW()-1,Calc!$X$2:$X$1001,0)),"")</f>
        <v/>
      </c>
      <c r="C139" s="0" t="str">
        <f aca="false">IFERROR(INDEX(Calc!$N$2:$N$1001,MATCH(ROW()-1,Calc!$X$2:$X$1001,0)),"")</f>
        <v/>
      </c>
      <c r="D139" s="3" t="str">
        <f aca="false">IFERROR(INDEX(Calc!$O$2:$O$1001,MATCH(ROW()-1,Calc!$X$2:$X$1001,0)),"")</f>
        <v/>
      </c>
      <c r="E139" s="3" t="str">
        <f aca="false">IFERROR(INDEX(Calc!$P$2:$P$1001,MATCH(ROW()-1,Calc!$X$2:$X$1001,0)),"")</f>
        <v/>
      </c>
      <c r="F139" s="3" t="str">
        <f aca="false">IF(G139="","",E139-D139)</f>
        <v/>
      </c>
      <c r="G139" s="0" t="str">
        <f aca="false">IFERROR(INDEX(Calc!$S$2:$S$1001,MATCH(ROW()-1,Calc!$X$2:$X$1001,0)),"")</f>
        <v/>
      </c>
    </row>
    <row r="140" customFormat="false" ht="15" hidden="false" customHeight="false" outlineLevel="0" collapsed="false">
      <c r="A140" s="0" t="str">
        <f aca="false">IFERROR(INDEX(Calc!$L$2:$L$1001,MATCH(ROW()-1,Calc!$X$2:$X$1001,0)),"")</f>
        <v/>
      </c>
      <c r="B140" s="0" t="str">
        <f aca="false">IFERROR(INDEX(Calc!$M$2:$M$1001,MATCH(ROW()-1,Calc!$X$2:$X$1001,0)),"")</f>
        <v/>
      </c>
      <c r="C140" s="0" t="str">
        <f aca="false">IFERROR(INDEX(Calc!$N$2:$N$1001,MATCH(ROW()-1,Calc!$X$2:$X$1001,0)),"")</f>
        <v/>
      </c>
      <c r="D140" s="3" t="str">
        <f aca="false">IFERROR(INDEX(Calc!$O$2:$O$1001,MATCH(ROW()-1,Calc!$X$2:$X$1001,0)),"")</f>
        <v/>
      </c>
      <c r="E140" s="3" t="str">
        <f aca="false">IFERROR(INDEX(Calc!$P$2:$P$1001,MATCH(ROW()-1,Calc!$X$2:$X$1001,0)),"")</f>
        <v/>
      </c>
      <c r="F140" s="3" t="str">
        <f aca="false">IF(G140="","",E140-D140)</f>
        <v/>
      </c>
      <c r="G140" s="0" t="str">
        <f aca="false">IFERROR(INDEX(Calc!$S$2:$S$1001,MATCH(ROW()-1,Calc!$X$2:$X$1001,0)),"")</f>
        <v/>
      </c>
    </row>
    <row r="141" customFormat="false" ht="15" hidden="false" customHeight="false" outlineLevel="0" collapsed="false">
      <c r="A141" s="0" t="str">
        <f aca="false">IFERROR(INDEX(Calc!$L$2:$L$1001,MATCH(ROW()-1,Calc!$X$2:$X$1001,0)),"")</f>
        <v/>
      </c>
      <c r="B141" s="0" t="str">
        <f aca="false">IFERROR(INDEX(Calc!$M$2:$M$1001,MATCH(ROW()-1,Calc!$X$2:$X$1001,0)),"")</f>
        <v/>
      </c>
      <c r="C141" s="0" t="str">
        <f aca="false">IFERROR(INDEX(Calc!$N$2:$N$1001,MATCH(ROW()-1,Calc!$X$2:$X$1001,0)),"")</f>
        <v/>
      </c>
      <c r="D141" s="3" t="str">
        <f aca="false">IFERROR(INDEX(Calc!$O$2:$O$1001,MATCH(ROW()-1,Calc!$X$2:$X$1001,0)),"")</f>
        <v/>
      </c>
      <c r="E141" s="3" t="str">
        <f aca="false">IFERROR(INDEX(Calc!$P$2:$P$1001,MATCH(ROW()-1,Calc!$X$2:$X$1001,0)),"")</f>
        <v/>
      </c>
      <c r="F141" s="3" t="str">
        <f aca="false">IF(G141="","",E141-D141)</f>
        <v/>
      </c>
      <c r="G141" s="0" t="str">
        <f aca="false">IFERROR(INDEX(Calc!$S$2:$S$1001,MATCH(ROW()-1,Calc!$X$2:$X$1001,0)),"")</f>
        <v/>
      </c>
    </row>
    <row r="142" customFormat="false" ht="15" hidden="false" customHeight="false" outlineLevel="0" collapsed="false">
      <c r="A142" s="0" t="str">
        <f aca="false">IFERROR(INDEX(Calc!$L$2:$L$1001,MATCH(ROW()-1,Calc!$X$2:$X$1001,0)),"")</f>
        <v/>
      </c>
      <c r="B142" s="0" t="str">
        <f aca="false">IFERROR(INDEX(Calc!$M$2:$M$1001,MATCH(ROW()-1,Calc!$X$2:$X$1001,0)),"")</f>
        <v/>
      </c>
      <c r="C142" s="0" t="str">
        <f aca="false">IFERROR(INDEX(Calc!$N$2:$N$1001,MATCH(ROW()-1,Calc!$X$2:$X$1001,0)),"")</f>
        <v/>
      </c>
      <c r="D142" s="3" t="str">
        <f aca="false">IFERROR(INDEX(Calc!$O$2:$O$1001,MATCH(ROW()-1,Calc!$X$2:$X$1001,0)),"")</f>
        <v/>
      </c>
      <c r="E142" s="3" t="str">
        <f aca="false">IFERROR(INDEX(Calc!$P$2:$P$1001,MATCH(ROW()-1,Calc!$X$2:$X$1001,0)),"")</f>
        <v/>
      </c>
      <c r="F142" s="3" t="str">
        <f aca="false">IF(G142="","",E142-D142)</f>
        <v/>
      </c>
      <c r="G142" s="0" t="str">
        <f aca="false">IFERROR(INDEX(Calc!$S$2:$S$1001,MATCH(ROW()-1,Calc!$X$2:$X$1001,0)),"")</f>
        <v/>
      </c>
    </row>
    <row r="143" customFormat="false" ht="15" hidden="false" customHeight="false" outlineLevel="0" collapsed="false">
      <c r="A143" s="0" t="str">
        <f aca="false">IFERROR(INDEX(Calc!$L$2:$L$1001,MATCH(ROW()-1,Calc!$X$2:$X$1001,0)),"")</f>
        <v/>
      </c>
      <c r="B143" s="0" t="str">
        <f aca="false">IFERROR(INDEX(Calc!$M$2:$M$1001,MATCH(ROW()-1,Calc!$X$2:$X$1001,0)),"")</f>
        <v/>
      </c>
      <c r="C143" s="0" t="str">
        <f aca="false">IFERROR(INDEX(Calc!$N$2:$N$1001,MATCH(ROW()-1,Calc!$X$2:$X$1001,0)),"")</f>
        <v/>
      </c>
      <c r="D143" s="3" t="str">
        <f aca="false">IFERROR(INDEX(Calc!$O$2:$O$1001,MATCH(ROW()-1,Calc!$X$2:$X$1001,0)),"")</f>
        <v/>
      </c>
      <c r="E143" s="3" t="str">
        <f aca="false">IFERROR(INDEX(Calc!$P$2:$P$1001,MATCH(ROW()-1,Calc!$X$2:$X$1001,0)),"")</f>
        <v/>
      </c>
      <c r="F143" s="3" t="str">
        <f aca="false">IF(G143="","",E143-D143)</f>
        <v/>
      </c>
      <c r="G143" s="0" t="str">
        <f aca="false">IFERROR(INDEX(Calc!$S$2:$S$1001,MATCH(ROW()-1,Calc!$X$2:$X$1001,0)),"")</f>
        <v/>
      </c>
    </row>
    <row r="144" customFormat="false" ht="15" hidden="false" customHeight="false" outlineLevel="0" collapsed="false">
      <c r="A144" s="0" t="str">
        <f aca="false">IFERROR(INDEX(Calc!$L$2:$L$1001,MATCH(ROW()-1,Calc!$X$2:$X$1001,0)),"")</f>
        <v/>
      </c>
      <c r="B144" s="0" t="str">
        <f aca="false">IFERROR(INDEX(Calc!$M$2:$M$1001,MATCH(ROW()-1,Calc!$X$2:$X$1001,0)),"")</f>
        <v/>
      </c>
      <c r="C144" s="0" t="str">
        <f aca="false">IFERROR(INDEX(Calc!$N$2:$N$1001,MATCH(ROW()-1,Calc!$X$2:$X$1001,0)),"")</f>
        <v/>
      </c>
      <c r="D144" s="3" t="str">
        <f aca="false">IFERROR(INDEX(Calc!$O$2:$O$1001,MATCH(ROW()-1,Calc!$X$2:$X$1001,0)),"")</f>
        <v/>
      </c>
      <c r="E144" s="3" t="str">
        <f aca="false">IFERROR(INDEX(Calc!$P$2:$P$1001,MATCH(ROW()-1,Calc!$X$2:$X$1001,0)),"")</f>
        <v/>
      </c>
      <c r="F144" s="3" t="str">
        <f aca="false">IF(G144="","",E144-D144)</f>
        <v/>
      </c>
      <c r="G144" s="0" t="str">
        <f aca="false">IFERROR(INDEX(Calc!$S$2:$S$1001,MATCH(ROW()-1,Calc!$X$2:$X$1001,0)),"")</f>
        <v/>
      </c>
    </row>
    <row r="145" customFormat="false" ht="15" hidden="false" customHeight="false" outlineLevel="0" collapsed="false">
      <c r="A145" s="0" t="str">
        <f aca="false">IFERROR(INDEX(Calc!$L$2:$L$1001,MATCH(ROW()-1,Calc!$X$2:$X$1001,0)),"")</f>
        <v/>
      </c>
      <c r="B145" s="0" t="str">
        <f aca="false">IFERROR(INDEX(Calc!$M$2:$M$1001,MATCH(ROW()-1,Calc!$X$2:$X$1001,0)),"")</f>
        <v/>
      </c>
      <c r="C145" s="0" t="str">
        <f aca="false">IFERROR(INDEX(Calc!$N$2:$N$1001,MATCH(ROW()-1,Calc!$X$2:$X$1001,0)),"")</f>
        <v/>
      </c>
      <c r="D145" s="3" t="str">
        <f aca="false">IFERROR(INDEX(Calc!$O$2:$O$1001,MATCH(ROW()-1,Calc!$X$2:$X$1001,0)),"")</f>
        <v/>
      </c>
      <c r="E145" s="3" t="str">
        <f aca="false">IFERROR(INDEX(Calc!$P$2:$P$1001,MATCH(ROW()-1,Calc!$X$2:$X$1001,0)),"")</f>
        <v/>
      </c>
      <c r="F145" s="3" t="str">
        <f aca="false">IF(G145="","",E145-D145)</f>
        <v/>
      </c>
      <c r="G145" s="0" t="str">
        <f aca="false">IFERROR(INDEX(Calc!$S$2:$S$1001,MATCH(ROW()-1,Calc!$X$2:$X$1001,0)),"")</f>
        <v/>
      </c>
    </row>
    <row r="146" customFormat="false" ht="15" hidden="false" customHeight="false" outlineLevel="0" collapsed="false">
      <c r="A146" s="0" t="str">
        <f aca="false">IFERROR(INDEX(Calc!$L$2:$L$1001,MATCH(ROW()-1,Calc!$X$2:$X$1001,0)),"")</f>
        <v/>
      </c>
      <c r="B146" s="0" t="str">
        <f aca="false">IFERROR(INDEX(Calc!$M$2:$M$1001,MATCH(ROW()-1,Calc!$X$2:$X$1001,0)),"")</f>
        <v/>
      </c>
      <c r="C146" s="0" t="str">
        <f aca="false">IFERROR(INDEX(Calc!$N$2:$N$1001,MATCH(ROW()-1,Calc!$X$2:$X$1001,0)),"")</f>
        <v/>
      </c>
      <c r="D146" s="3" t="str">
        <f aca="false">IFERROR(INDEX(Calc!$O$2:$O$1001,MATCH(ROW()-1,Calc!$X$2:$X$1001,0)),"")</f>
        <v/>
      </c>
      <c r="E146" s="3" t="str">
        <f aca="false">IFERROR(INDEX(Calc!$P$2:$P$1001,MATCH(ROW()-1,Calc!$X$2:$X$1001,0)),"")</f>
        <v/>
      </c>
      <c r="F146" s="3" t="str">
        <f aca="false">IF(G146="","",E146-D146)</f>
        <v/>
      </c>
      <c r="G146" s="0" t="str">
        <f aca="false">IFERROR(INDEX(Calc!$S$2:$S$1001,MATCH(ROW()-1,Calc!$X$2:$X$1001,0)),"")</f>
        <v/>
      </c>
    </row>
    <row r="147" customFormat="false" ht="15" hidden="false" customHeight="false" outlineLevel="0" collapsed="false">
      <c r="A147" s="0" t="str">
        <f aca="false">IFERROR(INDEX(Calc!$L$2:$L$1001,MATCH(ROW()-1,Calc!$X$2:$X$1001,0)),"")</f>
        <v/>
      </c>
      <c r="B147" s="0" t="str">
        <f aca="false">IFERROR(INDEX(Calc!$M$2:$M$1001,MATCH(ROW()-1,Calc!$X$2:$X$1001,0)),"")</f>
        <v/>
      </c>
      <c r="C147" s="0" t="str">
        <f aca="false">IFERROR(INDEX(Calc!$N$2:$N$1001,MATCH(ROW()-1,Calc!$X$2:$X$1001,0)),"")</f>
        <v/>
      </c>
      <c r="D147" s="3" t="str">
        <f aca="false">IFERROR(INDEX(Calc!$O$2:$O$1001,MATCH(ROW()-1,Calc!$X$2:$X$1001,0)),"")</f>
        <v/>
      </c>
      <c r="E147" s="3" t="str">
        <f aca="false">IFERROR(INDEX(Calc!$P$2:$P$1001,MATCH(ROW()-1,Calc!$X$2:$X$1001,0)),"")</f>
        <v/>
      </c>
      <c r="F147" s="3" t="str">
        <f aca="false">IF(G147="","",E147-D147)</f>
        <v/>
      </c>
      <c r="G147" s="0" t="str">
        <f aca="false">IFERROR(INDEX(Calc!$S$2:$S$1001,MATCH(ROW()-1,Calc!$X$2:$X$1001,0)),"")</f>
        <v/>
      </c>
    </row>
    <row r="148" customFormat="false" ht="15" hidden="false" customHeight="false" outlineLevel="0" collapsed="false">
      <c r="A148" s="0" t="str">
        <f aca="false">IFERROR(INDEX(Calc!$L$2:$L$1001,MATCH(ROW()-1,Calc!$X$2:$X$1001,0)),"")</f>
        <v/>
      </c>
      <c r="B148" s="0" t="str">
        <f aca="false">IFERROR(INDEX(Calc!$M$2:$M$1001,MATCH(ROW()-1,Calc!$X$2:$X$1001,0)),"")</f>
        <v/>
      </c>
      <c r="C148" s="0" t="str">
        <f aca="false">IFERROR(INDEX(Calc!$N$2:$N$1001,MATCH(ROW()-1,Calc!$X$2:$X$1001,0)),"")</f>
        <v/>
      </c>
      <c r="D148" s="3" t="str">
        <f aca="false">IFERROR(INDEX(Calc!$O$2:$O$1001,MATCH(ROW()-1,Calc!$X$2:$X$1001,0)),"")</f>
        <v/>
      </c>
      <c r="E148" s="3" t="str">
        <f aca="false">IFERROR(INDEX(Calc!$P$2:$P$1001,MATCH(ROW()-1,Calc!$X$2:$X$1001,0)),"")</f>
        <v/>
      </c>
      <c r="F148" s="3" t="str">
        <f aca="false">IF(G148="","",E148-D148)</f>
        <v/>
      </c>
      <c r="G148" s="0" t="str">
        <f aca="false">IFERROR(INDEX(Calc!$S$2:$S$1001,MATCH(ROW()-1,Calc!$X$2:$X$1001,0)),"")</f>
        <v/>
      </c>
    </row>
    <row r="149" customFormat="false" ht="15" hidden="false" customHeight="false" outlineLevel="0" collapsed="false">
      <c r="A149" s="0" t="str">
        <f aca="false">IFERROR(INDEX(Calc!$L$2:$L$1001,MATCH(ROW()-1,Calc!$X$2:$X$1001,0)),"")</f>
        <v/>
      </c>
      <c r="B149" s="0" t="str">
        <f aca="false">IFERROR(INDEX(Calc!$M$2:$M$1001,MATCH(ROW()-1,Calc!$X$2:$X$1001,0)),"")</f>
        <v/>
      </c>
      <c r="C149" s="0" t="str">
        <f aca="false">IFERROR(INDEX(Calc!$N$2:$N$1001,MATCH(ROW()-1,Calc!$X$2:$X$1001,0)),"")</f>
        <v/>
      </c>
      <c r="D149" s="3" t="str">
        <f aca="false">IFERROR(INDEX(Calc!$O$2:$O$1001,MATCH(ROW()-1,Calc!$X$2:$X$1001,0)),"")</f>
        <v/>
      </c>
      <c r="E149" s="3" t="str">
        <f aca="false">IFERROR(INDEX(Calc!$P$2:$P$1001,MATCH(ROW()-1,Calc!$X$2:$X$1001,0)),"")</f>
        <v/>
      </c>
      <c r="F149" s="3" t="str">
        <f aca="false">IF(G149="","",E149-D149)</f>
        <v/>
      </c>
      <c r="G149" s="0" t="str">
        <f aca="false">IFERROR(INDEX(Calc!$S$2:$S$1001,MATCH(ROW()-1,Calc!$X$2:$X$1001,0)),"")</f>
        <v/>
      </c>
    </row>
    <row r="150" customFormat="false" ht="15" hidden="false" customHeight="false" outlineLevel="0" collapsed="false">
      <c r="A150" s="0" t="str">
        <f aca="false">IFERROR(INDEX(Calc!$L$2:$L$1001,MATCH(ROW()-1,Calc!$X$2:$X$1001,0)),"")</f>
        <v/>
      </c>
      <c r="B150" s="0" t="str">
        <f aca="false">IFERROR(INDEX(Calc!$M$2:$M$1001,MATCH(ROW()-1,Calc!$X$2:$X$1001,0)),"")</f>
        <v/>
      </c>
      <c r="C150" s="0" t="str">
        <f aca="false">IFERROR(INDEX(Calc!$N$2:$N$1001,MATCH(ROW()-1,Calc!$X$2:$X$1001,0)),"")</f>
        <v/>
      </c>
      <c r="D150" s="3" t="str">
        <f aca="false">IFERROR(INDEX(Calc!$O$2:$O$1001,MATCH(ROW()-1,Calc!$X$2:$X$1001,0)),"")</f>
        <v/>
      </c>
      <c r="E150" s="3" t="str">
        <f aca="false">IFERROR(INDEX(Calc!$P$2:$P$1001,MATCH(ROW()-1,Calc!$X$2:$X$1001,0)),"")</f>
        <v/>
      </c>
      <c r="F150" s="3" t="str">
        <f aca="false">IF(G150="","",E150-D150)</f>
        <v/>
      </c>
      <c r="G150" s="0" t="str">
        <f aca="false">IFERROR(INDEX(Calc!$S$2:$S$1001,MATCH(ROW()-1,Calc!$X$2:$X$1001,0)),"")</f>
        <v/>
      </c>
    </row>
    <row r="151" customFormat="false" ht="15" hidden="false" customHeight="false" outlineLevel="0" collapsed="false">
      <c r="A151" s="0" t="str">
        <f aca="false">IFERROR(INDEX(Calc!$L$2:$L$1001,MATCH(ROW()-1,Calc!$X$2:$X$1001,0)),"")</f>
        <v/>
      </c>
      <c r="B151" s="0" t="str">
        <f aca="false">IFERROR(INDEX(Calc!$M$2:$M$1001,MATCH(ROW()-1,Calc!$X$2:$X$1001,0)),"")</f>
        <v/>
      </c>
      <c r="C151" s="0" t="str">
        <f aca="false">IFERROR(INDEX(Calc!$N$2:$N$1001,MATCH(ROW()-1,Calc!$X$2:$X$1001,0)),"")</f>
        <v/>
      </c>
      <c r="D151" s="3" t="str">
        <f aca="false">IFERROR(INDEX(Calc!$O$2:$O$1001,MATCH(ROW()-1,Calc!$X$2:$X$1001,0)),"")</f>
        <v/>
      </c>
      <c r="E151" s="3" t="str">
        <f aca="false">IFERROR(INDEX(Calc!$P$2:$P$1001,MATCH(ROW()-1,Calc!$X$2:$X$1001,0)),"")</f>
        <v/>
      </c>
      <c r="F151" s="3" t="str">
        <f aca="false">IF(G151="","",E151-D151)</f>
        <v/>
      </c>
      <c r="G151" s="0" t="str">
        <f aca="false">IFERROR(INDEX(Calc!$S$2:$S$1001,MATCH(ROW()-1,Calc!$X$2:$X$1001,0)),"")</f>
        <v/>
      </c>
    </row>
    <row r="152" customFormat="false" ht="15" hidden="false" customHeight="false" outlineLevel="0" collapsed="false">
      <c r="A152" s="0" t="str">
        <f aca="false">IFERROR(INDEX(Calc!$L$2:$L$1001,MATCH(ROW()-1,Calc!$X$2:$X$1001,0)),"")</f>
        <v/>
      </c>
      <c r="B152" s="0" t="str">
        <f aca="false">IFERROR(INDEX(Calc!$M$2:$M$1001,MATCH(ROW()-1,Calc!$X$2:$X$1001,0)),"")</f>
        <v/>
      </c>
      <c r="C152" s="0" t="str">
        <f aca="false">IFERROR(INDEX(Calc!$N$2:$N$1001,MATCH(ROW()-1,Calc!$X$2:$X$1001,0)),"")</f>
        <v/>
      </c>
      <c r="D152" s="3" t="str">
        <f aca="false">IFERROR(INDEX(Calc!$O$2:$O$1001,MATCH(ROW()-1,Calc!$X$2:$X$1001,0)),"")</f>
        <v/>
      </c>
      <c r="E152" s="3" t="str">
        <f aca="false">IFERROR(INDEX(Calc!$P$2:$P$1001,MATCH(ROW()-1,Calc!$X$2:$X$1001,0)),"")</f>
        <v/>
      </c>
      <c r="F152" s="3" t="str">
        <f aca="false">IF(G152="","",E152-D152)</f>
        <v/>
      </c>
      <c r="G152" s="0" t="str">
        <f aca="false">IFERROR(INDEX(Calc!$S$2:$S$1001,MATCH(ROW()-1,Calc!$X$2:$X$1001,0)),"")</f>
        <v/>
      </c>
    </row>
    <row r="153" customFormat="false" ht="15" hidden="false" customHeight="false" outlineLevel="0" collapsed="false">
      <c r="A153" s="0" t="str">
        <f aca="false">IFERROR(INDEX(Calc!$L$2:$L$1001,MATCH(ROW()-1,Calc!$X$2:$X$1001,0)),"")</f>
        <v/>
      </c>
      <c r="B153" s="0" t="str">
        <f aca="false">IFERROR(INDEX(Calc!$M$2:$M$1001,MATCH(ROW()-1,Calc!$X$2:$X$1001,0)),"")</f>
        <v/>
      </c>
      <c r="C153" s="0" t="str">
        <f aca="false">IFERROR(INDEX(Calc!$N$2:$N$1001,MATCH(ROW()-1,Calc!$X$2:$X$1001,0)),"")</f>
        <v/>
      </c>
      <c r="D153" s="3" t="str">
        <f aca="false">IFERROR(INDEX(Calc!$O$2:$O$1001,MATCH(ROW()-1,Calc!$X$2:$X$1001,0)),"")</f>
        <v/>
      </c>
      <c r="E153" s="3" t="str">
        <f aca="false">IFERROR(INDEX(Calc!$P$2:$P$1001,MATCH(ROW()-1,Calc!$X$2:$X$1001,0)),"")</f>
        <v/>
      </c>
      <c r="F153" s="3" t="str">
        <f aca="false">IF(G153="","",E153-D153)</f>
        <v/>
      </c>
      <c r="G153" s="0" t="str">
        <f aca="false">IFERROR(INDEX(Calc!$S$2:$S$1001,MATCH(ROW()-1,Calc!$X$2:$X$1001,0)),"")</f>
        <v/>
      </c>
    </row>
    <row r="154" customFormat="false" ht="15" hidden="false" customHeight="false" outlineLevel="0" collapsed="false">
      <c r="A154" s="0" t="str">
        <f aca="false">IFERROR(INDEX(Calc!$L$2:$L$1001,MATCH(ROW()-1,Calc!$X$2:$X$1001,0)),"")</f>
        <v/>
      </c>
      <c r="B154" s="0" t="str">
        <f aca="false">IFERROR(INDEX(Calc!$M$2:$M$1001,MATCH(ROW()-1,Calc!$X$2:$X$1001,0)),"")</f>
        <v/>
      </c>
      <c r="C154" s="0" t="str">
        <f aca="false">IFERROR(INDEX(Calc!$N$2:$N$1001,MATCH(ROW()-1,Calc!$X$2:$X$1001,0)),"")</f>
        <v/>
      </c>
      <c r="D154" s="3" t="str">
        <f aca="false">IFERROR(INDEX(Calc!$O$2:$O$1001,MATCH(ROW()-1,Calc!$X$2:$X$1001,0)),"")</f>
        <v/>
      </c>
      <c r="E154" s="3" t="str">
        <f aca="false">IFERROR(INDEX(Calc!$P$2:$P$1001,MATCH(ROW()-1,Calc!$X$2:$X$1001,0)),"")</f>
        <v/>
      </c>
      <c r="F154" s="3" t="str">
        <f aca="false">IF(G154="","",E154-D154)</f>
        <v/>
      </c>
      <c r="G154" s="0" t="str">
        <f aca="false">IFERROR(INDEX(Calc!$S$2:$S$1001,MATCH(ROW()-1,Calc!$X$2:$X$1001,0)),"")</f>
        <v/>
      </c>
    </row>
    <row r="155" customFormat="false" ht="15" hidden="false" customHeight="false" outlineLevel="0" collapsed="false">
      <c r="A155" s="0" t="str">
        <f aca="false">IFERROR(INDEX(Calc!$L$2:$L$1001,MATCH(ROW()-1,Calc!$X$2:$X$1001,0)),"")</f>
        <v/>
      </c>
      <c r="B155" s="0" t="str">
        <f aca="false">IFERROR(INDEX(Calc!$M$2:$M$1001,MATCH(ROW()-1,Calc!$X$2:$X$1001,0)),"")</f>
        <v/>
      </c>
      <c r="C155" s="0" t="str">
        <f aca="false">IFERROR(INDEX(Calc!$N$2:$N$1001,MATCH(ROW()-1,Calc!$X$2:$X$1001,0)),"")</f>
        <v/>
      </c>
      <c r="D155" s="3" t="str">
        <f aca="false">IFERROR(INDEX(Calc!$O$2:$O$1001,MATCH(ROW()-1,Calc!$X$2:$X$1001,0)),"")</f>
        <v/>
      </c>
      <c r="E155" s="3" t="str">
        <f aca="false">IFERROR(INDEX(Calc!$P$2:$P$1001,MATCH(ROW()-1,Calc!$X$2:$X$1001,0)),"")</f>
        <v/>
      </c>
      <c r="F155" s="3" t="str">
        <f aca="false">IF(G155="","",E155-D155)</f>
        <v/>
      </c>
      <c r="G155" s="0" t="str">
        <f aca="false">IFERROR(INDEX(Calc!$S$2:$S$1001,MATCH(ROW()-1,Calc!$X$2:$X$1001,0)),"")</f>
        <v/>
      </c>
    </row>
    <row r="156" customFormat="false" ht="15" hidden="false" customHeight="false" outlineLevel="0" collapsed="false">
      <c r="A156" s="0" t="str">
        <f aca="false">IFERROR(INDEX(Calc!$L$2:$L$1001,MATCH(ROW()-1,Calc!$X$2:$X$1001,0)),"")</f>
        <v/>
      </c>
      <c r="B156" s="0" t="str">
        <f aca="false">IFERROR(INDEX(Calc!$M$2:$M$1001,MATCH(ROW()-1,Calc!$X$2:$X$1001,0)),"")</f>
        <v/>
      </c>
      <c r="C156" s="0" t="str">
        <f aca="false">IFERROR(INDEX(Calc!$N$2:$N$1001,MATCH(ROW()-1,Calc!$X$2:$X$1001,0)),"")</f>
        <v/>
      </c>
      <c r="D156" s="3" t="str">
        <f aca="false">IFERROR(INDEX(Calc!$O$2:$O$1001,MATCH(ROW()-1,Calc!$X$2:$X$1001,0)),"")</f>
        <v/>
      </c>
      <c r="E156" s="3" t="str">
        <f aca="false">IFERROR(INDEX(Calc!$P$2:$P$1001,MATCH(ROW()-1,Calc!$X$2:$X$1001,0)),"")</f>
        <v/>
      </c>
      <c r="F156" s="3" t="str">
        <f aca="false">IF(G156="","",E156-D156)</f>
        <v/>
      </c>
      <c r="G156" s="0" t="str">
        <f aca="false">IFERROR(INDEX(Calc!$S$2:$S$1001,MATCH(ROW()-1,Calc!$X$2:$X$1001,0)),"")</f>
        <v/>
      </c>
    </row>
    <row r="157" customFormat="false" ht="15" hidden="false" customHeight="false" outlineLevel="0" collapsed="false">
      <c r="A157" s="0" t="str">
        <f aca="false">IFERROR(INDEX(Calc!$L$2:$L$1001,MATCH(ROW()-1,Calc!$X$2:$X$1001,0)),"")</f>
        <v/>
      </c>
      <c r="B157" s="0" t="str">
        <f aca="false">IFERROR(INDEX(Calc!$M$2:$M$1001,MATCH(ROW()-1,Calc!$X$2:$X$1001,0)),"")</f>
        <v/>
      </c>
      <c r="C157" s="0" t="str">
        <f aca="false">IFERROR(INDEX(Calc!$N$2:$N$1001,MATCH(ROW()-1,Calc!$X$2:$X$1001,0)),"")</f>
        <v/>
      </c>
      <c r="D157" s="3" t="str">
        <f aca="false">IFERROR(INDEX(Calc!$O$2:$O$1001,MATCH(ROW()-1,Calc!$X$2:$X$1001,0)),"")</f>
        <v/>
      </c>
      <c r="E157" s="3" t="str">
        <f aca="false">IFERROR(INDEX(Calc!$P$2:$P$1001,MATCH(ROW()-1,Calc!$X$2:$X$1001,0)),"")</f>
        <v/>
      </c>
      <c r="F157" s="3" t="str">
        <f aca="false">IF(G157="","",E157-D157)</f>
        <v/>
      </c>
      <c r="G157" s="0" t="str">
        <f aca="false">IFERROR(INDEX(Calc!$S$2:$S$1001,MATCH(ROW()-1,Calc!$X$2:$X$1001,0)),"")</f>
        <v/>
      </c>
    </row>
    <row r="158" customFormat="false" ht="15" hidden="false" customHeight="false" outlineLevel="0" collapsed="false">
      <c r="A158" s="0" t="str">
        <f aca="false">IFERROR(INDEX(Calc!$L$2:$L$1001,MATCH(ROW()-1,Calc!$X$2:$X$1001,0)),"")</f>
        <v/>
      </c>
      <c r="B158" s="0" t="str">
        <f aca="false">IFERROR(INDEX(Calc!$M$2:$M$1001,MATCH(ROW()-1,Calc!$X$2:$X$1001,0)),"")</f>
        <v/>
      </c>
      <c r="C158" s="0" t="str">
        <f aca="false">IFERROR(INDEX(Calc!$N$2:$N$1001,MATCH(ROW()-1,Calc!$X$2:$X$1001,0)),"")</f>
        <v/>
      </c>
      <c r="D158" s="3" t="str">
        <f aca="false">IFERROR(INDEX(Calc!$O$2:$O$1001,MATCH(ROW()-1,Calc!$X$2:$X$1001,0)),"")</f>
        <v/>
      </c>
      <c r="E158" s="3" t="str">
        <f aca="false">IFERROR(INDEX(Calc!$P$2:$P$1001,MATCH(ROW()-1,Calc!$X$2:$X$1001,0)),"")</f>
        <v/>
      </c>
      <c r="F158" s="3" t="str">
        <f aca="false">IF(G158="","",E158-D158)</f>
        <v/>
      </c>
      <c r="G158" s="0" t="str">
        <f aca="false">IFERROR(INDEX(Calc!$S$2:$S$1001,MATCH(ROW()-1,Calc!$X$2:$X$1001,0)),"")</f>
        <v/>
      </c>
    </row>
    <row r="159" customFormat="false" ht="15" hidden="false" customHeight="false" outlineLevel="0" collapsed="false">
      <c r="A159" s="0" t="str">
        <f aca="false">IFERROR(INDEX(Calc!$L$2:$L$1001,MATCH(ROW()-1,Calc!$X$2:$X$1001,0)),"")</f>
        <v/>
      </c>
      <c r="B159" s="0" t="str">
        <f aca="false">IFERROR(INDEX(Calc!$M$2:$M$1001,MATCH(ROW()-1,Calc!$X$2:$X$1001,0)),"")</f>
        <v/>
      </c>
      <c r="C159" s="0" t="str">
        <f aca="false">IFERROR(INDEX(Calc!$N$2:$N$1001,MATCH(ROW()-1,Calc!$X$2:$X$1001,0)),"")</f>
        <v/>
      </c>
      <c r="D159" s="3" t="str">
        <f aca="false">IFERROR(INDEX(Calc!$O$2:$O$1001,MATCH(ROW()-1,Calc!$X$2:$X$1001,0)),"")</f>
        <v/>
      </c>
      <c r="E159" s="3" t="str">
        <f aca="false">IFERROR(INDEX(Calc!$P$2:$P$1001,MATCH(ROW()-1,Calc!$X$2:$X$1001,0)),"")</f>
        <v/>
      </c>
      <c r="F159" s="3" t="str">
        <f aca="false">IF(G159="","",E159-D159)</f>
        <v/>
      </c>
      <c r="G159" s="0" t="str">
        <f aca="false">IFERROR(INDEX(Calc!$S$2:$S$1001,MATCH(ROW()-1,Calc!$X$2:$X$1001,0)),"")</f>
        <v/>
      </c>
    </row>
    <row r="160" customFormat="false" ht="15" hidden="false" customHeight="false" outlineLevel="0" collapsed="false">
      <c r="A160" s="0" t="str">
        <f aca="false">IFERROR(INDEX(Calc!$L$2:$L$1001,MATCH(ROW()-1,Calc!$X$2:$X$1001,0)),"")</f>
        <v/>
      </c>
      <c r="B160" s="0" t="str">
        <f aca="false">IFERROR(INDEX(Calc!$M$2:$M$1001,MATCH(ROW()-1,Calc!$X$2:$X$1001,0)),"")</f>
        <v/>
      </c>
      <c r="C160" s="0" t="str">
        <f aca="false">IFERROR(INDEX(Calc!$N$2:$N$1001,MATCH(ROW()-1,Calc!$X$2:$X$1001,0)),"")</f>
        <v/>
      </c>
      <c r="D160" s="3" t="str">
        <f aca="false">IFERROR(INDEX(Calc!$O$2:$O$1001,MATCH(ROW()-1,Calc!$X$2:$X$1001,0)),"")</f>
        <v/>
      </c>
      <c r="E160" s="3" t="str">
        <f aca="false">IFERROR(INDEX(Calc!$P$2:$P$1001,MATCH(ROW()-1,Calc!$X$2:$X$1001,0)),"")</f>
        <v/>
      </c>
      <c r="F160" s="3" t="str">
        <f aca="false">IF(G160="","",E160-D160)</f>
        <v/>
      </c>
      <c r="G160" s="0" t="str">
        <f aca="false">IFERROR(INDEX(Calc!$S$2:$S$1001,MATCH(ROW()-1,Calc!$X$2:$X$1001,0)),"")</f>
        <v/>
      </c>
    </row>
    <row r="161" customFormat="false" ht="15" hidden="false" customHeight="false" outlineLevel="0" collapsed="false">
      <c r="A161" s="0" t="str">
        <f aca="false">IFERROR(INDEX(Calc!$L$2:$L$1001,MATCH(ROW()-1,Calc!$X$2:$X$1001,0)),"")</f>
        <v/>
      </c>
      <c r="B161" s="0" t="str">
        <f aca="false">IFERROR(INDEX(Calc!$M$2:$M$1001,MATCH(ROW()-1,Calc!$X$2:$X$1001,0)),"")</f>
        <v/>
      </c>
      <c r="C161" s="0" t="str">
        <f aca="false">IFERROR(INDEX(Calc!$N$2:$N$1001,MATCH(ROW()-1,Calc!$X$2:$X$1001,0)),"")</f>
        <v/>
      </c>
      <c r="D161" s="3" t="str">
        <f aca="false">IFERROR(INDEX(Calc!$O$2:$O$1001,MATCH(ROW()-1,Calc!$X$2:$X$1001,0)),"")</f>
        <v/>
      </c>
      <c r="E161" s="3" t="str">
        <f aca="false">IFERROR(INDEX(Calc!$P$2:$P$1001,MATCH(ROW()-1,Calc!$X$2:$X$1001,0)),"")</f>
        <v/>
      </c>
      <c r="F161" s="3" t="str">
        <f aca="false">IF(G161="","",E161-D161)</f>
        <v/>
      </c>
      <c r="G161" s="0" t="str">
        <f aca="false">IFERROR(INDEX(Calc!$S$2:$S$1001,MATCH(ROW()-1,Calc!$X$2:$X$1001,0)),"")</f>
        <v/>
      </c>
    </row>
    <row r="162" customFormat="false" ht="15" hidden="false" customHeight="false" outlineLevel="0" collapsed="false">
      <c r="A162" s="0" t="str">
        <f aca="false">IFERROR(INDEX(Calc!$L$2:$L$1001,MATCH(ROW()-1,Calc!$X$2:$X$1001,0)),"")</f>
        <v/>
      </c>
      <c r="B162" s="0" t="str">
        <f aca="false">IFERROR(INDEX(Calc!$M$2:$M$1001,MATCH(ROW()-1,Calc!$X$2:$X$1001,0)),"")</f>
        <v/>
      </c>
      <c r="C162" s="0" t="str">
        <f aca="false">IFERROR(INDEX(Calc!$N$2:$N$1001,MATCH(ROW()-1,Calc!$X$2:$X$1001,0)),"")</f>
        <v/>
      </c>
      <c r="D162" s="3" t="str">
        <f aca="false">IFERROR(INDEX(Calc!$O$2:$O$1001,MATCH(ROW()-1,Calc!$X$2:$X$1001,0)),"")</f>
        <v/>
      </c>
      <c r="E162" s="3" t="str">
        <f aca="false">IFERROR(INDEX(Calc!$P$2:$P$1001,MATCH(ROW()-1,Calc!$X$2:$X$1001,0)),"")</f>
        <v/>
      </c>
      <c r="F162" s="3" t="str">
        <f aca="false">IF(G162="","",E162-D162)</f>
        <v/>
      </c>
      <c r="G162" s="0" t="str">
        <f aca="false">IFERROR(INDEX(Calc!$S$2:$S$1001,MATCH(ROW()-1,Calc!$X$2:$X$1001,0)),"")</f>
        <v/>
      </c>
    </row>
    <row r="163" customFormat="false" ht="15" hidden="false" customHeight="false" outlineLevel="0" collapsed="false">
      <c r="A163" s="0" t="str">
        <f aca="false">IFERROR(INDEX(Calc!$L$2:$L$1001,MATCH(ROW()-1,Calc!$X$2:$X$1001,0)),"")</f>
        <v/>
      </c>
      <c r="B163" s="0" t="str">
        <f aca="false">IFERROR(INDEX(Calc!$M$2:$M$1001,MATCH(ROW()-1,Calc!$X$2:$X$1001,0)),"")</f>
        <v/>
      </c>
      <c r="C163" s="0" t="str">
        <f aca="false">IFERROR(INDEX(Calc!$N$2:$N$1001,MATCH(ROW()-1,Calc!$X$2:$X$1001,0)),"")</f>
        <v/>
      </c>
      <c r="D163" s="3" t="str">
        <f aca="false">IFERROR(INDEX(Calc!$O$2:$O$1001,MATCH(ROW()-1,Calc!$X$2:$X$1001,0)),"")</f>
        <v/>
      </c>
      <c r="E163" s="3" t="str">
        <f aca="false">IFERROR(INDEX(Calc!$P$2:$P$1001,MATCH(ROW()-1,Calc!$X$2:$X$1001,0)),"")</f>
        <v/>
      </c>
      <c r="F163" s="3" t="str">
        <f aca="false">IF(G163="","",E163-D163)</f>
        <v/>
      </c>
      <c r="G163" s="0" t="str">
        <f aca="false">IFERROR(INDEX(Calc!$S$2:$S$1001,MATCH(ROW()-1,Calc!$X$2:$X$1001,0)),"")</f>
        <v/>
      </c>
    </row>
    <row r="164" customFormat="false" ht="15" hidden="false" customHeight="false" outlineLevel="0" collapsed="false">
      <c r="A164" s="0" t="str">
        <f aca="false">IFERROR(INDEX(Calc!$L$2:$L$1001,MATCH(ROW()-1,Calc!$X$2:$X$1001,0)),"")</f>
        <v/>
      </c>
      <c r="B164" s="0" t="str">
        <f aca="false">IFERROR(INDEX(Calc!$M$2:$M$1001,MATCH(ROW()-1,Calc!$X$2:$X$1001,0)),"")</f>
        <v/>
      </c>
      <c r="C164" s="0" t="str">
        <f aca="false">IFERROR(INDEX(Calc!$N$2:$N$1001,MATCH(ROW()-1,Calc!$X$2:$X$1001,0)),"")</f>
        <v/>
      </c>
      <c r="D164" s="3" t="str">
        <f aca="false">IFERROR(INDEX(Calc!$O$2:$O$1001,MATCH(ROW()-1,Calc!$X$2:$X$1001,0)),"")</f>
        <v/>
      </c>
      <c r="E164" s="3" t="str">
        <f aca="false">IFERROR(INDEX(Calc!$P$2:$P$1001,MATCH(ROW()-1,Calc!$X$2:$X$1001,0)),"")</f>
        <v/>
      </c>
      <c r="F164" s="3" t="str">
        <f aca="false">IF(G164="","",E164-D164)</f>
        <v/>
      </c>
      <c r="G164" s="0" t="str">
        <f aca="false">IFERROR(INDEX(Calc!$S$2:$S$1001,MATCH(ROW()-1,Calc!$X$2:$X$1001,0)),"")</f>
        <v/>
      </c>
    </row>
    <row r="165" customFormat="false" ht="15" hidden="false" customHeight="false" outlineLevel="0" collapsed="false">
      <c r="A165" s="0" t="str">
        <f aca="false">IFERROR(INDEX(Calc!$L$2:$L$1001,MATCH(ROW()-1,Calc!$X$2:$X$1001,0)),"")</f>
        <v/>
      </c>
      <c r="B165" s="0" t="str">
        <f aca="false">IFERROR(INDEX(Calc!$M$2:$M$1001,MATCH(ROW()-1,Calc!$X$2:$X$1001,0)),"")</f>
        <v/>
      </c>
      <c r="C165" s="0" t="str">
        <f aca="false">IFERROR(INDEX(Calc!$N$2:$N$1001,MATCH(ROW()-1,Calc!$X$2:$X$1001,0)),"")</f>
        <v/>
      </c>
      <c r="D165" s="3" t="str">
        <f aca="false">IFERROR(INDEX(Calc!$O$2:$O$1001,MATCH(ROW()-1,Calc!$X$2:$X$1001,0)),"")</f>
        <v/>
      </c>
      <c r="E165" s="3" t="str">
        <f aca="false">IFERROR(INDEX(Calc!$P$2:$P$1001,MATCH(ROW()-1,Calc!$X$2:$X$1001,0)),"")</f>
        <v/>
      </c>
      <c r="F165" s="3" t="str">
        <f aca="false">IF(G165="","",E165-D165)</f>
        <v/>
      </c>
      <c r="G165" s="0" t="str">
        <f aca="false">IFERROR(INDEX(Calc!$S$2:$S$1001,MATCH(ROW()-1,Calc!$X$2:$X$1001,0)),"")</f>
        <v/>
      </c>
    </row>
    <row r="166" customFormat="false" ht="15" hidden="false" customHeight="false" outlineLevel="0" collapsed="false">
      <c r="A166" s="0" t="str">
        <f aca="false">IFERROR(INDEX(Calc!$L$2:$L$1001,MATCH(ROW()-1,Calc!$X$2:$X$1001,0)),"")</f>
        <v/>
      </c>
      <c r="B166" s="0" t="str">
        <f aca="false">IFERROR(INDEX(Calc!$M$2:$M$1001,MATCH(ROW()-1,Calc!$X$2:$X$1001,0)),"")</f>
        <v/>
      </c>
      <c r="C166" s="0" t="str">
        <f aca="false">IFERROR(INDEX(Calc!$N$2:$N$1001,MATCH(ROW()-1,Calc!$X$2:$X$1001,0)),"")</f>
        <v/>
      </c>
      <c r="D166" s="3" t="str">
        <f aca="false">IFERROR(INDEX(Calc!$O$2:$O$1001,MATCH(ROW()-1,Calc!$X$2:$X$1001,0)),"")</f>
        <v/>
      </c>
      <c r="E166" s="3" t="str">
        <f aca="false">IFERROR(INDEX(Calc!$P$2:$P$1001,MATCH(ROW()-1,Calc!$X$2:$X$1001,0)),"")</f>
        <v/>
      </c>
      <c r="F166" s="3" t="str">
        <f aca="false">IF(G166="","",E166-D166)</f>
        <v/>
      </c>
      <c r="G166" s="0" t="str">
        <f aca="false">IFERROR(INDEX(Calc!$S$2:$S$1001,MATCH(ROW()-1,Calc!$X$2:$X$1001,0)),"")</f>
        <v/>
      </c>
    </row>
    <row r="167" customFormat="false" ht="15" hidden="false" customHeight="false" outlineLevel="0" collapsed="false">
      <c r="A167" s="0" t="str">
        <f aca="false">IFERROR(INDEX(Calc!$L$2:$L$1001,MATCH(ROW()-1,Calc!$X$2:$X$1001,0)),"")</f>
        <v/>
      </c>
      <c r="B167" s="0" t="str">
        <f aca="false">IFERROR(INDEX(Calc!$M$2:$M$1001,MATCH(ROW()-1,Calc!$X$2:$X$1001,0)),"")</f>
        <v/>
      </c>
      <c r="C167" s="0" t="str">
        <f aca="false">IFERROR(INDEX(Calc!$N$2:$N$1001,MATCH(ROW()-1,Calc!$X$2:$X$1001,0)),"")</f>
        <v/>
      </c>
      <c r="D167" s="3" t="str">
        <f aca="false">IFERROR(INDEX(Calc!$O$2:$O$1001,MATCH(ROW()-1,Calc!$X$2:$X$1001,0)),"")</f>
        <v/>
      </c>
      <c r="E167" s="3" t="str">
        <f aca="false">IFERROR(INDEX(Calc!$P$2:$P$1001,MATCH(ROW()-1,Calc!$X$2:$X$1001,0)),"")</f>
        <v/>
      </c>
      <c r="F167" s="3" t="str">
        <f aca="false">IF(G167="","",E167-D167)</f>
        <v/>
      </c>
      <c r="G167" s="0" t="str">
        <f aca="false">IFERROR(INDEX(Calc!$S$2:$S$1001,MATCH(ROW()-1,Calc!$X$2:$X$1001,0)),"")</f>
        <v/>
      </c>
    </row>
    <row r="168" customFormat="false" ht="15" hidden="false" customHeight="false" outlineLevel="0" collapsed="false">
      <c r="A168" s="0" t="str">
        <f aca="false">IFERROR(INDEX(Calc!$L$2:$L$1001,MATCH(ROW()-1,Calc!$X$2:$X$1001,0)),"")</f>
        <v/>
      </c>
      <c r="B168" s="0" t="str">
        <f aca="false">IFERROR(INDEX(Calc!$M$2:$M$1001,MATCH(ROW()-1,Calc!$X$2:$X$1001,0)),"")</f>
        <v/>
      </c>
      <c r="C168" s="0" t="str">
        <f aca="false">IFERROR(INDEX(Calc!$N$2:$N$1001,MATCH(ROW()-1,Calc!$X$2:$X$1001,0)),"")</f>
        <v/>
      </c>
      <c r="D168" s="3" t="str">
        <f aca="false">IFERROR(INDEX(Calc!$O$2:$O$1001,MATCH(ROW()-1,Calc!$X$2:$X$1001,0)),"")</f>
        <v/>
      </c>
      <c r="E168" s="3" t="str">
        <f aca="false">IFERROR(INDEX(Calc!$P$2:$P$1001,MATCH(ROW()-1,Calc!$X$2:$X$1001,0)),"")</f>
        <v/>
      </c>
      <c r="F168" s="3" t="str">
        <f aca="false">IF(G168="","",E168-D168)</f>
        <v/>
      </c>
      <c r="G168" s="0" t="str">
        <f aca="false">IFERROR(INDEX(Calc!$S$2:$S$1001,MATCH(ROW()-1,Calc!$X$2:$X$1001,0)),"")</f>
        <v/>
      </c>
    </row>
    <row r="169" customFormat="false" ht="15" hidden="false" customHeight="false" outlineLevel="0" collapsed="false">
      <c r="A169" s="0" t="str">
        <f aca="false">IFERROR(INDEX(Calc!$L$2:$L$1001,MATCH(ROW()-1,Calc!$X$2:$X$1001,0)),"")</f>
        <v/>
      </c>
      <c r="B169" s="0" t="str">
        <f aca="false">IFERROR(INDEX(Calc!$M$2:$M$1001,MATCH(ROW()-1,Calc!$X$2:$X$1001,0)),"")</f>
        <v/>
      </c>
      <c r="C169" s="0" t="str">
        <f aca="false">IFERROR(INDEX(Calc!$N$2:$N$1001,MATCH(ROW()-1,Calc!$X$2:$X$1001,0)),"")</f>
        <v/>
      </c>
      <c r="D169" s="3" t="str">
        <f aca="false">IFERROR(INDEX(Calc!$O$2:$O$1001,MATCH(ROW()-1,Calc!$X$2:$X$1001,0)),"")</f>
        <v/>
      </c>
      <c r="E169" s="3" t="str">
        <f aca="false">IFERROR(INDEX(Calc!$P$2:$P$1001,MATCH(ROW()-1,Calc!$X$2:$X$1001,0)),"")</f>
        <v/>
      </c>
      <c r="F169" s="3" t="str">
        <f aca="false">IF(G169="","",E169-D169)</f>
        <v/>
      </c>
      <c r="G169" s="0" t="str">
        <f aca="false">IFERROR(INDEX(Calc!$S$2:$S$1001,MATCH(ROW()-1,Calc!$X$2:$X$1001,0)),"")</f>
        <v/>
      </c>
    </row>
    <row r="170" customFormat="false" ht="15" hidden="false" customHeight="false" outlineLevel="0" collapsed="false">
      <c r="A170" s="0" t="str">
        <f aca="false">IFERROR(INDEX(Calc!$L$2:$L$1001,MATCH(ROW()-1,Calc!$X$2:$X$1001,0)),"")</f>
        <v/>
      </c>
      <c r="B170" s="0" t="str">
        <f aca="false">IFERROR(INDEX(Calc!$M$2:$M$1001,MATCH(ROW()-1,Calc!$X$2:$X$1001,0)),"")</f>
        <v/>
      </c>
      <c r="C170" s="0" t="str">
        <f aca="false">IFERROR(INDEX(Calc!$N$2:$N$1001,MATCH(ROW()-1,Calc!$X$2:$X$1001,0)),"")</f>
        <v/>
      </c>
      <c r="D170" s="3" t="str">
        <f aca="false">IFERROR(INDEX(Calc!$O$2:$O$1001,MATCH(ROW()-1,Calc!$X$2:$X$1001,0)),"")</f>
        <v/>
      </c>
      <c r="E170" s="3" t="str">
        <f aca="false">IFERROR(INDEX(Calc!$P$2:$P$1001,MATCH(ROW()-1,Calc!$X$2:$X$1001,0)),"")</f>
        <v/>
      </c>
      <c r="F170" s="3" t="str">
        <f aca="false">IF(G170="","",E170-D170)</f>
        <v/>
      </c>
      <c r="G170" s="0" t="str">
        <f aca="false">IFERROR(INDEX(Calc!$S$2:$S$1001,MATCH(ROW()-1,Calc!$X$2:$X$1001,0)),"")</f>
        <v/>
      </c>
    </row>
    <row r="171" customFormat="false" ht="15" hidden="false" customHeight="false" outlineLevel="0" collapsed="false">
      <c r="A171" s="0" t="str">
        <f aca="false">IFERROR(INDEX(Calc!$L$2:$L$1001,MATCH(ROW()-1,Calc!$X$2:$X$1001,0)),"")</f>
        <v/>
      </c>
      <c r="B171" s="0" t="str">
        <f aca="false">IFERROR(INDEX(Calc!$M$2:$M$1001,MATCH(ROW()-1,Calc!$X$2:$X$1001,0)),"")</f>
        <v/>
      </c>
      <c r="C171" s="0" t="str">
        <f aca="false">IFERROR(INDEX(Calc!$N$2:$N$1001,MATCH(ROW()-1,Calc!$X$2:$X$1001,0)),"")</f>
        <v/>
      </c>
      <c r="D171" s="3" t="str">
        <f aca="false">IFERROR(INDEX(Calc!$O$2:$O$1001,MATCH(ROW()-1,Calc!$X$2:$X$1001,0)),"")</f>
        <v/>
      </c>
      <c r="E171" s="3" t="str">
        <f aca="false">IFERROR(INDEX(Calc!$P$2:$P$1001,MATCH(ROW()-1,Calc!$X$2:$X$1001,0)),"")</f>
        <v/>
      </c>
      <c r="F171" s="3" t="str">
        <f aca="false">IF(G171="","",E171-D171)</f>
        <v/>
      </c>
      <c r="G171" s="0" t="str">
        <f aca="false">IFERROR(INDEX(Calc!$S$2:$S$1001,MATCH(ROW()-1,Calc!$X$2:$X$1001,0)),"")</f>
        <v/>
      </c>
    </row>
    <row r="172" customFormat="false" ht="15" hidden="false" customHeight="false" outlineLevel="0" collapsed="false">
      <c r="A172" s="0" t="str">
        <f aca="false">IFERROR(INDEX(Calc!$L$2:$L$1001,MATCH(ROW()-1,Calc!$X$2:$X$1001,0)),"")</f>
        <v/>
      </c>
      <c r="B172" s="0" t="str">
        <f aca="false">IFERROR(INDEX(Calc!$M$2:$M$1001,MATCH(ROW()-1,Calc!$X$2:$X$1001,0)),"")</f>
        <v/>
      </c>
      <c r="C172" s="0" t="str">
        <f aca="false">IFERROR(INDEX(Calc!$N$2:$N$1001,MATCH(ROW()-1,Calc!$X$2:$X$1001,0)),"")</f>
        <v/>
      </c>
      <c r="D172" s="3" t="str">
        <f aca="false">IFERROR(INDEX(Calc!$O$2:$O$1001,MATCH(ROW()-1,Calc!$X$2:$X$1001,0)),"")</f>
        <v/>
      </c>
      <c r="E172" s="3" t="str">
        <f aca="false">IFERROR(INDEX(Calc!$P$2:$P$1001,MATCH(ROW()-1,Calc!$X$2:$X$1001,0)),"")</f>
        <v/>
      </c>
      <c r="F172" s="3" t="str">
        <f aca="false">IF(G172="","",E172-D172)</f>
        <v/>
      </c>
      <c r="G172" s="0" t="str">
        <f aca="false">IFERROR(INDEX(Calc!$S$2:$S$1001,MATCH(ROW()-1,Calc!$X$2:$X$1001,0)),"")</f>
        <v/>
      </c>
    </row>
    <row r="173" customFormat="false" ht="15" hidden="false" customHeight="false" outlineLevel="0" collapsed="false">
      <c r="A173" s="0" t="str">
        <f aca="false">IFERROR(INDEX(Calc!$L$2:$L$1001,MATCH(ROW()-1,Calc!$X$2:$X$1001,0)),"")</f>
        <v/>
      </c>
      <c r="B173" s="0" t="str">
        <f aca="false">IFERROR(INDEX(Calc!$M$2:$M$1001,MATCH(ROW()-1,Calc!$X$2:$X$1001,0)),"")</f>
        <v/>
      </c>
      <c r="C173" s="0" t="str">
        <f aca="false">IFERROR(INDEX(Calc!$N$2:$N$1001,MATCH(ROW()-1,Calc!$X$2:$X$1001,0)),"")</f>
        <v/>
      </c>
      <c r="D173" s="3" t="str">
        <f aca="false">IFERROR(INDEX(Calc!$O$2:$O$1001,MATCH(ROW()-1,Calc!$X$2:$X$1001,0)),"")</f>
        <v/>
      </c>
      <c r="E173" s="3" t="str">
        <f aca="false">IFERROR(INDEX(Calc!$P$2:$P$1001,MATCH(ROW()-1,Calc!$X$2:$X$1001,0)),"")</f>
        <v/>
      </c>
      <c r="F173" s="3" t="str">
        <f aca="false">IF(G173="","",E173-D173)</f>
        <v/>
      </c>
      <c r="G173" s="0" t="str">
        <f aca="false">IFERROR(INDEX(Calc!$S$2:$S$1001,MATCH(ROW()-1,Calc!$X$2:$X$1001,0)),"")</f>
        <v/>
      </c>
    </row>
    <row r="174" customFormat="false" ht="15" hidden="false" customHeight="false" outlineLevel="0" collapsed="false">
      <c r="A174" s="0" t="str">
        <f aca="false">IFERROR(INDEX(Calc!$L$2:$L$1001,MATCH(ROW()-1,Calc!$X$2:$X$1001,0)),"")</f>
        <v/>
      </c>
      <c r="B174" s="0" t="str">
        <f aca="false">IFERROR(INDEX(Calc!$M$2:$M$1001,MATCH(ROW()-1,Calc!$X$2:$X$1001,0)),"")</f>
        <v/>
      </c>
      <c r="C174" s="0" t="str">
        <f aca="false">IFERROR(INDEX(Calc!$N$2:$N$1001,MATCH(ROW()-1,Calc!$X$2:$X$1001,0)),"")</f>
        <v/>
      </c>
      <c r="D174" s="3" t="str">
        <f aca="false">IFERROR(INDEX(Calc!$O$2:$O$1001,MATCH(ROW()-1,Calc!$X$2:$X$1001,0)),"")</f>
        <v/>
      </c>
      <c r="E174" s="3" t="str">
        <f aca="false">IFERROR(INDEX(Calc!$P$2:$P$1001,MATCH(ROW()-1,Calc!$X$2:$X$1001,0)),"")</f>
        <v/>
      </c>
      <c r="F174" s="3" t="str">
        <f aca="false">IF(G174="","",E174-D174)</f>
        <v/>
      </c>
      <c r="G174" s="0" t="str">
        <f aca="false">IFERROR(INDEX(Calc!$S$2:$S$1001,MATCH(ROW()-1,Calc!$X$2:$X$1001,0)),"")</f>
        <v/>
      </c>
    </row>
    <row r="175" customFormat="false" ht="15" hidden="false" customHeight="false" outlineLevel="0" collapsed="false">
      <c r="A175" s="0" t="str">
        <f aca="false">IFERROR(INDEX(Calc!$L$2:$L$1001,MATCH(ROW()-1,Calc!$X$2:$X$1001,0)),"")</f>
        <v/>
      </c>
      <c r="B175" s="0" t="str">
        <f aca="false">IFERROR(INDEX(Calc!$M$2:$M$1001,MATCH(ROW()-1,Calc!$X$2:$X$1001,0)),"")</f>
        <v/>
      </c>
      <c r="C175" s="0" t="str">
        <f aca="false">IFERROR(INDEX(Calc!$N$2:$N$1001,MATCH(ROW()-1,Calc!$X$2:$X$1001,0)),"")</f>
        <v/>
      </c>
      <c r="D175" s="3" t="str">
        <f aca="false">IFERROR(INDEX(Calc!$O$2:$O$1001,MATCH(ROW()-1,Calc!$X$2:$X$1001,0)),"")</f>
        <v/>
      </c>
      <c r="E175" s="3" t="str">
        <f aca="false">IFERROR(INDEX(Calc!$P$2:$P$1001,MATCH(ROW()-1,Calc!$X$2:$X$1001,0)),"")</f>
        <v/>
      </c>
      <c r="F175" s="3" t="str">
        <f aca="false">IF(G175="","",E175-D175)</f>
        <v/>
      </c>
      <c r="G175" s="0" t="str">
        <f aca="false">IFERROR(INDEX(Calc!$S$2:$S$1001,MATCH(ROW()-1,Calc!$X$2:$X$1001,0)),"")</f>
        <v/>
      </c>
    </row>
    <row r="176" customFormat="false" ht="15" hidden="false" customHeight="false" outlineLevel="0" collapsed="false">
      <c r="A176" s="0" t="str">
        <f aca="false">IFERROR(INDEX(Calc!$L$2:$L$1001,MATCH(ROW()-1,Calc!$X$2:$X$1001,0)),"")</f>
        <v/>
      </c>
      <c r="B176" s="0" t="str">
        <f aca="false">IFERROR(INDEX(Calc!$M$2:$M$1001,MATCH(ROW()-1,Calc!$X$2:$X$1001,0)),"")</f>
        <v/>
      </c>
      <c r="C176" s="0" t="str">
        <f aca="false">IFERROR(INDEX(Calc!$N$2:$N$1001,MATCH(ROW()-1,Calc!$X$2:$X$1001,0)),"")</f>
        <v/>
      </c>
      <c r="D176" s="3" t="str">
        <f aca="false">IFERROR(INDEX(Calc!$O$2:$O$1001,MATCH(ROW()-1,Calc!$X$2:$X$1001,0)),"")</f>
        <v/>
      </c>
      <c r="E176" s="3" t="str">
        <f aca="false">IFERROR(INDEX(Calc!$P$2:$P$1001,MATCH(ROW()-1,Calc!$X$2:$X$1001,0)),"")</f>
        <v/>
      </c>
      <c r="F176" s="3" t="str">
        <f aca="false">IF(G176="","",E176-D176)</f>
        <v/>
      </c>
      <c r="G176" s="0" t="str">
        <f aca="false">IFERROR(INDEX(Calc!$S$2:$S$1001,MATCH(ROW()-1,Calc!$X$2:$X$1001,0)),"")</f>
        <v/>
      </c>
    </row>
    <row r="177" customFormat="false" ht="15" hidden="false" customHeight="false" outlineLevel="0" collapsed="false">
      <c r="A177" s="0" t="str">
        <f aca="false">IFERROR(INDEX(Calc!$L$2:$L$1001,MATCH(ROW()-1,Calc!$X$2:$X$1001,0)),"")</f>
        <v/>
      </c>
      <c r="B177" s="0" t="str">
        <f aca="false">IFERROR(INDEX(Calc!$M$2:$M$1001,MATCH(ROW()-1,Calc!$X$2:$X$1001,0)),"")</f>
        <v/>
      </c>
      <c r="C177" s="0" t="str">
        <f aca="false">IFERROR(INDEX(Calc!$N$2:$N$1001,MATCH(ROW()-1,Calc!$X$2:$X$1001,0)),"")</f>
        <v/>
      </c>
      <c r="D177" s="3" t="str">
        <f aca="false">IFERROR(INDEX(Calc!$O$2:$O$1001,MATCH(ROW()-1,Calc!$X$2:$X$1001,0)),"")</f>
        <v/>
      </c>
      <c r="E177" s="3" t="str">
        <f aca="false">IFERROR(INDEX(Calc!$P$2:$P$1001,MATCH(ROW()-1,Calc!$X$2:$X$1001,0)),"")</f>
        <v/>
      </c>
      <c r="F177" s="3" t="str">
        <f aca="false">IF(G177="","",E177-D177)</f>
        <v/>
      </c>
      <c r="G177" s="0" t="str">
        <f aca="false">IFERROR(INDEX(Calc!$S$2:$S$1001,MATCH(ROW()-1,Calc!$X$2:$X$1001,0)),"")</f>
        <v/>
      </c>
    </row>
    <row r="178" customFormat="false" ht="15" hidden="false" customHeight="false" outlineLevel="0" collapsed="false">
      <c r="A178" s="0" t="str">
        <f aca="false">IFERROR(INDEX(Calc!$L$2:$L$1001,MATCH(ROW()-1,Calc!$X$2:$X$1001,0)),"")</f>
        <v/>
      </c>
      <c r="B178" s="0" t="str">
        <f aca="false">IFERROR(INDEX(Calc!$M$2:$M$1001,MATCH(ROW()-1,Calc!$X$2:$X$1001,0)),"")</f>
        <v/>
      </c>
      <c r="C178" s="0" t="str">
        <f aca="false">IFERROR(INDEX(Calc!$N$2:$N$1001,MATCH(ROW()-1,Calc!$X$2:$X$1001,0)),"")</f>
        <v/>
      </c>
      <c r="D178" s="3" t="str">
        <f aca="false">IFERROR(INDEX(Calc!$O$2:$O$1001,MATCH(ROW()-1,Calc!$X$2:$X$1001,0)),"")</f>
        <v/>
      </c>
      <c r="E178" s="3" t="str">
        <f aca="false">IFERROR(INDEX(Calc!$P$2:$P$1001,MATCH(ROW()-1,Calc!$X$2:$X$1001,0)),"")</f>
        <v/>
      </c>
      <c r="F178" s="3" t="str">
        <f aca="false">IF(G178="","",E178-D178)</f>
        <v/>
      </c>
      <c r="G178" s="0" t="str">
        <f aca="false">IFERROR(INDEX(Calc!$S$2:$S$1001,MATCH(ROW()-1,Calc!$X$2:$X$1001,0)),"")</f>
        <v/>
      </c>
    </row>
    <row r="179" customFormat="false" ht="15" hidden="false" customHeight="false" outlineLevel="0" collapsed="false">
      <c r="A179" s="0" t="str">
        <f aca="false">IFERROR(INDEX(Calc!$L$2:$L$1001,MATCH(ROW()-1,Calc!$X$2:$X$1001,0)),"")</f>
        <v/>
      </c>
      <c r="B179" s="0" t="str">
        <f aca="false">IFERROR(INDEX(Calc!$M$2:$M$1001,MATCH(ROW()-1,Calc!$X$2:$X$1001,0)),"")</f>
        <v/>
      </c>
      <c r="C179" s="0" t="str">
        <f aca="false">IFERROR(INDEX(Calc!$N$2:$N$1001,MATCH(ROW()-1,Calc!$X$2:$X$1001,0)),"")</f>
        <v/>
      </c>
      <c r="D179" s="3" t="str">
        <f aca="false">IFERROR(INDEX(Calc!$O$2:$O$1001,MATCH(ROW()-1,Calc!$X$2:$X$1001,0)),"")</f>
        <v/>
      </c>
      <c r="E179" s="3" t="str">
        <f aca="false">IFERROR(INDEX(Calc!$P$2:$P$1001,MATCH(ROW()-1,Calc!$X$2:$X$1001,0)),"")</f>
        <v/>
      </c>
      <c r="F179" s="3" t="str">
        <f aca="false">IF(G179="","",E179-D179)</f>
        <v/>
      </c>
      <c r="G179" s="0" t="str">
        <f aca="false">IFERROR(INDEX(Calc!$S$2:$S$1001,MATCH(ROW()-1,Calc!$X$2:$X$1001,0)),"")</f>
        <v/>
      </c>
    </row>
    <row r="180" customFormat="false" ht="15" hidden="false" customHeight="false" outlineLevel="0" collapsed="false">
      <c r="A180" s="0" t="str">
        <f aca="false">IFERROR(INDEX(Calc!$L$2:$L$1001,MATCH(ROW()-1,Calc!$X$2:$X$1001,0)),"")</f>
        <v/>
      </c>
      <c r="B180" s="0" t="str">
        <f aca="false">IFERROR(INDEX(Calc!$M$2:$M$1001,MATCH(ROW()-1,Calc!$X$2:$X$1001,0)),"")</f>
        <v/>
      </c>
      <c r="C180" s="0" t="str">
        <f aca="false">IFERROR(INDEX(Calc!$N$2:$N$1001,MATCH(ROW()-1,Calc!$X$2:$X$1001,0)),"")</f>
        <v/>
      </c>
      <c r="D180" s="3" t="str">
        <f aca="false">IFERROR(INDEX(Calc!$O$2:$O$1001,MATCH(ROW()-1,Calc!$X$2:$X$1001,0)),"")</f>
        <v/>
      </c>
      <c r="E180" s="3" t="str">
        <f aca="false">IFERROR(INDEX(Calc!$P$2:$P$1001,MATCH(ROW()-1,Calc!$X$2:$X$1001,0)),"")</f>
        <v/>
      </c>
      <c r="F180" s="3" t="str">
        <f aca="false">IF(G180="","",E180-D180)</f>
        <v/>
      </c>
      <c r="G180" s="0" t="str">
        <f aca="false">IFERROR(INDEX(Calc!$S$2:$S$1001,MATCH(ROW()-1,Calc!$X$2:$X$1001,0)),"")</f>
        <v/>
      </c>
    </row>
    <row r="181" customFormat="false" ht="15" hidden="false" customHeight="false" outlineLevel="0" collapsed="false">
      <c r="A181" s="0" t="str">
        <f aca="false">IFERROR(INDEX(Calc!$L$2:$L$1001,MATCH(ROW()-1,Calc!$X$2:$X$1001,0)),"")</f>
        <v/>
      </c>
      <c r="B181" s="0" t="str">
        <f aca="false">IFERROR(INDEX(Calc!$M$2:$M$1001,MATCH(ROW()-1,Calc!$X$2:$X$1001,0)),"")</f>
        <v/>
      </c>
      <c r="C181" s="0" t="str">
        <f aca="false">IFERROR(INDEX(Calc!$N$2:$N$1001,MATCH(ROW()-1,Calc!$X$2:$X$1001,0)),"")</f>
        <v/>
      </c>
      <c r="D181" s="3" t="str">
        <f aca="false">IFERROR(INDEX(Calc!$O$2:$O$1001,MATCH(ROW()-1,Calc!$X$2:$X$1001,0)),"")</f>
        <v/>
      </c>
      <c r="E181" s="3" t="str">
        <f aca="false">IFERROR(INDEX(Calc!$P$2:$P$1001,MATCH(ROW()-1,Calc!$X$2:$X$1001,0)),"")</f>
        <v/>
      </c>
      <c r="F181" s="3" t="str">
        <f aca="false">IF(G181="","",E181-D181)</f>
        <v/>
      </c>
      <c r="G181" s="0" t="str">
        <f aca="false">IFERROR(INDEX(Calc!$S$2:$S$1001,MATCH(ROW()-1,Calc!$X$2:$X$1001,0)),"")</f>
        <v/>
      </c>
    </row>
    <row r="182" customFormat="false" ht="15" hidden="false" customHeight="false" outlineLevel="0" collapsed="false">
      <c r="A182" s="0" t="str">
        <f aca="false">IFERROR(INDEX(Calc!$L$2:$L$1001,MATCH(ROW()-1,Calc!$X$2:$X$1001,0)),"")</f>
        <v/>
      </c>
      <c r="B182" s="0" t="str">
        <f aca="false">IFERROR(INDEX(Calc!$M$2:$M$1001,MATCH(ROW()-1,Calc!$X$2:$X$1001,0)),"")</f>
        <v/>
      </c>
      <c r="C182" s="0" t="str">
        <f aca="false">IFERROR(INDEX(Calc!$N$2:$N$1001,MATCH(ROW()-1,Calc!$X$2:$X$1001,0)),"")</f>
        <v/>
      </c>
      <c r="D182" s="3" t="str">
        <f aca="false">IFERROR(INDEX(Calc!$O$2:$O$1001,MATCH(ROW()-1,Calc!$X$2:$X$1001,0)),"")</f>
        <v/>
      </c>
      <c r="E182" s="3" t="str">
        <f aca="false">IFERROR(INDEX(Calc!$P$2:$P$1001,MATCH(ROW()-1,Calc!$X$2:$X$1001,0)),"")</f>
        <v/>
      </c>
      <c r="F182" s="3" t="str">
        <f aca="false">IF(G182="","",E182-D182)</f>
        <v/>
      </c>
      <c r="G182" s="0" t="str">
        <f aca="false">IFERROR(INDEX(Calc!$S$2:$S$1001,MATCH(ROW()-1,Calc!$X$2:$X$1001,0)),"")</f>
        <v/>
      </c>
    </row>
    <row r="183" customFormat="false" ht="15" hidden="false" customHeight="false" outlineLevel="0" collapsed="false">
      <c r="A183" s="0" t="str">
        <f aca="false">IFERROR(INDEX(Calc!$L$2:$L$1001,MATCH(ROW()-1,Calc!$X$2:$X$1001,0)),"")</f>
        <v/>
      </c>
      <c r="B183" s="0" t="str">
        <f aca="false">IFERROR(INDEX(Calc!$M$2:$M$1001,MATCH(ROW()-1,Calc!$X$2:$X$1001,0)),"")</f>
        <v/>
      </c>
      <c r="C183" s="0" t="str">
        <f aca="false">IFERROR(INDEX(Calc!$N$2:$N$1001,MATCH(ROW()-1,Calc!$X$2:$X$1001,0)),"")</f>
        <v/>
      </c>
      <c r="D183" s="3" t="str">
        <f aca="false">IFERROR(INDEX(Calc!$O$2:$O$1001,MATCH(ROW()-1,Calc!$X$2:$X$1001,0)),"")</f>
        <v/>
      </c>
      <c r="E183" s="3" t="str">
        <f aca="false">IFERROR(INDEX(Calc!$P$2:$P$1001,MATCH(ROW()-1,Calc!$X$2:$X$1001,0)),"")</f>
        <v/>
      </c>
      <c r="F183" s="3" t="str">
        <f aca="false">IF(G183="","",E183-D183)</f>
        <v/>
      </c>
      <c r="G183" s="0" t="str">
        <f aca="false">IFERROR(INDEX(Calc!$S$2:$S$1001,MATCH(ROW()-1,Calc!$X$2:$X$1001,0)),"")</f>
        <v/>
      </c>
    </row>
    <row r="184" customFormat="false" ht="15" hidden="false" customHeight="false" outlineLevel="0" collapsed="false">
      <c r="A184" s="0" t="str">
        <f aca="false">IFERROR(INDEX(Calc!$L$2:$L$1001,MATCH(ROW()-1,Calc!$X$2:$X$1001,0)),"")</f>
        <v/>
      </c>
      <c r="B184" s="0" t="str">
        <f aca="false">IFERROR(INDEX(Calc!$M$2:$M$1001,MATCH(ROW()-1,Calc!$X$2:$X$1001,0)),"")</f>
        <v/>
      </c>
      <c r="C184" s="0" t="str">
        <f aca="false">IFERROR(INDEX(Calc!$N$2:$N$1001,MATCH(ROW()-1,Calc!$X$2:$X$1001,0)),"")</f>
        <v/>
      </c>
      <c r="D184" s="3" t="str">
        <f aca="false">IFERROR(INDEX(Calc!$O$2:$O$1001,MATCH(ROW()-1,Calc!$X$2:$X$1001,0)),"")</f>
        <v/>
      </c>
      <c r="E184" s="3" t="str">
        <f aca="false">IFERROR(INDEX(Calc!$P$2:$P$1001,MATCH(ROW()-1,Calc!$X$2:$X$1001,0)),"")</f>
        <v/>
      </c>
      <c r="F184" s="3" t="str">
        <f aca="false">IF(G184="","",E184-D184)</f>
        <v/>
      </c>
      <c r="G184" s="0" t="str">
        <f aca="false">IFERROR(INDEX(Calc!$S$2:$S$1001,MATCH(ROW()-1,Calc!$X$2:$X$1001,0)),"")</f>
        <v/>
      </c>
    </row>
    <row r="185" customFormat="false" ht="15" hidden="false" customHeight="false" outlineLevel="0" collapsed="false">
      <c r="A185" s="0" t="str">
        <f aca="false">IFERROR(INDEX(Calc!$L$2:$L$1001,MATCH(ROW()-1,Calc!$X$2:$X$1001,0)),"")</f>
        <v/>
      </c>
      <c r="B185" s="0" t="str">
        <f aca="false">IFERROR(INDEX(Calc!$M$2:$M$1001,MATCH(ROW()-1,Calc!$X$2:$X$1001,0)),"")</f>
        <v/>
      </c>
      <c r="C185" s="0" t="str">
        <f aca="false">IFERROR(INDEX(Calc!$N$2:$N$1001,MATCH(ROW()-1,Calc!$X$2:$X$1001,0)),"")</f>
        <v/>
      </c>
      <c r="D185" s="3" t="str">
        <f aca="false">IFERROR(INDEX(Calc!$O$2:$O$1001,MATCH(ROW()-1,Calc!$X$2:$X$1001,0)),"")</f>
        <v/>
      </c>
      <c r="E185" s="3" t="str">
        <f aca="false">IFERROR(INDEX(Calc!$P$2:$P$1001,MATCH(ROW()-1,Calc!$X$2:$X$1001,0)),"")</f>
        <v/>
      </c>
      <c r="F185" s="3" t="str">
        <f aca="false">IF(G185="","",E185-D185)</f>
        <v/>
      </c>
      <c r="G185" s="0" t="str">
        <f aca="false">IFERROR(INDEX(Calc!$S$2:$S$1001,MATCH(ROW()-1,Calc!$X$2:$X$1001,0)),"")</f>
        <v/>
      </c>
    </row>
    <row r="186" customFormat="false" ht="15" hidden="false" customHeight="false" outlineLevel="0" collapsed="false">
      <c r="A186" s="0" t="str">
        <f aca="false">IFERROR(INDEX(Calc!$L$2:$L$1001,MATCH(ROW()-1,Calc!$X$2:$X$1001,0)),"")</f>
        <v/>
      </c>
      <c r="B186" s="0" t="str">
        <f aca="false">IFERROR(INDEX(Calc!$M$2:$M$1001,MATCH(ROW()-1,Calc!$X$2:$X$1001,0)),"")</f>
        <v/>
      </c>
      <c r="C186" s="0" t="str">
        <f aca="false">IFERROR(INDEX(Calc!$N$2:$N$1001,MATCH(ROW()-1,Calc!$X$2:$X$1001,0)),"")</f>
        <v/>
      </c>
      <c r="D186" s="3" t="str">
        <f aca="false">IFERROR(INDEX(Calc!$O$2:$O$1001,MATCH(ROW()-1,Calc!$X$2:$X$1001,0)),"")</f>
        <v/>
      </c>
      <c r="E186" s="3" t="str">
        <f aca="false">IFERROR(INDEX(Calc!$P$2:$P$1001,MATCH(ROW()-1,Calc!$X$2:$X$1001,0)),"")</f>
        <v/>
      </c>
      <c r="F186" s="3" t="str">
        <f aca="false">IF(G186="","",E186-D186)</f>
        <v/>
      </c>
      <c r="G186" s="0" t="str">
        <f aca="false">IFERROR(INDEX(Calc!$S$2:$S$1001,MATCH(ROW()-1,Calc!$X$2:$X$1001,0)),"")</f>
        <v/>
      </c>
    </row>
    <row r="187" customFormat="false" ht="15" hidden="false" customHeight="false" outlineLevel="0" collapsed="false">
      <c r="A187" s="0" t="str">
        <f aca="false">IFERROR(INDEX(Calc!$L$2:$L$1001,MATCH(ROW()-1,Calc!$X$2:$X$1001,0)),"")</f>
        <v/>
      </c>
      <c r="B187" s="0" t="str">
        <f aca="false">IFERROR(INDEX(Calc!$M$2:$M$1001,MATCH(ROW()-1,Calc!$X$2:$X$1001,0)),"")</f>
        <v/>
      </c>
      <c r="C187" s="0" t="str">
        <f aca="false">IFERROR(INDEX(Calc!$N$2:$N$1001,MATCH(ROW()-1,Calc!$X$2:$X$1001,0)),"")</f>
        <v/>
      </c>
      <c r="D187" s="3" t="str">
        <f aca="false">IFERROR(INDEX(Calc!$O$2:$O$1001,MATCH(ROW()-1,Calc!$X$2:$X$1001,0)),"")</f>
        <v/>
      </c>
      <c r="E187" s="3" t="str">
        <f aca="false">IFERROR(INDEX(Calc!$P$2:$P$1001,MATCH(ROW()-1,Calc!$X$2:$X$1001,0)),"")</f>
        <v/>
      </c>
      <c r="F187" s="3" t="str">
        <f aca="false">IF(G187="","",E187-D187)</f>
        <v/>
      </c>
      <c r="G187" s="0" t="str">
        <f aca="false">IFERROR(INDEX(Calc!$S$2:$S$1001,MATCH(ROW()-1,Calc!$X$2:$X$1001,0)),"")</f>
        <v/>
      </c>
    </row>
    <row r="188" customFormat="false" ht="15" hidden="false" customHeight="false" outlineLevel="0" collapsed="false">
      <c r="A188" s="0" t="str">
        <f aca="false">IFERROR(INDEX(Calc!$L$2:$L$1001,MATCH(ROW()-1,Calc!$X$2:$X$1001,0)),"")</f>
        <v/>
      </c>
      <c r="B188" s="0" t="str">
        <f aca="false">IFERROR(INDEX(Calc!$M$2:$M$1001,MATCH(ROW()-1,Calc!$X$2:$X$1001,0)),"")</f>
        <v/>
      </c>
      <c r="C188" s="0" t="str">
        <f aca="false">IFERROR(INDEX(Calc!$N$2:$N$1001,MATCH(ROW()-1,Calc!$X$2:$X$1001,0)),"")</f>
        <v/>
      </c>
      <c r="D188" s="3" t="str">
        <f aca="false">IFERROR(INDEX(Calc!$O$2:$O$1001,MATCH(ROW()-1,Calc!$X$2:$X$1001,0)),"")</f>
        <v/>
      </c>
      <c r="E188" s="3" t="str">
        <f aca="false">IFERROR(INDEX(Calc!$P$2:$P$1001,MATCH(ROW()-1,Calc!$X$2:$X$1001,0)),"")</f>
        <v/>
      </c>
      <c r="F188" s="3" t="str">
        <f aca="false">IF(G188="","",E188-D188)</f>
        <v/>
      </c>
      <c r="G188" s="0" t="str">
        <f aca="false">IFERROR(INDEX(Calc!$S$2:$S$1001,MATCH(ROW()-1,Calc!$X$2:$X$1001,0)),"")</f>
        <v/>
      </c>
    </row>
    <row r="189" customFormat="false" ht="15" hidden="false" customHeight="false" outlineLevel="0" collapsed="false">
      <c r="A189" s="0" t="str">
        <f aca="false">IFERROR(INDEX(Calc!$L$2:$L$1001,MATCH(ROW()-1,Calc!$X$2:$X$1001,0)),"")</f>
        <v/>
      </c>
      <c r="B189" s="0" t="str">
        <f aca="false">IFERROR(INDEX(Calc!$M$2:$M$1001,MATCH(ROW()-1,Calc!$X$2:$X$1001,0)),"")</f>
        <v/>
      </c>
      <c r="C189" s="0" t="str">
        <f aca="false">IFERROR(INDEX(Calc!$N$2:$N$1001,MATCH(ROW()-1,Calc!$X$2:$X$1001,0)),"")</f>
        <v/>
      </c>
      <c r="D189" s="3" t="str">
        <f aca="false">IFERROR(INDEX(Calc!$O$2:$O$1001,MATCH(ROW()-1,Calc!$X$2:$X$1001,0)),"")</f>
        <v/>
      </c>
      <c r="E189" s="3" t="str">
        <f aca="false">IFERROR(INDEX(Calc!$P$2:$P$1001,MATCH(ROW()-1,Calc!$X$2:$X$1001,0)),"")</f>
        <v/>
      </c>
      <c r="F189" s="3" t="str">
        <f aca="false">IF(G189="","",E189-D189)</f>
        <v/>
      </c>
      <c r="G189" s="0" t="str">
        <f aca="false">IFERROR(INDEX(Calc!$S$2:$S$1001,MATCH(ROW()-1,Calc!$X$2:$X$1001,0)),"")</f>
        <v/>
      </c>
    </row>
    <row r="190" customFormat="false" ht="15" hidden="false" customHeight="false" outlineLevel="0" collapsed="false">
      <c r="A190" s="0" t="str">
        <f aca="false">IFERROR(INDEX(Calc!$L$2:$L$1001,MATCH(ROW()-1,Calc!$X$2:$X$1001,0)),"")</f>
        <v/>
      </c>
      <c r="B190" s="0" t="str">
        <f aca="false">IFERROR(INDEX(Calc!$M$2:$M$1001,MATCH(ROW()-1,Calc!$X$2:$X$1001,0)),"")</f>
        <v/>
      </c>
      <c r="C190" s="0" t="str">
        <f aca="false">IFERROR(INDEX(Calc!$N$2:$N$1001,MATCH(ROW()-1,Calc!$X$2:$X$1001,0)),"")</f>
        <v/>
      </c>
      <c r="D190" s="3" t="str">
        <f aca="false">IFERROR(INDEX(Calc!$O$2:$O$1001,MATCH(ROW()-1,Calc!$X$2:$X$1001,0)),"")</f>
        <v/>
      </c>
      <c r="E190" s="3" t="str">
        <f aca="false">IFERROR(INDEX(Calc!$P$2:$P$1001,MATCH(ROW()-1,Calc!$X$2:$X$1001,0)),"")</f>
        <v/>
      </c>
      <c r="F190" s="3" t="str">
        <f aca="false">IF(G190="","",E190-D190)</f>
        <v/>
      </c>
      <c r="G190" s="0" t="str">
        <f aca="false">IFERROR(INDEX(Calc!$S$2:$S$1001,MATCH(ROW()-1,Calc!$X$2:$X$1001,0)),"")</f>
        <v/>
      </c>
    </row>
    <row r="191" customFormat="false" ht="15" hidden="false" customHeight="false" outlineLevel="0" collapsed="false">
      <c r="A191" s="0" t="str">
        <f aca="false">IFERROR(INDEX(Calc!$L$2:$L$1001,MATCH(ROW()-1,Calc!$X$2:$X$1001,0)),"")</f>
        <v/>
      </c>
      <c r="B191" s="0" t="str">
        <f aca="false">IFERROR(INDEX(Calc!$M$2:$M$1001,MATCH(ROW()-1,Calc!$X$2:$X$1001,0)),"")</f>
        <v/>
      </c>
      <c r="C191" s="0" t="str">
        <f aca="false">IFERROR(INDEX(Calc!$N$2:$N$1001,MATCH(ROW()-1,Calc!$X$2:$X$1001,0)),"")</f>
        <v/>
      </c>
      <c r="D191" s="3" t="str">
        <f aca="false">IFERROR(INDEX(Calc!$O$2:$O$1001,MATCH(ROW()-1,Calc!$X$2:$X$1001,0)),"")</f>
        <v/>
      </c>
      <c r="E191" s="3" t="str">
        <f aca="false">IFERROR(INDEX(Calc!$P$2:$P$1001,MATCH(ROW()-1,Calc!$X$2:$X$1001,0)),"")</f>
        <v/>
      </c>
      <c r="F191" s="3" t="str">
        <f aca="false">IF(G191="","",E191-D191)</f>
        <v/>
      </c>
      <c r="G191" s="0" t="str">
        <f aca="false">IFERROR(INDEX(Calc!$S$2:$S$1001,MATCH(ROW()-1,Calc!$X$2:$X$1001,0)),"")</f>
        <v/>
      </c>
    </row>
    <row r="192" customFormat="false" ht="15" hidden="false" customHeight="false" outlineLevel="0" collapsed="false">
      <c r="A192" s="0" t="str">
        <f aca="false">IFERROR(INDEX(Calc!$L$2:$L$1001,MATCH(ROW()-1,Calc!$X$2:$X$1001,0)),"")</f>
        <v/>
      </c>
      <c r="B192" s="0" t="str">
        <f aca="false">IFERROR(INDEX(Calc!$M$2:$M$1001,MATCH(ROW()-1,Calc!$X$2:$X$1001,0)),"")</f>
        <v/>
      </c>
      <c r="C192" s="0" t="str">
        <f aca="false">IFERROR(INDEX(Calc!$N$2:$N$1001,MATCH(ROW()-1,Calc!$X$2:$X$1001,0)),"")</f>
        <v/>
      </c>
      <c r="D192" s="3" t="str">
        <f aca="false">IFERROR(INDEX(Calc!$O$2:$O$1001,MATCH(ROW()-1,Calc!$X$2:$X$1001,0)),"")</f>
        <v/>
      </c>
      <c r="E192" s="3" t="str">
        <f aca="false">IFERROR(INDEX(Calc!$P$2:$P$1001,MATCH(ROW()-1,Calc!$X$2:$X$1001,0)),"")</f>
        <v/>
      </c>
      <c r="F192" s="3" t="str">
        <f aca="false">IF(G192="","",E192-D192)</f>
        <v/>
      </c>
      <c r="G192" s="0" t="str">
        <f aca="false">IFERROR(INDEX(Calc!$S$2:$S$1001,MATCH(ROW()-1,Calc!$X$2:$X$1001,0)),"")</f>
        <v/>
      </c>
    </row>
    <row r="193" customFormat="false" ht="15" hidden="false" customHeight="false" outlineLevel="0" collapsed="false">
      <c r="A193" s="0" t="str">
        <f aca="false">IFERROR(INDEX(Calc!$L$2:$L$1001,MATCH(ROW()-1,Calc!$X$2:$X$1001,0)),"")</f>
        <v/>
      </c>
      <c r="B193" s="0" t="str">
        <f aca="false">IFERROR(INDEX(Calc!$M$2:$M$1001,MATCH(ROW()-1,Calc!$X$2:$X$1001,0)),"")</f>
        <v/>
      </c>
      <c r="C193" s="0" t="str">
        <f aca="false">IFERROR(INDEX(Calc!$N$2:$N$1001,MATCH(ROW()-1,Calc!$X$2:$X$1001,0)),"")</f>
        <v/>
      </c>
      <c r="D193" s="3" t="str">
        <f aca="false">IFERROR(INDEX(Calc!$O$2:$O$1001,MATCH(ROW()-1,Calc!$X$2:$X$1001,0)),"")</f>
        <v/>
      </c>
      <c r="E193" s="3" t="str">
        <f aca="false">IFERROR(INDEX(Calc!$P$2:$P$1001,MATCH(ROW()-1,Calc!$X$2:$X$1001,0)),"")</f>
        <v/>
      </c>
      <c r="F193" s="3" t="str">
        <f aca="false">IF(G193="","",E193-D193)</f>
        <v/>
      </c>
      <c r="G193" s="0" t="str">
        <f aca="false">IFERROR(INDEX(Calc!$S$2:$S$1001,MATCH(ROW()-1,Calc!$X$2:$X$1001,0)),"")</f>
        <v/>
      </c>
    </row>
    <row r="194" customFormat="false" ht="15" hidden="false" customHeight="false" outlineLevel="0" collapsed="false">
      <c r="A194" s="0" t="str">
        <f aca="false">IFERROR(INDEX(Calc!$L$2:$L$1001,MATCH(ROW()-1,Calc!$X$2:$X$1001,0)),"")</f>
        <v/>
      </c>
      <c r="B194" s="0" t="str">
        <f aca="false">IFERROR(INDEX(Calc!$M$2:$M$1001,MATCH(ROW()-1,Calc!$X$2:$X$1001,0)),"")</f>
        <v/>
      </c>
      <c r="C194" s="0" t="str">
        <f aca="false">IFERROR(INDEX(Calc!$N$2:$N$1001,MATCH(ROW()-1,Calc!$X$2:$X$1001,0)),"")</f>
        <v/>
      </c>
      <c r="D194" s="3" t="str">
        <f aca="false">IFERROR(INDEX(Calc!$O$2:$O$1001,MATCH(ROW()-1,Calc!$X$2:$X$1001,0)),"")</f>
        <v/>
      </c>
      <c r="E194" s="3" t="str">
        <f aca="false">IFERROR(INDEX(Calc!$P$2:$P$1001,MATCH(ROW()-1,Calc!$X$2:$X$1001,0)),"")</f>
        <v/>
      </c>
      <c r="F194" s="3" t="str">
        <f aca="false">IF(G194="","",E194-D194)</f>
        <v/>
      </c>
      <c r="G194" s="0" t="str">
        <f aca="false">IFERROR(INDEX(Calc!$S$2:$S$1001,MATCH(ROW()-1,Calc!$X$2:$X$1001,0)),"")</f>
        <v/>
      </c>
    </row>
    <row r="195" customFormat="false" ht="15" hidden="false" customHeight="false" outlineLevel="0" collapsed="false">
      <c r="A195" s="0" t="str">
        <f aca="false">IFERROR(INDEX(Calc!$L$2:$L$1001,MATCH(ROW()-1,Calc!$X$2:$X$1001,0)),"")</f>
        <v/>
      </c>
      <c r="B195" s="0" t="str">
        <f aca="false">IFERROR(INDEX(Calc!$M$2:$M$1001,MATCH(ROW()-1,Calc!$X$2:$X$1001,0)),"")</f>
        <v/>
      </c>
      <c r="C195" s="0" t="str">
        <f aca="false">IFERROR(INDEX(Calc!$N$2:$N$1001,MATCH(ROW()-1,Calc!$X$2:$X$1001,0)),"")</f>
        <v/>
      </c>
      <c r="D195" s="3" t="str">
        <f aca="false">IFERROR(INDEX(Calc!$O$2:$O$1001,MATCH(ROW()-1,Calc!$X$2:$X$1001,0)),"")</f>
        <v/>
      </c>
      <c r="E195" s="3" t="str">
        <f aca="false">IFERROR(INDEX(Calc!$P$2:$P$1001,MATCH(ROW()-1,Calc!$X$2:$X$1001,0)),"")</f>
        <v/>
      </c>
      <c r="F195" s="3" t="str">
        <f aca="false">IF(G195="","",E195-D195)</f>
        <v/>
      </c>
      <c r="G195" s="0" t="str">
        <f aca="false">IFERROR(INDEX(Calc!$S$2:$S$1001,MATCH(ROW()-1,Calc!$X$2:$X$1001,0)),"")</f>
        <v/>
      </c>
    </row>
    <row r="196" customFormat="false" ht="15" hidden="false" customHeight="false" outlineLevel="0" collapsed="false">
      <c r="A196" s="0" t="str">
        <f aca="false">IFERROR(INDEX(Calc!$L$2:$L$1001,MATCH(ROW()-1,Calc!$X$2:$X$1001,0)),"")</f>
        <v/>
      </c>
      <c r="B196" s="0" t="str">
        <f aca="false">IFERROR(INDEX(Calc!$M$2:$M$1001,MATCH(ROW()-1,Calc!$X$2:$X$1001,0)),"")</f>
        <v/>
      </c>
      <c r="C196" s="0" t="str">
        <f aca="false">IFERROR(INDEX(Calc!$N$2:$N$1001,MATCH(ROW()-1,Calc!$X$2:$X$1001,0)),"")</f>
        <v/>
      </c>
      <c r="D196" s="3" t="str">
        <f aca="false">IFERROR(INDEX(Calc!$O$2:$O$1001,MATCH(ROW()-1,Calc!$X$2:$X$1001,0)),"")</f>
        <v/>
      </c>
      <c r="E196" s="3" t="str">
        <f aca="false">IFERROR(INDEX(Calc!$P$2:$P$1001,MATCH(ROW()-1,Calc!$X$2:$X$1001,0)),"")</f>
        <v/>
      </c>
      <c r="F196" s="3" t="str">
        <f aca="false">IF(G196="","",E196-D196)</f>
        <v/>
      </c>
      <c r="G196" s="0" t="str">
        <f aca="false">IFERROR(INDEX(Calc!$S$2:$S$1001,MATCH(ROW()-1,Calc!$X$2:$X$1001,0)),"")</f>
        <v/>
      </c>
    </row>
    <row r="197" customFormat="false" ht="15" hidden="false" customHeight="false" outlineLevel="0" collapsed="false">
      <c r="A197" s="0" t="str">
        <f aca="false">IFERROR(INDEX(Calc!$L$2:$L$1001,MATCH(ROW()-1,Calc!$X$2:$X$1001,0)),"")</f>
        <v/>
      </c>
      <c r="B197" s="0" t="str">
        <f aca="false">IFERROR(INDEX(Calc!$M$2:$M$1001,MATCH(ROW()-1,Calc!$X$2:$X$1001,0)),"")</f>
        <v/>
      </c>
      <c r="C197" s="0" t="str">
        <f aca="false">IFERROR(INDEX(Calc!$N$2:$N$1001,MATCH(ROW()-1,Calc!$X$2:$X$1001,0)),"")</f>
        <v/>
      </c>
      <c r="D197" s="3" t="str">
        <f aca="false">IFERROR(INDEX(Calc!$O$2:$O$1001,MATCH(ROW()-1,Calc!$X$2:$X$1001,0)),"")</f>
        <v/>
      </c>
      <c r="E197" s="3" t="str">
        <f aca="false">IFERROR(INDEX(Calc!$P$2:$P$1001,MATCH(ROW()-1,Calc!$X$2:$X$1001,0)),"")</f>
        <v/>
      </c>
      <c r="F197" s="3" t="str">
        <f aca="false">IF(G197="","",E197-D197)</f>
        <v/>
      </c>
      <c r="G197" s="0" t="str">
        <f aca="false">IFERROR(INDEX(Calc!$S$2:$S$1001,MATCH(ROW()-1,Calc!$X$2:$X$1001,0)),"")</f>
        <v/>
      </c>
    </row>
    <row r="198" customFormat="false" ht="15" hidden="false" customHeight="false" outlineLevel="0" collapsed="false">
      <c r="A198" s="0" t="str">
        <f aca="false">IFERROR(INDEX(Calc!$L$2:$L$1001,MATCH(ROW()-1,Calc!$X$2:$X$1001,0)),"")</f>
        <v/>
      </c>
      <c r="B198" s="0" t="str">
        <f aca="false">IFERROR(INDEX(Calc!$M$2:$M$1001,MATCH(ROW()-1,Calc!$X$2:$X$1001,0)),"")</f>
        <v/>
      </c>
      <c r="C198" s="0" t="str">
        <f aca="false">IFERROR(INDEX(Calc!$N$2:$N$1001,MATCH(ROW()-1,Calc!$X$2:$X$1001,0)),"")</f>
        <v/>
      </c>
      <c r="D198" s="3" t="str">
        <f aca="false">IFERROR(INDEX(Calc!$O$2:$O$1001,MATCH(ROW()-1,Calc!$X$2:$X$1001,0)),"")</f>
        <v/>
      </c>
      <c r="E198" s="3" t="str">
        <f aca="false">IFERROR(INDEX(Calc!$P$2:$P$1001,MATCH(ROW()-1,Calc!$X$2:$X$1001,0)),"")</f>
        <v/>
      </c>
      <c r="F198" s="3" t="str">
        <f aca="false">IF(G198="","",E198-D198)</f>
        <v/>
      </c>
      <c r="G198" s="0" t="str">
        <f aca="false">IFERROR(INDEX(Calc!$S$2:$S$1001,MATCH(ROW()-1,Calc!$X$2:$X$1001,0)),"")</f>
        <v/>
      </c>
    </row>
    <row r="199" customFormat="false" ht="15" hidden="false" customHeight="false" outlineLevel="0" collapsed="false">
      <c r="A199" s="0" t="str">
        <f aca="false">IFERROR(INDEX(Calc!$L$2:$L$1001,MATCH(ROW()-1,Calc!$X$2:$X$1001,0)),"")</f>
        <v/>
      </c>
      <c r="B199" s="0" t="str">
        <f aca="false">IFERROR(INDEX(Calc!$M$2:$M$1001,MATCH(ROW()-1,Calc!$X$2:$X$1001,0)),"")</f>
        <v/>
      </c>
      <c r="C199" s="0" t="str">
        <f aca="false">IFERROR(INDEX(Calc!$N$2:$N$1001,MATCH(ROW()-1,Calc!$X$2:$X$1001,0)),"")</f>
        <v/>
      </c>
      <c r="D199" s="3" t="str">
        <f aca="false">IFERROR(INDEX(Calc!$O$2:$O$1001,MATCH(ROW()-1,Calc!$X$2:$X$1001,0)),"")</f>
        <v/>
      </c>
      <c r="E199" s="3" t="str">
        <f aca="false">IFERROR(INDEX(Calc!$P$2:$P$1001,MATCH(ROW()-1,Calc!$X$2:$X$1001,0)),"")</f>
        <v/>
      </c>
      <c r="F199" s="3" t="str">
        <f aca="false">IF(G199="","",E199-D199)</f>
        <v/>
      </c>
      <c r="G199" s="0" t="str">
        <f aca="false">IFERROR(INDEX(Calc!$S$2:$S$1001,MATCH(ROW()-1,Calc!$X$2:$X$1001,0)),"")</f>
        <v/>
      </c>
    </row>
    <row r="200" customFormat="false" ht="15" hidden="false" customHeight="false" outlineLevel="0" collapsed="false">
      <c r="A200" s="0" t="str">
        <f aca="false">IFERROR(INDEX(Calc!$L$2:$L$1001,MATCH(ROW()-1,Calc!$X$2:$X$1001,0)),"")</f>
        <v/>
      </c>
      <c r="B200" s="0" t="str">
        <f aca="false">IFERROR(INDEX(Calc!$M$2:$M$1001,MATCH(ROW()-1,Calc!$X$2:$X$1001,0)),"")</f>
        <v/>
      </c>
      <c r="C200" s="0" t="str">
        <f aca="false">IFERROR(INDEX(Calc!$N$2:$N$1001,MATCH(ROW()-1,Calc!$X$2:$X$1001,0)),"")</f>
        <v/>
      </c>
      <c r="D200" s="3" t="str">
        <f aca="false">IFERROR(INDEX(Calc!$O$2:$O$1001,MATCH(ROW()-1,Calc!$X$2:$X$1001,0)),"")</f>
        <v/>
      </c>
      <c r="E200" s="3" t="str">
        <f aca="false">IFERROR(INDEX(Calc!$P$2:$P$1001,MATCH(ROW()-1,Calc!$X$2:$X$1001,0)),"")</f>
        <v/>
      </c>
      <c r="F200" s="3" t="str">
        <f aca="false">IF(G200="","",E200-D200)</f>
        <v/>
      </c>
      <c r="G200" s="0" t="str">
        <f aca="false">IFERROR(INDEX(Calc!$S$2:$S$1001,MATCH(ROW()-1,Calc!$X$2:$X$1001,0)),"")</f>
        <v/>
      </c>
    </row>
    <row r="201" customFormat="false" ht="15" hidden="false" customHeight="false" outlineLevel="0" collapsed="false">
      <c r="A201" s="0" t="str">
        <f aca="false">IFERROR(INDEX(Calc!$L$2:$L$1001,MATCH(ROW()-1,Calc!$X$2:$X$1001,0)),"")</f>
        <v/>
      </c>
      <c r="B201" s="0" t="str">
        <f aca="false">IFERROR(INDEX(Calc!$M$2:$M$1001,MATCH(ROW()-1,Calc!$X$2:$X$1001,0)),"")</f>
        <v/>
      </c>
      <c r="C201" s="0" t="str">
        <f aca="false">IFERROR(INDEX(Calc!$N$2:$N$1001,MATCH(ROW()-1,Calc!$X$2:$X$1001,0)),"")</f>
        <v/>
      </c>
      <c r="D201" s="3" t="str">
        <f aca="false">IFERROR(INDEX(Calc!$O$2:$O$1001,MATCH(ROW()-1,Calc!$X$2:$X$1001,0)),"")</f>
        <v/>
      </c>
      <c r="E201" s="3" t="str">
        <f aca="false">IFERROR(INDEX(Calc!$P$2:$P$1001,MATCH(ROW()-1,Calc!$X$2:$X$1001,0)),"")</f>
        <v/>
      </c>
      <c r="F201" s="3" t="str">
        <f aca="false">IF(G201="","",E201-D201)</f>
        <v/>
      </c>
      <c r="G201" s="0" t="str">
        <f aca="false">IFERROR(INDEX(Calc!$S$2:$S$1001,MATCH(ROW()-1,Calc!$X$2:$X$1001,0)),"")</f>
        <v/>
      </c>
    </row>
    <row r="202" customFormat="false" ht="15" hidden="false" customHeight="false" outlineLevel="0" collapsed="false">
      <c r="A202" s="0" t="str">
        <f aca="false">IFERROR(INDEX(Calc!$L$2:$L$1001,MATCH(ROW()-1,Calc!$X$2:$X$1001,0)),"")</f>
        <v/>
      </c>
      <c r="B202" s="0" t="str">
        <f aca="false">IFERROR(INDEX(Calc!$M$2:$M$1001,MATCH(ROW()-1,Calc!$X$2:$X$1001,0)),"")</f>
        <v/>
      </c>
      <c r="C202" s="0" t="str">
        <f aca="false">IFERROR(INDEX(Calc!$N$2:$N$1001,MATCH(ROW()-1,Calc!$X$2:$X$1001,0)),"")</f>
        <v/>
      </c>
      <c r="D202" s="3" t="str">
        <f aca="false">IFERROR(INDEX(Calc!$O$2:$O$1001,MATCH(ROW()-1,Calc!$X$2:$X$1001,0)),"")</f>
        <v/>
      </c>
      <c r="E202" s="3" t="str">
        <f aca="false">IFERROR(INDEX(Calc!$P$2:$P$1001,MATCH(ROW()-1,Calc!$X$2:$X$1001,0)),"")</f>
        <v/>
      </c>
      <c r="F202" s="3" t="str">
        <f aca="false">IF(G202="","",E202-D202)</f>
        <v/>
      </c>
      <c r="G202" s="0" t="str">
        <f aca="false">IFERROR(INDEX(Calc!$S$2:$S$1001,MATCH(ROW()-1,Calc!$X$2:$X$1001,0)),"")</f>
        <v/>
      </c>
    </row>
    <row r="203" customFormat="false" ht="15" hidden="false" customHeight="false" outlineLevel="0" collapsed="false">
      <c r="A203" s="0" t="str">
        <f aca="false">IFERROR(INDEX(Calc!$L$2:$L$1001,MATCH(ROW()-1,Calc!$X$2:$X$1001,0)),"")</f>
        <v/>
      </c>
      <c r="B203" s="0" t="str">
        <f aca="false">IFERROR(INDEX(Calc!$M$2:$M$1001,MATCH(ROW()-1,Calc!$X$2:$X$1001,0)),"")</f>
        <v/>
      </c>
      <c r="C203" s="0" t="str">
        <f aca="false">IFERROR(INDEX(Calc!$N$2:$N$1001,MATCH(ROW()-1,Calc!$X$2:$X$1001,0)),"")</f>
        <v/>
      </c>
      <c r="D203" s="3" t="str">
        <f aca="false">IFERROR(INDEX(Calc!$O$2:$O$1001,MATCH(ROW()-1,Calc!$X$2:$X$1001,0)),"")</f>
        <v/>
      </c>
      <c r="E203" s="3" t="str">
        <f aca="false">IFERROR(INDEX(Calc!$P$2:$P$1001,MATCH(ROW()-1,Calc!$X$2:$X$1001,0)),"")</f>
        <v/>
      </c>
      <c r="F203" s="3" t="str">
        <f aca="false">IF(G203="","",E203-D203)</f>
        <v/>
      </c>
      <c r="G203" s="0" t="str">
        <f aca="false">IFERROR(INDEX(Calc!$S$2:$S$1001,MATCH(ROW()-1,Calc!$X$2:$X$1001,0)),"")</f>
        <v/>
      </c>
    </row>
    <row r="204" customFormat="false" ht="15" hidden="false" customHeight="false" outlineLevel="0" collapsed="false">
      <c r="A204" s="0" t="str">
        <f aca="false">IFERROR(INDEX(Calc!$L$2:$L$1001,MATCH(ROW()-1,Calc!$X$2:$X$1001,0)),"")</f>
        <v/>
      </c>
      <c r="B204" s="0" t="str">
        <f aca="false">IFERROR(INDEX(Calc!$M$2:$M$1001,MATCH(ROW()-1,Calc!$X$2:$X$1001,0)),"")</f>
        <v/>
      </c>
      <c r="C204" s="0" t="str">
        <f aca="false">IFERROR(INDEX(Calc!$N$2:$N$1001,MATCH(ROW()-1,Calc!$X$2:$X$1001,0)),"")</f>
        <v/>
      </c>
      <c r="D204" s="3" t="str">
        <f aca="false">IFERROR(INDEX(Calc!$O$2:$O$1001,MATCH(ROW()-1,Calc!$X$2:$X$1001,0)),"")</f>
        <v/>
      </c>
      <c r="E204" s="3" t="str">
        <f aca="false">IFERROR(INDEX(Calc!$P$2:$P$1001,MATCH(ROW()-1,Calc!$X$2:$X$1001,0)),"")</f>
        <v/>
      </c>
      <c r="F204" s="3" t="str">
        <f aca="false">IF(G204="","",E204-D204)</f>
        <v/>
      </c>
      <c r="G204" s="0" t="str">
        <f aca="false">IFERROR(INDEX(Calc!$S$2:$S$1001,MATCH(ROW()-1,Calc!$X$2:$X$1001,0)),"")</f>
        <v/>
      </c>
    </row>
    <row r="205" customFormat="false" ht="15" hidden="false" customHeight="false" outlineLevel="0" collapsed="false">
      <c r="A205" s="0" t="str">
        <f aca="false">IFERROR(INDEX(Calc!$L$2:$L$1001,MATCH(ROW()-1,Calc!$X$2:$X$1001,0)),"")</f>
        <v/>
      </c>
      <c r="B205" s="0" t="str">
        <f aca="false">IFERROR(INDEX(Calc!$M$2:$M$1001,MATCH(ROW()-1,Calc!$X$2:$X$1001,0)),"")</f>
        <v/>
      </c>
      <c r="C205" s="0" t="str">
        <f aca="false">IFERROR(INDEX(Calc!$N$2:$N$1001,MATCH(ROW()-1,Calc!$X$2:$X$1001,0)),"")</f>
        <v/>
      </c>
      <c r="D205" s="3" t="str">
        <f aca="false">IFERROR(INDEX(Calc!$O$2:$O$1001,MATCH(ROW()-1,Calc!$X$2:$X$1001,0)),"")</f>
        <v/>
      </c>
      <c r="E205" s="3" t="str">
        <f aca="false">IFERROR(INDEX(Calc!$P$2:$P$1001,MATCH(ROW()-1,Calc!$X$2:$X$1001,0)),"")</f>
        <v/>
      </c>
      <c r="F205" s="3" t="str">
        <f aca="false">IF(G205="","",E205-D205)</f>
        <v/>
      </c>
      <c r="G205" s="0" t="str">
        <f aca="false">IFERROR(INDEX(Calc!$S$2:$S$1001,MATCH(ROW()-1,Calc!$X$2:$X$1001,0)),"")</f>
        <v/>
      </c>
    </row>
    <row r="206" customFormat="false" ht="15" hidden="false" customHeight="false" outlineLevel="0" collapsed="false">
      <c r="A206" s="0" t="str">
        <f aca="false">IFERROR(INDEX(Calc!$L$2:$L$1001,MATCH(ROW()-1,Calc!$X$2:$X$1001,0)),"")</f>
        <v/>
      </c>
      <c r="B206" s="0" t="str">
        <f aca="false">IFERROR(INDEX(Calc!$M$2:$M$1001,MATCH(ROW()-1,Calc!$X$2:$X$1001,0)),"")</f>
        <v/>
      </c>
      <c r="C206" s="0" t="str">
        <f aca="false">IFERROR(INDEX(Calc!$N$2:$N$1001,MATCH(ROW()-1,Calc!$X$2:$X$1001,0)),"")</f>
        <v/>
      </c>
      <c r="D206" s="3" t="str">
        <f aca="false">IFERROR(INDEX(Calc!$O$2:$O$1001,MATCH(ROW()-1,Calc!$X$2:$X$1001,0)),"")</f>
        <v/>
      </c>
      <c r="E206" s="3" t="str">
        <f aca="false">IFERROR(INDEX(Calc!$P$2:$P$1001,MATCH(ROW()-1,Calc!$X$2:$X$1001,0)),"")</f>
        <v/>
      </c>
      <c r="F206" s="3" t="str">
        <f aca="false">IF(G206="","",E206-D206)</f>
        <v/>
      </c>
      <c r="G206" s="0" t="str">
        <f aca="false">IFERROR(INDEX(Calc!$S$2:$S$1001,MATCH(ROW()-1,Calc!$X$2:$X$1001,0)),"")</f>
        <v/>
      </c>
    </row>
    <row r="207" customFormat="false" ht="15" hidden="false" customHeight="false" outlineLevel="0" collapsed="false">
      <c r="A207" s="0" t="str">
        <f aca="false">IFERROR(INDEX(Calc!$L$2:$L$1001,MATCH(ROW()-1,Calc!$X$2:$X$1001,0)),"")</f>
        <v/>
      </c>
      <c r="B207" s="0" t="str">
        <f aca="false">IFERROR(INDEX(Calc!$M$2:$M$1001,MATCH(ROW()-1,Calc!$X$2:$X$1001,0)),"")</f>
        <v/>
      </c>
      <c r="C207" s="0" t="str">
        <f aca="false">IFERROR(INDEX(Calc!$N$2:$N$1001,MATCH(ROW()-1,Calc!$X$2:$X$1001,0)),"")</f>
        <v/>
      </c>
      <c r="D207" s="3" t="str">
        <f aca="false">IFERROR(INDEX(Calc!$O$2:$O$1001,MATCH(ROW()-1,Calc!$X$2:$X$1001,0)),"")</f>
        <v/>
      </c>
      <c r="E207" s="3" t="str">
        <f aca="false">IFERROR(INDEX(Calc!$P$2:$P$1001,MATCH(ROW()-1,Calc!$X$2:$X$1001,0)),"")</f>
        <v/>
      </c>
      <c r="F207" s="3" t="str">
        <f aca="false">IF(G207="","",E207-D207)</f>
        <v/>
      </c>
      <c r="G207" s="0" t="str">
        <f aca="false">IFERROR(INDEX(Calc!$S$2:$S$1001,MATCH(ROW()-1,Calc!$X$2:$X$1001,0)),"")</f>
        <v/>
      </c>
    </row>
    <row r="208" customFormat="false" ht="15" hidden="false" customHeight="false" outlineLevel="0" collapsed="false">
      <c r="A208" s="0" t="str">
        <f aca="false">IFERROR(INDEX(Calc!$L$2:$L$1001,MATCH(ROW()-1,Calc!$X$2:$X$1001,0)),"")</f>
        <v/>
      </c>
      <c r="B208" s="0" t="str">
        <f aca="false">IFERROR(INDEX(Calc!$M$2:$M$1001,MATCH(ROW()-1,Calc!$X$2:$X$1001,0)),"")</f>
        <v/>
      </c>
      <c r="C208" s="0" t="str">
        <f aca="false">IFERROR(INDEX(Calc!$N$2:$N$1001,MATCH(ROW()-1,Calc!$X$2:$X$1001,0)),"")</f>
        <v/>
      </c>
      <c r="D208" s="3" t="str">
        <f aca="false">IFERROR(INDEX(Calc!$O$2:$O$1001,MATCH(ROW()-1,Calc!$X$2:$X$1001,0)),"")</f>
        <v/>
      </c>
      <c r="E208" s="3" t="str">
        <f aca="false">IFERROR(INDEX(Calc!$P$2:$P$1001,MATCH(ROW()-1,Calc!$X$2:$X$1001,0)),"")</f>
        <v/>
      </c>
      <c r="F208" s="3" t="str">
        <f aca="false">IF(G208="","",E208-D208)</f>
        <v/>
      </c>
      <c r="G208" s="0" t="str">
        <f aca="false">IFERROR(INDEX(Calc!$S$2:$S$1001,MATCH(ROW()-1,Calc!$X$2:$X$1001,0)),"")</f>
        <v/>
      </c>
    </row>
    <row r="209" customFormat="false" ht="15" hidden="false" customHeight="false" outlineLevel="0" collapsed="false">
      <c r="A209" s="0" t="str">
        <f aca="false">IFERROR(INDEX(Calc!$L$2:$L$1001,MATCH(ROW()-1,Calc!$X$2:$X$1001,0)),"")</f>
        <v/>
      </c>
      <c r="B209" s="0" t="str">
        <f aca="false">IFERROR(INDEX(Calc!$M$2:$M$1001,MATCH(ROW()-1,Calc!$X$2:$X$1001,0)),"")</f>
        <v/>
      </c>
      <c r="C209" s="0" t="str">
        <f aca="false">IFERROR(INDEX(Calc!$N$2:$N$1001,MATCH(ROW()-1,Calc!$X$2:$X$1001,0)),"")</f>
        <v/>
      </c>
      <c r="D209" s="3" t="str">
        <f aca="false">IFERROR(INDEX(Calc!$O$2:$O$1001,MATCH(ROW()-1,Calc!$X$2:$X$1001,0)),"")</f>
        <v/>
      </c>
      <c r="E209" s="3" t="str">
        <f aca="false">IFERROR(INDEX(Calc!$P$2:$P$1001,MATCH(ROW()-1,Calc!$X$2:$X$1001,0)),"")</f>
        <v/>
      </c>
      <c r="F209" s="3" t="str">
        <f aca="false">IF(G209="","",E209-D209)</f>
        <v/>
      </c>
      <c r="G209" s="0" t="str">
        <f aca="false">IFERROR(INDEX(Calc!$S$2:$S$1001,MATCH(ROW()-1,Calc!$X$2:$X$1001,0)),"")</f>
        <v/>
      </c>
    </row>
    <row r="210" customFormat="false" ht="15" hidden="false" customHeight="false" outlineLevel="0" collapsed="false">
      <c r="A210" s="0" t="str">
        <f aca="false">IFERROR(INDEX(Calc!$L$2:$L$1001,MATCH(ROW()-1,Calc!$X$2:$X$1001,0)),"")</f>
        <v/>
      </c>
      <c r="B210" s="0" t="str">
        <f aca="false">IFERROR(INDEX(Calc!$M$2:$M$1001,MATCH(ROW()-1,Calc!$X$2:$X$1001,0)),"")</f>
        <v/>
      </c>
      <c r="C210" s="0" t="str">
        <f aca="false">IFERROR(INDEX(Calc!$N$2:$N$1001,MATCH(ROW()-1,Calc!$X$2:$X$1001,0)),"")</f>
        <v/>
      </c>
      <c r="D210" s="3" t="str">
        <f aca="false">IFERROR(INDEX(Calc!$O$2:$O$1001,MATCH(ROW()-1,Calc!$X$2:$X$1001,0)),"")</f>
        <v/>
      </c>
      <c r="E210" s="3" t="str">
        <f aca="false">IFERROR(INDEX(Calc!$P$2:$P$1001,MATCH(ROW()-1,Calc!$X$2:$X$1001,0)),"")</f>
        <v/>
      </c>
      <c r="F210" s="3" t="str">
        <f aca="false">IF(G210="","",E210-D210)</f>
        <v/>
      </c>
      <c r="G210" s="0" t="str">
        <f aca="false">IFERROR(INDEX(Calc!$S$2:$S$1001,MATCH(ROW()-1,Calc!$X$2:$X$1001,0)),"")</f>
        <v/>
      </c>
    </row>
    <row r="211" customFormat="false" ht="15" hidden="false" customHeight="false" outlineLevel="0" collapsed="false">
      <c r="A211" s="0" t="str">
        <f aca="false">IFERROR(INDEX(Calc!$L$2:$L$1001,MATCH(ROW()-1,Calc!$X$2:$X$1001,0)),"")</f>
        <v/>
      </c>
      <c r="B211" s="0" t="str">
        <f aca="false">IFERROR(INDEX(Calc!$M$2:$M$1001,MATCH(ROW()-1,Calc!$X$2:$X$1001,0)),"")</f>
        <v/>
      </c>
      <c r="C211" s="0" t="str">
        <f aca="false">IFERROR(INDEX(Calc!$N$2:$N$1001,MATCH(ROW()-1,Calc!$X$2:$X$1001,0)),"")</f>
        <v/>
      </c>
      <c r="D211" s="3" t="str">
        <f aca="false">IFERROR(INDEX(Calc!$O$2:$O$1001,MATCH(ROW()-1,Calc!$X$2:$X$1001,0)),"")</f>
        <v/>
      </c>
      <c r="E211" s="3" t="str">
        <f aca="false">IFERROR(INDEX(Calc!$P$2:$P$1001,MATCH(ROW()-1,Calc!$X$2:$X$1001,0)),"")</f>
        <v/>
      </c>
      <c r="F211" s="3" t="str">
        <f aca="false">IF(G211="","",E211-D211)</f>
        <v/>
      </c>
      <c r="G211" s="0" t="str">
        <f aca="false">IFERROR(INDEX(Calc!$S$2:$S$1001,MATCH(ROW()-1,Calc!$X$2:$X$1001,0)),"")</f>
        <v/>
      </c>
    </row>
    <row r="212" customFormat="false" ht="15" hidden="false" customHeight="false" outlineLevel="0" collapsed="false">
      <c r="A212" s="0" t="str">
        <f aca="false">IFERROR(INDEX(Calc!$L$2:$L$1001,MATCH(ROW()-1,Calc!$X$2:$X$1001,0)),"")</f>
        <v/>
      </c>
      <c r="B212" s="0" t="str">
        <f aca="false">IFERROR(INDEX(Calc!$M$2:$M$1001,MATCH(ROW()-1,Calc!$X$2:$X$1001,0)),"")</f>
        <v/>
      </c>
      <c r="C212" s="0" t="str">
        <f aca="false">IFERROR(INDEX(Calc!$N$2:$N$1001,MATCH(ROW()-1,Calc!$X$2:$X$1001,0)),"")</f>
        <v/>
      </c>
      <c r="D212" s="3" t="str">
        <f aca="false">IFERROR(INDEX(Calc!$O$2:$O$1001,MATCH(ROW()-1,Calc!$X$2:$X$1001,0)),"")</f>
        <v/>
      </c>
      <c r="E212" s="3" t="str">
        <f aca="false">IFERROR(INDEX(Calc!$P$2:$P$1001,MATCH(ROW()-1,Calc!$X$2:$X$1001,0)),"")</f>
        <v/>
      </c>
      <c r="F212" s="3" t="str">
        <f aca="false">IF(G212="","",E212-D212)</f>
        <v/>
      </c>
      <c r="G212" s="0" t="str">
        <f aca="false">IFERROR(INDEX(Calc!$S$2:$S$1001,MATCH(ROW()-1,Calc!$X$2:$X$1001,0)),"")</f>
        <v/>
      </c>
    </row>
    <row r="213" customFormat="false" ht="15" hidden="false" customHeight="false" outlineLevel="0" collapsed="false">
      <c r="A213" s="0" t="str">
        <f aca="false">IFERROR(INDEX(Calc!$L$2:$L$1001,MATCH(ROW()-1,Calc!$X$2:$X$1001,0)),"")</f>
        <v/>
      </c>
      <c r="B213" s="0" t="str">
        <f aca="false">IFERROR(INDEX(Calc!$M$2:$M$1001,MATCH(ROW()-1,Calc!$X$2:$X$1001,0)),"")</f>
        <v/>
      </c>
      <c r="C213" s="0" t="str">
        <f aca="false">IFERROR(INDEX(Calc!$N$2:$N$1001,MATCH(ROW()-1,Calc!$X$2:$X$1001,0)),"")</f>
        <v/>
      </c>
      <c r="D213" s="3" t="str">
        <f aca="false">IFERROR(INDEX(Calc!$O$2:$O$1001,MATCH(ROW()-1,Calc!$X$2:$X$1001,0)),"")</f>
        <v/>
      </c>
      <c r="E213" s="3" t="str">
        <f aca="false">IFERROR(INDEX(Calc!$P$2:$P$1001,MATCH(ROW()-1,Calc!$X$2:$X$1001,0)),"")</f>
        <v/>
      </c>
      <c r="F213" s="3" t="str">
        <f aca="false">IF(G213="","",E213-D213)</f>
        <v/>
      </c>
      <c r="G213" s="0" t="str">
        <f aca="false">IFERROR(INDEX(Calc!$S$2:$S$1001,MATCH(ROW()-1,Calc!$X$2:$X$1001,0)),"")</f>
        <v/>
      </c>
    </row>
    <row r="214" customFormat="false" ht="15" hidden="false" customHeight="false" outlineLevel="0" collapsed="false">
      <c r="A214" s="0" t="str">
        <f aca="false">IFERROR(INDEX(Calc!$L$2:$L$1001,MATCH(ROW()-1,Calc!$X$2:$X$1001,0)),"")</f>
        <v/>
      </c>
      <c r="B214" s="0" t="str">
        <f aca="false">IFERROR(INDEX(Calc!$M$2:$M$1001,MATCH(ROW()-1,Calc!$X$2:$X$1001,0)),"")</f>
        <v/>
      </c>
      <c r="C214" s="0" t="str">
        <f aca="false">IFERROR(INDEX(Calc!$N$2:$N$1001,MATCH(ROW()-1,Calc!$X$2:$X$1001,0)),"")</f>
        <v/>
      </c>
      <c r="D214" s="3" t="str">
        <f aca="false">IFERROR(INDEX(Calc!$O$2:$O$1001,MATCH(ROW()-1,Calc!$X$2:$X$1001,0)),"")</f>
        <v/>
      </c>
      <c r="E214" s="3" t="str">
        <f aca="false">IFERROR(INDEX(Calc!$P$2:$P$1001,MATCH(ROW()-1,Calc!$X$2:$X$1001,0)),"")</f>
        <v/>
      </c>
      <c r="F214" s="3" t="str">
        <f aca="false">IF(G214="","",E214-D214)</f>
        <v/>
      </c>
      <c r="G214" s="0" t="str">
        <f aca="false">IFERROR(INDEX(Calc!$S$2:$S$1001,MATCH(ROW()-1,Calc!$X$2:$X$1001,0)),"")</f>
        <v/>
      </c>
    </row>
    <row r="215" customFormat="false" ht="15" hidden="false" customHeight="false" outlineLevel="0" collapsed="false">
      <c r="A215" s="0" t="str">
        <f aca="false">IFERROR(INDEX(Calc!$L$2:$L$1001,MATCH(ROW()-1,Calc!$X$2:$X$1001,0)),"")</f>
        <v/>
      </c>
      <c r="B215" s="0" t="str">
        <f aca="false">IFERROR(INDEX(Calc!$M$2:$M$1001,MATCH(ROW()-1,Calc!$X$2:$X$1001,0)),"")</f>
        <v/>
      </c>
      <c r="C215" s="0" t="str">
        <f aca="false">IFERROR(INDEX(Calc!$N$2:$N$1001,MATCH(ROW()-1,Calc!$X$2:$X$1001,0)),"")</f>
        <v/>
      </c>
      <c r="D215" s="3" t="str">
        <f aca="false">IFERROR(INDEX(Calc!$O$2:$O$1001,MATCH(ROW()-1,Calc!$X$2:$X$1001,0)),"")</f>
        <v/>
      </c>
      <c r="E215" s="3" t="str">
        <f aca="false">IFERROR(INDEX(Calc!$P$2:$P$1001,MATCH(ROW()-1,Calc!$X$2:$X$1001,0)),"")</f>
        <v/>
      </c>
      <c r="F215" s="3" t="str">
        <f aca="false">IF(G215="","",E215-D215)</f>
        <v/>
      </c>
      <c r="G215" s="0" t="str">
        <f aca="false">IFERROR(INDEX(Calc!$S$2:$S$1001,MATCH(ROW()-1,Calc!$X$2:$X$1001,0)),"")</f>
        <v/>
      </c>
    </row>
    <row r="216" customFormat="false" ht="15" hidden="false" customHeight="false" outlineLevel="0" collapsed="false">
      <c r="A216" s="0" t="str">
        <f aca="false">IFERROR(INDEX(Calc!$L$2:$L$1001,MATCH(ROW()-1,Calc!$X$2:$X$1001,0)),"")</f>
        <v/>
      </c>
      <c r="B216" s="0" t="str">
        <f aca="false">IFERROR(INDEX(Calc!$M$2:$M$1001,MATCH(ROW()-1,Calc!$X$2:$X$1001,0)),"")</f>
        <v/>
      </c>
      <c r="C216" s="0" t="str">
        <f aca="false">IFERROR(INDEX(Calc!$N$2:$N$1001,MATCH(ROW()-1,Calc!$X$2:$X$1001,0)),"")</f>
        <v/>
      </c>
      <c r="D216" s="3" t="str">
        <f aca="false">IFERROR(INDEX(Calc!$O$2:$O$1001,MATCH(ROW()-1,Calc!$X$2:$X$1001,0)),"")</f>
        <v/>
      </c>
      <c r="E216" s="3" t="str">
        <f aca="false">IFERROR(INDEX(Calc!$P$2:$P$1001,MATCH(ROW()-1,Calc!$X$2:$X$1001,0)),"")</f>
        <v/>
      </c>
      <c r="F216" s="3" t="str">
        <f aca="false">IF(G216="","",E216-D216)</f>
        <v/>
      </c>
      <c r="G216" s="0" t="str">
        <f aca="false">IFERROR(INDEX(Calc!$S$2:$S$1001,MATCH(ROW()-1,Calc!$X$2:$X$1001,0)),"")</f>
        <v/>
      </c>
    </row>
    <row r="217" customFormat="false" ht="15" hidden="false" customHeight="false" outlineLevel="0" collapsed="false">
      <c r="A217" s="0" t="str">
        <f aca="false">IFERROR(INDEX(Calc!$L$2:$L$1001,MATCH(ROW()-1,Calc!$X$2:$X$1001,0)),"")</f>
        <v/>
      </c>
      <c r="B217" s="0" t="str">
        <f aca="false">IFERROR(INDEX(Calc!$M$2:$M$1001,MATCH(ROW()-1,Calc!$X$2:$X$1001,0)),"")</f>
        <v/>
      </c>
      <c r="C217" s="0" t="str">
        <f aca="false">IFERROR(INDEX(Calc!$N$2:$N$1001,MATCH(ROW()-1,Calc!$X$2:$X$1001,0)),"")</f>
        <v/>
      </c>
      <c r="D217" s="3" t="str">
        <f aca="false">IFERROR(INDEX(Calc!$O$2:$O$1001,MATCH(ROW()-1,Calc!$X$2:$X$1001,0)),"")</f>
        <v/>
      </c>
      <c r="E217" s="3" t="str">
        <f aca="false">IFERROR(INDEX(Calc!$P$2:$P$1001,MATCH(ROW()-1,Calc!$X$2:$X$1001,0)),"")</f>
        <v/>
      </c>
      <c r="F217" s="3" t="str">
        <f aca="false">IF(G217="","",E217-D217)</f>
        <v/>
      </c>
      <c r="G217" s="0" t="str">
        <f aca="false">IFERROR(INDEX(Calc!$S$2:$S$1001,MATCH(ROW()-1,Calc!$X$2:$X$1001,0)),"")</f>
        <v/>
      </c>
    </row>
    <row r="218" customFormat="false" ht="15" hidden="false" customHeight="false" outlineLevel="0" collapsed="false">
      <c r="A218" s="0" t="str">
        <f aca="false">IFERROR(INDEX(Calc!$L$2:$L$1001,MATCH(ROW()-1,Calc!$X$2:$X$1001,0)),"")</f>
        <v/>
      </c>
      <c r="B218" s="0" t="str">
        <f aca="false">IFERROR(INDEX(Calc!$M$2:$M$1001,MATCH(ROW()-1,Calc!$X$2:$X$1001,0)),"")</f>
        <v/>
      </c>
      <c r="C218" s="0" t="str">
        <f aca="false">IFERROR(INDEX(Calc!$N$2:$N$1001,MATCH(ROW()-1,Calc!$X$2:$X$1001,0)),"")</f>
        <v/>
      </c>
      <c r="D218" s="3" t="str">
        <f aca="false">IFERROR(INDEX(Calc!$O$2:$O$1001,MATCH(ROW()-1,Calc!$X$2:$X$1001,0)),"")</f>
        <v/>
      </c>
      <c r="E218" s="3" t="str">
        <f aca="false">IFERROR(INDEX(Calc!$P$2:$P$1001,MATCH(ROW()-1,Calc!$X$2:$X$1001,0)),"")</f>
        <v/>
      </c>
      <c r="F218" s="3" t="str">
        <f aca="false">IF(G218="","",E218-D218)</f>
        <v/>
      </c>
      <c r="G218" s="0" t="str">
        <f aca="false">IFERROR(INDEX(Calc!$S$2:$S$1001,MATCH(ROW()-1,Calc!$X$2:$X$1001,0)),"")</f>
        <v/>
      </c>
    </row>
    <row r="219" customFormat="false" ht="15" hidden="false" customHeight="false" outlineLevel="0" collapsed="false">
      <c r="A219" s="0" t="str">
        <f aca="false">IFERROR(INDEX(Calc!$L$2:$L$1001,MATCH(ROW()-1,Calc!$X$2:$X$1001,0)),"")</f>
        <v/>
      </c>
      <c r="B219" s="0" t="str">
        <f aca="false">IFERROR(INDEX(Calc!$M$2:$M$1001,MATCH(ROW()-1,Calc!$X$2:$X$1001,0)),"")</f>
        <v/>
      </c>
      <c r="C219" s="0" t="str">
        <f aca="false">IFERROR(INDEX(Calc!$N$2:$N$1001,MATCH(ROW()-1,Calc!$X$2:$X$1001,0)),"")</f>
        <v/>
      </c>
      <c r="D219" s="3" t="str">
        <f aca="false">IFERROR(INDEX(Calc!$O$2:$O$1001,MATCH(ROW()-1,Calc!$X$2:$X$1001,0)),"")</f>
        <v/>
      </c>
      <c r="E219" s="3" t="str">
        <f aca="false">IFERROR(INDEX(Calc!$P$2:$P$1001,MATCH(ROW()-1,Calc!$X$2:$X$1001,0)),"")</f>
        <v/>
      </c>
      <c r="F219" s="3" t="str">
        <f aca="false">IF(G219="","",E219-D219)</f>
        <v/>
      </c>
      <c r="G219" s="0" t="str">
        <f aca="false">IFERROR(INDEX(Calc!$S$2:$S$1001,MATCH(ROW()-1,Calc!$X$2:$X$1001,0)),"")</f>
        <v/>
      </c>
    </row>
    <row r="220" customFormat="false" ht="15" hidden="false" customHeight="false" outlineLevel="0" collapsed="false">
      <c r="A220" s="0" t="str">
        <f aca="false">IFERROR(INDEX(Calc!$L$2:$L$1001,MATCH(ROW()-1,Calc!$X$2:$X$1001,0)),"")</f>
        <v/>
      </c>
      <c r="B220" s="0" t="str">
        <f aca="false">IFERROR(INDEX(Calc!$M$2:$M$1001,MATCH(ROW()-1,Calc!$X$2:$X$1001,0)),"")</f>
        <v/>
      </c>
      <c r="C220" s="0" t="str">
        <f aca="false">IFERROR(INDEX(Calc!$N$2:$N$1001,MATCH(ROW()-1,Calc!$X$2:$X$1001,0)),"")</f>
        <v/>
      </c>
      <c r="D220" s="3" t="str">
        <f aca="false">IFERROR(INDEX(Calc!$O$2:$O$1001,MATCH(ROW()-1,Calc!$X$2:$X$1001,0)),"")</f>
        <v/>
      </c>
      <c r="E220" s="3" t="str">
        <f aca="false">IFERROR(INDEX(Calc!$P$2:$P$1001,MATCH(ROW()-1,Calc!$X$2:$X$1001,0)),"")</f>
        <v/>
      </c>
      <c r="F220" s="3" t="str">
        <f aca="false">IF(G220="","",E220-D220)</f>
        <v/>
      </c>
      <c r="G220" s="0" t="str">
        <f aca="false">IFERROR(INDEX(Calc!$S$2:$S$1001,MATCH(ROW()-1,Calc!$X$2:$X$1001,0)),"")</f>
        <v/>
      </c>
    </row>
    <row r="221" customFormat="false" ht="15" hidden="false" customHeight="false" outlineLevel="0" collapsed="false">
      <c r="A221" s="0" t="str">
        <f aca="false">IFERROR(INDEX(Calc!$L$2:$L$1001,MATCH(ROW()-1,Calc!$X$2:$X$1001,0)),"")</f>
        <v/>
      </c>
      <c r="B221" s="0" t="str">
        <f aca="false">IFERROR(INDEX(Calc!$M$2:$M$1001,MATCH(ROW()-1,Calc!$X$2:$X$1001,0)),"")</f>
        <v/>
      </c>
      <c r="C221" s="0" t="str">
        <f aca="false">IFERROR(INDEX(Calc!$N$2:$N$1001,MATCH(ROW()-1,Calc!$X$2:$X$1001,0)),"")</f>
        <v/>
      </c>
      <c r="D221" s="3" t="str">
        <f aca="false">IFERROR(INDEX(Calc!$O$2:$O$1001,MATCH(ROW()-1,Calc!$X$2:$X$1001,0)),"")</f>
        <v/>
      </c>
      <c r="E221" s="3" t="str">
        <f aca="false">IFERROR(INDEX(Calc!$P$2:$P$1001,MATCH(ROW()-1,Calc!$X$2:$X$1001,0)),"")</f>
        <v/>
      </c>
      <c r="F221" s="3" t="str">
        <f aca="false">IF(G221="","",E221-D221)</f>
        <v/>
      </c>
      <c r="G221" s="0" t="str">
        <f aca="false">IFERROR(INDEX(Calc!$S$2:$S$1001,MATCH(ROW()-1,Calc!$X$2:$X$1001,0)),"")</f>
        <v/>
      </c>
    </row>
    <row r="222" customFormat="false" ht="15" hidden="false" customHeight="false" outlineLevel="0" collapsed="false">
      <c r="A222" s="0" t="str">
        <f aca="false">IFERROR(INDEX(Calc!$L$2:$L$1001,MATCH(ROW()-1,Calc!$X$2:$X$1001,0)),"")</f>
        <v/>
      </c>
      <c r="B222" s="0" t="str">
        <f aca="false">IFERROR(INDEX(Calc!$M$2:$M$1001,MATCH(ROW()-1,Calc!$X$2:$X$1001,0)),"")</f>
        <v/>
      </c>
      <c r="C222" s="0" t="str">
        <f aca="false">IFERROR(INDEX(Calc!$N$2:$N$1001,MATCH(ROW()-1,Calc!$X$2:$X$1001,0)),"")</f>
        <v/>
      </c>
      <c r="D222" s="3" t="str">
        <f aca="false">IFERROR(INDEX(Calc!$O$2:$O$1001,MATCH(ROW()-1,Calc!$X$2:$X$1001,0)),"")</f>
        <v/>
      </c>
      <c r="E222" s="3" t="str">
        <f aca="false">IFERROR(INDEX(Calc!$P$2:$P$1001,MATCH(ROW()-1,Calc!$X$2:$X$1001,0)),"")</f>
        <v/>
      </c>
      <c r="F222" s="3" t="str">
        <f aca="false">IF(G222="","",E222-D222)</f>
        <v/>
      </c>
      <c r="G222" s="0" t="str">
        <f aca="false">IFERROR(INDEX(Calc!$S$2:$S$1001,MATCH(ROW()-1,Calc!$X$2:$X$1001,0)),"")</f>
        <v/>
      </c>
    </row>
    <row r="223" customFormat="false" ht="15" hidden="false" customHeight="false" outlineLevel="0" collapsed="false">
      <c r="A223" s="0" t="str">
        <f aca="false">IFERROR(INDEX(Calc!$L$2:$L$1001,MATCH(ROW()-1,Calc!$X$2:$X$1001,0)),"")</f>
        <v/>
      </c>
      <c r="B223" s="0" t="str">
        <f aca="false">IFERROR(INDEX(Calc!$M$2:$M$1001,MATCH(ROW()-1,Calc!$X$2:$X$1001,0)),"")</f>
        <v/>
      </c>
      <c r="C223" s="0" t="str">
        <f aca="false">IFERROR(INDEX(Calc!$N$2:$N$1001,MATCH(ROW()-1,Calc!$X$2:$X$1001,0)),"")</f>
        <v/>
      </c>
      <c r="D223" s="3" t="str">
        <f aca="false">IFERROR(INDEX(Calc!$O$2:$O$1001,MATCH(ROW()-1,Calc!$X$2:$X$1001,0)),"")</f>
        <v/>
      </c>
      <c r="E223" s="3" t="str">
        <f aca="false">IFERROR(INDEX(Calc!$P$2:$P$1001,MATCH(ROW()-1,Calc!$X$2:$X$1001,0)),"")</f>
        <v/>
      </c>
      <c r="F223" s="3" t="str">
        <f aca="false">IF(G223="","",E223-D223)</f>
        <v/>
      </c>
      <c r="G223" s="0" t="str">
        <f aca="false">IFERROR(INDEX(Calc!$S$2:$S$1001,MATCH(ROW()-1,Calc!$X$2:$X$1001,0)),"")</f>
        <v/>
      </c>
    </row>
    <row r="224" customFormat="false" ht="15" hidden="false" customHeight="false" outlineLevel="0" collapsed="false">
      <c r="A224" s="0" t="str">
        <f aca="false">IFERROR(INDEX(Calc!$L$2:$L$1001,MATCH(ROW()-1,Calc!$X$2:$X$1001,0)),"")</f>
        <v/>
      </c>
      <c r="B224" s="0" t="str">
        <f aca="false">IFERROR(INDEX(Calc!$M$2:$M$1001,MATCH(ROW()-1,Calc!$X$2:$X$1001,0)),"")</f>
        <v/>
      </c>
      <c r="C224" s="0" t="str">
        <f aca="false">IFERROR(INDEX(Calc!$N$2:$N$1001,MATCH(ROW()-1,Calc!$X$2:$X$1001,0)),"")</f>
        <v/>
      </c>
      <c r="D224" s="3" t="str">
        <f aca="false">IFERROR(INDEX(Calc!$O$2:$O$1001,MATCH(ROW()-1,Calc!$X$2:$X$1001,0)),"")</f>
        <v/>
      </c>
      <c r="E224" s="3" t="str">
        <f aca="false">IFERROR(INDEX(Calc!$P$2:$P$1001,MATCH(ROW()-1,Calc!$X$2:$X$1001,0)),"")</f>
        <v/>
      </c>
      <c r="F224" s="3" t="str">
        <f aca="false">IF(G224="","",E224-D224)</f>
        <v/>
      </c>
      <c r="G224" s="0" t="str">
        <f aca="false">IFERROR(INDEX(Calc!$S$2:$S$1001,MATCH(ROW()-1,Calc!$X$2:$X$1001,0)),"")</f>
        <v/>
      </c>
    </row>
    <row r="225" customFormat="false" ht="15" hidden="false" customHeight="false" outlineLevel="0" collapsed="false">
      <c r="A225" s="0" t="str">
        <f aca="false">IFERROR(INDEX(Calc!$L$2:$L$1001,MATCH(ROW()-1,Calc!$X$2:$X$1001,0)),"")</f>
        <v/>
      </c>
      <c r="B225" s="0" t="str">
        <f aca="false">IFERROR(INDEX(Calc!$M$2:$M$1001,MATCH(ROW()-1,Calc!$X$2:$X$1001,0)),"")</f>
        <v/>
      </c>
      <c r="C225" s="0" t="str">
        <f aca="false">IFERROR(INDEX(Calc!$N$2:$N$1001,MATCH(ROW()-1,Calc!$X$2:$X$1001,0)),"")</f>
        <v/>
      </c>
      <c r="D225" s="3" t="str">
        <f aca="false">IFERROR(INDEX(Calc!$O$2:$O$1001,MATCH(ROW()-1,Calc!$X$2:$X$1001,0)),"")</f>
        <v/>
      </c>
      <c r="E225" s="3" t="str">
        <f aca="false">IFERROR(INDEX(Calc!$P$2:$P$1001,MATCH(ROW()-1,Calc!$X$2:$X$1001,0)),"")</f>
        <v/>
      </c>
      <c r="F225" s="3" t="str">
        <f aca="false">IF(G225="","",E225-D225)</f>
        <v/>
      </c>
      <c r="G225" s="0" t="str">
        <f aca="false">IFERROR(INDEX(Calc!$S$2:$S$1001,MATCH(ROW()-1,Calc!$X$2:$X$1001,0)),"")</f>
        <v/>
      </c>
    </row>
    <row r="226" customFormat="false" ht="15" hidden="false" customHeight="false" outlineLevel="0" collapsed="false">
      <c r="A226" s="0" t="str">
        <f aca="false">IFERROR(INDEX(Calc!$L$2:$L$1001,MATCH(ROW()-1,Calc!$X$2:$X$1001,0)),"")</f>
        <v/>
      </c>
      <c r="B226" s="0" t="str">
        <f aca="false">IFERROR(INDEX(Calc!$M$2:$M$1001,MATCH(ROW()-1,Calc!$X$2:$X$1001,0)),"")</f>
        <v/>
      </c>
      <c r="C226" s="0" t="str">
        <f aca="false">IFERROR(INDEX(Calc!$N$2:$N$1001,MATCH(ROW()-1,Calc!$X$2:$X$1001,0)),"")</f>
        <v/>
      </c>
      <c r="D226" s="3" t="str">
        <f aca="false">IFERROR(INDEX(Calc!$O$2:$O$1001,MATCH(ROW()-1,Calc!$X$2:$X$1001,0)),"")</f>
        <v/>
      </c>
      <c r="E226" s="3" t="str">
        <f aca="false">IFERROR(INDEX(Calc!$P$2:$P$1001,MATCH(ROW()-1,Calc!$X$2:$X$1001,0)),"")</f>
        <v/>
      </c>
      <c r="F226" s="3" t="str">
        <f aca="false">IF(G226="","",E226-D226)</f>
        <v/>
      </c>
      <c r="G226" s="0" t="str">
        <f aca="false">IFERROR(INDEX(Calc!$S$2:$S$1001,MATCH(ROW()-1,Calc!$X$2:$X$1001,0)),"")</f>
        <v/>
      </c>
    </row>
    <row r="227" customFormat="false" ht="15" hidden="false" customHeight="false" outlineLevel="0" collapsed="false">
      <c r="A227" s="0" t="str">
        <f aca="false">IFERROR(INDEX(Calc!$L$2:$L$1001,MATCH(ROW()-1,Calc!$X$2:$X$1001,0)),"")</f>
        <v/>
      </c>
      <c r="B227" s="0" t="str">
        <f aca="false">IFERROR(INDEX(Calc!$M$2:$M$1001,MATCH(ROW()-1,Calc!$X$2:$X$1001,0)),"")</f>
        <v/>
      </c>
      <c r="C227" s="0" t="str">
        <f aca="false">IFERROR(INDEX(Calc!$N$2:$N$1001,MATCH(ROW()-1,Calc!$X$2:$X$1001,0)),"")</f>
        <v/>
      </c>
      <c r="D227" s="3" t="str">
        <f aca="false">IFERROR(INDEX(Calc!$O$2:$O$1001,MATCH(ROW()-1,Calc!$X$2:$X$1001,0)),"")</f>
        <v/>
      </c>
      <c r="E227" s="3" t="str">
        <f aca="false">IFERROR(INDEX(Calc!$P$2:$P$1001,MATCH(ROW()-1,Calc!$X$2:$X$1001,0)),"")</f>
        <v/>
      </c>
      <c r="F227" s="3" t="str">
        <f aca="false">IF(G227="","",E227-D227)</f>
        <v/>
      </c>
      <c r="G227" s="0" t="str">
        <f aca="false">IFERROR(INDEX(Calc!$S$2:$S$1001,MATCH(ROW()-1,Calc!$X$2:$X$1001,0)),"")</f>
        <v/>
      </c>
    </row>
    <row r="228" customFormat="false" ht="15" hidden="false" customHeight="false" outlineLevel="0" collapsed="false">
      <c r="A228" s="0" t="str">
        <f aca="false">IFERROR(INDEX(Calc!$L$2:$L$1001,MATCH(ROW()-1,Calc!$X$2:$X$1001,0)),"")</f>
        <v/>
      </c>
      <c r="B228" s="0" t="str">
        <f aca="false">IFERROR(INDEX(Calc!$M$2:$M$1001,MATCH(ROW()-1,Calc!$X$2:$X$1001,0)),"")</f>
        <v/>
      </c>
      <c r="C228" s="0" t="str">
        <f aca="false">IFERROR(INDEX(Calc!$N$2:$N$1001,MATCH(ROW()-1,Calc!$X$2:$X$1001,0)),"")</f>
        <v/>
      </c>
      <c r="D228" s="3" t="str">
        <f aca="false">IFERROR(INDEX(Calc!$O$2:$O$1001,MATCH(ROW()-1,Calc!$X$2:$X$1001,0)),"")</f>
        <v/>
      </c>
      <c r="E228" s="3" t="str">
        <f aca="false">IFERROR(INDEX(Calc!$P$2:$P$1001,MATCH(ROW()-1,Calc!$X$2:$X$1001,0)),"")</f>
        <v/>
      </c>
      <c r="F228" s="3" t="str">
        <f aca="false">IF(G228="","",E228-D228)</f>
        <v/>
      </c>
      <c r="G228" s="0" t="str">
        <f aca="false">IFERROR(INDEX(Calc!$S$2:$S$1001,MATCH(ROW()-1,Calc!$X$2:$X$1001,0)),"")</f>
        <v/>
      </c>
    </row>
    <row r="229" customFormat="false" ht="15" hidden="false" customHeight="false" outlineLevel="0" collapsed="false">
      <c r="A229" s="0" t="str">
        <f aca="false">IFERROR(INDEX(Calc!$L$2:$L$1001,MATCH(ROW()-1,Calc!$X$2:$X$1001,0)),"")</f>
        <v/>
      </c>
      <c r="B229" s="0" t="str">
        <f aca="false">IFERROR(INDEX(Calc!$M$2:$M$1001,MATCH(ROW()-1,Calc!$X$2:$X$1001,0)),"")</f>
        <v/>
      </c>
      <c r="C229" s="0" t="str">
        <f aca="false">IFERROR(INDEX(Calc!$N$2:$N$1001,MATCH(ROW()-1,Calc!$X$2:$X$1001,0)),"")</f>
        <v/>
      </c>
      <c r="D229" s="3" t="str">
        <f aca="false">IFERROR(INDEX(Calc!$O$2:$O$1001,MATCH(ROW()-1,Calc!$X$2:$X$1001,0)),"")</f>
        <v/>
      </c>
      <c r="E229" s="3" t="str">
        <f aca="false">IFERROR(INDEX(Calc!$P$2:$P$1001,MATCH(ROW()-1,Calc!$X$2:$X$1001,0)),"")</f>
        <v/>
      </c>
      <c r="F229" s="3" t="str">
        <f aca="false">IF(G229="","",E229-D229)</f>
        <v/>
      </c>
      <c r="G229" s="0" t="str">
        <f aca="false">IFERROR(INDEX(Calc!$S$2:$S$1001,MATCH(ROW()-1,Calc!$X$2:$X$1001,0)),"")</f>
        <v/>
      </c>
    </row>
    <row r="230" customFormat="false" ht="15" hidden="false" customHeight="false" outlineLevel="0" collapsed="false">
      <c r="A230" s="0" t="str">
        <f aca="false">IFERROR(INDEX(Calc!$L$2:$L$1001,MATCH(ROW()-1,Calc!$X$2:$X$1001,0)),"")</f>
        <v/>
      </c>
      <c r="B230" s="0" t="str">
        <f aca="false">IFERROR(INDEX(Calc!$M$2:$M$1001,MATCH(ROW()-1,Calc!$X$2:$X$1001,0)),"")</f>
        <v/>
      </c>
      <c r="C230" s="0" t="str">
        <f aca="false">IFERROR(INDEX(Calc!$N$2:$N$1001,MATCH(ROW()-1,Calc!$X$2:$X$1001,0)),"")</f>
        <v/>
      </c>
      <c r="D230" s="3" t="str">
        <f aca="false">IFERROR(INDEX(Calc!$O$2:$O$1001,MATCH(ROW()-1,Calc!$X$2:$X$1001,0)),"")</f>
        <v/>
      </c>
      <c r="E230" s="3" t="str">
        <f aca="false">IFERROR(INDEX(Calc!$P$2:$P$1001,MATCH(ROW()-1,Calc!$X$2:$X$1001,0)),"")</f>
        <v/>
      </c>
      <c r="F230" s="3" t="str">
        <f aca="false">IF(G230="","",E230-D230)</f>
        <v/>
      </c>
      <c r="G230" s="0" t="str">
        <f aca="false">IFERROR(INDEX(Calc!$S$2:$S$1001,MATCH(ROW()-1,Calc!$X$2:$X$1001,0)),"")</f>
        <v/>
      </c>
    </row>
    <row r="231" customFormat="false" ht="15" hidden="false" customHeight="false" outlineLevel="0" collapsed="false">
      <c r="A231" s="0" t="str">
        <f aca="false">IFERROR(INDEX(Calc!$L$2:$L$1001,MATCH(ROW()-1,Calc!$X$2:$X$1001,0)),"")</f>
        <v/>
      </c>
      <c r="B231" s="0" t="str">
        <f aca="false">IFERROR(INDEX(Calc!$M$2:$M$1001,MATCH(ROW()-1,Calc!$X$2:$X$1001,0)),"")</f>
        <v/>
      </c>
      <c r="C231" s="0" t="str">
        <f aca="false">IFERROR(INDEX(Calc!$N$2:$N$1001,MATCH(ROW()-1,Calc!$X$2:$X$1001,0)),"")</f>
        <v/>
      </c>
      <c r="D231" s="3" t="str">
        <f aca="false">IFERROR(INDEX(Calc!$O$2:$O$1001,MATCH(ROW()-1,Calc!$X$2:$X$1001,0)),"")</f>
        <v/>
      </c>
      <c r="E231" s="3" t="str">
        <f aca="false">IFERROR(INDEX(Calc!$P$2:$P$1001,MATCH(ROW()-1,Calc!$X$2:$X$1001,0)),"")</f>
        <v/>
      </c>
      <c r="F231" s="3" t="str">
        <f aca="false">IF(G231="","",E231-D231)</f>
        <v/>
      </c>
      <c r="G231" s="0" t="str">
        <f aca="false">IFERROR(INDEX(Calc!$S$2:$S$1001,MATCH(ROW()-1,Calc!$X$2:$X$1001,0)),"")</f>
        <v/>
      </c>
    </row>
    <row r="232" customFormat="false" ht="15" hidden="false" customHeight="false" outlineLevel="0" collapsed="false">
      <c r="A232" s="0" t="str">
        <f aca="false">IFERROR(INDEX(Calc!$L$2:$L$1001,MATCH(ROW()-1,Calc!$X$2:$X$1001,0)),"")</f>
        <v/>
      </c>
      <c r="B232" s="0" t="str">
        <f aca="false">IFERROR(INDEX(Calc!$M$2:$M$1001,MATCH(ROW()-1,Calc!$X$2:$X$1001,0)),"")</f>
        <v/>
      </c>
      <c r="C232" s="0" t="str">
        <f aca="false">IFERROR(INDEX(Calc!$N$2:$N$1001,MATCH(ROW()-1,Calc!$X$2:$X$1001,0)),"")</f>
        <v/>
      </c>
      <c r="D232" s="3" t="str">
        <f aca="false">IFERROR(INDEX(Calc!$O$2:$O$1001,MATCH(ROW()-1,Calc!$X$2:$X$1001,0)),"")</f>
        <v/>
      </c>
      <c r="E232" s="3" t="str">
        <f aca="false">IFERROR(INDEX(Calc!$P$2:$P$1001,MATCH(ROW()-1,Calc!$X$2:$X$1001,0)),"")</f>
        <v/>
      </c>
      <c r="F232" s="3" t="str">
        <f aca="false">IF(G232="","",E232-D232)</f>
        <v/>
      </c>
      <c r="G232" s="0" t="str">
        <f aca="false">IFERROR(INDEX(Calc!$S$2:$S$1001,MATCH(ROW()-1,Calc!$X$2:$X$1001,0)),"")</f>
        <v/>
      </c>
    </row>
    <row r="233" customFormat="false" ht="15" hidden="false" customHeight="false" outlineLevel="0" collapsed="false">
      <c r="A233" s="0" t="str">
        <f aca="false">IFERROR(INDEX(Calc!$L$2:$L$1001,MATCH(ROW()-1,Calc!$X$2:$X$1001,0)),"")</f>
        <v/>
      </c>
      <c r="B233" s="0" t="str">
        <f aca="false">IFERROR(INDEX(Calc!$M$2:$M$1001,MATCH(ROW()-1,Calc!$X$2:$X$1001,0)),"")</f>
        <v/>
      </c>
      <c r="C233" s="0" t="str">
        <f aca="false">IFERROR(INDEX(Calc!$N$2:$N$1001,MATCH(ROW()-1,Calc!$X$2:$X$1001,0)),"")</f>
        <v/>
      </c>
      <c r="D233" s="3" t="str">
        <f aca="false">IFERROR(INDEX(Calc!$O$2:$O$1001,MATCH(ROW()-1,Calc!$X$2:$X$1001,0)),"")</f>
        <v/>
      </c>
      <c r="E233" s="3" t="str">
        <f aca="false">IFERROR(INDEX(Calc!$P$2:$P$1001,MATCH(ROW()-1,Calc!$X$2:$X$1001,0)),"")</f>
        <v/>
      </c>
      <c r="F233" s="3" t="str">
        <f aca="false">IF(G233="","",E233-D233)</f>
        <v/>
      </c>
      <c r="G233" s="0" t="str">
        <f aca="false">IFERROR(INDEX(Calc!$S$2:$S$1001,MATCH(ROW()-1,Calc!$X$2:$X$1001,0)),"")</f>
        <v/>
      </c>
    </row>
    <row r="234" customFormat="false" ht="15" hidden="false" customHeight="false" outlineLevel="0" collapsed="false">
      <c r="A234" s="0" t="str">
        <f aca="false">IFERROR(INDEX(Calc!$L$2:$L$1001,MATCH(ROW()-1,Calc!$X$2:$X$1001,0)),"")</f>
        <v/>
      </c>
      <c r="B234" s="0" t="str">
        <f aca="false">IFERROR(INDEX(Calc!$M$2:$M$1001,MATCH(ROW()-1,Calc!$X$2:$X$1001,0)),"")</f>
        <v/>
      </c>
      <c r="C234" s="0" t="str">
        <f aca="false">IFERROR(INDEX(Calc!$N$2:$N$1001,MATCH(ROW()-1,Calc!$X$2:$X$1001,0)),"")</f>
        <v/>
      </c>
      <c r="D234" s="3" t="str">
        <f aca="false">IFERROR(INDEX(Calc!$O$2:$O$1001,MATCH(ROW()-1,Calc!$X$2:$X$1001,0)),"")</f>
        <v/>
      </c>
      <c r="E234" s="3" t="str">
        <f aca="false">IFERROR(INDEX(Calc!$P$2:$P$1001,MATCH(ROW()-1,Calc!$X$2:$X$1001,0)),"")</f>
        <v/>
      </c>
      <c r="F234" s="3" t="str">
        <f aca="false">IF(G234="","",E234-D234)</f>
        <v/>
      </c>
      <c r="G234" s="0" t="str">
        <f aca="false">IFERROR(INDEX(Calc!$S$2:$S$1001,MATCH(ROW()-1,Calc!$X$2:$X$1001,0)),"")</f>
        <v/>
      </c>
    </row>
    <row r="235" customFormat="false" ht="15" hidden="false" customHeight="false" outlineLevel="0" collapsed="false">
      <c r="A235" s="0" t="str">
        <f aca="false">IFERROR(INDEX(Calc!$L$2:$L$1001,MATCH(ROW()-1,Calc!$X$2:$X$1001,0)),"")</f>
        <v/>
      </c>
      <c r="B235" s="0" t="str">
        <f aca="false">IFERROR(INDEX(Calc!$M$2:$M$1001,MATCH(ROW()-1,Calc!$X$2:$X$1001,0)),"")</f>
        <v/>
      </c>
      <c r="C235" s="0" t="str">
        <f aca="false">IFERROR(INDEX(Calc!$N$2:$N$1001,MATCH(ROW()-1,Calc!$X$2:$X$1001,0)),"")</f>
        <v/>
      </c>
      <c r="D235" s="3" t="str">
        <f aca="false">IFERROR(INDEX(Calc!$O$2:$O$1001,MATCH(ROW()-1,Calc!$X$2:$X$1001,0)),"")</f>
        <v/>
      </c>
      <c r="E235" s="3" t="str">
        <f aca="false">IFERROR(INDEX(Calc!$P$2:$P$1001,MATCH(ROW()-1,Calc!$X$2:$X$1001,0)),"")</f>
        <v/>
      </c>
      <c r="F235" s="3" t="str">
        <f aca="false">IF(G235="","",E235-D235)</f>
        <v/>
      </c>
      <c r="G235" s="0" t="str">
        <f aca="false">IFERROR(INDEX(Calc!$S$2:$S$1001,MATCH(ROW()-1,Calc!$X$2:$X$1001,0)),"")</f>
        <v/>
      </c>
    </row>
    <row r="236" customFormat="false" ht="15" hidden="false" customHeight="false" outlineLevel="0" collapsed="false">
      <c r="A236" s="0" t="str">
        <f aca="false">IFERROR(INDEX(Calc!$L$2:$L$1001,MATCH(ROW()-1,Calc!$X$2:$X$1001,0)),"")</f>
        <v/>
      </c>
      <c r="B236" s="0" t="str">
        <f aca="false">IFERROR(INDEX(Calc!$M$2:$M$1001,MATCH(ROW()-1,Calc!$X$2:$X$1001,0)),"")</f>
        <v/>
      </c>
      <c r="C236" s="0" t="str">
        <f aca="false">IFERROR(INDEX(Calc!$N$2:$N$1001,MATCH(ROW()-1,Calc!$X$2:$X$1001,0)),"")</f>
        <v/>
      </c>
      <c r="D236" s="3" t="str">
        <f aca="false">IFERROR(INDEX(Calc!$O$2:$O$1001,MATCH(ROW()-1,Calc!$X$2:$X$1001,0)),"")</f>
        <v/>
      </c>
      <c r="E236" s="3" t="str">
        <f aca="false">IFERROR(INDEX(Calc!$P$2:$P$1001,MATCH(ROW()-1,Calc!$X$2:$X$1001,0)),"")</f>
        <v/>
      </c>
      <c r="F236" s="3" t="str">
        <f aca="false">IF(G236="","",E236-D236)</f>
        <v/>
      </c>
      <c r="G236" s="0" t="str">
        <f aca="false">IFERROR(INDEX(Calc!$S$2:$S$1001,MATCH(ROW()-1,Calc!$X$2:$X$1001,0)),"")</f>
        <v/>
      </c>
    </row>
    <row r="237" customFormat="false" ht="15" hidden="false" customHeight="false" outlineLevel="0" collapsed="false">
      <c r="A237" s="0" t="str">
        <f aca="false">IFERROR(INDEX(Calc!$L$2:$L$1001,MATCH(ROW()-1,Calc!$X$2:$X$1001,0)),"")</f>
        <v/>
      </c>
      <c r="B237" s="0" t="str">
        <f aca="false">IFERROR(INDEX(Calc!$M$2:$M$1001,MATCH(ROW()-1,Calc!$X$2:$X$1001,0)),"")</f>
        <v/>
      </c>
      <c r="C237" s="0" t="str">
        <f aca="false">IFERROR(INDEX(Calc!$N$2:$N$1001,MATCH(ROW()-1,Calc!$X$2:$X$1001,0)),"")</f>
        <v/>
      </c>
      <c r="D237" s="3" t="str">
        <f aca="false">IFERROR(INDEX(Calc!$O$2:$O$1001,MATCH(ROW()-1,Calc!$X$2:$X$1001,0)),"")</f>
        <v/>
      </c>
      <c r="E237" s="3" t="str">
        <f aca="false">IFERROR(INDEX(Calc!$P$2:$P$1001,MATCH(ROW()-1,Calc!$X$2:$X$1001,0)),"")</f>
        <v/>
      </c>
      <c r="F237" s="3" t="str">
        <f aca="false">IF(G237="","",E237-D237)</f>
        <v/>
      </c>
      <c r="G237" s="0" t="str">
        <f aca="false">IFERROR(INDEX(Calc!$S$2:$S$1001,MATCH(ROW()-1,Calc!$X$2:$X$1001,0)),"")</f>
        <v/>
      </c>
    </row>
    <row r="238" customFormat="false" ht="15" hidden="false" customHeight="false" outlineLevel="0" collapsed="false">
      <c r="A238" s="0" t="str">
        <f aca="false">IFERROR(INDEX(Calc!$L$2:$L$1001,MATCH(ROW()-1,Calc!$X$2:$X$1001,0)),"")</f>
        <v/>
      </c>
      <c r="B238" s="0" t="str">
        <f aca="false">IFERROR(INDEX(Calc!$M$2:$M$1001,MATCH(ROW()-1,Calc!$X$2:$X$1001,0)),"")</f>
        <v/>
      </c>
      <c r="C238" s="0" t="str">
        <f aca="false">IFERROR(INDEX(Calc!$N$2:$N$1001,MATCH(ROW()-1,Calc!$X$2:$X$1001,0)),"")</f>
        <v/>
      </c>
      <c r="D238" s="3" t="str">
        <f aca="false">IFERROR(INDEX(Calc!$O$2:$O$1001,MATCH(ROW()-1,Calc!$X$2:$X$1001,0)),"")</f>
        <v/>
      </c>
      <c r="E238" s="3" t="str">
        <f aca="false">IFERROR(INDEX(Calc!$P$2:$P$1001,MATCH(ROW()-1,Calc!$X$2:$X$1001,0)),"")</f>
        <v/>
      </c>
      <c r="F238" s="3" t="str">
        <f aca="false">IF(G238="","",E238-D238)</f>
        <v/>
      </c>
      <c r="G238" s="0" t="str">
        <f aca="false">IFERROR(INDEX(Calc!$S$2:$S$1001,MATCH(ROW()-1,Calc!$X$2:$X$1001,0)),"")</f>
        <v/>
      </c>
    </row>
    <row r="239" customFormat="false" ht="15" hidden="false" customHeight="false" outlineLevel="0" collapsed="false">
      <c r="A239" s="0" t="str">
        <f aca="false">IFERROR(INDEX(Calc!$L$2:$L$1001,MATCH(ROW()-1,Calc!$X$2:$X$1001,0)),"")</f>
        <v/>
      </c>
      <c r="B239" s="0" t="str">
        <f aca="false">IFERROR(INDEX(Calc!$M$2:$M$1001,MATCH(ROW()-1,Calc!$X$2:$X$1001,0)),"")</f>
        <v/>
      </c>
      <c r="C239" s="0" t="str">
        <f aca="false">IFERROR(INDEX(Calc!$N$2:$N$1001,MATCH(ROW()-1,Calc!$X$2:$X$1001,0)),"")</f>
        <v/>
      </c>
      <c r="D239" s="3" t="str">
        <f aca="false">IFERROR(INDEX(Calc!$O$2:$O$1001,MATCH(ROW()-1,Calc!$X$2:$X$1001,0)),"")</f>
        <v/>
      </c>
      <c r="E239" s="3" t="str">
        <f aca="false">IFERROR(INDEX(Calc!$P$2:$P$1001,MATCH(ROW()-1,Calc!$X$2:$X$1001,0)),"")</f>
        <v/>
      </c>
      <c r="F239" s="3" t="str">
        <f aca="false">IF(G239="","",E239-D239)</f>
        <v/>
      </c>
      <c r="G239" s="0" t="str">
        <f aca="false">IFERROR(INDEX(Calc!$S$2:$S$1001,MATCH(ROW()-1,Calc!$X$2:$X$1001,0)),"")</f>
        <v/>
      </c>
    </row>
    <row r="240" customFormat="false" ht="15" hidden="false" customHeight="false" outlineLevel="0" collapsed="false">
      <c r="A240" s="0" t="str">
        <f aca="false">IFERROR(INDEX(Calc!$L$2:$L$1001,MATCH(ROW()-1,Calc!$X$2:$X$1001,0)),"")</f>
        <v/>
      </c>
      <c r="B240" s="0" t="str">
        <f aca="false">IFERROR(INDEX(Calc!$M$2:$M$1001,MATCH(ROW()-1,Calc!$X$2:$X$1001,0)),"")</f>
        <v/>
      </c>
      <c r="C240" s="0" t="str">
        <f aca="false">IFERROR(INDEX(Calc!$N$2:$N$1001,MATCH(ROW()-1,Calc!$X$2:$X$1001,0)),"")</f>
        <v/>
      </c>
      <c r="D240" s="3" t="str">
        <f aca="false">IFERROR(INDEX(Calc!$O$2:$O$1001,MATCH(ROW()-1,Calc!$X$2:$X$1001,0)),"")</f>
        <v/>
      </c>
      <c r="E240" s="3" t="str">
        <f aca="false">IFERROR(INDEX(Calc!$P$2:$P$1001,MATCH(ROW()-1,Calc!$X$2:$X$1001,0)),"")</f>
        <v/>
      </c>
      <c r="F240" s="3" t="str">
        <f aca="false">IF(G240="","",E240-D240)</f>
        <v/>
      </c>
      <c r="G240" s="0" t="str">
        <f aca="false">IFERROR(INDEX(Calc!$S$2:$S$1001,MATCH(ROW()-1,Calc!$X$2:$X$1001,0)),"")</f>
        <v/>
      </c>
    </row>
    <row r="241" customFormat="false" ht="15" hidden="false" customHeight="false" outlineLevel="0" collapsed="false">
      <c r="A241" s="0" t="str">
        <f aca="false">IFERROR(INDEX(Calc!$L$2:$L$1001,MATCH(ROW()-1,Calc!$X$2:$X$1001,0)),"")</f>
        <v/>
      </c>
      <c r="B241" s="0" t="str">
        <f aca="false">IFERROR(INDEX(Calc!$M$2:$M$1001,MATCH(ROW()-1,Calc!$X$2:$X$1001,0)),"")</f>
        <v/>
      </c>
      <c r="C241" s="0" t="str">
        <f aca="false">IFERROR(INDEX(Calc!$N$2:$N$1001,MATCH(ROW()-1,Calc!$X$2:$X$1001,0)),"")</f>
        <v/>
      </c>
      <c r="D241" s="3" t="str">
        <f aca="false">IFERROR(INDEX(Calc!$O$2:$O$1001,MATCH(ROW()-1,Calc!$X$2:$X$1001,0)),"")</f>
        <v/>
      </c>
      <c r="E241" s="3" t="str">
        <f aca="false">IFERROR(INDEX(Calc!$P$2:$P$1001,MATCH(ROW()-1,Calc!$X$2:$X$1001,0)),"")</f>
        <v/>
      </c>
      <c r="F241" s="3" t="str">
        <f aca="false">IF(G241="","",E241-D241)</f>
        <v/>
      </c>
      <c r="G241" s="0" t="str">
        <f aca="false">IFERROR(INDEX(Calc!$S$2:$S$1001,MATCH(ROW()-1,Calc!$X$2:$X$1001,0)),"")</f>
        <v/>
      </c>
    </row>
    <row r="242" customFormat="false" ht="15" hidden="false" customHeight="false" outlineLevel="0" collapsed="false">
      <c r="A242" s="0" t="str">
        <f aca="false">IFERROR(INDEX(Calc!$L$2:$L$1001,MATCH(ROW()-1,Calc!$X$2:$X$1001,0)),"")</f>
        <v/>
      </c>
      <c r="B242" s="0" t="str">
        <f aca="false">IFERROR(INDEX(Calc!$M$2:$M$1001,MATCH(ROW()-1,Calc!$X$2:$X$1001,0)),"")</f>
        <v/>
      </c>
      <c r="C242" s="0" t="str">
        <f aca="false">IFERROR(INDEX(Calc!$N$2:$N$1001,MATCH(ROW()-1,Calc!$X$2:$X$1001,0)),"")</f>
        <v/>
      </c>
      <c r="D242" s="3" t="str">
        <f aca="false">IFERROR(INDEX(Calc!$O$2:$O$1001,MATCH(ROW()-1,Calc!$X$2:$X$1001,0)),"")</f>
        <v/>
      </c>
      <c r="E242" s="3" t="str">
        <f aca="false">IFERROR(INDEX(Calc!$P$2:$P$1001,MATCH(ROW()-1,Calc!$X$2:$X$1001,0)),"")</f>
        <v/>
      </c>
      <c r="F242" s="3" t="str">
        <f aca="false">IF(G242="","",E242-D242)</f>
        <v/>
      </c>
      <c r="G242" s="0" t="str">
        <f aca="false">IFERROR(INDEX(Calc!$S$2:$S$1001,MATCH(ROW()-1,Calc!$X$2:$X$1001,0)),"")</f>
        <v/>
      </c>
    </row>
    <row r="243" customFormat="false" ht="15" hidden="false" customHeight="false" outlineLevel="0" collapsed="false">
      <c r="A243" s="0" t="str">
        <f aca="false">IFERROR(INDEX(Calc!$L$2:$L$1001,MATCH(ROW()-1,Calc!$X$2:$X$1001,0)),"")</f>
        <v/>
      </c>
      <c r="B243" s="0" t="str">
        <f aca="false">IFERROR(INDEX(Calc!$M$2:$M$1001,MATCH(ROW()-1,Calc!$X$2:$X$1001,0)),"")</f>
        <v/>
      </c>
      <c r="C243" s="0" t="str">
        <f aca="false">IFERROR(INDEX(Calc!$N$2:$N$1001,MATCH(ROW()-1,Calc!$X$2:$X$1001,0)),"")</f>
        <v/>
      </c>
      <c r="D243" s="3" t="str">
        <f aca="false">IFERROR(INDEX(Calc!$O$2:$O$1001,MATCH(ROW()-1,Calc!$X$2:$X$1001,0)),"")</f>
        <v/>
      </c>
      <c r="E243" s="3" t="str">
        <f aca="false">IFERROR(INDEX(Calc!$P$2:$P$1001,MATCH(ROW()-1,Calc!$X$2:$X$1001,0)),"")</f>
        <v/>
      </c>
      <c r="F243" s="3" t="str">
        <f aca="false">IF(G243="","",E243-D243)</f>
        <v/>
      </c>
      <c r="G243" s="0" t="str">
        <f aca="false">IFERROR(INDEX(Calc!$S$2:$S$1001,MATCH(ROW()-1,Calc!$X$2:$X$1001,0)),"")</f>
        <v/>
      </c>
    </row>
    <row r="244" customFormat="false" ht="15" hidden="false" customHeight="false" outlineLevel="0" collapsed="false">
      <c r="A244" s="0" t="str">
        <f aca="false">IFERROR(INDEX(Calc!$L$2:$L$1001,MATCH(ROW()-1,Calc!$X$2:$X$1001,0)),"")</f>
        <v/>
      </c>
      <c r="B244" s="0" t="str">
        <f aca="false">IFERROR(INDEX(Calc!$M$2:$M$1001,MATCH(ROW()-1,Calc!$X$2:$X$1001,0)),"")</f>
        <v/>
      </c>
      <c r="C244" s="0" t="str">
        <f aca="false">IFERROR(INDEX(Calc!$N$2:$N$1001,MATCH(ROW()-1,Calc!$X$2:$X$1001,0)),"")</f>
        <v/>
      </c>
      <c r="D244" s="3" t="str">
        <f aca="false">IFERROR(INDEX(Calc!$O$2:$O$1001,MATCH(ROW()-1,Calc!$X$2:$X$1001,0)),"")</f>
        <v/>
      </c>
      <c r="E244" s="3" t="str">
        <f aca="false">IFERROR(INDEX(Calc!$P$2:$P$1001,MATCH(ROW()-1,Calc!$X$2:$X$1001,0)),"")</f>
        <v/>
      </c>
      <c r="F244" s="3" t="str">
        <f aca="false">IF(G244="","",E244-D244)</f>
        <v/>
      </c>
      <c r="G244" s="0" t="str">
        <f aca="false">IFERROR(INDEX(Calc!$S$2:$S$1001,MATCH(ROW()-1,Calc!$X$2:$X$1001,0)),"")</f>
        <v/>
      </c>
    </row>
    <row r="245" customFormat="false" ht="15" hidden="false" customHeight="false" outlineLevel="0" collapsed="false">
      <c r="A245" s="0" t="str">
        <f aca="false">IFERROR(INDEX(Calc!$L$2:$L$1001,MATCH(ROW()-1,Calc!$X$2:$X$1001,0)),"")</f>
        <v/>
      </c>
      <c r="B245" s="0" t="str">
        <f aca="false">IFERROR(INDEX(Calc!$M$2:$M$1001,MATCH(ROW()-1,Calc!$X$2:$X$1001,0)),"")</f>
        <v/>
      </c>
      <c r="C245" s="0" t="str">
        <f aca="false">IFERROR(INDEX(Calc!$N$2:$N$1001,MATCH(ROW()-1,Calc!$X$2:$X$1001,0)),"")</f>
        <v/>
      </c>
      <c r="D245" s="3" t="str">
        <f aca="false">IFERROR(INDEX(Calc!$O$2:$O$1001,MATCH(ROW()-1,Calc!$X$2:$X$1001,0)),"")</f>
        <v/>
      </c>
      <c r="E245" s="3" t="str">
        <f aca="false">IFERROR(INDEX(Calc!$P$2:$P$1001,MATCH(ROW()-1,Calc!$X$2:$X$1001,0)),"")</f>
        <v/>
      </c>
      <c r="F245" s="3" t="str">
        <f aca="false">IF(G245="","",E245-D245)</f>
        <v/>
      </c>
      <c r="G245" s="0" t="str">
        <f aca="false">IFERROR(INDEX(Calc!$S$2:$S$1001,MATCH(ROW()-1,Calc!$X$2:$X$1001,0)),"")</f>
        <v/>
      </c>
    </row>
    <row r="246" customFormat="false" ht="15" hidden="false" customHeight="false" outlineLevel="0" collapsed="false">
      <c r="A246" s="0" t="str">
        <f aca="false">IFERROR(INDEX(Calc!$L$2:$L$1001,MATCH(ROW()-1,Calc!$X$2:$X$1001,0)),"")</f>
        <v/>
      </c>
      <c r="B246" s="0" t="str">
        <f aca="false">IFERROR(INDEX(Calc!$M$2:$M$1001,MATCH(ROW()-1,Calc!$X$2:$X$1001,0)),"")</f>
        <v/>
      </c>
      <c r="C246" s="0" t="str">
        <f aca="false">IFERROR(INDEX(Calc!$N$2:$N$1001,MATCH(ROW()-1,Calc!$X$2:$X$1001,0)),"")</f>
        <v/>
      </c>
      <c r="D246" s="3" t="str">
        <f aca="false">IFERROR(INDEX(Calc!$O$2:$O$1001,MATCH(ROW()-1,Calc!$X$2:$X$1001,0)),"")</f>
        <v/>
      </c>
      <c r="E246" s="3" t="str">
        <f aca="false">IFERROR(INDEX(Calc!$P$2:$P$1001,MATCH(ROW()-1,Calc!$X$2:$X$1001,0)),"")</f>
        <v/>
      </c>
      <c r="F246" s="3" t="str">
        <f aca="false">IF(G246="","",E246-D246)</f>
        <v/>
      </c>
      <c r="G246" s="0" t="str">
        <f aca="false">IFERROR(INDEX(Calc!$S$2:$S$1001,MATCH(ROW()-1,Calc!$X$2:$X$1001,0)),"")</f>
        <v/>
      </c>
    </row>
    <row r="247" customFormat="false" ht="15" hidden="false" customHeight="false" outlineLevel="0" collapsed="false">
      <c r="A247" s="0" t="str">
        <f aca="false">IFERROR(INDEX(Calc!$L$2:$L$1001,MATCH(ROW()-1,Calc!$X$2:$X$1001,0)),"")</f>
        <v/>
      </c>
      <c r="B247" s="0" t="str">
        <f aca="false">IFERROR(INDEX(Calc!$M$2:$M$1001,MATCH(ROW()-1,Calc!$X$2:$X$1001,0)),"")</f>
        <v/>
      </c>
      <c r="C247" s="0" t="str">
        <f aca="false">IFERROR(INDEX(Calc!$N$2:$N$1001,MATCH(ROW()-1,Calc!$X$2:$X$1001,0)),"")</f>
        <v/>
      </c>
      <c r="D247" s="3" t="str">
        <f aca="false">IFERROR(INDEX(Calc!$O$2:$O$1001,MATCH(ROW()-1,Calc!$X$2:$X$1001,0)),"")</f>
        <v/>
      </c>
      <c r="E247" s="3" t="str">
        <f aca="false">IFERROR(INDEX(Calc!$P$2:$P$1001,MATCH(ROW()-1,Calc!$X$2:$X$1001,0)),"")</f>
        <v/>
      </c>
      <c r="F247" s="3" t="str">
        <f aca="false">IF(G247="","",E247-D247)</f>
        <v/>
      </c>
      <c r="G247" s="0" t="str">
        <f aca="false">IFERROR(INDEX(Calc!$S$2:$S$1001,MATCH(ROW()-1,Calc!$X$2:$X$1001,0)),"")</f>
        <v/>
      </c>
    </row>
    <row r="248" customFormat="false" ht="15" hidden="false" customHeight="false" outlineLevel="0" collapsed="false">
      <c r="A248" s="0" t="str">
        <f aca="false">IFERROR(INDEX(Calc!$L$2:$L$1001,MATCH(ROW()-1,Calc!$X$2:$X$1001,0)),"")</f>
        <v/>
      </c>
      <c r="B248" s="0" t="str">
        <f aca="false">IFERROR(INDEX(Calc!$M$2:$M$1001,MATCH(ROW()-1,Calc!$X$2:$X$1001,0)),"")</f>
        <v/>
      </c>
      <c r="C248" s="0" t="str">
        <f aca="false">IFERROR(INDEX(Calc!$N$2:$N$1001,MATCH(ROW()-1,Calc!$X$2:$X$1001,0)),"")</f>
        <v/>
      </c>
      <c r="D248" s="3" t="str">
        <f aca="false">IFERROR(INDEX(Calc!$O$2:$O$1001,MATCH(ROW()-1,Calc!$X$2:$X$1001,0)),"")</f>
        <v/>
      </c>
      <c r="E248" s="3" t="str">
        <f aca="false">IFERROR(INDEX(Calc!$P$2:$P$1001,MATCH(ROW()-1,Calc!$X$2:$X$1001,0)),"")</f>
        <v/>
      </c>
      <c r="F248" s="3" t="str">
        <f aca="false">IF(G248="","",E248-D248)</f>
        <v/>
      </c>
      <c r="G248" s="0" t="str">
        <f aca="false">IFERROR(INDEX(Calc!$S$2:$S$1001,MATCH(ROW()-1,Calc!$X$2:$X$1001,0)),"")</f>
        <v/>
      </c>
    </row>
    <row r="249" customFormat="false" ht="15" hidden="false" customHeight="false" outlineLevel="0" collapsed="false">
      <c r="A249" s="0" t="str">
        <f aca="false">IFERROR(INDEX(Calc!$L$2:$L$1001,MATCH(ROW()-1,Calc!$X$2:$X$1001,0)),"")</f>
        <v/>
      </c>
      <c r="B249" s="0" t="str">
        <f aca="false">IFERROR(INDEX(Calc!$M$2:$M$1001,MATCH(ROW()-1,Calc!$X$2:$X$1001,0)),"")</f>
        <v/>
      </c>
      <c r="C249" s="0" t="str">
        <f aca="false">IFERROR(INDEX(Calc!$N$2:$N$1001,MATCH(ROW()-1,Calc!$X$2:$X$1001,0)),"")</f>
        <v/>
      </c>
      <c r="D249" s="3" t="str">
        <f aca="false">IFERROR(INDEX(Calc!$O$2:$O$1001,MATCH(ROW()-1,Calc!$X$2:$X$1001,0)),"")</f>
        <v/>
      </c>
      <c r="E249" s="3" t="str">
        <f aca="false">IFERROR(INDEX(Calc!$P$2:$P$1001,MATCH(ROW()-1,Calc!$X$2:$X$1001,0)),"")</f>
        <v/>
      </c>
      <c r="F249" s="3" t="str">
        <f aca="false">IF(G249="","",E249-D249)</f>
        <v/>
      </c>
      <c r="G249" s="0" t="str">
        <f aca="false">IFERROR(INDEX(Calc!$S$2:$S$1001,MATCH(ROW()-1,Calc!$X$2:$X$1001,0)),"")</f>
        <v/>
      </c>
    </row>
    <row r="250" customFormat="false" ht="15" hidden="false" customHeight="false" outlineLevel="0" collapsed="false">
      <c r="A250" s="0" t="str">
        <f aca="false">IFERROR(INDEX(Calc!$L$2:$L$1001,MATCH(ROW()-1,Calc!$X$2:$X$1001,0)),"")</f>
        <v/>
      </c>
      <c r="B250" s="0" t="str">
        <f aca="false">IFERROR(INDEX(Calc!$M$2:$M$1001,MATCH(ROW()-1,Calc!$X$2:$X$1001,0)),"")</f>
        <v/>
      </c>
      <c r="C250" s="0" t="str">
        <f aca="false">IFERROR(INDEX(Calc!$N$2:$N$1001,MATCH(ROW()-1,Calc!$X$2:$X$1001,0)),"")</f>
        <v/>
      </c>
      <c r="D250" s="3" t="str">
        <f aca="false">IFERROR(INDEX(Calc!$O$2:$O$1001,MATCH(ROW()-1,Calc!$X$2:$X$1001,0)),"")</f>
        <v/>
      </c>
      <c r="E250" s="3" t="str">
        <f aca="false">IFERROR(INDEX(Calc!$P$2:$P$1001,MATCH(ROW()-1,Calc!$X$2:$X$1001,0)),"")</f>
        <v/>
      </c>
      <c r="F250" s="3" t="str">
        <f aca="false">IF(G250="","",E250-D250)</f>
        <v/>
      </c>
      <c r="G250" s="0" t="str">
        <f aca="false">IFERROR(INDEX(Calc!$S$2:$S$1001,MATCH(ROW()-1,Calc!$X$2:$X$1001,0)),"")</f>
        <v/>
      </c>
    </row>
    <row r="251" customFormat="false" ht="15" hidden="false" customHeight="false" outlineLevel="0" collapsed="false">
      <c r="A251" s="0" t="str">
        <f aca="false">IFERROR(INDEX(Calc!$L$2:$L$1001,MATCH(ROW()-1,Calc!$X$2:$X$1001,0)),"")</f>
        <v/>
      </c>
      <c r="B251" s="0" t="str">
        <f aca="false">IFERROR(INDEX(Calc!$M$2:$M$1001,MATCH(ROW()-1,Calc!$X$2:$X$1001,0)),"")</f>
        <v/>
      </c>
      <c r="C251" s="0" t="str">
        <f aca="false">IFERROR(INDEX(Calc!$N$2:$N$1001,MATCH(ROW()-1,Calc!$X$2:$X$1001,0)),"")</f>
        <v/>
      </c>
      <c r="D251" s="3" t="str">
        <f aca="false">IFERROR(INDEX(Calc!$O$2:$O$1001,MATCH(ROW()-1,Calc!$X$2:$X$1001,0)),"")</f>
        <v/>
      </c>
      <c r="E251" s="3" t="str">
        <f aca="false">IFERROR(INDEX(Calc!$P$2:$P$1001,MATCH(ROW()-1,Calc!$X$2:$X$1001,0)),"")</f>
        <v/>
      </c>
      <c r="F251" s="3" t="str">
        <f aca="false">IF(G251="","",E251-D251)</f>
        <v/>
      </c>
      <c r="G251" s="0" t="str">
        <f aca="false">IFERROR(INDEX(Calc!$S$2:$S$1001,MATCH(ROW()-1,Calc!$X$2:$X$1001,0)),"")</f>
        <v/>
      </c>
    </row>
    <row r="252" customFormat="false" ht="15" hidden="false" customHeight="false" outlineLevel="0" collapsed="false">
      <c r="A252" s="0" t="str">
        <f aca="false">IFERROR(INDEX(Calc!$L$2:$L$1001,MATCH(ROW()-1,Calc!$X$2:$X$1001,0)),"")</f>
        <v/>
      </c>
      <c r="B252" s="0" t="str">
        <f aca="false">IFERROR(INDEX(Calc!$M$2:$M$1001,MATCH(ROW()-1,Calc!$X$2:$X$1001,0)),"")</f>
        <v/>
      </c>
      <c r="C252" s="0" t="str">
        <f aca="false">IFERROR(INDEX(Calc!$N$2:$N$1001,MATCH(ROW()-1,Calc!$X$2:$X$1001,0)),"")</f>
        <v/>
      </c>
      <c r="D252" s="3" t="str">
        <f aca="false">IFERROR(INDEX(Calc!$O$2:$O$1001,MATCH(ROW()-1,Calc!$X$2:$X$1001,0)),"")</f>
        <v/>
      </c>
      <c r="E252" s="3" t="str">
        <f aca="false">IFERROR(INDEX(Calc!$P$2:$P$1001,MATCH(ROW()-1,Calc!$X$2:$X$1001,0)),"")</f>
        <v/>
      </c>
      <c r="F252" s="3" t="str">
        <f aca="false">IF(G252="","",E252-D252)</f>
        <v/>
      </c>
      <c r="G252" s="0" t="str">
        <f aca="false">IFERROR(INDEX(Calc!$S$2:$S$1001,MATCH(ROW()-1,Calc!$X$2:$X$1001,0)),"")</f>
        <v/>
      </c>
    </row>
    <row r="253" customFormat="false" ht="15" hidden="false" customHeight="false" outlineLevel="0" collapsed="false">
      <c r="A253" s="0" t="str">
        <f aca="false">IFERROR(INDEX(Calc!$L$2:$L$1001,MATCH(ROW()-1,Calc!$X$2:$X$1001,0)),"")</f>
        <v/>
      </c>
      <c r="B253" s="0" t="str">
        <f aca="false">IFERROR(INDEX(Calc!$M$2:$M$1001,MATCH(ROW()-1,Calc!$X$2:$X$1001,0)),"")</f>
        <v/>
      </c>
      <c r="C253" s="0" t="str">
        <f aca="false">IFERROR(INDEX(Calc!$N$2:$N$1001,MATCH(ROW()-1,Calc!$X$2:$X$1001,0)),"")</f>
        <v/>
      </c>
      <c r="D253" s="3" t="str">
        <f aca="false">IFERROR(INDEX(Calc!$O$2:$O$1001,MATCH(ROW()-1,Calc!$X$2:$X$1001,0)),"")</f>
        <v/>
      </c>
      <c r="E253" s="3" t="str">
        <f aca="false">IFERROR(INDEX(Calc!$P$2:$P$1001,MATCH(ROW()-1,Calc!$X$2:$X$1001,0)),"")</f>
        <v/>
      </c>
      <c r="F253" s="3" t="str">
        <f aca="false">IF(G253="","",E253-D253)</f>
        <v/>
      </c>
      <c r="G253" s="0" t="str">
        <f aca="false">IFERROR(INDEX(Calc!$S$2:$S$1001,MATCH(ROW()-1,Calc!$X$2:$X$1001,0)),"")</f>
        <v/>
      </c>
    </row>
    <row r="254" customFormat="false" ht="15" hidden="false" customHeight="false" outlineLevel="0" collapsed="false">
      <c r="A254" s="0" t="str">
        <f aca="false">IFERROR(INDEX(Calc!$L$2:$L$1001,MATCH(ROW()-1,Calc!$X$2:$X$1001,0)),"")</f>
        <v/>
      </c>
      <c r="B254" s="0" t="str">
        <f aca="false">IFERROR(INDEX(Calc!$M$2:$M$1001,MATCH(ROW()-1,Calc!$X$2:$X$1001,0)),"")</f>
        <v/>
      </c>
      <c r="C254" s="0" t="str">
        <f aca="false">IFERROR(INDEX(Calc!$N$2:$N$1001,MATCH(ROW()-1,Calc!$X$2:$X$1001,0)),"")</f>
        <v/>
      </c>
      <c r="D254" s="3" t="str">
        <f aca="false">IFERROR(INDEX(Calc!$O$2:$O$1001,MATCH(ROW()-1,Calc!$X$2:$X$1001,0)),"")</f>
        <v/>
      </c>
      <c r="E254" s="3" t="str">
        <f aca="false">IFERROR(INDEX(Calc!$P$2:$P$1001,MATCH(ROW()-1,Calc!$X$2:$X$1001,0)),"")</f>
        <v/>
      </c>
      <c r="F254" s="3" t="str">
        <f aca="false">IF(G254="","",E254-D254)</f>
        <v/>
      </c>
      <c r="G254" s="0" t="str">
        <f aca="false">IFERROR(INDEX(Calc!$S$2:$S$1001,MATCH(ROW()-1,Calc!$X$2:$X$1001,0)),"")</f>
        <v/>
      </c>
    </row>
    <row r="255" customFormat="false" ht="15" hidden="false" customHeight="false" outlineLevel="0" collapsed="false">
      <c r="A255" s="0" t="str">
        <f aca="false">IFERROR(INDEX(Calc!$L$2:$L$1001,MATCH(ROW()-1,Calc!$X$2:$X$1001,0)),"")</f>
        <v/>
      </c>
      <c r="B255" s="0" t="str">
        <f aca="false">IFERROR(INDEX(Calc!$M$2:$M$1001,MATCH(ROW()-1,Calc!$X$2:$X$1001,0)),"")</f>
        <v/>
      </c>
      <c r="C255" s="0" t="str">
        <f aca="false">IFERROR(INDEX(Calc!$N$2:$N$1001,MATCH(ROW()-1,Calc!$X$2:$X$1001,0)),"")</f>
        <v/>
      </c>
      <c r="D255" s="3" t="str">
        <f aca="false">IFERROR(INDEX(Calc!$O$2:$O$1001,MATCH(ROW()-1,Calc!$X$2:$X$1001,0)),"")</f>
        <v/>
      </c>
      <c r="E255" s="3" t="str">
        <f aca="false">IFERROR(INDEX(Calc!$P$2:$P$1001,MATCH(ROW()-1,Calc!$X$2:$X$1001,0)),"")</f>
        <v/>
      </c>
      <c r="F255" s="3" t="str">
        <f aca="false">IF(G255="","",E255-D255)</f>
        <v/>
      </c>
      <c r="G255" s="0" t="str">
        <f aca="false">IFERROR(INDEX(Calc!$S$2:$S$1001,MATCH(ROW()-1,Calc!$X$2:$X$1001,0)),"")</f>
        <v/>
      </c>
    </row>
    <row r="256" customFormat="false" ht="15" hidden="false" customHeight="false" outlineLevel="0" collapsed="false">
      <c r="A256" s="0" t="str">
        <f aca="false">IFERROR(INDEX(Calc!$L$2:$L$1001,MATCH(ROW()-1,Calc!$X$2:$X$1001,0)),"")</f>
        <v/>
      </c>
      <c r="B256" s="0" t="str">
        <f aca="false">IFERROR(INDEX(Calc!$M$2:$M$1001,MATCH(ROW()-1,Calc!$X$2:$X$1001,0)),"")</f>
        <v/>
      </c>
      <c r="C256" s="0" t="str">
        <f aca="false">IFERROR(INDEX(Calc!$N$2:$N$1001,MATCH(ROW()-1,Calc!$X$2:$X$1001,0)),"")</f>
        <v/>
      </c>
      <c r="D256" s="3" t="str">
        <f aca="false">IFERROR(INDEX(Calc!$O$2:$O$1001,MATCH(ROW()-1,Calc!$X$2:$X$1001,0)),"")</f>
        <v/>
      </c>
      <c r="E256" s="3" t="str">
        <f aca="false">IFERROR(INDEX(Calc!$P$2:$P$1001,MATCH(ROW()-1,Calc!$X$2:$X$1001,0)),"")</f>
        <v/>
      </c>
      <c r="F256" s="3" t="str">
        <f aca="false">IF(G256="","",E256-D256)</f>
        <v/>
      </c>
      <c r="G256" s="0" t="str">
        <f aca="false">IFERROR(INDEX(Calc!$S$2:$S$1001,MATCH(ROW()-1,Calc!$X$2:$X$1001,0)),"")</f>
        <v/>
      </c>
    </row>
    <row r="257" customFormat="false" ht="15" hidden="false" customHeight="false" outlineLevel="0" collapsed="false">
      <c r="A257" s="0" t="str">
        <f aca="false">IFERROR(INDEX(Calc!$L$2:$L$1001,MATCH(ROW()-1,Calc!$X$2:$X$1001,0)),"")</f>
        <v/>
      </c>
      <c r="B257" s="0" t="str">
        <f aca="false">IFERROR(INDEX(Calc!$M$2:$M$1001,MATCH(ROW()-1,Calc!$X$2:$X$1001,0)),"")</f>
        <v/>
      </c>
      <c r="C257" s="0" t="str">
        <f aca="false">IFERROR(INDEX(Calc!$N$2:$N$1001,MATCH(ROW()-1,Calc!$X$2:$X$1001,0)),"")</f>
        <v/>
      </c>
      <c r="D257" s="3" t="str">
        <f aca="false">IFERROR(INDEX(Calc!$O$2:$O$1001,MATCH(ROW()-1,Calc!$X$2:$X$1001,0)),"")</f>
        <v/>
      </c>
      <c r="E257" s="3" t="str">
        <f aca="false">IFERROR(INDEX(Calc!$P$2:$P$1001,MATCH(ROW()-1,Calc!$X$2:$X$1001,0)),"")</f>
        <v/>
      </c>
      <c r="F257" s="3" t="str">
        <f aca="false">IF(G257="","",E257-D257)</f>
        <v/>
      </c>
      <c r="G257" s="0" t="str">
        <f aca="false">IFERROR(INDEX(Calc!$S$2:$S$1001,MATCH(ROW()-1,Calc!$X$2:$X$1001,0)),"")</f>
        <v/>
      </c>
    </row>
    <row r="258" customFormat="false" ht="15" hidden="false" customHeight="false" outlineLevel="0" collapsed="false">
      <c r="A258" s="0" t="str">
        <f aca="false">IFERROR(INDEX(Calc!$L$2:$L$1001,MATCH(ROW()-1,Calc!$X$2:$X$1001,0)),"")</f>
        <v/>
      </c>
      <c r="B258" s="0" t="str">
        <f aca="false">IFERROR(INDEX(Calc!$M$2:$M$1001,MATCH(ROW()-1,Calc!$X$2:$X$1001,0)),"")</f>
        <v/>
      </c>
      <c r="C258" s="0" t="str">
        <f aca="false">IFERROR(INDEX(Calc!$N$2:$N$1001,MATCH(ROW()-1,Calc!$X$2:$X$1001,0)),"")</f>
        <v/>
      </c>
      <c r="D258" s="3" t="str">
        <f aca="false">IFERROR(INDEX(Calc!$O$2:$O$1001,MATCH(ROW()-1,Calc!$X$2:$X$1001,0)),"")</f>
        <v/>
      </c>
      <c r="E258" s="3" t="str">
        <f aca="false">IFERROR(INDEX(Calc!$P$2:$P$1001,MATCH(ROW()-1,Calc!$X$2:$X$1001,0)),"")</f>
        <v/>
      </c>
      <c r="F258" s="3" t="str">
        <f aca="false">IF(G258="","",E258-D258)</f>
        <v/>
      </c>
      <c r="G258" s="0" t="str">
        <f aca="false">IFERROR(INDEX(Calc!$S$2:$S$1001,MATCH(ROW()-1,Calc!$X$2:$X$1001,0)),"")</f>
        <v/>
      </c>
    </row>
    <row r="259" customFormat="false" ht="15" hidden="false" customHeight="false" outlineLevel="0" collapsed="false">
      <c r="A259" s="0" t="str">
        <f aca="false">IFERROR(INDEX(Calc!$L$2:$L$1001,MATCH(ROW()-1,Calc!$X$2:$X$1001,0)),"")</f>
        <v/>
      </c>
      <c r="B259" s="0" t="str">
        <f aca="false">IFERROR(INDEX(Calc!$M$2:$M$1001,MATCH(ROW()-1,Calc!$X$2:$X$1001,0)),"")</f>
        <v/>
      </c>
      <c r="C259" s="0" t="str">
        <f aca="false">IFERROR(INDEX(Calc!$N$2:$N$1001,MATCH(ROW()-1,Calc!$X$2:$X$1001,0)),"")</f>
        <v/>
      </c>
      <c r="D259" s="3" t="str">
        <f aca="false">IFERROR(INDEX(Calc!$O$2:$O$1001,MATCH(ROW()-1,Calc!$X$2:$X$1001,0)),"")</f>
        <v/>
      </c>
      <c r="E259" s="3" t="str">
        <f aca="false">IFERROR(INDEX(Calc!$P$2:$P$1001,MATCH(ROW()-1,Calc!$X$2:$X$1001,0)),"")</f>
        <v/>
      </c>
      <c r="F259" s="3" t="str">
        <f aca="false">IF(G259="","",E259-D259)</f>
        <v/>
      </c>
      <c r="G259" s="0" t="str">
        <f aca="false">IFERROR(INDEX(Calc!$S$2:$S$1001,MATCH(ROW()-1,Calc!$X$2:$X$1001,0)),"")</f>
        <v/>
      </c>
    </row>
    <row r="260" customFormat="false" ht="15" hidden="false" customHeight="false" outlineLevel="0" collapsed="false">
      <c r="A260" s="0" t="str">
        <f aca="false">IFERROR(INDEX(Calc!$L$2:$L$1001,MATCH(ROW()-1,Calc!$X$2:$X$1001,0)),"")</f>
        <v/>
      </c>
      <c r="B260" s="0" t="str">
        <f aca="false">IFERROR(INDEX(Calc!$M$2:$M$1001,MATCH(ROW()-1,Calc!$X$2:$X$1001,0)),"")</f>
        <v/>
      </c>
      <c r="C260" s="0" t="str">
        <f aca="false">IFERROR(INDEX(Calc!$N$2:$N$1001,MATCH(ROW()-1,Calc!$X$2:$X$1001,0)),"")</f>
        <v/>
      </c>
      <c r="D260" s="3" t="str">
        <f aca="false">IFERROR(INDEX(Calc!$O$2:$O$1001,MATCH(ROW()-1,Calc!$X$2:$X$1001,0)),"")</f>
        <v/>
      </c>
      <c r="E260" s="3" t="str">
        <f aca="false">IFERROR(INDEX(Calc!$P$2:$P$1001,MATCH(ROW()-1,Calc!$X$2:$X$1001,0)),"")</f>
        <v/>
      </c>
      <c r="F260" s="3" t="str">
        <f aca="false">IF(G260="","",E260-D260)</f>
        <v/>
      </c>
      <c r="G260" s="0" t="str">
        <f aca="false">IFERROR(INDEX(Calc!$S$2:$S$1001,MATCH(ROW()-1,Calc!$X$2:$X$1001,0)),"")</f>
        <v/>
      </c>
    </row>
    <row r="261" customFormat="false" ht="15" hidden="false" customHeight="false" outlineLevel="0" collapsed="false">
      <c r="A261" s="0" t="str">
        <f aca="false">IFERROR(INDEX(Calc!$L$2:$L$1001,MATCH(ROW()-1,Calc!$X$2:$X$1001,0)),"")</f>
        <v/>
      </c>
      <c r="B261" s="0" t="str">
        <f aca="false">IFERROR(INDEX(Calc!$M$2:$M$1001,MATCH(ROW()-1,Calc!$X$2:$X$1001,0)),"")</f>
        <v/>
      </c>
      <c r="C261" s="0" t="str">
        <f aca="false">IFERROR(INDEX(Calc!$N$2:$N$1001,MATCH(ROW()-1,Calc!$X$2:$X$1001,0)),"")</f>
        <v/>
      </c>
      <c r="D261" s="3" t="str">
        <f aca="false">IFERROR(INDEX(Calc!$O$2:$O$1001,MATCH(ROW()-1,Calc!$X$2:$X$1001,0)),"")</f>
        <v/>
      </c>
      <c r="E261" s="3" t="str">
        <f aca="false">IFERROR(INDEX(Calc!$P$2:$P$1001,MATCH(ROW()-1,Calc!$X$2:$X$1001,0)),"")</f>
        <v/>
      </c>
      <c r="F261" s="3" t="str">
        <f aca="false">IF(G261="","",E261-D261)</f>
        <v/>
      </c>
      <c r="G261" s="0" t="str">
        <f aca="false">IFERROR(INDEX(Calc!$S$2:$S$1001,MATCH(ROW()-1,Calc!$X$2:$X$1001,0)),"")</f>
        <v/>
      </c>
    </row>
    <row r="262" customFormat="false" ht="15" hidden="false" customHeight="false" outlineLevel="0" collapsed="false">
      <c r="A262" s="0" t="str">
        <f aca="false">IFERROR(INDEX(Calc!$L$2:$L$1001,MATCH(ROW()-1,Calc!$X$2:$X$1001,0)),"")</f>
        <v/>
      </c>
      <c r="B262" s="0" t="str">
        <f aca="false">IFERROR(INDEX(Calc!$M$2:$M$1001,MATCH(ROW()-1,Calc!$X$2:$X$1001,0)),"")</f>
        <v/>
      </c>
      <c r="C262" s="0" t="str">
        <f aca="false">IFERROR(INDEX(Calc!$N$2:$N$1001,MATCH(ROW()-1,Calc!$X$2:$X$1001,0)),"")</f>
        <v/>
      </c>
      <c r="D262" s="3" t="str">
        <f aca="false">IFERROR(INDEX(Calc!$O$2:$O$1001,MATCH(ROW()-1,Calc!$X$2:$X$1001,0)),"")</f>
        <v/>
      </c>
      <c r="E262" s="3" t="str">
        <f aca="false">IFERROR(INDEX(Calc!$P$2:$P$1001,MATCH(ROW()-1,Calc!$X$2:$X$1001,0)),"")</f>
        <v/>
      </c>
      <c r="F262" s="3" t="str">
        <f aca="false">IF(G262="","",E262-D262)</f>
        <v/>
      </c>
      <c r="G262" s="0" t="str">
        <f aca="false">IFERROR(INDEX(Calc!$S$2:$S$1001,MATCH(ROW()-1,Calc!$X$2:$X$1001,0)),"")</f>
        <v/>
      </c>
    </row>
    <row r="263" customFormat="false" ht="15" hidden="false" customHeight="false" outlineLevel="0" collapsed="false">
      <c r="A263" s="0" t="str">
        <f aca="false">IFERROR(INDEX(Calc!$L$2:$L$1001,MATCH(ROW()-1,Calc!$X$2:$X$1001,0)),"")</f>
        <v/>
      </c>
      <c r="B263" s="0" t="str">
        <f aca="false">IFERROR(INDEX(Calc!$M$2:$M$1001,MATCH(ROW()-1,Calc!$X$2:$X$1001,0)),"")</f>
        <v/>
      </c>
      <c r="C263" s="0" t="str">
        <f aca="false">IFERROR(INDEX(Calc!$N$2:$N$1001,MATCH(ROW()-1,Calc!$X$2:$X$1001,0)),"")</f>
        <v/>
      </c>
      <c r="D263" s="3" t="str">
        <f aca="false">IFERROR(INDEX(Calc!$O$2:$O$1001,MATCH(ROW()-1,Calc!$X$2:$X$1001,0)),"")</f>
        <v/>
      </c>
      <c r="E263" s="3" t="str">
        <f aca="false">IFERROR(INDEX(Calc!$P$2:$P$1001,MATCH(ROW()-1,Calc!$X$2:$X$1001,0)),"")</f>
        <v/>
      </c>
      <c r="F263" s="3" t="str">
        <f aca="false">IF(G263="","",E263-D263)</f>
        <v/>
      </c>
      <c r="G263" s="0" t="str">
        <f aca="false">IFERROR(INDEX(Calc!$S$2:$S$1001,MATCH(ROW()-1,Calc!$X$2:$X$1001,0)),"")</f>
        <v/>
      </c>
    </row>
    <row r="264" customFormat="false" ht="15" hidden="false" customHeight="false" outlineLevel="0" collapsed="false">
      <c r="A264" s="0" t="str">
        <f aca="false">IFERROR(INDEX(Calc!$L$2:$L$1001,MATCH(ROW()-1,Calc!$X$2:$X$1001,0)),"")</f>
        <v/>
      </c>
      <c r="B264" s="0" t="str">
        <f aca="false">IFERROR(INDEX(Calc!$M$2:$M$1001,MATCH(ROW()-1,Calc!$X$2:$X$1001,0)),"")</f>
        <v/>
      </c>
      <c r="C264" s="0" t="str">
        <f aca="false">IFERROR(INDEX(Calc!$N$2:$N$1001,MATCH(ROW()-1,Calc!$X$2:$X$1001,0)),"")</f>
        <v/>
      </c>
      <c r="D264" s="3" t="str">
        <f aca="false">IFERROR(INDEX(Calc!$O$2:$O$1001,MATCH(ROW()-1,Calc!$X$2:$X$1001,0)),"")</f>
        <v/>
      </c>
      <c r="E264" s="3" t="str">
        <f aca="false">IFERROR(INDEX(Calc!$P$2:$P$1001,MATCH(ROW()-1,Calc!$X$2:$X$1001,0)),"")</f>
        <v/>
      </c>
      <c r="F264" s="3" t="str">
        <f aca="false">IF(G264="","",E264-D264)</f>
        <v/>
      </c>
      <c r="G264" s="0" t="str">
        <f aca="false">IFERROR(INDEX(Calc!$S$2:$S$1001,MATCH(ROW()-1,Calc!$X$2:$X$1001,0)),"")</f>
        <v/>
      </c>
    </row>
    <row r="265" customFormat="false" ht="15" hidden="false" customHeight="false" outlineLevel="0" collapsed="false">
      <c r="A265" s="0" t="str">
        <f aca="false">IFERROR(INDEX(Calc!$L$2:$L$1001,MATCH(ROW()-1,Calc!$X$2:$X$1001,0)),"")</f>
        <v/>
      </c>
      <c r="B265" s="0" t="str">
        <f aca="false">IFERROR(INDEX(Calc!$M$2:$M$1001,MATCH(ROW()-1,Calc!$X$2:$X$1001,0)),"")</f>
        <v/>
      </c>
      <c r="C265" s="0" t="str">
        <f aca="false">IFERROR(INDEX(Calc!$N$2:$N$1001,MATCH(ROW()-1,Calc!$X$2:$X$1001,0)),"")</f>
        <v/>
      </c>
      <c r="D265" s="3" t="str">
        <f aca="false">IFERROR(INDEX(Calc!$O$2:$O$1001,MATCH(ROW()-1,Calc!$X$2:$X$1001,0)),"")</f>
        <v/>
      </c>
      <c r="E265" s="3" t="str">
        <f aca="false">IFERROR(INDEX(Calc!$P$2:$P$1001,MATCH(ROW()-1,Calc!$X$2:$X$1001,0)),"")</f>
        <v/>
      </c>
      <c r="F265" s="3" t="str">
        <f aca="false">IF(G265="","",E265-D265)</f>
        <v/>
      </c>
      <c r="G265" s="0" t="str">
        <f aca="false">IFERROR(INDEX(Calc!$S$2:$S$1001,MATCH(ROW()-1,Calc!$X$2:$X$1001,0)),"")</f>
        <v/>
      </c>
    </row>
    <row r="266" customFormat="false" ht="15" hidden="false" customHeight="false" outlineLevel="0" collapsed="false">
      <c r="A266" s="0" t="str">
        <f aca="false">IFERROR(INDEX(Calc!$L$2:$L$1001,MATCH(ROW()-1,Calc!$X$2:$X$1001,0)),"")</f>
        <v/>
      </c>
      <c r="B266" s="0" t="str">
        <f aca="false">IFERROR(INDEX(Calc!$M$2:$M$1001,MATCH(ROW()-1,Calc!$X$2:$X$1001,0)),"")</f>
        <v/>
      </c>
      <c r="C266" s="0" t="str">
        <f aca="false">IFERROR(INDEX(Calc!$N$2:$N$1001,MATCH(ROW()-1,Calc!$X$2:$X$1001,0)),"")</f>
        <v/>
      </c>
      <c r="D266" s="3" t="str">
        <f aca="false">IFERROR(INDEX(Calc!$O$2:$O$1001,MATCH(ROW()-1,Calc!$X$2:$X$1001,0)),"")</f>
        <v/>
      </c>
      <c r="E266" s="3" t="str">
        <f aca="false">IFERROR(INDEX(Calc!$P$2:$P$1001,MATCH(ROW()-1,Calc!$X$2:$X$1001,0)),"")</f>
        <v/>
      </c>
      <c r="F266" s="3" t="str">
        <f aca="false">IF(G266="","",E266-D266)</f>
        <v/>
      </c>
      <c r="G266" s="0" t="str">
        <f aca="false">IFERROR(INDEX(Calc!$S$2:$S$1001,MATCH(ROW()-1,Calc!$X$2:$X$1001,0)),"")</f>
        <v/>
      </c>
    </row>
    <row r="267" customFormat="false" ht="15" hidden="false" customHeight="false" outlineLevel="0" collapsed="false">
      <c r="A267" s="0" t="str">
        <f aca="false">IFERROR(INDEX(Calc!$L$2:$L$1001,MATCH(ROW()-1,Calc!$X$2:$X$1001,0)),"")</f>
        <v/>
      </c>
      <c r="B267" s="0" t="str">
        <f aca="false">IFERROR(INDEX(Calc!$M$2:$M$1001,MATCH(ROW()-1,Calc!$X$2:$X$1001,0)),"")</f>
        <v/>
      </c>
      <c r="C267" s="0" t="str">
        <f aca="false">IFERROR(INDEX(Calc!$N$2:$N$1001,MATCH(ROW()-1,Calc!$X$2:$X$1001,0)),"")</f>
        <v/>
      </c>
      <c r="D267" s="3" t="str">
        <f aca="false">IFERROR(INDEX(Calc!$O$2:$O$1001,MATCH(ROW()-1,Calc!$X$2:$X$1001,0)),"")</f>
        <v/>
      </c>
      <c r="E267" s="3" t="str">
        <f aca="false">IFERROR(INDEX(Calc!$P$2:$P$1001,MATCH(ROW()-1,Calc!$X$2:$X$1001,0)),"")</f>
        <v/>
      </c>
      <c r="F267" s="3" t="str">
        <f aca="false">IF(G267="","",E267-D267)</f>
        <v/>
      </c>
      <c r="G267" s="0" t="str">
        <f aca="false">IFERROR(INDEX(Calc!$S$2:$S$1001,MATCH(ROW()-1,Calc!$X$2:$X$1001,0)),"")</f>
        <v/>
      </c>
    </row>
    <row r="268" customFormat="false" ht="15" hidden="false" customHeight="false" outlineLevel="0" collapsed="false">
      <c r="A268" s="0" t="str">
        <f aca="false">IFERROR(INDEX(Calc!$L$2:$L$1001,MATCH(ROW()-1,Calc!$X$2:$X$1001,0)),"")</f>
        <v/>
      </c>
      <c r="B268" s="0" t="str">
        <f aca="false">IFERROR(INDEX(Calc!$M$2:$M$1001,MATCH(ROW()-1,Calc!$X$2:$X$1001,0)),"")</f>
        <v/>
      </c>
      <c r="C268" s="0" t="str">
        <f aca="false">IFERROR(INDEX(Calc!$N$2:$N$1001,MATCH(ROW()-1,Calc!$X$2:$X$1001,0)),"")</f>
        <v/>
      </c>
      <c r="D268" s="3" t="str">
        <f aca="false">IFERROR(INDEX(Calc!$O$2:$O$1001,MATCH(ROW()-1,Calc!$X$2:$X$1001,0)),"")</f>
        <v/>
      </c>
      <c r="E268" s="3" t="str">
        <f aca="false">IFERROR(INDEX(Calc!$P$2:$P$1001,MATCH(ROW()-1,Calc!$X$2:$X$1001,0)),"")</f>
        <v/>
      </c>
      <c r="F268" s="3" t="str">
        <f aca="false">IF(G268="","",E268-D268)</f>
        <v/>
      </c>
      <c r="G268" s="0" t="str">
        <f aca="false">IFERROR(INDEX(Calc!$S$2:$S$1001,MATCH(ROW()-1,Calc!$X$2:$X$1001,0)),"")</f>
        <v/>
      </c>
    </row>
    <row r="269" customFormat="false" ht="15" hidden="false" customHeight="false" outlineLevel="0" collapsed="false">
      <c r="A269" s="0" t="str">
        <f aca="false">IFERROR(INDEX(Calc!$L$2:$L$1001,MATCH(ROW()-1,Calc!$X$2:$X$1001,0)),"")</f>
        <v/>
      </c>
      <c r="B269" s="0" t="str">
        <f aca="false">IFERROR(INDEX(Calc!$M$2:$M$1001,MATCH(ROW()-1,Calc!$X$2:$X$1001,0)),"")</f>
        <v/>
      </c>
      <c r="C269" s="0" t="str">
        <f aca="false">IFERROR(INDEX(Calc!$N$2:$N$1001,MATCH(ROW()-1,Calc!$X$2:$X$1001,0)),"")</f>
        <v/>
      </c>
      <c r="D269" s="3" t="str">
        <f aca="false">IFERROR(INDEX(Calc!$O$2:$O$1001,MATCH(ROW()-1,Calc!$X$2:$X$1001,0)),"")</f>
        <v/>
      </c>
      <c r="E269" s="3" t="str">
        <f aca="false">IFERROR(INDEX(Calc!$P$2:$P$1001,MATCH(ROW()-1,Calc!$X$2:$X$1001,0)),"")</f>
        <v/>
      </c>
      <c r="F269" s="3" t="str">
        <f aca="false">IF(G269="","",E269-D269)</f>
        <v/>
      </c>
      <c r="G269" s="0" t="str">
        <f aca="false">IFERROR(INDEX(Calc!$S$2:$S$1001,MATCH(ROW()-1,Calc!$X$2:$X$1001,0)),"")</f>
        <v/>
      </c>
    </row>
    <row r="270" customFormat="false" ht="15" hidden="false" customHeight="false" outlineLevel="0" collapsed="false">
      <c r="A270" s="0" t="str">
        <f aca="false">IFERROR(INDEX(Calc!$L$2:$L$1001,MATCH(ROW()-1,Calc!$X$2:$X$1001,0)),"")</f>
        <v/>
      </c>
      <c r="B270" s="0" t="str">
        <f aca="false">IFERROR(INDEX(Calc!$M$2:$M$1001,MATCH(ROW()-1,Calc!$X$2:$X$1001,0)),"")</f>
        <v/>
      </c>
      <c r="C270" s="0" t="str">
        <f aca="false">IFERROR(INDEX(Calc!$N$2:$N$1001,MATCH(ROW()-1,Calc!$X$2:$X$1001,0)),"")</f>
        <v/>
      </c>
      <c r="D270" s="3" t="str">
        <f aca="false">IFERROR(INDEX(Calc!$O$2:$O$1001,MATCH(ROW()-1,Calc!$X$2:$X$1001,0)),"")</f>
        <v/>
      </c>
      <c r="E270" s="3" t="str">
        <f aca="false">IFERROR(INDEX(Calc!$P$2:$P$1001,MATCH(ROW()-1,Calc!$X$2:$X$1001,0)),"")</f>
        <v/>
      </c>
      <c r="F270" s="3" t="str">
        <f aca="false">IF(G270="","",E270-D270)</f>
        <v/>
      </c>
      <c r="G270" s="0" t="str">
        <f aca="false">IFERROR(INDEX(Calc!$S$2:$S$1001,MATCH(ROW()-1,Calc!$X$2:$X$1001,0)),"")</f>
        <v/>
      </c>
    </row>
    <row r="271" customFormat="false" ht="15" hidden="false" customHeight="false" outlineLevel="0" collapsed="false">
      <c r="A271" s="0" t="str">
        <f aca="false">IFERROR(INDEX(Calc!$L$2:$L$1001,MATCH(ROW()-1,Calc!$X$2:$X$1001,0)),"")</f>
        <v/>
      </c>
      <c r="B271" s="0" t="str">
        <f aca="false">IFERROR(INDEX(Calc!$M$2:$M$1001,MATCH(ROW()-1,Calc!$X$2:$X$1001,0)),"")</f>
        <v/>
      </c>
      <c r="C271" s="0" t="str">
        <f aca="false">IFERROR(INDEX(Calc!$N$2:$N$1001,MATCH(ROW()-1,Calc!$X$2:$X$1001,0)),"")</f>
        <v/>
      </c>
      <c r="D271" s="3" t="str">
        <f aca="false">IFERROR(INDEX(Calc!$O$2:$O$1001,MATCH(ROW()-1,Calc!$X$2:$X$1001,0)),"")</f>
        <v/>
      </c>
      <c r="E271" s="3" t="str">
        <f aca="false">IFERROR(INDEX(Calc!$P$2:$P$1001,MATCH(ROW()-1,Calc!$X$2:$X$1001,0)),"")</f>
        <v/>
      </c>
      <c r="F271" s="3" t="str">
        <f aca="false">IF(G271="","",E271-D271)</f>
        <v/>
      </c>
      <c r="G271" s="0" t="str">
        <f aca="false">IFERROR(INDEX(Calc!$S$2:$S$1001,MATCH(ROW()-1,Calc!$X$2:$X$1001,0)),"")</f>
        <v/>
      </c>
    </row>
    <row r="272" customFormat="false" ht="15" hidden="false" customHeight="false" outlineLevel="0" collapsed="false">
      <c r="A272" s="0" t="str">
        <f aca="false">IFERROR(INDEX(Calc!$L$2:$L$1001,MATCH(ROW()-1,Calc!$X$2:$X$1001,0)),"")</f>
        <v/>
      </c>
      <c r="B272" s="0" t="str">
        <f aca="false">IFERROR(INDEX(Calc!$M$2:$M$1001,MATCH(ROW()-1,Calc!$X$2:$X$1001,0)),"")</f>
        <v/>
      </c>
      <c r="C272" s="0" t="str">
        <f aca="false">IFERROR(INDEX(Calc!$N$2:$N$1001,MATCH(ROW()-1,Calc!$X$2:$X$1001,0)),"")</f>
        <v/>
      </c>
      <c r="D272" s="3" t="str">
        <f aca="false">IFERROR(INDEX(Calc!$O$2:$O$1001,MATCH(ROW()-1,Calc!$X$2:$X$1001,0)),"")</f>
        <v/>
      </c>
      <c r="E272" s="3" t="str">
        <f aca="false">IFERROR(INDEX(Calc!$P$2:$P$1001,MATCH(ROW()-1,Calc!$X$2:$X$1001,0)),"")</f>
        <v/>
      </c>
      <c r="F272" s="3" t="str">
        <f aca="false">IF(G272="","",E272-D272)</f>
        <v/>
      </c>
      <c r="G272" s="0" t="str">
        <f aca="false">IFERROR(INDEX(Calc!$S$2:$S$1001,MATCH(ROW()-1,Calc!$X$2:$X$1001,0)),"")</f>
        <v/>
      </c>
    </row>
    <row r="273" customFormat="false" ht="15" hidden="false" customHeight="false" outlineLevel="0" collapsed="false">
      <c r="A273" s="0" t="str">
        <f aca="false">IFERROR(INDEX(Calc!$L$2:$L$1001,MATCH(ROW()-1,Calc!$X$2:$X$1001,0)),"")</f>
        <v/>
      </c>
      <c r="B273" s="0" t="str">
        <f aca="false">IFERROR(INDEX(Calc!$M$2:$M$1001,MATCH(ROW()-1,Calc!$X$2:$X$1001,0)),"")</f>
        <v/>
      </c>
      <c r="C273" s="0" t="str">
        <f aca="false">IFERROR(INDEX(Calc!$N$2:$N$1001,MATCH(ROW()-1,Calc!$X$2:$X$1001,0)),"")</f>
        <v/>
      </c>
      <c r="D273" s="3" t="str">
        <f aca="false">IFERROR(INDEX(Calc!$O$2:$O$1001,MATCH(ROW()-1,Calc!$X$2:$X$1001,0)),"")</f>
        <v/>
      </c>
      <c r="E273" s="3" t="str">
        <f aca="false">IFERROR(INDEX(Calc!$P$2:$P$1001,MATCH(ROW()-1,Calc!$X$2:$X$1001,0)),"")</f>
        <v/>
      </c>
      <c r="F273" s="3" t="str">
        <f aca="false">IF(G273="","",E273-D273)</f>
        <v/>
      </c>
      <c r="G273" s="0" t="str">
        <f aca="false">IFERROR(INDEX(Calc!$S$2:$S$1001,MATCH(ROW()-1,Calc!$X$2:$X$1001,0)),"")</f>
        <v/>
      </c>
    </row>
    <row r="274" customFormat="false" ht="15" hidden="false" customHeight="false" outlineLevel="0" collapsed="false">
      <c r="A274" s="0" t="str">
        <f aca="false">IFERROR(INDEX(Calc!$L$2:$L$1001,MATCH(ROW()-1,Calc!$X$2:$X$1001,0)),"")</f>
        <v/>
      </c>
      <c r="B274" s="0" t="str">
        <f aca="false">IFERROR(INDEX(Calc!$M$2:$M$1001,MATCH(ROW()-1,Calc!$X$2:$X$1001,0)),"")</f>
        <v/>
      </c>
      <c r="C274" s="0" t="str">
        <f aca="false">IFERROR(INDEX(Calc!$N$2:$N$1001,MATCH(ROW()-1,Calc!$X$2:$X$1001,0)),"")</f>
        <v/>
      </c>
      <c r="D274" s="3" t="str">
        <f aca="false">IFERROR(INDEX(Calc!$O$2:$O$1001,MATCH(ROW()-1,Calc!$X$2:$X$1001,0)),"")</f>
        <v/>
      </c>
      <c r="E274" s="3" t="str">
        <f aca="false">IFERROR(INDEX(Calc!$P$2:$P$1001,MATCH(ROW()-1,Calc!$X$2:$X$1001,0)),"")</f>
        <v/>
      </c>
      <c r="F274" s="3" t="str">
        <f aca="false">IF(G274="","",E274-D274)</f>
        <v/>
      </c>
      <c r="G274" s="0" t="str">
        <f aca="false">IFERROR(INDEX(Calc!$S$2:$S$1001,MATCH(ROW()-1,Calc!$X$2:$X$1001,0)),"")</f>
        <v/>
      </c>
    </row>
    <row r="275" customFormat="false" ht="15" hidden="false" customHeight="false" outlineLevel="0" collapsed="false">
      <c r="A275" s="0" t="str">
        <f aca="false">IFERROR(INDEX(Calc!$L$2:$L$1001,MATCH(ROW()-1,Calc!$X$2:$X$1001,0)),"")</f>
        <v/>
      </c>
      <c r="B275" s="0" t="str">
        <f aca="false">IFERROR(INDEX(Calc!$M$2:$M$1001,MATCH(ROW()-1,Calc!$X$2:$X$1001,0)),"")</f>
        <v/>
      </c>
      <c r="C275" s="0" t="str">
        <f aca="false">IFERROR(INDEX(Calc!$N$2:$N$1001,MATCH(ROW()-1,Calc!$X$2:$X$1001,0)),"")</f>
        <v/>
      </c>
      <c r="D275" s="3" t="str">
        <f aca="false">IFERROR(INDEX(Calc!$O$2:$O$1001,MATCH(ROW()-1,Calc!$X$2:$X$1001,0)),"")</f>
        <v/>
      </c>
      <c r="E275" s="3" t="str">
        <f aca="false">IFERROR(INDEX(Calc!$P$2:$P$1001,MATCH(ROW()-1,Calc!$X$2:$X$1001,0)),"")</f>
        <v/>
      </c>
      <c r="F275" s="3" t="str">
        <f aca="false">IF(G275="","",E275-D275)</f>
        <v/>
      </c>
      <c r="G275" s="0" t="str">
        <f aca="false">IFERROR(INDEX(Calc!$S$2:$S$1001,MATCH(ROW()-1,Calc!$X$2:$X$1001,0)),"")</f>
        <v/>
      </c>
    </row>
    <row r="276" customFormat="false" ht="15" hidden="false" customHeight="false" outlineLevel="0" collapsed="false">
      <c r="A276" s="0" t="str">
        <f aca="false">IFERROR(INDEX(Calc!$L$2:$L$1001,MATCH(ROW()-1,Calc!$X$2:$X$1001,0)),"")</f>
        <v/>
      </c>
      <c r="B276" s="0" t="str">
        <f aca="false">IFERROR(INDEX(Calc!$M$2:$M$1001,MATCH(ROW()-1,Calc!$X$2:$X$1001,0)),"")</f>
        <v/>
      </c>
      <c r="C276" s="0" t="str">
        <f aca="false">IFERROR(INDEX(Calc!$N$2:$N$1001,MATCH(ROW()-1,Calc!$X$2:$X$1001,0)),"")</f>
        <v/>
      </c>
      <c r="D276" s="3" t="str">
        <f aca="false">IFERROR(INDEX(Calc!$O$2:$O$1001,MATCH(ROW()-1,Calc!$X$2:$X$1001,0)),"")</f>
        <v/>
      </c>
      <c r="E276" s="3" t="str">
        <f aca="false">IFERROR(INDEX(Calc!$P$2:$P$1001,MATCH(ROW()-1,Calc!$X$2:$X$1001,0)),"")</f>
        <v/>
      </c>
      <c r="F276" s="3" t="str">
        <f aca="false">IF(G276="","",E276-D276)</f>
        <v/>
      </c>
      <c r="G276" s="0" t="str">
        <f aca="false">IFERROR(INDEX(Calc!$S$2:$S$1001,MATCH(ROW()-1,Calc!$X$2:$X$1001,0)),"")</f>
        <v/>
      </c>
    </row>
    <row r="277" customFormat="false" ht="15" hidden="false" customHeight="false" outlineLevel="0" collapsed="false">
      <c r="A277" s="0" t="str">
        <f aca="false">IFERROR(INDEX(Calc!$L$2:$L$1001,MATCH(ROW()-1,Calc!$X$2:$X$1001,0)),"")</f>
        <v/>
      </c>
      <c r="B277" s="0" t="str">
        <f aca="false">IFERROR(INDEX(Calc!$M$2:$M$1001,MATCH(ROW()-1,Calc!$X$2:$X$1001,0)),"")</f>
        <v/>
      </c>
      <c r="C277" s="0" t="str">
        <f aca="false">IFERROR(INDEX(Calc!$N$2:$N$1001,MATCH(ROW()-1,Calc!$X$2:$X$1001,0)),"")</f>
        <v/>
      </c>
      <c r="D277" s="3" t="str">
        <f aca="false">IFERROR(INDEX(Calc!$O$2:$O$1001,MATCH(ROW()-1,Calc!$X$2:$X$1001,0)),"")</f>
        <v/>
      </c>
      <c r="E277" s="3" t="str">
        <f aca="false">IFERROR(INDEX(Calc!$P$2:$P$1001,MATCH(ROW()-1,Calc!$X$2:$X$1001,0)),"")</f>
        <v/>
      </c>
      <c r="F277" s="3" t="str">
        <f aca="false">IF(G277="","",E277-D277)</f>
        <v/>
      </c>
      <c r="G277" s="0" t="str">
        <f aca="false">IFERROR(INDEX(Calc!$S$2:$S$1001,MATCH(ROW()-1,Calc!$X$2:$X$1001,0)),"")</f>
        <v/>
      </c>
    </row>
    <row r="278" customFormat="false" ht="15" hidden="false" customHeight="false" outlineLevel="0" collapsed="false">
      <c r="A278" s="0" t="str">
        <f aca="false">IFERROR(INDEX(Calc!$L$2:$L$1001,MATCH(ROW()-1,Calc!$X$2:$X$1001,0)),"")</f>
        <v/>
      </c>
      <c r="B278" s="0" t="str">
        <f aca="false">IFERROR(INDEX(Calc!$M$2:$M$1001,MATCH(ROW()-1,Calc!$X$2:$X$1001,0)),"")</f>
        <v/>
      </c>
      <c r="C278" s="0" t="str">
        <f aca="false">IFERROR(INDEX(Calc!$N$2:$N$1001,MATCH(ROW()-1,Calc!$X$2:$X$1001,0)),"")</f>
        <v/>
      </c>
      <c r="D278" s="3" t="str">
        <f aca="false">IFERROR(INDEX(Calc!$O$2:$O$1001,MATCH(ROW()-1,Calc!$X$2:$X$1001,0)),"")</f>
        <v/>
      </c>
      <c r="E278" s="3" t="str">
        <f aca="false">IFERROR(INDEX(Calc!$P$2:$P$1001,MATCH(ROW()-1,Calc!$X$2:$X$1001,0)),"")</f>
        <v/>
      </c>
      <c r="F278" s="3" t="str">
        <f aca="false">IF(G278="","",E278-D278)</f>
        <v/>
      </c>
      <c r="G278" s="0" t="str">
        <f aca="false">IFERROR(INDEX(Calc!$S$2:$S$1001,MATCH(ROW()-1,Calc!$X$2:$X$1001,0)),"")</f>
        <v/>
      </c>
    </row>
    <row r="279" customFormat="false" ht="15" hidden="false" customHeight="false" outlineLevel="0" collapsed="false">
      <c r="A279" s="0" t="str">
        <f aca="false">IFERROR(INDEX(Calc!$L$2:$L$1001,MATCH(ROW()-1,Calc!$X$2:$X$1001,0)),"")</f>
        <v/>
      </c>
      <c r="B279" s="0" t="str">
        <f aca="false">IFERROR(INDEX(Calc!$M$2:$M$1001,MATCH(ROW()-1,Calc!$X$2:$X$1001,0)),"")</f>
        <v/>
      </c>
      <c r="C279" s="0" t="str">
        <f aca="false">IFERROR(INDEX(Calc!$N$2:$N$1001,MATCH(ROW()-1,Calc!$X$2:$X$1001,0)),"")</f>
        <v/>
      </c>
      <c r="D279" s="3" t="str">
        <f aca="false">IFERROR(INDEX(Calc!$O$2:$O$1001,MATCH(ROW()-1,Calc!$X$2:$X$1001,0)),"")</f>
        <v/>
      </c>
      <c r="E279" s="3" t="str">
        <f aca="false">IFERROR(INDEX(Calc!$P$2:$P$1001,MATCH(ROW()-1,Calc!$X$2:$X$1001,0)),"")</f>
        <v/>
      </c>
      <c r="F279" s="3" t="str">
        <f aca="false">IF(G279="","",E279-D279)</f>
        <v/>
      </c>
      <c r="G279" s="0" t="str">
        <f aca="false">IFERROR(INDEX(Calc!$S$2:$S$1001,MATCH(ROW()-1,Calc!$X$2:$X$1001,0)),"")</f>
        <v/>
      </c>
    </row>
    <row r="280" customFormat="false" ht="15" hidden="false" customHeight="false" outlineLevel="0" collapsed="false">
      <c r="A280" s="0" t="str">
        <f aca="false">IFERROR(INDEX(Calc!$L$2:$L$1001,MATCH(ROW()-1,Calc!$X$2:$X$1001,0)),"")</f>
        <v/>
      </c>
      <c r="B280" s="0" t="str">
        <f aca="false">IFERROR(INDEX(Calc!$M$2:$M$1001,MATCH(ROW()-1,Calc!$X$2:$X$1001,0)),"")</f>
        <v/>
      </c>
      <c r="C280" s="0" t="str">
        <f aca="false">IFERROR(INDEX(Calc!$N$2:$N$1001,MATCH(ROW()-1,Calc!$X$2:$X$1001,0)),"")</f>
        <v/>
      </c>
      <c r="D280" s="3" t="str">
        <f aca="false">IFERROR(INDEX(Calc!$O$2:$O$1001,MATCH(ROW()-1,Calc!$X$2:$X$1001,0)),"")</f>
        <v/>
      </c>
      <c r="E280" s="3" t="str">
        <f aca="false">IFERROR(INDEX(Calc!$P$2:$P$1001,MATCH(ROW()-1,Calc!$X$2:$X$1001,0)),"")</f>
        <v/>
      </c>
      <c r="F280" s="3" t="str">
        <f aca="false">IF(G280="","",E280-D280)</f>
        <v/>
      </c>
      <c r="G280" s="0" t="str">
        <f aca="false">IFERROR(INDEX(Calc!$S$2:$S$1001,MATCH(ROW()-1,Calc!$X$2:$X$1001,0)),"")</f>
        <v/>
      </c>
    </row>
    <row r="281" customFormat="false" ht="15" hidden="false" customHeight="false" outlineLevel="0" collapsed="false">
      <c r="A281" s="0" t="str">
        <f aca="false">IFERROR(INDEX(Calc!$L$2:$L$1001,MATCH(ROW()-1,Calc!$X$2:$X$1001,0)),"")</f>
        <v/>
      </c>
      <c r="B281" s="0" t="str">
        <f aca="false">IFERROR(INDEX(Calc!$M$2:$M$1001,MATCH(ROW()-1,Calc!$X$2:$X$1001,0)),"")</f>
        <v/>
      </c>
      <c r="C281" s="0" t="str">
        <f aca="false">IFERROR(INDEX(Calc!$N$2:$N$1001,MATCH(ROW()-1,Calc!$X$2:$X$1001,0)),"")</f>
        <v/>
      </c>
      <c r="D281" s="3" t="str">
        <f aca="false">IFERROR(INDEX(Calc!$O$2:$O$1001,MATCH(ROW()-1,Calc!$X$2:$X$1001,0)),"")</f>
        <v/>
      </c>
      <c r="E281" s="3" t="str">
        <f aca="false">IFERROR(INDEX(Calc!$P$2:$P$1001,MATCH(ROW()-1,Calc!$X$2:$X$1001,0)),"")</f>
        <v/>
      </c>
      <c r="F281" s="3" t="str">
        <f aca="false">IF(G281="","",E281-D281)</f>
        <v/>
      </c>
      <c r="G281" s="0" t="str">
        <f aca="false">IFERROR(INDEX(Calc!$S$2:$S$1001,MATCH(ROW()-1,Calc!$X$2:$X$1001,0)),"")</f>
        <v/>
      </c>
    </row>
    <row r="282" customFormat="false" ht="15" hidden="false" customHeight="false" outlineLevel="0" collapsed="false">
      <c r="A282" s="0" t="str">
        <f aca="false">IFERROR(INDEX(Calc!$L$2:$L$1001,MATCH(ROW()-1,Calc!$X$2:$X$1001,0)),"")</f>
        <v/>
      </c>
      <c r="B282" s="0" t="str">
        <f aca="false">IFERROR(INDEX(Calc!$M$2:$M$1001,MATCH(ROW()-1,Calc!$X$2:$X$1001,0)),"")</f>
        <v/>
      </c>
      <c r="C282" s="0" t="str">
        <f aca="false">IFERROR(INDEX(Calc!$N$2:$N$1001,MATCH(ROW()-1,Calc!$X$2:$X$1001,0)),"")</f>
        <v/>
      </c>
      <c r="D282" s="3" t="str">
        <f aca="false">IFERROR(INDEX(Calc!$O$2:$O$1001,MATCH(ROW()-1,Calc!$X$2:$X$1001,0)),"")</f>
        <v/>
      </c>
      <c r="E282" s="3" t="str">
        <f aca="false">IFERROR(INDEX(Calc!$P$2:$P$1001,MATCH(ROW()-1,Calc!$X$2:$X$1001,0)),"")</f>
        <v/>
      </c>
      <c r="F282" s="3" t="str">
        <f aca="false">IF(G282="","",E282-D282)</f>
        <v/>
      </c>
      <c r="G282" s="0" t="str">
        <f aca="false">IFERROR(INDEX(Calc!$S$2:$S$1001,MATCH(ROW()-1,Calc!$X$2:$X$1001,0)),"")</f>
        <v/>
      </c>
    </row>
    <row r="283" customFormat="false" ht="15" hidden="false" customHeight="false" outlineLevel="0" collapsed="false">
      <c r="A283" s="0" t="str">
        <f aca="false">IFERROR(INDEX(Calc!$L$2:$L$1001,MATCH(ROW()-1,Calc!$X$2:$X$1001,0)),"")</f>
        <v/>
      </c>
      <c r="B283" s="0" t="str">
        <f aca="false">IFERROR(INDEX(Calc!$M$2:$M$1001,MATCH(ROW()-1,Calc!$X$2:$X$1001,0)),"")</f>
        <v/>
      </c>
      <c r="C283" s="0" t="str">
        <f aca="false">IFERROR(INDEX(Calc!$N$2:$N$1001,MATCH(ROW()-1,Calc!$X$2:$X$1001,0)),"")</f>
        <v/>
      </c>
      <c r="D283" s="3" t="str">
        <f aca="false">IFERROR(INDEX(Calc!$O$2:$O$1001,MATCH(ROW()-1,Calc!$X$2:$X$1001,0)),"")</f>
        <v/>
      </c>
      <c r="E283" s="3" t="str">
        <f aca="false">IFERROR(INDEX(Calc!$P$2:$P$1001,MATCH(ROW()-1,Calc!$X$2:$X$1001,0)),"")</f>
        <v/>
      </c>
      <c r="F283" s="3" t="str">
        <f aca="false">IF(G283="","",E283-D283)</f>
        <v/>
      </c>
      <c r="G283" s="0" t="str">
        <f aca="false">IFERROR(INDEX(Calc!$S$2:$S$1001,MATCH(ROW()-1,Calc!$X$2:$X$1001,0)),"")</f>
        <v/>
      </c>
    </row>
    <row r="284" customFormat="false" ht="15" hidden="false" customHeight="false" outlineLevel="0" collapsed="false">
      <c r="A284" s="0" t="str">
        <f aca="false">IFERROR(INDEX(Calc!$L$2:$L$1001,MATCH(ROW()-1,Calc!$X$2:$X$1001,0)),"")</f>
        <v/>
      </c>
      <c r="B284" s="0" t="str">
        <f aca="false">IFERROR(INDEX(Calc!$M$2:$M$1001,MATCH(ROW()-1,Calc!$X$2:$X$1001,0)),"")</f>
        <v/>
      </c>
      <c r="C284" s="0" t="str">
        <f aca="false">IFERROR(INDEX(Calc!$N$2:$N$1001,MATCH(ROW()-1,Calc!$X$2:$X$1001,0)),"")</f>
        <v/>
      </c>
      <c r="D284" s="3" t="str">
        <f aca="false">IFERROR(INDEX(Calc!$O$2:$O$1001,MATCH(ROW()-1,Calc!$X$2:$X$1001,0)),"")</f>
        <v/>
      </c>
      <c r="E284" s="3" t="str">
        <f aca="false">IFERROR(INDEX(Calc!$P$2:$P$1001,MATCH(ROW()-1,Calc!$X$2:$X$1001,0)),"")</f>
        <v/>
      </c>
      <c r="F284" s="3" t="str">
        <f aca="false">IF(G284="","",E284-D284)</f>
        <v/>
      </c>
      <c r="G284" s="0" t="str">
        <f aca="false">IFERROR(INDEX(Calc!$S$2:$S$1001,MATCH(ROW()-1,Calc!$X$2:$X$1001,0)),"")</f>
        <v/>
      </c>
    </row>
    <row r="285" customFormat="false" ht="15" hidden="false" customHeight="false" outlineLevel="0" collapsed="false">
      <c r="A285" s="0" t="str">
        <f aca="false">IFERROR(INDEX(Calc!$L$2:$L$1001,MATCH(ROW()-1,Calc!$X$2:$X$1001,0)),"")</f>
        <v/>
      </c>
      <c r="B285" s="0" t="str">
        <f aca="false">IFERROR(INDEX(Calc!$M$2:$M$1001,MATCH(ROW()-1,Calc!$X$2:$X$1001,0)),"")</f>
        <v/>
      </c>
      <c r="C285" s="0" t="str">
        <f aca="false">IFERROR(INDEX(Calc!$N$2:$N$1001,MATCH(ROW()-1,Calc!$X$2:$X$1001,0)),"")</f>
        <v/>
      </c>
      <c r="D285" s="3" t="str">
        <f aca="false">IFERROR(INDEX(Calc!$O$2:$O$1001,MATCH(ROW()-1,Calc!$X$2:$X$1001,0)),"")</f>
        <v/>
      </c>
      <c r="E285" s="3" t="str">
        <f aca="false">IFERROR(INDEX(Calc!$P$2:$P$1001,MATCH(ROW()-1,Calc!$X$2:$X$1001,0)),"")</f>
        <v/>
      </c>
      <c r="F285" s="3" t="str">
        <f aca="false">IF(G285="","",E285-D285)</f>
        <v/>
      </c>
      <c r="G285" s="0" t="str">
        <f aca="false">IFERROR(INDEX(Calc!$S$2:$S$1001,MATCH(ROW()-1,Calc!$X$2:$X$1001,0)),"")</f>
        <v/>
      </c>
    </row>
    <row r="286" customFormat="false" ht="15" hidden="false" customHeight="false" outlineLevel="0" collapsed="false">
      <c r="A286" s="0" t="str">
        <f aca="false">IFERROR(INDEX(Calc!$L$2:$L$1001,MATCH(ROW()-1,Calc!$X$2:$X$1001,0)),"")</f>
        <v/>
      </c>
      <c r="B286" s="0" t="str">
        <f aca="false">IFERROR(INDEX(Calc!$M$2:$M$1001,MATCH(ROW()-1,Calc!$X$2:$X$1001,0)),"")</f>
        <v/>
      </c>
      <c r="C286" s="0" t="str">
        <f aca="false">IFERROR(INDEX(Calc!$N$2:$N$1001,MATCH(ROW()-1,Calc!$X$2:$X$1001,0)),"")</f>
        <v/>
      </c>
      <c r="D286" s="3" t="str">
        <f aca="false">IFERROR(INDEX(Calc!$O$2:$O$1001,MATCH(ROW()-1,Calc!$X$2:$X$1001,0)),"")</f>
        <v/>
      </c>
      <c r="E286" s="3" t="str">
        <f aca="false">IFERROR(INDEX(Calc!$P$2:$P$1001,MATCH(ROW()-1,Calc!$X$2:$X$1001,0)),"")</f>
        <v/>
      </c>
      <c r="F286" s="3" t="str">
        <f aca="false">IF(G286="","",E286-D286)</f>
        <v/>
      </c>
      <c r="G286" s="0" t="str">
        <f aca="false">IFERROR(INDEX(Calc!$S$2:$S$1001,MATCH(ROW()-1,Calc!$X$2:$X$1001,0)),"")</f>
        <v/>
      </c>
    </row>
    <row r="287" customFormat="false" ht="15" hidden="false" customHeight="false" outlineLevel="0" collapsed="false">
      <c r="A287" s="0" t="str">
        <f aca="false">IFERROR(INDEX(Calc!$L$2:$L$1001,MATCH(ROW()-1,Calc!$X$2:$X$1001,0)),"")</f>
        <v/>
      </c>
      <c r="B287" s="0" t="str">
        <f aca="false">IFERROR(INDEX(Calc!$M$2:$M$1001,MATCH(ROW()-1,Calc!$X$2:$X$1001,0)),"")</f>
        <v/>
      </c>
      <c r="C287" s="0" t="str">
        <f aca="false">IFERROR(INDEX(Calc!$N$2:$N$1001,MATCH(ROW()-1,Calc!$X$2:$X$1001,0)),"")</f>
        <v/>
      </c>
      <c r="D287" s="3" t="str">
        <f aca="false">IFERROR(INDEX(Calc!$O$2:$O$1001,MATCH(ROW()-1,Calc!$X$2:$X$1001,0)),"")</f>
        <v/>
      </c>
      <c r="E287" s="3" t="str">
        <f aca="false">IFERROR(INDEX(Calc!$P$2:$P$1001,MATCH(ROW()-1,Calc!$X$2:$X$1001,0)),"")</f>
        <v/>
      </c>
      <c r="F287" s="3" t="str">
        <f aca="false">IF(G287="","",E287-D287)</f>
        <v/>
      </c>
      <c r="G287" s="0" t="str">
        <f aca="false">IFERROR(INDEX(Calc!$S$2:$S$1001,MATCH(ROW()-1,Calc!$X$2:$X$1001,0)),"")</f>
        <v/>
      </c>
    </row>
    <row r="288" customFormat="false" ht="15" hidden="false" customHeight="false" outlineLevel="0" collapsed="false">
      <c r="A288" s="0" t="str">
        <f aca="false">IFERROR(INDEX(Calc!$L$2:$L$1001,MATCH(ROW()-1,Calc!$X$2:$X$1001,0)),"")</f>
        <v/>
      </c>
      <c r="B288" s="0" t="str">
        <f aca="false">IFERROR(INDEX(Calc!$M$2:$M$1001,MATCH(ROW()-1,Calc!$X$2:$X$1001,0)),"")</f>
        <v/>
      </c>
      <c r="C288" s="0" t="str">
        <f aca="false">IFERROR(INDEX(Calc!$N$2:$N$1001,MATCH(ROW()-1,Calc!$X$2:$X$1001,0)),"")</f>
        <v/>
      </c>
      <c r="D288" s="3" t="str">
        <f aca="false">IFERROR(INDEX(Calc!$O$2:$O$1001,MATCH(ROW()-1,Calc!$X$2:$X$1001,0)),"")</f>
        <v/>
      </c>
      <c r="E288" s="3" t="str">
        <f aca="false">IFERROR(INDEX(Calc!$P$2:$P$1001,MATCH(ROW()-1,Calc!$X$2:$X$1001,0)),"")</f>
        <v/>
      </c>
      <c r="F288" s="3" t="str">
        <f aca="false">IF(G288="","",E288-D288)</f>
        <v/>
      </c>
      <c r="G288" s="0" t="str">
        <f aca="false">IFERROR(INDEX(Calc!$S$2:$S$1001,MATCH(ROW()-1,Calc!$X$2:$X$1001,0)),"")</f>
        <v/>
      </c>
    </row>
    <row r="289" customFormat="false" ht="15" hidden="false" customHeight="false" outlineLevel="0" collapsed="false">
      <c r="A289" s="0" t="str">
        <f aca="false">IFERROR(INDEX(Calc!$L$2:$L$1001,MATCH(ROW()-1,Calc!$X$2:$X$1001,0)),"")</f>
        <v/>
      </c>
      <c r="B289" s="0" t="str">
        <f aca="false">IFERROR(INDEX(Calc!$M$2:$M$1001,MATCH(ROW()-1,Calc!$X$2:$X$1001,0)),"")</f>
        <v/>
      </c>
      <c r="C289" s="0" t="str">
        <f aca="false">IFERROR(INDEX(Calc!$N$2:$N$1001,MATCH(ROW()-1,Calc!$X$2:$X$1001,0)),"")</f>
        <v/>
      </c>
      <c r="D289" s="3" t="str">
        <f aca="false">IFERROR(INDEX(Calc!$O$2:$O$1001,MATCH(ROW()-1,Calc!$X$2:$X$1001,0)),"")</f>
        <v/>
      </c>
      <c r="E289" s="3" t="str">
        <f aca="false">IFERROR(INDEX(Calc!$P$2:$P$1001,MATCH(ROW()-1,Calc!$X$2:$X$1001,0)),"")</f>
        <v/>
      </c>
      <c r="F289" s="3" t="str">
        <f aca="false">IF(G289="","",E289-D289)</f>
        <v/>
      </c>
      <c r="G289" s="0" t="str">
        <f aca="false">IFERROR(INDEX(Calc!$S$2:$S$1001,MATCH(ROW()-1,Calc!$X$2:$X$1001,0)),"")</f>
        <v/>
      </c>
    </row>
    <row r="290" customFormat="false" ht="15" hidden="false" customHeight="false" outlineLevel="0" collapsed="false">
      <c r="A290" s="0" t="str">
        <f aca="false">IFERROR(INDEX(Calc!$L$2:$L$1001,MATCH(ROW()-1,Calc!$X$2:$X$1001,0)),"")</f>
        <v/>
      </c>
      <c r="B290" s="0" t="str">
        <f aca="false">IFERROR(INDEX(Calc!$M$2:$M$1001,MATCH(ROW()-1,Calc!$X$2:$X$1001,0)),"")</f>
        <v/>
      </c>
      <c r="C290" s="0" t="str">
        <f aca="false">IFERROR(INDEX(Calc!$N$2:$N$1001,MATCH(ROW()-1,Calc!$X$2:$X$1001,0)),"")</f>
        <v/>
      </c>
      <c r="D290" s="3" t="str">
        <f aca="false">IFERROR(INDEX(Calc!$O$2:$O$1001,MATCH(ROW()-1,Calc!$X$2:$X$1001,0)),"")</f>
        <v/>
      </c>
      <c r="E290" s="3" t="str">
        <f aca="false">IFERROR(INDEX(Calc!$P$2:$P$1001,MATCH(ROW()-1,Calc!$X$2:$X$1001,0)),"")</f>
        <v/>
      </c>
      <c r="F290" s="3" t="str">
        <f aca="false">IF(G290="","",E290-D290)</f>
        <v/>
      </c>
      <c r="G290" s="0" t="str">
        <f aca="false">IFERROR(INDEX(Calc!$S$2:$S$1001,MATCH(ROW()-1,Calc!$X$2:$X$1001,0)),"")</f>
        <v/>
      </c>
    </row>
    <row r="291" customFormat="false" ht="15" hidden="false" customHeight="false" outlineLevel="0" collapsed="false">
      <c r="A291" s="0" t="str">
        <f aca="false">IFERROR(INDEX(Calc!$L$2:$L$1001,MATCH(ROW()-1,Calc!$X$2:$X$1001,0)),"")</f>
        <v/>
      </c>
      <c r="B291" s="0" t="str">
        <f aca="false">IFERROR(INDEX(Calc!$M$2:$M$1001,MATCH(ROW()-1,Calc!$X$2:$X$1001,0)),"")</f>
        <v/>
      </c>
      <c r="C291" s="0" t="str">
        <f aca="false">IFERROR(INDEX(Calc!$N$2:$N$1001,MATCH(ROW()-1,Calc!$X$2:$X$1001,0)),"")</f>
        <v/>
      </c>
      <c r="D291" s="3" t="str">
        <f aca="false">IFERROR(INDEX(Calc!$O$2:$O$1001,MATCH(ROW()-1,Calc!$X$2:$X$1001,0)),"")</f>
        <v/>
      </c>
      <c r="E291" s="3" t="str">
        <f aca="false">IFERROR(INDEX(Calc!$P$2:$P$1001,MATCH(ROW()-1,Calc!$X$2:$X$1001,0)),"")</f>
        <v/>
      </c>
      <c r="F291" s="3" t="str">
        <f aca="false">IF(G291="","",E291-D291)</f>
        <v/>
      </c>
      <c r="G291" s="0" t="str">
        <f aca="false">IFERROR(INDEX(Calc!$S$2:$S$1001,MATCH(ROW()-1,Calc!$X$2:$X$1001,0)),"")</f>
        <v/>
      </c>
    </row>
    <row r="292" customFormat="false" ht="15" hidden="false" customHeight="false" outlineLevel="0" collapsed="false">
      <c r="A292" s="0" t="str">
        <f aca="false">IFERROR(INDEX(Calc!$L$2:$L$1001,MATCH(ROW()-1,Calc!$X$2:$X$1001,0)),"")</f>
        <v/>
      </c>
      <c r="B292" s="0" t="str">
        <f aca="false">IFERROR(INDEX(Calc!$M$2:$M$1001,MATCH(ROW()-1,Calc!$X$2:$X$1001,0)),"")</f>
        <v/>
      </c>
      <c r="C292" s="0" t="str">
        <f aca="false">IFERROR(INDEX(Calc!$N$2:$N$1001,MATCH(ROW()-1,Calc!$X$2:$X$1001,0)),"")</f>
        <v/>
      </c>
      <c r="D292" s="3" t="str">
        <f aca="false">IFERROR(INDEX(Calc!$O$2:$O$1001,MATCH(ROW()-1,Calc!$X$2:$X$1001,0)),"")</f>
        <v/>
      </c>
      <c r="E292" s="3" t="str">
        <f aca="false">IFERROR(INDEX(Calc!$P$2:$P$1001,MATCH(ROW()-1,Calc!$X$2:$X$1001,0)),"")</f>
        <v/>
      </c>
      <c r="F292" s="3" t="str">
        <f aca="false">IF(G292="","",E292-D292)</f>
        <v/>
      </c>
      <c r="G292" s="0" t="str">
        <f aca="false">IFERROR(INDEX(Calc!$S$2:$S$1001,MATCH(ROW()-1,Calc!$X$2:$X$1001,0)),"")</f>
        <v/>
      </c>
    </row>
    <row r="293" customFormat="false" ht="15" hidden="false" customHeight="false" outlineLevel="0" collapsed="false">
      <c r="A293" s="0" t="str">
        <f aca="false">IFERROR(INDEX(Calc!$L$2:$L$1001,MATCH(ROW()-1,Calc!$X$2:$X$1001,0)),"")</f>
        <v/>
      </c>
      <c r="B293" s="0" t="str">
        <f aca="false">IFERROR(INDEX(Calc!$M$2:$M$1001,MATCH(ROW()-1,Calc!$X$2:$X$1001,0)),"")</f>
        <v/>
      </c>
      <c r="C293" s="0" t="str">
        <f aca="false">IFERROR(INDEX(Calc!$N$2:$N$1001,MATCH(ROW()-1,Calc!$X$2:$X$1001,0)),"")</f>
        <v/>
      </c>
      <c r="D293" s="3" t="str">
        <f aca="false">IFERROR(INDEX(Calc!$O$2:$O$1001,MATCH(ROW()-1,Calc!$X$2:$X$1001,0)),"")</f>
        <v/>
      </c>
      <c r="E293" s="3" t="str">
        <f aca="false">IFERROR(INDEX(Calc!$P$2:$P$1001,MATCH(ROW()-1,Calc!$X$2:$X$1001,0)),"")</f>
        <v/>
      </c>
      <c r="F293" s="3" t="str">
        <f aca="false">IF(G293="","",E293-D293)</f>
        <v/>
      </c>
      <c r="G293" s="0" t="str">
        <f aca="false">IFERROR(INDEX(Calc!$S$2:$S$1001,MATCH(ROW()-1,Calc!$X$2:$X$1001,0)),"")</f>
        <v/>
      </c>
    </row>
    <row r="294" customFormat="false" ht="15" hidden="false" customHeight="false" outlineLevel="0" collapsed="false">
      <c r="A294" s="0" t="str">
        <f aca="false">IFERROR(INDEX(Calc!$L$2:$L$1001,MATCH(ROW()-1,Calc!$X$2:$X$1001,0)),"")</f>
        <v/>
      </c>
      <c r="B294" s="0" t="str">
        <f aca="false">IFERROR(INDEX(Calc!$M$2:$M$1001,MATCH(ROW()-1,Calc!$X$2:$X$1001,0)),"")</f>
        <v/>
      </c>
      <c r="C294" s="0" t="str">
        <f aca="false">IFERROR(INDEX(Calc!$N$2:$N$1001,MATCH(ROW()-1,Calc!$X$2:$X$1001,0)),"")</f>
        <v/>
      </c>
      <c r="D294" s="3" t="str">
        <f aca="false">IFERROR(INDEX(Calc!$O$2:$O$1001,MATCH(ROW()-1,Calc!$X$2:$X$1001,0)),"")</f>
        <v/>
      </c>
      <c r="E294" s="3" t="str">
        <f aca="false">IFERROR(INDEX(Calc!$P$2:$P$1001,MATCH(ROW()-1,Calc!$X$2:$X$1001,0)),"")</f>
        <v/>
      </c>
      <c r="F294" s="3" t="str">
        <f aca="false">IF(G294="","",E294-D294)</f>
        <v/>
      </c>
      <c r="G294" s="0" t="str">
        <f aca="false">IFERROR(INDEX(Calc!$S$2:$S$1001,MATCH(ROW()-1,Calc!$X$2:$X$1001,0)),"")</f>
        <v/>
      </c>
    </row>
    <row r="295" customFormat="false" ht="15" hidden="false" customHeight="false" outlineLevel="0" collapsed="false">
      <c r="A295" s="0" t="str">
        <f aca="false">IFERROR(INDEX(Calc!$L$2:$L$1001,MATCH(ROW()-1,Calc!$X$2:$X$1001,0)),"")</f>
        <v/>
      </c>
      <c r="B295" s="0" t="str">
        <f aca="false">IFERROR(INDEX(Calc!$M$2:$M$1001,MATCH(ROW()-1,Calc!$X$2:$X$1001,0)),"")</f>
        <v/>
      </c>
      <c r="C295" s="0" t="str">
        <f aca="false">IFERROR(INDEX(Calc!$N$2:$N$1001,MATCH(ROW()-1,Calc!$X$2:$X$1001,0)),"")</f>
        <v/>
      </c>
      <c r="D295" s="3" t="str">
        <f aca="false">IFERROR(INDEX(Calc!$O$2:$O$1001,MATCH(ROW()-1,Calc!$X$2:$X$1001,0)),"")</f>
        <v/>
      </c>
      <c r="E295" s="3" t="str">
        <f aca="false">IFERROR(INDEX(Calc!$P$2:$P$1001,MATCH(ROW()-1,Calc!$X$2:$X$1001,0)),"")</f>
        <v/>
      </c>
      <c r="F295" s="3" t="str">
        <f aca="false">IF(G295="","",E295-D295)</f>
        <v/>
      </c>
      <c r="G295" s="0" t="str">
        <f aca="false">IFERROR(INDEX(Calc!$S$2:$S$1001,MATCH(ROW()-1,Calc!$X$2:$X$1001,0)),"")</f>
        <v/>
      </c>
    </row>
    <row r="296" customFormat="false" ht="15" hidden="false" customHeight="false" outlineLevel="0" collapsed="false">
      <c r="A296" s="0" t="str">
        <f aca="false">IFERROR(INDEX(Calc!$L$2:$L$1001,MATCH(ROW()-1,Calc!$X$2:$X$1001,0)),"")</f>
        <v/>
      </c>
      <c r="B296" s="0" t="str">
        <f aca="false">IFERROR(INDEX(Calc!$M$2:$M$1001,MATCH(ROW()-1,Calc!$X$2:$X$1001,0)),"")</f>
        <v/>
      </c>
      <c r="C296" s="0" t="str">
        <f aca="false">IFERROR(INDEX(Calc!$N$2:$N$1001,MATCH(ROW()-1,Calc!$X$2:$X$1001,0)),"")</f>
        <v/>
      </c>
      <c r="D296" s="3" t="str">
        <f aca="false">IFERROR(INDEX(Calc!$O$2:$O$1001,MATCH(ROW()-1,Calc!$X$2:$X$1001,0)),"")</f>
        <v/>
      </c>
      <c r="E296" s="3" t="str">
        <f aca="false">IFERROR(INDEX(Calc!$P$2:$P$1001,MATCH(ROW()-1,Calc!$X$2:$X$1001,0)),"")</f>
        <v/>
      </c>
      <c r="F296" s="3" t="str">
        <f aca="false">IF(G296="","",E296-D296)</f>
        <v/>
      </c>
      <c r="G296" s="0" t="str">
        <f aca="false">IFERROR(INDEX(Calc!$S$2:$S$1001,MATCH(ROW()-1,Calc!$X$2:$X$1001,0)),"")</f>
        <v/>
      </c>
    </row>
    <row r="297" customFormat="false" ht="15" hidden="false" customHeight="false" outlineLevel="0" collapsed="false">
      <c r="A297" s="0" t="str">
        <f aca="false">IFERROR(INDEX(Calc!$L$2:$L$1001,MATCH(ROW()-1,Calc!$X$2:$X$1001,0)),"")</f>
        <v/>
      </c>
      <c r="B297" s="0" t="str">
        <f aca="false">IFERROR(INDEX(Calc!$M$2:$M$1001,MATCH(ROW()-1,Calc!$X$2:$X$1001,0)),"")</f>
        <v/>
      </c>
      <c r="C297" s="0" t="str">
        <f aca="false">IFERROR(INDEX(Calc!$N$2:$N$1001,MATCH(ROW()-1,Calc!$X$2:$X$1001,0)),"")</f>
        <v/>
      </c>
      <c r="D297" s="3" t="str">
        <f aca="false">IFERROR(INDEX(Calc!$O$2:$O$1001,MATCH(ROW()-1,Calc!$X$2:$X$1001,0)),"")</f>
        <v/>
      </c>
      <c r="E297" s="3" t="str">
        <f aca="false">IFERROR(INDEX(Calc!$P$2:$P$1001,MATCH(ROW()-1,Calc!$X$2:$X$1001,0)),"")</f>
        <v/>
      </c>
      <c r="F297" s="3" t="str">
        <f aca="false">IF(G297="","",E297-D297)</f>
        <v/>
      </c>
      <c r="G297" s="0" t="str">
        <f aca="false">IFERROR(INDEX(Calc!$S$2:$S$1001,MATCH(ROW()-1,Calc!$X$2:$X$1001,0)),"")</f>
        <v/>
      </c>
    </row>
    <row r="298" customFormat="false" ht="15" hidden="false" customHeight="false" outlineLevel="0" collapsed="false">
      <c r="A298" s="0" t="str">
        <f aca="false">IFERROR(INDEX(Calc!$L$2:$L$1001,MATCH(ROW()-1,Calc!$X$2:$X$1001,0)),"")</f>
        <v/>
      </c>
      <c r="B298" s="0" t="str">
        <f aca="false">IFERROR(INDEX(Calc!$M$2:$M$1001,MATCH(ROW()-1,Calc!$X$2:$X$1001,0)),"")</f>
        <v/>
      </c>
      <c r="C298" s="0" t="str">
        <f aca="false">IFERROR(INDEX(Calc!$N$2:$N$1001,MATCH(ROW()-1,Calc!$X$2:$X$1001,0)),"")</f>
        <v/>
      </c>
      <c r="D298" s="3" t="str">
        <f aca="false">IFERROR(INDEX(Calc!$O$2:$O$1001,MATCH(ROW()-1,Calc!$X$2:$X$1001,0)),"")</f>
        <v/>
      </c>
      <c r="E298" s="3" t="str">
        <f aca="false">IFERROR(INDEX(Calc!$P$2:$P$1001,MATCH(ROW()-1,Calc!$X$2:$X$1001,0)),"")</f>
        <v/>
      </c>
      <c r="F298" s="3" t="str">
        <f aca="false">IF(G298="","",E298-D298)</f>
        <v/>
      </c>
      <c r="G298" s="0" t="str">
        <f aca="false">IFERROR(INDEX(Calc!$S$2:$S$1001,MATCH(ROW()-1,Calc!$X$2:$X$1001,0)),"")</f>
        <v/>
      </c>
    </row>
    <row r="299" customFormat="false" ht="15" hidden="false" customHeight="false" outlineLevel="0" collapsed="false">
      <c r="A299" s="0" t="str">
        <f aca="false">IFERROR(INDEX(Calc!$L$2:$L$1001,MATCH(ROW()-1,Calc!$X$2:$X$1001,0)),"")</f>
        <v/>
      </c>
      <c r="B299" s="0" t="str">
        <f aca="false">IFERROR(INDEX(Calc!$M$2:$M$1001,MATCH(ROW()-1,Calc!$X$2:$X$1001,0)),"")</f>
        <v/>
      </c>
      <c r="C299" s="0" t="str">
        <f aca="false">IFERROR(INDEX(Calc!$N$2:$N$1001,MATCH(ROW()-1,Calc!$X$2:$X$1001,0)),"")</f>
        <v/>
      </c>
      <c r="D299" s="3" t="str">
        <f aca="false">IFERROR(INDEX(Calc!$O$2:$O$1001,MATCH(ROW()-1,Calc!$X$2:$X$1001,0)),"")</f>
        <v/>
      </c>
      <c r="E299" s="3" t="str">
        <f aca="false">IFERROR(INDEX(Calc!$P$2:$P$1001,MATCH(ROW()-1,Calc!$X$2:$X$1001,0)),"")</f>
        <v/>
      </c>
      <c r="F299" s="3" t="str">
        <f aca="false">IF(G299="","",E299-D299)</f>
        <v/>
      </c>
      <c r="G299" s="0" t="str">
        <f aca="false">IFERROR(INDEX(Calc!$S$2:$S$1001,MATCH(ROW()-1,Calc!$X$2:$X$1001,0)),"")</f>
        <v/>
      </c>
    </row>
    <row r="300" customFormat="false" ht="15" hidden="false" customHeight="false" outlineLevel="0" collapsed="false">
      <c r="A300" s="0" t="str">
        <f aca="false">IFERROR(INDEX(Calc!$L$2:$L$1001,MATCH(ROW()-1,Calc!$X$2:$X$1001,0)),"")</f>
        <v/>
      </c>
      <c r="B300" s="0" t="str">
        <f aca="false">IFERROR(INDEX(Calc!$M$2:$M$1001,MATCH(ROW()-1,Calc!$X$2:$X$1001,0)),"")</f>
        <v/>
      </c>
      <c r="C300" s="0" t="str">
        <f aca="false">IFERROR(INDEX(Calc!$N$2:$N$1001,MATCH(ROW()-1,Calc!$X$2:$X$1001,0)),"")</f>
        <v/>
      </c>
      <c r="D300" s="3" t="str">
        <f aca="false">IFERROR(INDEX(Calc!$O$2:$O$1001,MATCH(ROW()-1,Calc!$X$2:$X$1001,0)),"")</f>
        <v/>
      </c>
      <c r="E300" s="3" t="str">
        <f aca="false">IFERROR(INDEX(Calc!$P$2:$P$1001,MATCH(ROW()-1,Calc!$X$2:$X$1001,0)),"")</f>
        <v/>
      </c>
      <c r="F300" s="3" t="str">
        <f aca="false">IF(G300="","",E300-D300)</f>
        <v/>
      </c>
      <c r="G300" s="0" t="str">
        <f aca="false">IFERROR(INDEX(Calc!$S$2:$S$1001,MATCH(ROW()-1,Calc!$X$2:$X$1001,0)),"")</f>
        <v/>
      </c>
    </row>
    <row r="301" customFormat="false" ht="15" hidden="false" customHeight="false" outlineLevel="0" collapsed="false">
      <c r="A301" s="0" t="str">
        <f aca="false">IFERROR(INDEX(Calc!$L$2:$L$1001,MATCH(ROW()-1,Calc!$X$2:$X$1001,0)),"")</f>
        <v/>
      </c>
      <c r="B301" s="0" t="str">
        <f aca="false">IFERROR(INDEX(Calc!$M$2:$M$1001,MATCH(ROW()-1,Calc!$X$2:$X$1001,0)),"")</f>
        <v/>
      </c>
      <c r="C301" s="0" t="str">
        <f aca="false">IFERROR(INDEX(Calc!$N$2:$N$1001,MATCH(ROW()-1,Calc!$X$2:$X$1001,0)),"")</f>
        <v/>
      </c>
      <c r="D301" s="3" t="str">
        <f aca="false">IFERROR(INDEX(Calc!$O$2:$O$1001,MATCH(ROW()-1,Calc!$X$2:$X$1001,0)),"")</f>
        <v/>
      </c>
      <c r="E301" s="3" t="str">
        <f aca="false">IFERROR(INDEX(Calc!$P$2:$P$1001,MATCH(ROW()-1,Calc!$X$2:$X$1001,0)),"")</f>
        <v/>
      </c>
      <c r="F301" s="3" t="str">
        <f aca="false">IF(G301="","",E301-D301)</f>
        <v/>
      </c>
      <c r="G301" s="0" t="str">
        <f aca="false">IFERROR(INDEX(Calc!$S$2:$S$1001,MATCH(ROW()-1,Calc!$X$2:$X$1001,0)),"")</f>
        <v/>
      </c>
    </row>
    <row r="302" customFormat="false" ht="15" hidden="false" customHeight="false" outlineLevel="0" collapsed="false">
      <c r="A302" s="0" t="str">
        <f aca="false">IFERROR(INDEX(Calc!$L$2:$L$1001,MATCH(ROW()-1,Calc!$X$2:$X$1001,0)),"")</f>
        <v/>
      </c>
      <c r="B302" s="0" t="str">
        <f aca="false">IFERROR(INDEX(Calc!$M$2:$M$1001,MATCH(ROW()-1,Calc!$X$2:$X$1001,0)),"")</f>
        <v/>
      </c>
      <c r="C302" s="0" t="str">
        <f aca="false">IFERROR(INDEX(Calc!$N$2:$N$1001,MATCH(ROW()-1,Calc!$X$2:$X$1001,0)),"")</f>
        <v/>
      </c>
      <c r="D302" s="3" t="str">
        <f aca="false">IFERROR(INDEX(Calc!$O$2:$O$1001,MATCH(ROW()-1,Calc!$X$2:$X$1001,0)),"")</f>
        <v/>
      </c>
      <c r="E302" s="3" t="str">
        <f aca="false">IFERROR(INDEX(Calc!$P$2:$P$1001,MATCH(ROW()-1,Calc!$X$2:$X$1001,0)),"")</f>
        <v/>
      </c>
      <c r="F302" s="3" t="str">
        <f aca="false">IF(G302="","",E302-D302)</f>
        <v/>
      </c>
      <c r="G302" s="0" t="str">
        <f aca="false">IFERROR(INDEX(Calc!$S$2:$S$1001,MATCH(ROW()-1,Calc!$X$2:$X$1001,0)),"")</f>
        <v/>
      </c>
    </row>
    <row r="303" customFormat="false" ht="15" hidden="false" customHeight="false" outlineLevel="0" collapsed="false">
      <c r="A303" s="0" t="str">
        <f aca="false">IFERROR(INDEX(Calc!$L$2:$L$1001,MATCH(ROW()-1,Calc!$X$2:$X$1001,0)),"")</f>
        <v/>
      </c>
      <c r="B303" s="0" t="str">
        <f aca="false">IFERROR(INDEX(Calc!$M$2:$M$1001,MATCH(ROW()-1,Calc!$X$2:$X$1001,0)),"")</f>
        <v/>
      </c>
      <c r="C303" s="0" t="str">
        <f aca="false">IFERROR(INDEX(Calc!$N$2:$N$1001,MATCH(ROW()-1,Calc!$X$2:$X$1001,0)),"")</f>
        <v/>
      </c>
      <c r="D303" s="3" t="str">
        <f aca="false">IFERROR(INDEX(Calc!$O$2:$O$1001,MATCH(ROW()-1,Calc!$X$2:$X$1001,0)),"")</f>
        <v/>
      </c>
      <c r="E303" s="3" t="str">
        <f aca="false">IFERROR(INDEX(Calc!$P$2:$P$1001,MATCH(ROW()-1,Calc!$X$2:$X$1001,0)),"")</f>
        <v/>
      </c>
      <c r="F303" s="3" t="str">
        <f aca="false">IF(G303="","",E303-D303)</f>
        <v/>
      </c>
      <c r="G303" s="0" t="str">
        <f aca="false">IFERROR(INDEX(Calc!$S$2:$S$1001,MATCH(ROW()-1,Calc!$X$2:$X$1001,0)),"")</f>
        <v/>
      </c>
    </row>
    <row r="304" customFormat="false" ht="15" hidden="false" customHeight="false" outlineLevel="0" collapsed="false">
      <c r="A304" s="0" t="str">
        <f aca="false">IFERROR(INDEX(Calc!$L$2:$L$1001,MATCH(ROW()-1,Calc!$X$2:$X$1001,0)),"")</f>
        <v/>
      </c>
      <c r="B304" s="0" t="str">
        <f aca="false">IFERROR(INDEX(Calc!$M$2:$M$1001,MATCH(ROW()-1,Calc!$X$2:$X$1001,0)),"")</f>
        <v/>
      </c>
      <c r="C304" s="0" t="str">
        <f aca="false">IFERROR(INDEX(Calc!$N$2:$N$1001,MATCH(ROW()-1,Calc!$X$2:$X$1001,0)),"")</f>
        <v/>
      </c>
      <c r="D304" s="3" t="str">
        <f aca="false">IFERROR(INDEX(Calc!$O$2:$O$1001,MATCH(ROW()-1,Calc!$X$2:$X$1001,0)),"")</f>
        <v/>
      </c>
      <c r="E304" s="3" t="str">
        <f aca="false">IFERROR(INDEX(Calc!$P$2:$P$1001,MATCH(ROW()-1,Calc!$X$2:$X$1001,0)),"")</f>
        <v/>
      </c>
      <c r="F304" s="3" t="str">
        <f aca="false">IF(G304="","",E304-D304)</f>
        <v/>
      </c>
      <c r="G304" s="0" t="str">
        <f aca="false">IFERROR(INDEX(Calc!$S$2:$S$1001,MATCH(ROW()-1,Calc!$X$2:$X$1001,0)),"")</f>
        <v/>
      </c>
    </row>
    <row r="305" customFormat="false" ht="15" hidden="false" customHeight="false" outlineLevel="0" collapsed="false">
      <c r="A305" s="0" t="str">
        <f aca="false">IFERROR(INDEX(Calc!$L$2:$L$1001,MATCH(ROW()-1,Calc!$X$2:$X$1001,0)),"")</f>
        <v/>
      </c>
      <c r="B305" s="0" t="str">
        <f aca="false">IFERROR(INDEX(Calc!$M$2:$M$1001,MATCH(ROW()-1,Calc!$X$2:$X$1001,0)),"")</f>
        <v/>
      </c>
      <c r="C305" s="0" t="str">
        <f aca="false">IFERROR(INDEX(Calc!$N$2:$N$1001,MATCH(ROW()-1,Calc!$X$2:$X$1001,0)),"")</f>
        <v/>
      </c>
      <c r="D305" s="3" t="str">
        <f aca="false">IFERROR(INDEX(Calc!$O$2:$O$1001,MATCH(ROW()-1,Calc!$X$2:$X$1001,0)),"")</f>
        <v/>
      </c>
      <c r="E305" s="3" t="str">
        <f aca="false">IFERROR(INDEX(Calc!$P$2:$P$1001,MATCH(ROW()-1,Calc!$X$2:$X$1001,0)),"")</f>
        <v/>
      </c>
      <c r="F305" s="3" t="str">
        <f aca="false">IF(G305="","",E305-D305)</f>
        <v/>
      </c>
      <c r="G305" s="0" t="str">
        <f aca="false">IFERROR(INDEX(Calc!$S$2:$S$1001,MATCH(ROW()-1,Calc!$X$2:$X$1001,0)),"")</f>
        <v/>
      </c>
    </row>
    <row r="306" customFormat="false" ht="15" hidden="false" customHeight="false" outlineLevel="0" collapsed="false">
      <c r="A306" s="0" t="str">
        <f aca="false">IFERROR(INDEX(Calc!$L$2:$L$1001,MATCH(ROW()-1,Calc!$X$2:$X$1001,0)),"")</f>
        <v/>
      </c>
      <c r="B306" s="0" t="str">
        <f aca="false">IFERROR(INDEX(Calc!$M$2:$M$1001,MATCH(ROW()-1,Calc!$X$2:$X$1001,0)),"")</f>
        <v/>
      </c>
      <c r="C306" s="0" t="str">
        <f aca="false">IFERROR(INDEX(Calc!$N$2:$N$1001,MATCH(ROW()-1,Calc!$X$2:$X$1001,0)),"")</f>
        <v/>
      </c>
      <c r="D306" s="3" t="str">
        <f aca="false">IFERROR(INDEX(Calc!$O$2:$O$1001,MATCH(ROW()-1,Calc!$X$2:$X$1001,0)),"")</f>
        <v/>
      </c>
      <c r="E306" s="3" t="str">
        <f aca="false">IFERROR(INDEX(Calc!$P$2:$P$1001,MATCH(ROW()-1,Calc!$X$2:$X$1001,0)),"")</f>
        <v/>
      </c>
      <c r="F306" s="3" t="str">
        <f aca="false">IF(G306="","",E306-D306)</f>
        <v/>
      </c>
      <c r="G306" s="0" t="str">
        <f aca="false">IFERROR(INDEX(Calc!$S$2:$S$1001,MATCH(ROW()-1,Calc!$X$2:$X$1001,0)),"")</f>
        <v/>
      </c>
    </row>
    <row r="307" customFormat="false" ht="15" hidden="false" customHeight="false" outlineLevel="0" collapsed="false">
      <c r="A307" s="0" t="str">
        <f aca="false">IFERROR(INDEX(Calc!$L$2:$L$1001,MATCH(ROW()-1,Calc!$X$2:$X$1001,0)),"")</f>
        <v/>
      </c>
      <c r="B307" s="0" t="str">
        <f aca="false">IFERROR(INDEX(Calc!$M$2:$M$1001,MATCH(ROW()-1,Calc!$X$2:$X$1001,0)),"")</f>
        <v/>
      </c>
      <c r="C307" s="0" t="str">
        <f aca="false">IFERROR(INDEX(Calc!$N$2:$N$1001,MATCH(ROW()-1,Calc!$X$2:$X$1001,0)),"")</f>
        <v/>
      </c>
      <c r="D307" s="3" t="str">
        <f aca="false">IFERROR(INDEX(Calc!$O$2:$O$1001,MATCH(ROW()-1,Calc!$X$2:$X$1001,0)),"")</f>
        <v/>
      </c>
      <c r="E307" s="3" t="str">
        <f aca="false">IFERROR(INDEX(Calc!$P$2:$P$1001,MATCH(ROW()-1,Calc!$X$2:$X$1001,0)),"")</f>
        <v/>
      </c>
      <c r="F307" s="3" t="str">
        <f aca="false">IF(G307="","",E307-D307)</f>
        <v/>
      </c>
      <c r="G307" s="0" t="str">
        <f aca="false">IFERROR(INDEX(Calc!$S$2:$S$1001,MATCH(ROW()-1,Calc!$X$2:$X$1001,0)),"")</f>
        <v/>
      </c>
    </row>
    <row r="308" customFormat="false" ht="15" hidden="false" customHeight="false" outlineLevel="0" collapsed="false">
      <c r="A308" s="0" t="str">
        <f aca="false">IFERROR(INDEX(Calc!$L$2:$L$1001,MATCH(ROW()-1,Calc!$X$2:$X$1001,0)),"")</f>
        <v/>
      </c>
      <c r="B308" s="0" t="str">
        <f aca="false">IFERROR(INDEX(Calc!$M$2:$M$1001,MATCH(ROW()-1,Calc!$X$2:$X$1001,0)),"")</f>
        <v/>
      </c>
      <c r="C308" s="0" t="str">
        <f aca="false">IFERROR(INDEX(Calc!$N$2:$N$1001,MATCH(ROW()-1,Calc!$X$2:$X$1001,0)),"")</f>
        <v/>
      </c>
      <c r="D308" s="3" t="str">
        <f aca="false">IFERROR(INDEX(Calc!$O$2:$O$1001,MATCH(ROW()-1,Calc!$X$2:$X$1001,0)),"")</f>
        <v/>
      </c>
      <c r="E308" s="3" t="str">
        <f aca="false">IFERROR(INDEX(Calc!$P$2:$P$1001,MATCH(ROW()-1,Calc!$X$2:$X$1001,0)),"")</f>
        <v/>
      </c>
      <c r="F308" s="3" t="str">
        <f aca="false">IF(G308="","",E308-D308)</f>
        <v/>
      </c>
      <c r="G308" s="0" t="str">
        <f aca="false">IFERROR(INDEX(Calc!$S$2:$S$1001,MATCH(ROW()-1,Calc!$X$2:$X$1001,0)),"")</f>
        <v/>
      </c>
    </row>
    <row r="309" customFormat="false" ht="15" hidden="false" customHeight="false" outlineLevel="0" collapsed="false">
      <c r="A309" s="0" t="str">
        <f aca="false">IFERROR(INDEX(Calc!$L$2:$L$1001,MATCH(ROW()-1,Calc!$X$2:$X$1001,0)),"")</f>
        <v/>
      </c>
      <c r="B309" s="0" t="str">
        <f aca="false">IFERROR(INDEX(Calc!$M$2:$M$1001,MATCH(ROW()-1,Calc!$X$2:$X$1001,0)),"")</f>
        <v/>
      </c>
      <c r="C309" s="0" t="str">
        <f aca="false">IFERROR(INDEX(Calc!$N$2:$N$1001,MATCH(ROW()-1,Calc!$X$2:$X$1001,0)),"")</f>
        <v/>
      </c>
      <c r="D309" s="3" t="str">
        <f aca="false">IFERROR(INDEX(Calc!$O$2:$O$1001,MATCH(ROW()-1,Calc!$X$2:$X$1001,0)),"")</f>
        <v/>
      </c>
      <c r="E309" s="3" t="str">
        <f aca="false">IFERROR(INDEX(Calc!$P$2:$P$1001,MATCH(ROW()-1,Calc!$X$2:$X$1001,0)),"")</f>
        <v/>
      </c>
      <c r="F309" s="3" t="str">
        <f aca="false">IF(G309="","",E309-D309)</f>
        <v/>
      </c>
      <c r="G309" s="0" t="str">
        <f aca="false">IFERROR(INDEX(Calc!$S$2:$S$1001,MATCH(ROW()-1,Calc!$X$2:$X$1001,0)),"")</f>
        <v/>
      </c>
    </row>
    <row r="310" customFormat="false" ht="15" hidden="false" customHeight="false" outlineLevel="0" collapsed="false">
      <c r="A310" s="0" t="str">
        <f aca="false">IFERROR(INDEX(Calc!$L$2:$L$1001,MATCH(ROW()-1,Calc!$X$2:$X$1001,0)),"")</f>
        <v/>
      </c>
      <c r="B310" s="0" t="str">
        <f aca="false">IFERROR(INDEX(Calc!$M$2:$M$1001,MATCH(ROW()-1,Calc!$X$2:$X$1001,0)),"")</f>
        <v/>
      </c>
      <c r="C310" s="0" t="str">
        <f aca="false">IFERROR(INDEX(Calc!$N$2:$N$1001,MATCH(ROW()-1,Calc!$X$2:$X$1001,0)),"")</f>
        <v/>
      </c>
      <c r="D310" s="3" t="str">
        <f aca="false">IFERROR(INDEX(Calc!$O$2:$O$1001,MATCH(ROW()-1,Calc!$X$2:$X$1001,0)),"")</f>
        <v/>
      </c>
      <c r="E310" s="3" t="str">
        <f aca="false">IFERROR(INDEX(Calc!$P$2:$P$1001,MATCH(ROW()-1,Calc!$X$2:$X$1001,0)),"")</f>
        <v/>
      </c>
      <c r="F310" s="3" t="str">
        <f aca="false">IF(G310="","",E310-D310)</f>
        <v/>
      </c>
      <c r="G310" s="0" t="str">
        <f aca="false">IFERROR(INDEX(Calc!$S$2:$S$1001,MATCH(ROW()-1,Calc!$X$2:$X$1001,0)),"")</f>
        <v/>
      </c>
    </row>
    <row r="311" customFormat="false" ht="15" hidden="false" customHeight="false" outlineLevel="0" collapsed="false">
      <c r="A311" s="0" t="str">
        <f aca="false">IFERROR(INDEX(Calc!$L$2:$L$1001,MATCH(ROW()-1,Calc!$X$2:$X$1001,0)),"")</f>
        <v/>
      </c>
      <c r="B311" s="0" t="str">
        <f aca="false">IFERROR(INDEX(Calc!$M$2:$M$1001,MATCH(ROW()-1,Calc!$X$2:$X$1001,0)),"")</f>
        <v/>
      </c>
      <c r="C311" s="0" t="str">
        <f aca="false">IFERROR(INDEX(Calc!$N$2:$N$1001,MATCH(ROW()-1,Calc!$X$2:$X$1001,0)),"")</f>
        <v/>
      </c>
      <c r="D311" s="3" t="str">
        <f aca="false">IFERROR(INDEX(Calc!$O$2:$O$1001,MATCH(ROW()-1,Calc!$X$2:$X$1001,0)),"")</f>
        <v/>
      </c>
      <c r="E311" s="3" t="str">
        <f aca="false">IFERROR(INDEX(Calc!$P$2:$P$1001,MATCH(ROW()-1,Calc!$X$2:$X$1001,0)),"")</f>
        <v/>
      </c>
      <c r="F311" s="3" t="str">
        <f aca="false">IF(G311="","",E311-D311)</f>
        <v/>
      </c>
      <c r="G311" s="0" t="str">
        <f aca="false">IFERROR(INDEX(Calc!$S$2:$S$1001,MATCH(ROW()-1,Calc!$X$2:$X$1001,0)),"")</f>
        <v/>
      </c>
    </row>
    <row r="312" customFormat="false" ht="15" hidden="false" customHeight="false" outlineLevel="0" collapsed="false">
      <c r="A312" s="0" t="str">
        <f aca="false">IFERROR(INDEX(Calc!$L$2:$L$1001,MATCH(ROW()-1,Calc!$X$2:$X$1001,0)),"")</f>
        <v/>
      </c>
      <c r="B312" s="0" t="str">
        <f aca="false">IFERROR(INDEX(Calc!$M$2:$M$1001,MATCH(ROW()-1,Calc!$X$2:$X$1001,0)),"")</f>
        <v/>
      </c>
      <c r="C312" s="0" t="str">
        <f aca="false">IFERROR(INDEX(Calc!$N$2:$N$1001,MATCH(ROW()-1,Calc!$X$2:$X$1001,0)),"")</f>
        <v/>
      </c>
      <c r="D312" s="3" t="str">
        <f aca="false">IFERROR(INDEX(Calc!$O$2:$O$1001,MATCH(ROW()-1,Calc!$X$2:$X$1001,0)),"")</f>
        <v/>
      </c>
      <c r="E312" s="3" t="str">
        <f aca="false">IFERROR(INDEX(Calc!$P$2:$P$1001,MATCH(ROW()-1,Calc!$X$2:$X$1001,0)),"")</f>
        <v/>
      </c>
      <c r="F312" s="3" t="str">
        <f aca="false">IF(G312="","",E312-D312)</f>
        <v/>
      </c>
      <c r="G312" s="0" t="str">
        <f aca="false">IFERROR(INDEX(Calc!$S$2:$S$1001,MATCH(ROW()-1,Calc!$X$2:$X$1001,0)),"")</f>
        <v/>
      </c>
    </row>
    <row r="313" customFormat="false" ht="15" hidden="false" customHeight="false" outlineLevel="0" collapsed="false">
      <c r="A313" s="0" t="str">
        <f aca="false">IFERROR(INDEX(Calc!$L$2:$L$1001,MATCH(ROW()-1,Calc!$X$2:$X$1001,0)),"")</f>
        <v/>
      </c>
      <c r="B313" s="0" t="str">
        <f aca="false">IFERROR(INDEX(Calc!$M$2:$M$1001,MATCH(ROW()-1,Calc!$X$2:$X$1001,0)),"")</f>
        <v/>
      </c>
      <c r="C313" s="0" t="str">
        <f aca="false">IFERROR(INDEX(Calc!$N$2:$N$1001,MATCH(ROW()-1,Calc!$X$2:$X$1001,0)),"")</f>
        <v/>
      </c>
      <c r="D313" s="3" t="str">
        <f aca="false">IFERROR(INDEX(Calc!$O$2:$O$1001,MATCH(ROW()-1,Calc!$X$2:$X$1001,0)),"")</f>
        <v/>
      </c>
      <c r="E313" s="3" t="str">
        <f aca="false">IFERROR(INDEX(Calc!$P$2:$P$1001,MATCH(ROW()-1,Calc!$X$2:$X$1001,0)),"")</f>
        <v/>
      </c>
      <c r="F313" s="3" t="str">
        <f aca="false">IF(G313="","",E313-D313)</f>
        <v/>
      </c>
      <c r="G313" s="0" t="str">
        <f aca="false">IFERROR(INDEX(Calc!$S$2:$S$1001,MATCH(ROW()-1,Calc!$X$2:$X$1001,0)),"")</f>
        <v/>
      </c>
    </row>
    <row r="314" customFormat="false" ht="15" hidden="false" customHeight="false" outlineLevel="0" collapsed="false">
      <c r="A314" s="0" t="str">
        <f aca="false">IFERROR(INDEX(Calc!$L$2:$L$1001,MATCH(ROW()-1,Calc!$X$2:$X$1001,0)),"")</f>
        <v/>
      </c>
      <c r="B314" s="0" t="str">
        <f aca="false">IFERROR(INDEX(Calc!$M$2:$M$1001,MATCH(ROW()-1,Calc!$X$2:$X$1001,0)),"")</f>
        <v/>
      </c>
      <c r="C314" s="0" t="str">
        <f aca="false">IFERROR(INDEX(Calc!$N$2:$N$1001,MATCH(ROW()-1,Calc!$X$2:$X$1001,0)),"")</f>
        <v/>
      </c>
      <c r="D314" s="3" t="str">
        <f aca="false">IFERROR(INDEX(Calc!$O$2:$O$1001,MATCH(ROW()-1,Calc!$X$2:$X$1001,0)),"")</f>
        <v/>
      </c>
      <c r="E314" s="3" t="str">
        <f aca="false">IFERROR(INDEX(Calc!$P$2:$P$1001,MATCH(ROW()-1,Calc!$X$2:$X$1001,0)),"")</f>
        <v/>
      </c>
      <c r="F314" s="3" t="str">
        <f aca="false">IF(G314="","",E314-D314)</f>
        <v/>
      </c>
      <c r="G314" s="0" t="str">
        <f aca="false">IFERROR(INDEX(Calc!$S$2:$S$1001,MATCH(ROW()-1,Calc!$X$2:$X$1001,0)),"")</f>
        <v/>
      </c>
    </row>
    <row r="315" customFormat="false" ht="15" hidden="false" customHeight="false" outlineLevel="0" collapsed="false">
      <c r="A315" s="0" t="str">
        <f aca="false">IFERROR(INDEX(Calc!$L$2:$L$1001,MATCH(ROW()-1,Calc!$X$2:$X$1001,0)),"")</f>
        <v/>
      </c>
      <c r="B315" s="0" t="str">
        <f aca="false">IFERROR(INDEX(Calc!$M$2:$M$1001,MATCH(ROW()-1,Calc!$X$2:$X$1001,0)),"")</f>
        <v/>
      </c>
      <c r="C315" s="0" t="str">
        <f aca="false">IFERROR(INDEX(Calc!$N$2:$N$1001,MATCH(ROW()-1,Calc!$X$2:$X$1001,0)),"")</f>
        <v/>
      </c>
      <c r="D315" s="3" t="str">
        <f aca="false">IFERROR(INDEX(Calc!$O$2:$O$1001,MATCH(ROW()-1,Calc!$X$2:$X$1001,0)),"")</f>
        <v/>
      </c>
      <c r="E315" s="3" t="str">
        <f aca="false">IFERROR(INDEX(Calc!$P$2:$P$1001,MATCH(ROW()-1,Calc!$X$2:$X$1001,0)),"")</f>
        <v/>
      </c>
      <c r="F315" s="3" t="str">
        <f aca="false">IF(G315="","",E315-D315)</f>
        <v/>
      </c>
      <c r="G315" s="0" t="str">
        <f aca="false">IFERROR(INDEX(Calc!$S$2:$S$1001,MATCH(ROW()-1,Calc!$X$2:$X$1001,0)),"")</f>
        <v/>
      </c>
    </row>
    <row r="316" customFormat="false" ht="15" hidden="false" customHeight="false" outlineLevel="0" collapsed="false">
      <c r="A316" s="0" t="str">
        <f aca="false">IFERROR(INDEX(Calc!$L$2:$L$1001,MATCH(ROW()-1,Calc!$X$2:$X$1001,0)),"")</f>
        <v/>
      </c>
      <c r="B316" s="0" t="str">
        <f aca="false">IFERROR(INDEX(Calc!$M$2:$M$1001,MATCH(ROW()-1,Calc!$X$2:$X$1001,0)),"")</f>
        <v/>
      </c>
      <c r="C316" s="0" t="str">
        <f aca="false">IFERROR(INDEX(Calc!$N$2:$N$1001,MATCH(ROW()-1,Calc!$X$2:$X$1001,0)),"")</f>
        <v/>
      </c>
      <c r="D316" s="3" t="str">
        <f aca="false">IFERROR(INDEX(Calc!$O$2:$O$1001,MATCH(ROW()-1,Calc!$X$2:$X$1001,0)),"")</f>
        <v/>
      </c>
      <c r="E316" s="3" t="str">
        <f aca="false">IFERROR(INDEX(Calc!$P$2:$P$1001,MATCH(ROW()-1,Calc!$X$2:$X$1001,0)),"")</f>
        <v/>
      </c>
      <c r="F316" s="3" t="str">
        <f aca="false">IF(G316="","",E316-D316)</f>
        <v/>
      </c>
      <c r="G316" s="0" t="str">
        <f aca="false">IFERROR(INDEX(Calc!$S$2:$S$1001,MATCH(ROW()-1,Calc!$X$2:$X$1001,0)),"")</f>
        <v/>
      </c>
    </row>
    <row r="317" customFormat="false" ht="15" hidden="false" customHeight="false" outlineLevel="0" collapsed="false">
      <c r="A317" s="0" t="str">
        <f aca="false">IFERROR(INDEX(Calc!$L$2:$L$1001,MATCH(ROW()-1,Calc!$X$2:$X$1001,0)),"")</f>
        <v/>
      </c>
      <c r="B317" s="0" t="str">
        <f aca="false">IFERROR(INDEX(Calc!$M$2:$M$1001,MATCH(ROW()-1,Calc!$X$2:$X$1001,0)),"")</f>
        <v/>
      </c>
      <c r="C317" s="0" t="str">
        <f aca="false">IFERROR(INDEX(Calc!$N$2:$N$1001,MATCH(ROW()-1,Calc!$X$2:$X$1001,0)),"")</f>
        <v/>
      </c>
      <c r="D317" s="3" t="str">
        <f aca="false">IFERROR(INDEX(Calc!$O$2:$O$1001,MATCH(ROW()-1,Calc!$X$2:$X$1001,0)),"")</f>
        <v/>
      </c>
      <c r="E317" s="3" t="str">
        <f aca="false">IFERROR(INDEX(Calc!$P$2:$P$1001,MATCH(ROW()-1,Calc!$X$2:$X$1001,0)),"")</f>
        <v/>
      </c>
      <c r="F317" s="3" t="str">
        <f aca="false">IF(G317="","",E317-D317)</f>
        <v/>
      </c>
      <c r="G317" s="0" t="str">
        <f aca="false">IFERROR(INDEX(Calc!$S$2:$S$1001,MATCH(ROW()-1,Calc!$X$2:$X$1001,0)),"")</f>
        <v/>
      </c>
    </row>
    <row r="318" customFormat="false" ht="15" hidden="false" customHeight="false" outlineLevel="0" collapsed="false">
      <c r="A318" s="0" t="str">
        <f aca="false">IFERROR(INDEX(Calc!$L$2:$L$1001,MATCH(ROW()-1,Calc!$X$2:$X$1001,0)),"")</f>
        <v/>
      </c>
      <c r="B318" s="0" t="str">
        <f aca="false">IFERROR(INDEX(Calc!$M$2:$M$1001,MATCH(ROW()-1,Calc!$X$2:$X$1001,0)),"")</f>
        <v/>
      </c>
      <c r="C318" s="0" t="str">
        <f aca="false">IFERROR(INDEX(Calc!$N$2:$N$1001,MATCH(ROW()-1,Calc!$X$2:$X$1001,0)),"")</f>
        <v/>
      </c>
      <c r="D318" s="3" t="str">
        <f aca="false">IFERROR(INDEX(Calc!$O$2:$O$1001,MATCH(ROW()-1,Calc!$X$2:$X$1001,0)),"")</f>
        <v/>
      </c>
      <c r="E318" s="3" t="str">
        <f aca="false">IFERROR(INDEX(Calc!$P$2:$P$1001,MATCH(ROW()-1,Calc!$X$2:$X$1001,0)),"")</f>
        <v/>
      </c>
      <c r="F318" s="3" t="str">
        <f aca="false">IF(G318="","",E318-D318)</f>
        <v/>
      </c>
      <c r="G318" s="0" t="str">
        <f aca="false">IFERROR(INDEX(Calc!$S$2:$S$1001,MATCH(ROW()-1,Calc!$X$2:$X$1001,0)),"")</f>
        <v/>
      </c>
    </row>
    <row r="319" customFormat="false" ht="15" hidden="false" customHeight="false" outlineLevel="0" collapsed="false">
      <c r="A319" s="0" t="str">
        <f aca="false">IFERROR(INDEX(Calc!$L$2:$L$1001,MATCH(ROW()-1,Calc!$X$2:$X$1001,0)),"")</f>
        <v/>
      </c>
      <c r="B319" s="0" t="str">
        <f aca="false">IFERROR(INDEX(Calc!$M$2:$M$1001,MATCH(ROW()-1,Calc!$X$2:$X$1001,0)),"")</f>
        <v/>
      </c>
      <c r="C319" s="0" t="str">
        <f aca="false">IFERROR(INDEX(Calc!$N$2:$N$1001,MATCH(ROW()-1,Calc!$X$2:$X$1001,0)),"")</f>
        <v/>
      </c>
      <c r="D319" s="3" t="str">
        <f aca="false">IFERROR(INDEX(Calc!$O$2:$O$1001,MATCH(ROW()-1,Calc!$X$2:$X$1001,0)),"")</f>
        <v/>
      </c>
      <c r="E319" s="3" t="str">
        <f aca="false">IFERROR(INDEX(Calc!$P$2:$P$1001,MATCH(ROW()-1,Calc!$X$2:$X$1001,0)),"")</f>
        <v/>
      </c>
      <c r="F319" s="3" t="str">
        <f aca="false">IF(G319="","",E319-D319)</f>
        <v/>
      </c>
      <c r="G319" s="0" t="str">
        <f aca="false">IFERROR(INDEX(Calc!$S$2:$S$1001,MATCH(ROW()-1,Calc!$X$2:$X$1001,0)),"")</f>
        <v/>
      </c>
    </row>
    <row r="320" customFormat="false" ht="15" hidden="false" customHeight="false" outlineLevel="0" collapsed="false">
      <c r="A320" s="0" t="str">
        <f aca="false">IFERROR(INDEX(Calc!$L$2:$L$1001,MATCH(ROW()-1,Calc!$X$2:$X$1001,0)),"")</f>
        <v/>
      </c>
      <c r="B320" s="0" t="str">
        <f aca="false">IFERROR(INDEX(Calc!$M$2:$M$1001,MATCH(ROW()-1,Calc!$X$2:$X$1001,0)),"")</f>
        <v/>
      </c>
      <c r="C320" s="0" t="str">
        <f aca="false">IFERROR(INDEX(Calc!$N$2:$N$1001,MATCH(ROW()-1,Calc!$X$2:$X$1001,0)),"")</f>
        <v/>
      </c>
      <c r="D320" s="3" t="str">
        <f aca="false">IFERROR(INDEX(Calc!$O$2:$O$1001,MATCH(ROW()-1,Calc!$X$2:$X$1001,0)),"")</f>
        <v/>
      </c>
      <c r="E320" s="3" t="str">
        <f aca="false">IFERROR(INDEX(Calc!$P$2:$P$1001,MATCH(ROW()-1,Calc!$X$2:$X$1001,0)),"")</f>
        <v/>
      </c>
      <c r="F320" s="3" t="str">
        <f aca="false">IF(G320="","",E320-D320)</f>
        <v/>
      </c>
      <c r="G320" s="0" t="str">
        <f aca="false">IFERROR(INDEX(Calc!$S$2:$S$1001,MATCH(ROW()-1,Calc!$X$2:$X$1001,0)),"")</f>
        <v/>
      </c>
    </row>
    <row r="321" customFormat="false" ht="15" hidden="false" customHeight="false" outlineLevel="0" collapsed="false">
      <c r="A321" s="0" t="str">
        <f aca="false">IFERROR(INDEX(Calc!$L$2:$L$1001,MATCH(ROW()-1,Calc!$X$2:$X$1001,0)),"")</f>
        <v/>
      </c>
      <c r="B321" s="0" t="str">
        <f aca="false">IFERROR(INDEX(Calc!$M$2:$M$1001,MATCH(ROW()-1,Calc!$X$2:$X$1001,0)),"")</f>
        <v/>
      </c>
      <c r="C321" s="0" t="str">
        <f aca="false">IFERROR(INDEX(Calc!$N$2:$N$1001,MATCH(ROW()-1,Calc!$X$2:$X$1001,0)),"")</f>
        <v/>
      </c>
      <c r="D321" s="3" t="str">
        <f aca="false">IFERROR(INDEX(Calc!$O$2:$O$1001,MATCH(ROW()-1,Calc!$X$2:$X$1001,0)),"")</f>
        <v/>
      </c>
      <c r="E321" s="3" t="str">
        <f aca="false">IFERROR(INDEX(Calc!$P$2:$P$1001,MATCH(ROW()-1,Calc!$X$2:$X$1001,0)),"")</f>
        <v/>
      </c>
      <c r="F321" s="3" t="str">
        <f aca="false">IF(G321="","",E321-D321)</f>
        <v/>
      </c>
      <c r="G321" s="0" t="str">
        <f aca="false">IFERROR(INDEX(Calc!$S$2:$S$1001,MATCH(ROW()-1,Calc!$X$2:$X$1001,0)),"")</f>
        <v/>
      </c>
    </row>
    <row r="322" customFormat="false" ht="15" hidden="false" customHeight="false" outlineLevel="0" collapsed="false">
      <c r="A322" s="0" t="str">
        <f aca="false">IFERROR(INDEX(Calc!$L$2:$L$1001,MATCH(ROW()-1,Calc!$X$2:$X$1001,0)),"")</f>
        <v/>
      </c>
      <c r="B322" s="0" t="str">
        <f aca="false">IFERROR(INDEX(Calc!$M$2:$M$1001,MATCH(ROW()-1,Calc!$X$2:$X$1001,0)),"")</f>
        <v/>
      </c>
      <c r="C322" s="0" t="str">
        <f aca="false">IFERROR(INDEX(Calc!$N$2:$N$1001,MATCH(ROW()-1,Calc!$X$2:$X$1001,0)),"")</f>
        <v/>
      </c>
      <c r="D322" s="3" t="str">
        <f aca="false">IFERROR(INDEX(Calc!$O$2:$O$1001,MATCH(ROW()-1,Calc!$X$2:$X$1001,0)),"")</f>
        <v/>
      </c>
      <c r="E322" s="3" t="str">
        <f aca="false">IFERROR(INDEX(Calc!$P$2:$P$1001,MATCH(ROW()-1,Calc!$X$2:$X$1001,0)),"")</f>
        <v/>
      </c>
      <c r="F322" s="3" t="str">
        <f aca="false">IF(G322="","",E322-D322)</f>
        <v/>
      </c>
      <c r="G322" s="0" t="str">
        <f aca="false">IFERROR(INDEX(Calc!$S$2:$S$1001,MATCH(ROW()-1,Calc!$X$2:$X$1001,0)),"")</f>
        <v/>
      </c>
    </row>
    <row r="323" customFormat="false" ht="15" hidden="false" customHeight="false" outlineLevel="0" collapsed="false">
      <c r="A323" s="0" t="str">
        <f aca="false">IFERROR(INDEX(Calc!$L$2:$L$1001,MATCH(ROW()-1,Calc!$X$2:$X$1001,0)),"")</f>
        <v/>
      </c>
      <c r="B323" s="0" t="str">
        <f aca="false">IFERROR(INDEX(Calc!$M$2:$M$1001,MATCH(ROW()-1,Calc!$X$2:$X$1001,0)),"")</f>
        <v/>
      </c>
      <c r="C323" s="0" t="str">
        <f aca="false">IFERROR(INDEX(Calc!$N$2:$N$1001,MATCH(ROW()-1,Calc!$X$2:$X$1001,0)),"")</f>
        <v/>
      </c>
      <c r="D323" s="3" t="str">
        <f aca="false">IFERROR(INDEX(Calc!$O$2:$O$1001,MATCH(ROW()-1,Calc!$X$2:$X$1001,0)),"")</f>
        <v/>
      </c>
      <c r="E323" s="3" t="str">
        <f aca="false">IFERROR(INDEX(Calc!$P$2:$P$1001,MATCH(ROW()-1,Calc!$X$2:$X$1001,0)),"")</f>
        <v/>
      </c>
      <c r="F323" s="3" t="str">
        <f aca="false">IF(G323="","",E323-D323)</f>
        <v/>
      </c>
      <c r="G323" s="0" t="str">
        <f aca="false">IFERROR(INDEX(Calc!$S$2:$S$1001,MATCH(ROW()-1,Calc!$X$2:$X$1001,0)),"")</f>
        <v/>
      </c>
    </row>
    <row r="324" customFormat="false" ht="15" hidden="false" customHeight="false" outlineLevel="0" collapsed="false">
      <c r="A324" s="0" t="str">
        <f aca="false">IFERROR(INDEX(Calc!$L$2:$L$1001,MATCH(ROW()-1,Calc!$X$2:$X$1001,0)),"")</f>
        <v/>
      </c>
      <c r="B324" s="0" t="str">
        <f aca="false">IFERROR(INDEX(Calc!$M$2:$M$1001,MATCH(ROW()-1,Calc!$X$2:$X$1001,0)),"")</f>
        <v/>
      </c>
      <c r="C324" s="0" t="str">
        <f aca="false">IFERROR(INDEX(Calc!$N$2:$N$1001,MATCH(ROW()-1,Calc!$X$2:$X$1001,0)),"")</f>
        <v/>
      </c>
      <c r="D324" s="3" t="str">
        <f aca="false">IFERROR(INDEX(Calc!$O$2:$O$1001,MATCH(ROW()-1,Calc!$X$2:$X$1001,0)),"")</f>
        <v/>
      </c>
      <c r="E324" s="3" t="str">
        <f aca="false">IFERROR(INDEX(Calc!$P$2:$P$1001,MATCH(ROW()-1,Calc!$X$2:$X$1001,0)),"")</f>
        <v/>
      </c>
      <c r="F324" s="3" t="str">
        <f aca="false">IF(G324="","",E324-D324)</f>
        <v/>
      </c>
      <c r="G324" s="0" t="str">
        <f aca="false">IFERROR(INDEX(Calc!$S$2:$S$1001,MATCH(ROW()-1,Calc!$X$2:$X$1001,0)),"")</f>
        <v/>
      </c>
    </row>
    <row r="325" customFormat="false" ht="15" hidden="false" customHeight="false" outlineLevel="0" collapsed="false">
      <c r="A325" s="0" t="str">
        <f aca="false">IFERROR(INDEX(Calc!$L$2:$L$1001,MATCH(ROW()-1,Calc!$X$2:$X$1001,0)),"")</f>
        <v/>
      </c>
      <c r="B325" s="0" t="str">
        <f aca="false">IFERROR(INDEX(Calc!$M$2:$M$1001,MATCH(ROW()-1,Calc!$X$2:$X$1001,0)),"")</f>
        <v/>
      </c>
      <c r="C325" s="0" t="str">
        <f aca="false">IFERROR(INDEX(Calc!$N$2:$N$1001,MATCH(ROW()-1,Calc!$X$2:$X$1001,0)),"")</f>
        <v/>
      </c>
      <c r="D325" s="3" t="str">
        <f aca="false">IFERROR(INDEX(Calc!$O$2:$O$1001,MATCH(ROW()-1,Calc!$X$2:$X$1001,0)),"")</f>
        <v/>
      </c>
      <c r="E325" s="3" t="str">
        <f aca="false">IFERROR(INDEX(Calc!$P$2:$P$1001,MATCH(ROW()-1,Calc!$X$2:$X$1001,0)),"")</f>
        <v/>
      </c>
      <c r="F325" s="3" t="str">
        <f aca="false">IF(G325="","",E325-D325)</f>
        <v/>
      </c>
      <c r="G325" s="0" t="str">
        <f aca="false">IFERROR(INDEX(Calc!$S$2:$S$1001,MATCH(ROW()-1,Calc!$X$2:$X$1001,0)),"")</f>
        <v/>
      </c>
    </row>
    <row r="326" customFormat="false" ht="15" hidden="false" customHeight="false" outlineLevel="0" collapsed="false">
      <c r="A326" s="0" t="str">
        <f aca="false">IFERROR(INDEX(Calc!$L$2:$L$1001,MATCH(ROW()-1,Calc!$X$2:$X$1001,0)),"")</f>
        <v/>
      </c>
      <c r="B326" s="0" t="str">
        <f aca="false">IFERROR(INDEX(Calc!$M$2:$M$1001,MATCH(ROW()-1,Calc!$X$2:$X$1001,0)),"")</f>
        <v/>
      </c>
      <c r="C326" s="0" t="str">
        <f aca="false">IFERROR(INDEX(Calc!$N$2:$N$1001,MATCH(ROW()-1,Calc!$X$2:$X$1001,0)),"")</f>
        <v/>
      </c>
      <c r="D326" s="3" t="str">
        <f aca="false">IFERROR(INDEX(Calc!$O$2:$O$1001,MATCH(ROW()-1,Calc!$X$2:$X$1001,0)),"")</f>
        <v/>
      </c>
      <c r="E326" s="3" t="str">
        <f aca="false">IFERROR(INDEX(Calc!$P$2:$P$1001,MATCH(ROW()-1,Calc!$X$2:$X$1001,0)),"")</f>
        <v/>
      </c>
      <c r="F326" s="3" t="str">
        <f aca="false">IF(G326="","",E326-D326)</f>
        <v/>
      </c>
      <c r="G326" s="0" t="str">
        <f aca="false">IFERROR(INDEX(Calc!$S$2:$S$1001,MATCH(ROW()-1,Calc!$X$2:$X$1001,0)),"")</f>
        <v/>
      </c>
    </row>
    <row r="327" customFormat="false" ht="15" hidden="false" customHeight="false" outlineLevel="0" collapsed="false">
      <c r="A327" s="0" t="str">
        <f aca="false">IFERROR(INDEX(Calc!$L$2:$L$1001,MATCH(ROW()-1,Calc!$X$2:$X$1001,0)),"")</f>
        <v/>
      </c>
      <c r="B327" s="0" t="str">
        <f aca="false">IFERROR(INDEX(Calc!$M$2:$M$1001,MATCH(ROW()-1,Calc!$X$2:$X$1001,0)),"")</f>
        <v/>
      </c>
      <c r="C327" s="0" t="str">
        <f aca="false">IFERROR(INDEX(Calc!$N$2:$N$1001,MATCH(ROW()-1,Calc!$X$2:$X$1001,0)),"")</f>
        <v/>
      </c>
      <c r="D327" s="3" t="str">
        <f aca="false">IFERROR(INDEX(Calc!$O$2:$O$1001,MATCH(ROW()-1,Calc!$X$2:$X$1001,0)),"")</f>
        <v/>
      </c>
      <c r="E327" s="3" t="str">
        <f aca="false">IFERROR(INDEX(Calc!$P$2:$P$1001,MATCH(ROW()-1,Calc!$X$2:$X$1001,0)),"")</f>
        <v/>
      </c>
      <c r="F327" s="3" t="str">
        <f aca="false">IF(G327="","",E327-D327)</f>
        <v/>
      </c>
      <c r="G327" s="0" t="str">
        <f aca="false">IFERROR(INDEX(Calc!$S$2:$S$1001,MATCH(ROW()-1,Calc!$X$2:$X$1001,0)),"")</f>
        <v/>
      </c>
    </row>
    <row r="328" customFormat="false" ht="15" hidden="false" customHeight="false" outlineLevel="0" collapsed="false">
      <c r="A328" s="0" t="str">
        <f aca="false">IFERROR(INDEX(Calc!$L$2:$L$1001,MATCH(ROW()-1,Calc!$X$2:$X$1001,0)),"")</f>
        <v/>
      </c>
      <c r="B328" s="0" t="str">
        <f aca="false">IFERROR(INDEX(Calc!$M$2:$M$1001,MATCH(ROW()-1,Calc!$X$2:$X$1001,0)),"")</f>
        <v/>
      </c>
      <c r="C328" s="0" t="str">
        <f aca="false">IFERROR(INDEX(Calc!$N$2:$N$1001,MATCH(ROW()-1,Calc!$X$2:$X$1001,0)),"")</f>
        <v/>
      </c>
      <c r="D328" s="3" t="str">
        <f aca="false">IFERROR(INDEX(Calc!$O$2:$O$1001,MATCH(ROW()-1,Calc!$X$2:$X$1001,0)),"")</f>
        <v/>
      </c>
      <c r="E328" s="3" t="str">
        <f aca="false">IFERROR(INDEX(Calc!$P$2:$P$1001,MATCH(ROW()-1,Calc!$X$2:$X$1001,0)),"")</f>
        <v/>
      </c>
      <c r="F328" s="3" t="str">
        <f aca="false">IF(G328="","",E328-D328)</f>
        <v/>
      </c>
      <c r="G328" s="0" t="str">
        <f aca="false">IFERROR(INDEX(Calc!$S$2:$S$1001,MATCH(ROW()-1,Calc!$X$2:$X$1001,0)),"")</f>
        <v/>
      </c>
    </row>
    <row r="329" customFormat="false" ht="15" hidden="false" customHeight="false" outlineLevel="0" collapsed="false">
      <c r="A329" s="0" t="str">
        <f aca="false">IFERROR(INDEX(Calc!$L$2:$L$1001,MATCH(ROW()-1,Calc!$X$2:$X$1001,0)),"")</f>
        <v/>
      </c>
      <c r="B329" s="0" t="str">
        <f aca="false">IFERROR(INDEX(Calc!$M$2:$M$1001,MATCH(ROW()-1,Calc!$X$2:$X$1001,0)),"")</f>
        <v/>
      </c>
      <c r="C329" s="0" t="str">
        <f aca="false">IFERROR(INDEX(Calc!$N$2:$N$1001,MATCH(ROW()-1,Calc!$X$2:$X$1001,0)),"")</f>
        <v/>
      </c>
      <c r="D329" s="3" t="str">
        <f aca="false">IFERROR(INDEX(Calc!$O$2:$O$1001,MATCH(ROW()-1,Calc!$X$2:$X$1001,0)),"")</f>
        <v/>
      </c>
      <c r="E329" s="3" t="str">
        <f aca="false">IFERROR(INDEX(Calc!$P$2:$P$1001,MATCH(ROW()-1,Calc!$X$2:$X$1001,0)),"")</f>
        <v/>
      </c>
      <c r="F329" s="3" t="str">
        <f aca="false">IF(G329="","",E329-D329)</f>
        <v/>
      </c>
      <c r="G329" s="0" t="str">
        <f aca="false">IFERROR(INDEX(Calc!$S$2:$S$1001,MATCH(ROW()-1,Calc!$X$2:$X$1001,0)),"")</f>
        <v/>
      </c>
    </row>
    <row r="330" customFormat="false" ht="15" hidden="false" customHeight="false" outlineLevel="0" collapsed="false">
      <c r="A330" s="0" t="str">
        <f aca="false">IFERROR(INDEX(Calc!$L$2:$L$1001,MATCH(ROW()-1,Calc!$X$2:$X$1001,0)),"")</f>
        <v/>
      </c>
      <c r="B330" s="0" t="str">
        <f aca="false">IFERROR(INDEX(Calc!$M$2:$M$1001,MATCH(ROW()-1,Calc!$X$2:$X$1001,0)),"")</f>
        <v/>
      </c>
      <c r="C330" s="0" t="str">
        <f aca="false">IFERROR(INDEX(Calc!$N$2:$N$1001,MATCH(ROW()-1,Calc!$X$2:$X$1001,0)),"")</f>
        <v/>
      </c>
      <c r="D330" s="3" t="str">
        <f aca="false">IFERROR(INDEX(Calc!$O$2:$O$1001,MATCH(ROW()-1,Calc!$X$2:$X$1001,0)),"")</f>
        <v/>
      </c>
      <c r="E330" s="3" t="str">
        <f aca="false">IFERROR(INDEX(Calc!$P$2:$P$1001,MATCH(ROW()-1,Calc!$X$2:$X$1001,0)),"")</f>
        <v/>
      </c>
      <c r="F330" s="3" t="str">
        <f aca="false">IF(G330="","",E330-D330)</f>
        <v/>
      </c>
      <c r="G330" s="0" t="str">
        <f aca="false">IFERROR(INDEX(Calc!$S$2:$S$1001,MATCH(ROW()-1,Calc!$X$2:$X$1001,0)),"")</f>
        <v/>
      </c>
    </row>
    <row r="331" customFormat="false" ht="15" hidden="false" customHeight="false" outlineLevel="0" collapsed="false">
      <c r="A331" s="0" t="str">
        <f aca="false">IFERROR(INDEX(Calc!$L$2:$L$1001,MATCH(ROW()-1,Calc!$X$2:$X$1001,0)),"")</f>
        <v/>
      </c>
      <c r="B331" s="0" t="str">
        <f aca="false">IFERROR(INDEX(Calc!$M$2:$M$1001,MATCH(ROW()-1,Calc!$X$2:$X$1001,0)),"")</f>
        <v/>
      </c>
      <c r="C331" s="0" t="str">
        <f aca="false">IFERROR(INDEX(Calc!$N$2:$N$1001,MATCH(ROW()-1,Calc!$X$2:$X$1001,0)),"")</f>
        <v/>
      </c>
      <c r="D331" s="3" t="str">
        <f aca="false">IFERROR(INDEX(Calc!$O$2:$O$1001,MATCH(ROW()-1,Calc!$X$2:$X$1001,0)),"")</f>
        <v/>
      </c>
      <c r="E331" s="3" t="str">
        <f aca="false">IFERROR(INDEX(Calc!$P$2:$P$1001,MATCH(ROW()-1,Calc!$X$2:$X$1001,0)),"")</f>
        <v/>
      </c>
      <c r="F331" s="3" t="str">
        <f aca="false">IF(G331="","",E331-D331)</f>
        <v/>
      </c>
      <c r="G331" s="0" t="str">
        <f aca="false">IFERROR(INDEX(Calc!$S$2:$S$1001,MATCH(ROW()-1,Calc!$X$2:$X$1001,0)),"")</f>
        <v/>
      </c>
    </row>
    <row r="332" customFormat="false" ht="15" hidden="false" customHeight="false" outlineLevel="0" collapsed="false">
      <c r="A332" s="0" t="str">
        <f aca="false">IFERROR(INDEX(Calc!$L$2:$L$1001,MATCH(ROW()-1,Calc!$X$2:$X$1001,0)),"")</f>
        <v/>
      </c>
      <c r="B332" s="0" t="str">
        <f aca="false">IFERROR(INDEX(Calc!$M$2:$M$1001,MATCH(ROW()-1,Calc!$X$2:$X$1001,0)),"")</f>
        <v/>
      </c>
      <c r="C332" s="0" t="str">
        <f aca="false">IFERROR(INDEX(Calc!$N$2:$N$1001,MATCH(ROW()-1,Calc!$X$2:$X$1001,0)),"")</f>
        <v/>
      </c>
      <c r="D332" s="3" t="str">
        <f aca="false">IFERROR(INDEX(Calc!$O$2:$O$1001,MATCH(ROW()-1,Calc!$X$2:$X$1001,0)),"")</f>
        <v/>
      </c>
      <c r="E332" s="3" t="str">
        <f aca="false">IFERROR(INDEX(Calc!$P$2:$P$1001,MATCH(ROW()-1,Calc!$X$2:$X$1001,0)),"")</f>
        <v/>
      </c>
      <c r="F332" s="3" t="str">
        <f aca="false">IF(G332="","",E332-D332)</f>
        <v/>
      </c>
      <c r="G332" s="0" t="str">
        <f aca="false">IFERROR(INDEX(Calc!$S$2:$S$1001,MATCH(ROW()-1,Calc!$X$2:$X$1001,0)),"")</f>
        <v/>
      </c>
    </row>
    <row r="333" customFormat="false" ht="15" hidden="false" customHeight="false" outlineLevel="0" collapsed="false">
      <c r="A333" s="0" t="str">
        <f aca="false">IFERROR(INDEX(Calc!$L$2:$L$1001,MATCH(ROW()-1,Calc!$X$2:$X$1001,0)),"")</f>
        <v/>
      </c>
      <c r="B333" s="0" t="str">
        <f aca="false">IFERROR(INDEX(Calc!$M$2:$M$1001,MATCH(ROW()-1,Calc!$X$2:$X$1001,0)),"")</f>
        <v/>
      </c>
      <c r="C333" s="0" t="str">
        <f aca="false">IFERROR(INDEX(Calc!$N$2:$N$1001,MATCH(ROW()-1,Calc!$X$2:$X$1001,0)),"")</f>
        <v/>
      </c>
      <c r="D333" s="3" t="str">
        <f aca="false">IFERROR(INDEX(Calc!$O$2:$O$1001,MATCH(ROW()-1,Calc!$X$2:$X$1001,0)),"")</f>
        <v/>
      </c>
      <c r="E333" s="3" t="str">
        <f aca="false">IFERROR(INDEX(Calc!$P$2:$P$1001,MATCH(ROW()-1,Calc!$X$2:$X$1001,0)),"")</f>
        <v/>
      </c>
      <c r="F333" s="3" t="str">
        <f aca="false">IF(G333="","",E333-D333)</f>
        <v/>
      </c>
      <c r="G333" s="0" t="str">
        <f aca="false">IFERROR(INDEX(Calc!$S$2:$S$1001,MATCH(ROW()-1,Calc!$X$2:$X$1001,0)),"")</f>
        <v/>
      </c>
    </row>
    <row r="334" customFormat="false" ht="15" hidden="false" customHeight="false" outlineLevel="0" collapsed="false">
      <c r="A334" s="0" t="str">
        <f aca="false">IFERROR(INDEX(Calc!$L$2:$L$1001,MATCH(ROW()-1,Calc!$X$2:$X$1001,0)),"")</f>
        <v/>
      </c>
      <c r="B334" s="0" t="str">
        <f aca="false">IFERROR(INDEX(Calc!$M$2:$M$1001,MATCH(ROW()-1,Calc!$X$2:$X$1001,0)),"")</f>
        <v/>
      </c>
      <c r="C334" s="0" t="str">
        <f aca="false">IFERROR(INDEX(Calc!$N$2:$N$1001,MATCH(ROW()-1,Calc!$X$2:$X$1001,0)),"")</f>
        <v/>
      </c>
      <c r="D334" s="3" t="str">
        <f aca="false">IFERROR(INDEX(Calc!$O$2:$O$1001,MATCH(ROW()-1,Calc!$X$2:$X$1001,0)),"")</f>
        <v/>
      </c>
      <c r="E334" s="3" t="str">
        <f aca="false">IFERROR(INDEX(Calc!$P$2:$P$1001,MATCH(ROW()-1,Calc!$X$2:$X$1001,0)),"")</f>
        <v/>
      </c>
      <c r="F334" s="3" t="str">
        <f aca="false">IF(G334="","",E334-D334)</f>
        <v/>
      </c>
      <c r="G334" s="0" t="str">
        <f aca="false">IFERROR(INDEX(Calc!$S$2:$S$1001,MATCH(ROW()-1,Calc!$X$2:$X$1001,0)),"")</f>
        <v/>
      </c>
    </row>
    <row r="335" customFormat="false" ht="15" hidden="false" customHeight="false" outlineLevel="0" collapsed="false">
      <c r="A335" s="0" t="str">
        <f aca="false">IFERROR(INDEX(Calc!$L$2:$L$1001,MATCH(ROW()-1,Calc!$X$2:$X$1001,0)),"")</f>
        <v/>
      </c>
      <c r="B335" s="0" t="str">
        <f aca="false">IFERROR(INDEX(Calc!$M$2:$M$1001,MATCH(ROW()-1,Calc!$X$2:$X$1001,0)),"")</f>
        <v/>
      </c>
      <c r="C335" s="0" t="str">
        <f aca="false">IFERROR(INDEX(Calc!$N$2:$N$1001,MATCH(ROW()-1,Calc!$X$2:$X$1001,0)),"")</f>
        <v/>
      </c>
      <c r="D335" s="3" t="str">
        <f aca="false">IFERROR(INDEX(Calc!$O$2:$O$1001,MATCH(ROW()-1,Calc!$X$2:$X$1001,0)),"")</f>
        <v/>
      </c>
      <c r="E335" s="3" t="str">
        <f aca="false">IFERROR(INDEX(Calc!$P$2:$P$1001,MATCH(ROW()-1,Calc!$X$2:$X$1001,0)),"")</f>
        <v/>
      </c>
      <c r="F335" s="3" t="str">
        <f aca="false">IF(G335="","",E335-D335)</f>
        <v/>
      </c>
      <c r="G335" s="0" t="str">
        <f aca="false">IFERROR(INDEX(Calc!$S$2:$S$1001,MATCH(ROW()-1,Calc!$X$2:$X$1001,0)),"")</f>
        <v/>
      </c>
    </row>
    <row r="336" customFormat="false" ht="15" hidden="false" customHeight="false" outlineLevel="0" collapsed="false">
      <c r="A336" s="0" t="str">
        <f aca="false">IFERROR(INDEX(Calc!$L$2:$L$1001,MATCH(ROW()-1,Calc!$X$2:$X$1001,0)),"")</f>
        <v/>
      </c>
      <c r="B336" s="0" t="str">
        <f aca="false">IFERROR(INDEX(Calc!$M$2:$M$1001,MATCH(ROW()-1,Calc!$X$2:$X$1001,0)),"")</f>
        <v/>
      </c>
      <c r="C336" s="0" t="str">
        <f aca="false">IFERROR(INDEX(Calc!$N$2:$N$1001,MATCH(ROW()-1,Calc!$X$2:$X$1001,0)),"")</f>
        <v/>
      </c>
      <c r="D336" s="3" t="str">
        <f aca="false">IFERROR(INDEX(Calc!$O$2:$O$1001,MATCH(ROW()-1,Calc!$X$2:$X$1001,0)),"")</f>
        <v/>
      </c>
      <c r="E336" s="3" t="str">
        <f aca="false">IFERROR(INDEX(Calc!$P$2:$P$1001,MATCH(ROW()-1,Calc!$X$2:$X$1001,0)),"")</f>
        <v/>
      </c>
      <c r="F336" s="3" t="str">
        <f aca="false">IF(G336="","",E336-D336)</f>
        <v/>
      </c>
      <c r="G336" s="0" t="str">
        <f aca="false">IFERROR(INDEX(Calc!$S$2:$S$1001,MATCH(ROW()-1,Calc!$X$2:$X$1001,0)),"")</f>
        <v/>
      </c>
    </row>
    <row r="337" customFormat="false" ht="15" hidden="false" customHeight="false" outlineLevel="0" collapsed="false">
      <c r="A337" s="0" t="str">
        <f aca="false">IFERROR(INDEX(Calc!$L$2:$L$1001,MATCH(ROW()-1,Calc!$X$2:$X$1001,0)),"")</f>
        <v/>
      </c>
      <c r="B337" s="0" t="str">
        <f aca="false">IFERROR(INDEX(Calc!$M$2:$M$1001,MATCH(ROW()-1,Calc!$X$2:$X$1001,0)),"")</f>
        <v/>
      </c>
      <c r="C337" s="0" t="str">
        <f aca="false">IFERROR(INDEX(Calc!$N$2:$N$1001,MATCH(ROW()-1,Calc!$X$2:$X$1001,0)),"")</f>
        <v/>
      </c>
      <c r="D337" s="3" t="str">
        <f aca="false">IFERROR(INDEX(Calc!$O$2:$O$1001,MATCH(ROW()-1,Calc!$X$2:$X$1001,0)),"")</f>
        <v/>
      </c>
      <c r="E337" s="3" t="str">
        <f aca="false">IFERROR(INDEX(Calc!$P$2:$P$1001,MATCH(ROW()-1,Calc!$X$2:$X$1001,0)),"")</f>
        <v/>
      </c>
      <c r="F337" s="3" t="str">
        <f aca="false">IF(G337="","",E337-D337)</f>
        <v/>
      </c>
      <c r="G337" s="0" t="str">
        <f aca="false">IFERROR(INDEX(Calc!$S$2:$S$1001,MATCH(ROW()-1,Calc!$X$2:$X$1001,0)),"")</f>
        <v/>
      </c>
    </row>
    <row r="338" customFormat="false" ht="15" hidden="false" customHeight="false" outlineLevel="0" collapsed="false">
      <c r="A338" s="0" t="str">
        <f aca="false">IFERROR(INDEX(Calc!$L$2:$L$1001,MATCH(ROW()-1,Calc!$X$2:$X$1001,0)),"")</f>
        <v/>
      </c>
      <c r="B338" s="0" t="str">
        <f aca="false">IFERROR(INDEX(Calc!$M$2:$M$1001,MATCH(ROW()-1,Calc!$X$2:$X$1001,0)),"")</f>
        <v/>
      </c>
      <c r="C338" s="0" t="str">
        <f aca="false">IFERROR(INDEX(Calc!$N$2:$N$1001,MATCH(ROW()-1,Calc!$X$2:$X$1001,0)),"")</f>
        <v/>
      </c>
      <c r="D338" s="3" t="str">
        <f aca="false">IFERROR(INDEX(Calc!$O$2:$O$1001,MATCH(ROW()-1,Calc!$X$2:$X$1001,0)),"")</f>
        <v/>
      </c>
      <c r="E338" s="3" t="str">
        <f aca="false">IFERROR(INDEX(Calc!$P$2:$P$1001,MATCH(ROW()-1,Calc!$X$2:$X$1001,0)),"")</f>
        <v/>
      </c>
      <c r="F338" s="3" t="str">
        <f aca="false">IF(G338="","",E338-D338)</f>
        <v/>
      </c>
      <c r="G338" s="0" t="str">
        <f aca="false">IFERROR(INDEX(Calc!$S$2:$S$1001,MATCH(ROW()-1,Calc!$X$2:$X$1001,0)),"")</f>
        <v/>
      </c>
    </row>
    <row r="339" customFormat="false" ht="15" hidden="false" customHeight="false" outlineLevel="0" collapsed="false">
      <c r="A339" s="0" t="str">
        <f aca="false">IFERROR(INDEX(Calc!$L$2:$L$1001,MATCH(ROW()-1,Calc!$X$2:$X$1001,0)),"")</f>
        <v/>
      </c>
      <c r="B339" s="0" t="str">
        <f aca="false">IFERROR(INDEX(Calc!$M$2:$M$1001,MATCH(ROW()-1,Calc!$X$2:$X$1001,0)),"")</f>
        <v/>
      </c>
      <c r="C339" s="0" t="str">
        <f aca="false">IFERROR(INDEX(Calc!$N$2:$N$1001,MATCH(ROW()-1,Calc!$X$2:$X$1001,0)),"")</f>
        <v/>
      </c>
      <c r="D339" s="3" t="str">
        <f aca="false">IFERROR(INDEX(Calc!$O$2:$O$1001,MATCH(ROW()-1,Calc!$X$2:$X$1001,0)),"")</f>
        <v/>
      </c>
      <c r="E339" s="3" t="str">
        <f aca="false">IFERROR(INDEX(Calc!$P$2:$P$1001,MATCH(ROW()-1,Calc!$X$2:$X$1001,0)),"")</f>
        <v/>
      </c>
      <c r="F339" s="3" t="str">
        <f aca="false">IF(G339="","",E339-D339)</f>
        <v/>
      </c>
      <c r="G339" s="0" t="str">
        <f aca="false">IFERROR(INDEX(Calc!$S$2:$S$1001,MATCH(ROW()-1,Calc!$X$2:$X$1001,0)),"")</f>
        <v/>
      </c>
    </row>
    <row r="340" customFormat="false" ht="15" hidden="false" customHeight="false" outlineLevel="0" collapsed="false">
      <c r="A340" s="0" t="str">
        <f aca="false">IFERROR(INDEX(Calc!$L$2:$L$1001,MATCH(ROW()-1,Calc!$X$2:$X$1001,0)),"")</f>
        <v/>
      </c>
      <c r="B340" s="0" t="str">
        <f aca="false">IFERROR(INDEX(Calc!$M$2:$M$1001,MATCH(ROW()-1,Calc!$X$2:$X$1001,0)),"")</f>
        <v/>
      </c>
      <c r="C340" s="0" t="str">
        <f aca="false">IFERROR(INDEX(Calc!$N$2:$N$1001,MATCH(ROW()-1,Calc!$X$2:$X$1001,0)),"")</f>
        <v/>
      </c>
      <c r="D340" s="3" t="str">
        <f aca="false">IFERROR(INDEX(Calc!$O$2:$O$1001,MATCH(ROW()-1,Calc!$X$2:$X$1001,0)),"")</f>
        <v/>
      </c>
      <c r="E340" s="3" t="str">
        <f aca="false">IFERROR(INDEX(Calc!$P$2:$P$1001,MATCH(ROW()-1,Calc!$X$2:$X$1001,0)),"")</f>
        <v/>
      </c>
      <c r="F340" s="3" t="str">
        <f aca="false">IF(G340="","",E340-D340)</f>
        <v/>
      </c>
      <c r="G340" s="0" t="str">
        <f aca="false">IFERROR(INDEX(Calc!$S$2:$S$1001,MATCH(ROW()-1,Calc!$X$2:$X$1001,0)),"")</f>
        <v/>
      </c>
    </row>
    <row r="341" customFormat="false" ht="15" hidden="false" customHeight="false" outlineLevel="0" collapsed="false">
      <c r="A341" s="0" t="str">
        <f aca="false">IFERROR(INDEX(Calc!$L$2:$L$1001,MATCH(ROW()-1,Calc!$X$2:$X$1001,0)),"")</f>
        <v/>
      </c>
      <c r="B341" s="0" t="str">
        <f aca="false">IFERROR(INDEX(Calc!$M$2:$M$1001,MATCH(ROW()-1,Calc!$X$2:$X$1001,0)),"")</f>
        <v/>
      </c>
      <c r="C341" s="0" t="str">
        <f aca="false">IFERROR(INDEX(Calc!$N$2:$N$1001,MATCH(ROW()-1,Calc!$X$2:$X$1001,0)),"")</f>
        <v/>
      </c>
      <c r="D341" s="3" t="str">
        <f aca="false">IFERROR(INDEX(Calc!$O$2:$O$1001,MATCH(ROW()-1,Calc!$X$2:$X$1001,0)),"")</f>
        <v/>
      </c>
      <c r="E341" s="3" t="str">
        <f aca="false">IFERROR(INDEX(Calc!$P$2:$P$1001,MATCH(ROW()-1,Calc!$X$2:$X$1001,0)),"")</f>
        <v/>
      </c>
      <c r="F341" s="3" t="str">
        <f aca="false">IF(G341="","",E341-D341)</f>
        <v/>
      </c>
      <c r="G341" s="0" t="str">
        <f aca="false">IFERROR(INDEX(Calc!$S$2:$S$1001,MATCH(ROW()-1,Calc!$X$2:$X$1001,0)),"")</f>
        <v/>
      </c>
    </row>
    <row r="342" customFormat="false" ht="15" hidden="false" customHeight="false" outlineLevel="0" collapsed="false">
      <c r="A342" s="0" t="str">
        <f aca="false">IFERROR(INDEX(Calc!$L$2:$L$1001,MATCH(ROW()-1,Calc!$X$2:$X$1001,0)),"")</f>
        <v/>
      </c>
      <c r="B342" s="0" t="str">
        <f aca="false">IFERROR(INDEX(Calc!$M$2:$M$1001,MATCH(ROW()-1,Calc!$X$2:$X$1001,0)),"")</f>
        <v/>
      </c>
      <c r="C342" s="0" t="str">
        <f aca="false">IFERROR(INDEX(Calc!$N$2:$N$1001,MATCH(ROW()-1,Calc!$X$2:$X$1001,0)),"")</f>
        <v/>
      </c>
      <c r="D342" s="3" t="str">
        <f aca="false">IFERROR(INDEX(Calc!$O$2:$O$1001,MATCH(ROW()-1,Calc!$X$2:$X$1001,0)),"")</f>
        <v/>
      </c>
      <c r="E342" s="3" t="str">
        <f aca="false">IFERROR(INDEX(Calc!$P$2:$P$1001,MATCH(ROW()-1,Calc!$X$2:$X$1001,0)),"")</f>
        <v/>
      </c>
      <c r="F342" s="3" t="str">
        <f aca="false">IF(G342="","",E342-D342)</f>
        <v/>
      </c>
      <c r="G342" s="0" t="str">
        <f aca="false">IFERROR(INDEX(Calc!$S$2:$S$1001,MATCH(ROW()-1,Calc!$X$2:$X$1001,0)),"")</f>
        <v/>
      </c>
    </row>
    <row r="343" customFormat="false" ht="15" hidden="false" customHeight="false" outlineLevel="0" collapsed="false">
      <c r="A343" s="0" t="str">
        <f aca="false">IFERROR(INDEX(Calc!$L$2:$L$1001,MATCH(ROW()-1,Calc!$X$2:$X$1001,0)),"")</f>
        <v/>
      </c>
      <c r="B343" s="0" t="str">
        <f aca="false">IFERROR(INDEX(Calc!$M$2:$M$1001,MATCH(ROW()-1,Calc!$X$2:$X$1001,0)),"")</f>
        <v/>
      </c>
      <c r="C343" s="0" t="str">
        <f aca="false">IFERROR(INDEX(Calc!$N$2:$N$1001,MATCH(ROW()-1,Calc!$X$2:$X$1001,0)),"")</f>
        <v/>
      </c>
      <c r="D343" s="3" t="str">
        <f aca="false">IFERROR(INDEX(Calc!$O$2:$O$1001,MATCH(ROW()-1,Calc!$X$2:$X$1001,0)),"")</f>
        <v/>
      </c>
      <c r="E343" s="3" t="str">
        <f aca="false">IFERROR(INDEX(Calc!$P$2:$P$1001,MATCH(ROW()-1,Calc!$X$2:$X$1001,0)),"")</f>
        <v/>
      </c>
      <c r="F343" s="3" t="str">
        <f aca="false">IF(G343="","",E343-D343)</f>
        <v/>
      </c>
      <c r="G343" s="0" t="str">
        <f aca="false">IFERROR(INDEX(Calc!$S$2:$S$1001,MATCH(ROW()-1,Calc!$X$2:$X$1001,0)),"")</f>
        <v/>
      </c>
    </row>
    <row r="344" customFormat="false" ht="15" hidden="false" customHeight="false" outlineLevel="0" collapsed="false">
      <c r="A344" s="0" t="str">
        <f aca="false">IFERROR(INDEX(Calc!$L$2:$L$1001,MATCH(ROW()-1,Calc!$X$2:$X$1001,0)),"")</f>
        <v/>
      </c>
      <c r="B344" s="0" t="str">
        <f aca="false">IFERROR(INDEX(Calc!$M$2:$M$1001,MATCH(ROW()-1,Calc!$X$2:$X$1001,0)),"")</f>
        <v/>
      </c>
      <c r="C344" s="0" t="str">
        <f aca="false">IFERROR(INDEX(Calc!$N$2:$N$1001,MATCH(ROW()-1,Calc!$X$2:$X$1001,0)),"")</f>
        <v/>
      </c>
      <c r="D344" s="3" t="str">
        <f aca="false">IFERROR(INDEX(Calc!$O$2:$O$1001,MATCH(ROW()-1,Calc!$X$2:$X$1001,0)),"")</f>
        <v/>
      </c>
      <c r="E344" s="3" t="str">
        <f aca="false">IFERROR(INDEX(Calc!$P$2:$P$1001,MATCH(ROW()-1,Calc!$X$2:$X$1001,0)),"")</f>
        <v/>
      </c>
      <c r="F344" s="3" t="str">
        <f aca="false">IF(G344="","",E344-D344)</f>
        <v/>
      </c>
      <c r="G344" s="0" t="str">
        <f aca="false">IFERROR(INDEX(Calc!$S$2:$S$1001,MATCH(ROW()-1,Calc!$X$2:$X$1001,0)),"")</f>
        <v/>
      </c>
    </row>
    <row r="345" customFormat="false" ht="15" hidden="false" customHeight="false" outlineLevel="0" collapsed="false">
      <c r="A345" s="0" t="str">
        <f aca="false">IFERROR(INDEX(Calc!$L$2:$L$1001,MATCH(ROW()-1,Calc!$X$2:$X$1001,0)),"")</f>
        <v/>
      </c>
      <c r="B345" s="0" t="str">
        <f aca="false">IFERROR(INDEX(Calc!$M$2:$M$1001,MATCH(ROW()-1,Calc!$X$2:$X$1001,0)),"")</f>
        <v/>
      </c>
      <c r="C345" s="0" t="str">
        <f aca="false">IFERROR(INDEX(Calc!$N$2:$N$1001,MATCH(ROW()-1,Calc!$X$2:$X$1001,0)),"")</f>
        <v/>
      </c>
      <c r="D345" s="3" t="str">
        <f aca="false">IFERROR(INDEX(Calc!$O$2:$O$1001,MATCH(ROW()-1,Calc!$X$2:$X$1001,0)),"")</f>
        <v/>
      </c>
      <c r="E345" s="3" t="str">
        <f aca="false">IFERROR(INDEX(Calc!$P$2:$P$1001,MATCH(ROW()-1,Calc!$X$2:$X$1001,0)),"")</f>
        <v/>
      </c>
      <c r="F345" s="3" t="str">
        <f aca="false">IF(G345="","",E345-D345)</f>
        <v/>
      </c>
      <c r="G345" s="0" t="str">
        <f aca="false">IFERROR(INDEX(Calc!$S$2:$S$1001,MATCH(ROW()-1,Calc!$X$2:$X$1001,0)),"")</f>
        <v/>
      </c>
    </row>
    <row r="346" customFormat="false" ht="15" hidden="false" customHeight="false" outlineLevel="0" collapsed="false">
      <c r="A346" s="0" t="str">
        <f aca="false">IFERROR(INDEX(Calc!$L$2:$L$1001,MATCH(ROW()-1,Calc!$X$2:$X$1001,0)),"")</f>
        <v/>
      </c>
      <c r="B346" s="0" t="str">
        <f aca="false">IFERROR(INDEX(Calc!$M$2:$M$1001,MATCH(ROW()-1,Calc!$X$2:$X$1001,0)),"")</f>
        <v/>
      </c>
      <c r="C346" s="0" t="str">
        <f aca="false">IFERROR(INDEX(Calc!$N$2:$N$1001,MATCH(ROW()-1,Calc!$X$2:$X$1001,0)),"")</f>
        <v/>
      </c>
      <c r="D346" s="3" t="str">
        <f aca="false">IFERROR(INDEX(Calc!$O$2:$O$1001,MATCH(ROW()-1,Calc!$X$2:$X$1001,0)),"")</f>
        <v/>
      </c>
      <c r="E346" s="3" t="str">
        <f aca="false">IFERROR(INDEX(Calc!$P$2:$P$1001,MATCH(ROW()-1,Calc!$X$2:$X$1001,0)),"")</f>
        <v/>
      </c>
      <c r="F346" s="3" t="str">
        <f aca="false">IF(G346="","",E346-D346)</f>
        <v/>
      </c>
      <c r="G346" s="0" t="str">
        <f aca="false">IFERROR(INDEX(Calc!$S$2:$S$1001,MATCH(ROW()-1,Calc!$X$2:$X$1001,0)),"")</f>
        <v/>
      </c>
    </row>
    <row r="347" customFormat="false" ht="15" hidden="false" customHeight="false" outlineLevel="0" collapsed="false">
      <c r="A347" s="0" t="str">
        <f aca="false">IFERROR(INDEX(Calc!$L$2:$L$1001,MATCH(ROW()-1,Calc!$X$2:$X$1001,0)),"")</f>
        <v/>
      </c>
      <c r="B347" s="0" t="str">
        <f aca="false">IFERROR(INDEX(Calc!$M$2:$M$1001,MATCH(ROW()-1,Calc!$X$2:$X$1001,0)),"")</f>
        <v/>
      </c>
      <c r="C347" s="0" t="str">
        <f aca="false">IFERROR(INDEX(Calc!$N$2:$N$1001,MATCH(ROW()-1,Calc!$X$2:$X$1001,0)),"")</f>
        <v/>
      </c>
      <c r="D347" s="3" t="str">
        <f aca="false">IFERROR(INDEX(Calc!$O$2:$O$1001,MATCH(ROW()-1,Calc!$X$2:$X$1001,0)),"")</f>
        <v/>
      </c>
      <c r="E347" s="3" t="str">
        <f aca="false">IFERROR(INDEX(Calc!$P$2:$P$1001,MATCH(ROW()-1,Calc!$X$2:$X$1001,0)),"")</f>
        <v/>
      </c>
      <c r="F347" s="3" t="str">
        <f aca="false">IF(G347="","",E347-D347)</f>
        <v/>
      </c>
      <c r="G347" s="0" t="str">
        <f aca="false">IFERROR(INDEX(Calc!$S$2:$S$1001,MATCH(ROW()-1,Calc!$X$2:$X$1001,0)),"")</f>
        <v/>
      </c>
    </row>
    <row r="348" customFormat="false" ht="15" hidden="false" customHeight="false" outlineLevel="0" collapsed="false">
      <c r="A348" s="0" t="str">
        <f aca="false">IFERROR(INDEX(Calc!$L$2:$L$1001,MATCH(ROW()-1,Calc!$X$2:$X$1001,0)),"")</f>
        <v/>
      </c>
      <c r="B348" s="0" t="str">
        <f aca="false">IFERROR(INDEX(Calc!$M$2:$M$1001,MATCH(ROW()-1,Calc!$X$2:$X$1001,0)),"")</f>
        <v/>
      </c>
      <c r="C348" s="0" t="str">
        <f aca="false">IFERROR(INDEX(Calc!$N$2:$N$1001,MATCH(ROW()-1,Calc!$X$2:$X$1001,0)),"")</f>
        <v/>
      </c>
      <c r="D348" s="3" t="str">
        <f aca="false">IFERROR(INDEX(Calc!$O$2:$O$1001,MATCH(ROW()-1,Calc!$X$2:$X$1001,0)),"")</f>
        <v/>
      </c>
      <c r="E348" s="3" t="str">
        <f aca="false">IFERROR(INDEX(Calc!$P$2:$P$1001,MATCH(ROW()-1,Calc!$X$2:$X$1001,0)),"")</f>
        <v/>
      </c>
      <c r="F348" s="3" t="str">
        <f aca="false">IF(G348="","",E348-D348)</f>
        <v/>
      </c>
      <c r="G348" s="0" t="str">
        <f aca="false">IFERROR(INDEX(Calc!$S$2:$S$1001,MATCH(ROW()-1,Calc!$X$2:$X$1001,0)),"")</f>
        <v/>
      </c>
    </row>
    <row r="349" customFormat="false" ht="15" hidden="false" customHeight="false" outlineLevel="0" collapsed="false">
      <c r="A349" s="0" t="str">
        <f aca="false">IFERROR(INDEX(Calc!$L$2:$L$1001,MATCH(ROW()-1,Calc!$X$2:$X$1001,0)),"")</f>
        <v/>
      </c>
      <c r="B349" s="0" t="str">
        <f aca="false">IFERROR(INDEX(Calc!$M$2:$M$1001,MATCH(ROW()-1,Calc!$X$2:$X$1001,0)),"")</f>
        <v/>
      </c>
      <c r="C349" s="0" t="str">
        <f aca="false">IFERROR(INDEX(Calc!$N$2:$N$1001,MATCH(ROW()-1,Calc!$X$2:$X$1001,0)),"")</f>
        <v/>
      </c>
      <c r="D349" s="3" t="str">
        <f aca="false">IFERROR(INDEX(Calc!$O$2:$O$1001,MATCH(ROW()-1,Calc!$X$2:$X$1001,0)),"")</f>
        <v/>
      </c>
      <c r="E349" s="3" t="str">
        <f aca="false">IFERROR(INDEX(Calc!$P$2:$P$1001,MATCH(ROW()-1,Calc!$X$2:$X$1001,0)),"")</f>
        <v/>
      </c>
      <c r="F349" s="3" t="str">
        <f aca="false">IF(G349="","",E349-D349)</f>
        <v/>
      </c>
      <c r="G349" s="0" t="str">
        <f aca="false">IFERROR(INDEX(Calc!$S$2:$S$1001,MATCH(ROW()-1,Calc!$X$2:$X$1001,0)),"")</f>
        <v/>
      </c>
    </row>
    <row r="350" customFormat="false" ht="15" hidden="false" customHeight="false" outlineLevel="0" collapsed="false">
      <c r="A350" s="0" t="str">
        <f aca="false">IFERROR(INDEX(Calc!$L$2:$L$1001,MATCH(ROW()-1,Calc!$X$2:$X$1001,0)),"")</f>
        <v/>
      </c>
      <c r="B350" s="0" t="str">
        <f aca="false">IFERROR(INDEX(Calc!$M$2:$M$1001,MATCH(ROW()-1,Calc!$X$2:$X$1001,0)),"")</f>
        <v/>
      </c>
      <c r="C350" s="0" t="str">
        <f aca="false">IFERROR(INDEX(Calc!$N$2:$N$1001,MATCH(ROW()-1,Calc!$X$2:$X$1001,0)),"")</f>
        <v/>
      </c>
      <c r="D350" s="3" t="str">
        <f aca="false">IFERROR(INDEX(Calc!$O$2:$O$1001,MATCH(ROW()-1,Calc!$X$2:$X$1001,0)),"")</f>
        <v/>
      </c>
      <c r="E350" s="3" t="str">
        <f aca="false">IFERROR(INDEX(Calc!$P$2:$P$1001,MATCH(ROW()-1,Calc!$X$2:$X$1001,0)),"")</f>
        <v/>
      </c>
      <c r="F350" s="3" t="str">
        <f aca="false">IF(G350="","",E350-D350)</f>
        <v/>
      </c>
      <c r="G350" s="0" t="str">
        <f aca="false">IFERROR(INDEX(Calc!$S$2:$S$1001,MATCH(ROW()-1,Calc!$X$2:$X$1001,0)),"")</f>
        <v/>
      </c>
    </row>
    <row r="351" customFormat="false" ht="15" hidden="false" customHeight="false" outlineLevel="0" collapsed="false">
      <c r="A351" s="0" t="str">
        <f aca="false">IFERROR(INDEX(Calc!$L$2:$L$1001,MATCH(ROW()-1,Calc!$X$2:$X$1001,0)),"")</f>
        <v/>
      </c>
      <c r="B351" s="0" t="str">
        <f aca="false">IFERROR(INDEX(Calc!$M$2:$M$1001,MATCH(ROW()-1,Calc!$X$2:$X$1001,0)),"")</f>
        <v/>
      </c>
      <c r="C351" s="0" t="str">
        <f aca="false">IFERROR(INDEX(Calc!$N$2:$N$1001,MATCH(ROW()-1,Calc!$X$2:$X$1001,0)),"")</f>
        <v/>
      </c>
      <c r="D351" s="3" t="str">
        <f aca="false">IFERROR(INDEX(Calc!$O$2:$O$1001,MATCH(ROW()-1,Calc!$X$2:$X$1001,0)),"")</f>
        <v/>
      </c>
      <c r="E351" s="3" t="str">
        <f aca="false">IFERROR(INDEX(Calc!$P$2:$P$1001,MATCH(ROW()-1,Calc!$X$2:$X$1001,0)),"")</f>
        <v/>
      </c>
      <c r="F351" s="3" t="str">
        <f aca="false">IF(G351="","",E351-D351)</f>
        <v/>
      </c>
      <c r="G351" s="0" t="str">
        <f aca="false">IFERROR(INDEX(Calc!$S$2:$S$1001,MATCH(ROW()-1,Calc!$X$2:$X$1001,0)),"")</f>
        <v/>
      </c>
    </row>
    <row r="352" customFormat="false" ht="15" hidden="false" customHeight="false" outlineLevel="0" collapsed="false">
      <c r="A352" s="0" t="str">
        <f aca="false">IFERROR(INDEX(Calc!$L$2:$L$1001,MATCH(ROW()-1,Calc!$X$2:$X$1001,0)),"")</f>
        <v/>
      </c>
      <c r="B352" s="0" t="str">
        <f aca="false">IFERROR(INDEX(Calc!$M$2:$M$1001,MATCH(ROW()-1,Calc!$X$2:$X$1001,0)),"")</f>
        <v/>
      </c>
      <c r="C352" s="0" t="str">
        <f aca="false">IFERROR(INDEX(Calc!$N$2:$N$1001,MATCH(ROW()-1,Calc!$X$2:$X$1001,0)),"")</f>
        <v/>
      </c>
      <c r="D352" s="3" t="str">
        <f aca="false">IFERROR(INDEX(Calc!$O$2:$O$1001,MATCH(ROW()-1,Calc!$X$2:$X$1001,0)),"")</f>
        <v/>
      </c>
      <c r="E352" s="3" t="str">
        <f aca="false">IFERROR(INDEX(Calc!$P$2:$P$1001,MATCH(ROW()-1,Calc!$X$2:$X$1001,0)),"")</f>
        <v/>
      </c>
      <c r="F352" s="3" t="str">
        <f aca="false">IF(G352="","",E352-D352)</f>
        <v/>
      </c>
      <c r="G352" s="0" t="str">
        <f aca="false">IFERROR(INDEX(Calc!$S$2:$S$1001,MATCH(ROW()-1,Calc!$X$2:$X$1001,0)),"")</f>
        <v/>
      </c>
    </row>
    <row r="353" customFormat="false" ht="15" hidden="false" customHeight="false" outlineLevel="0" collapsed="false">
      <c r="A353" s="0" t="str">
        <f aca="false">IFERROR(INDEX(Calc!$L$2:$L$1001,MATCH(ROW()-1,Calc!$X$2:$X$1001,0)),"")</f>
        <v/>
      </c>
      <c r="B353" s="0" t="str">
        <f aca="false">IFERROR(INDEX(Calc!$M$2:$M$1001,MATCH(ROW()-1,Calc!$X$2:$X$1001,0)),"")</f>
        <v/>
      </c>
      <c r="C353" s="0" t="str">
        <f aca="false">IFERROR(INDEX(Calc!$N$2:$N$1001,MATCH(ROW()-1,Calc!$X$2:$X$1001,0)),"")</f>
        <v/>
      </c>
      <c r="D353" s="3" t="str">
        <f aca="false">IFERROR(INDEX(Calc!$O$2:$O$1001,MATCH(ROW()-1,Calc!$X$2:$X$1001,0)),"")</f>
        <v/>
      </c>
      <c r="E353" s="3" t="str">
        <f aca="false">IFERROR(INDEX(Calc!$P$2:$P$1001,MATCH(ROW()-1,Calc!$X$2:$X$1001,0)),"")</f>
        <v/>
      </c>
      <c r="F353" s="3" t="str">
        <f aca="false">IF(G353="","",E353-D353)</f>
        <v/>
      </c>
      <c r="G353" s="0" t="str">
        <f aca="false">IFERROR(INDEX(Calc!$S$2:$S$1001,MATCH(ROW()-1,Calc!$X$2:$X$1001,0)),"")</f>
        <v/>
      </c>
    </row>
    <row r="354" customFormat="false" ht="15" hidden="false" customHeight="false" outlineLevel="0" collapsed="false">
      <c r="A354" s="0" t="str">
        <f aca="false">IFERROR(INDEX(Calc!$L$2:$L$1001,MATCH(ROW()-1,Calc!$X$2:$X$1001,0)),"")</f>
        <v/>
      </c>
      <c r="B354" s="0" t="str">
        <f aca="false">IFERROR(INDEX(Calc!$M$2:$M$1001,MATCH(ROW()-1,Calc!$X$2:$X$1001,0)),"")</f>
        <v/>
      </c>
      <c r="C354" s="0" t="str">
        <f aca="false">IFERROR(INDEX(Calc!$N$2:$N$1001,MATCH(ROW()-1,Calc!$X$2:$X$1001,0)),"")</f>
        <v/>
      </c>
      <c r="D354" s="3" t="str">
        <f aca="false">IFERROR(INDEX(Calc!$O$2:$O$1001,MATCH(ROW()-1,Calc!$X$2:$X$1001,0)),"")</f>
        <v/>
      </c>
      <c r="E354" s="3" t="str">
        <f aca="false">IFERROR(INDEX(Calc!$P$2:$P$1001,MATCH(ROW()-1,Calc!$X$2:$X$1001,0)),"")</f>
        <v/>
      </c>
      <c r="F354" s="3" t="str">
        <f aca="false">IF(G354="","",E354-D354)</f>
        <v/>
      </c>
      <c r="G354" s="0" t="str">
        <f aca="false">IFERROR(INDEX(Calc!$S$2:$S$1001,MATCH(ROW()-1,Calc!$X$2:$X$1001,0)),"")</f>
        <v/>
      </c>
    </row>
    <row r="355" customFormat="false" ht="15" hidden="false" customHeight="false" outlineLevel="0" collapsed="false">
      <c r="A355" s="0" t="str">
        <f aca="false">IFERROR(INDEX(Calc!$L$2:$L$1001,MATCH(ROW()-1,Calc!$X$2:$X$1001,0)),"")</f>
        <v/>
      </c>
      <c r="B355" s="0" t="str">
        <f aca="false">IFERROR(INDEX(Calc!$M$2:$M$1001,MATCH(ROW()-1,Calc!$X$2:$X$1001,0)),"")</f>
        <v/>
      </c>
      <c r="C355" s="0" t="str">
        <f aca="false">IFERROR(INDEX(Calc!$N$2:$N$1001,MATCH(ROW()-1,Calc!$X$2:$X$1001,0)),"")</f>
        <v/>
      </c>
      <c r="D355" s="3" t="str">
        <f aca="false">IFERROR(INDEX(Calc!$O$2:$O$1001,MATCH(ROW()-1,Calc!$X$2:$X$1001,0)),"")</f>
        <v/>
      </c>
      <c r="E355" s="3" t="str">
        <f aca="false">IFERROR(INDEX(Calc!$P$2:$P$1001,MATCH(ROW()-1,Calc!$X$2:$X$1001,0)),"")</f>
        <v/>
      </c>
      <c r="F355" s="3" t="str">
        <f aca="false">IF(G355="","",E355-D355)</f>
        <v/>
      </c>
      <c r="G355" s="0" t="str">
        <f aca="false">IFERROR(INDEX(Calc!$S$2:$S$1001,MATCH(ROW()-1,Calc!$X$2:$X$1001,0)),"")</f>
        <v/>
      </c>
    </row>
    <row r="356" customFormat="false" ht="15" hidden="false" customHeight="false" outlineLevel="0" collapsed="false">
      <c r="A356" s="0" t="str">
        <f aca="false">IFERROR(INDEX(Calc!$L$2:$L$1001,MATCH(ROW()-1,Calc!$X$2:$X$1001,0)),"")</f>
        <v/>
      </c>
      <c r="B356" s="0" t="str">
        <f aca="false">IFERROR(INDEX(Calc!$M$2:$M$1001,MATCH(ROW()-1,Calc!$X$2:$X$1001,0)),"")</f>
        <v/>
      </c>
      <c r="C356" s="0" t="str">
        <f aca="false">IFERROR(INDEX(Calc!$N$2:$N$1001,MATCH(ROW()-1,Calc!$X$2:$X$1001,0)),"")</f>
        <v/>
      </c>
      <c r="D356" s="3" t="str">
        <f aca="false">IFERROR(INDEX(Calc!$O$2:$O$1001,MATCH(ROW()-1,Calc!$X$2:$X$1001,0)),"")</f>
        <v/>
      </c>
      <c r="E356" s="3" t="str">
        <f aca="false">IFERROR(INDEX(Calc!$P$2:$P$1001,MATCH(ROW()-1,Calc!$X$2:$X$1001,0)),"")</f>
        <v/>
      </c>
      <c r="F356" s="3" t="str">
        <f aca="false">IF(G356="","",E356-D356)</f>
        <v/>
      </c>
      <c r="G356" s="0" t="str">
        <f aca="false">IFERROR(INDEX(Calc!$S$2:$S$1001,MATCH(ROW()-1,Calc!$X$2:$X$1001,0)),"")</f>
        <v/>
      </c>
    </row>
    <row r="357" customFormat="false" ht="15" hidden="false" customHeight="false" outlineLevel="0" collapsed="false">
      <c r="A357" s="0" t="str">
        <f aca="false">IFERROR(INDEX(Calc!$L$2:$L$1001,MATCH(ROW()-1,Calc!$X$2:$X$1001,0)),"")</f>
        <v/>
      </c>
      <c r="B357" s="0" t="str">
        <f aca="false">IFERROR(INDEX(Calc!$M$2:$M$1001,MATCH(ROW()-1,Calc!$X$2:$X$1001,0)),"")</f>
        <v/>
      </c>
      <c r="C357" s="0" t="str">
        <f aca="false">IFERROR(INDEX(Calc!$N$2:$N$1001,MATCH(ROW()-1,Calc!$X$2:$X$1001,0)),"")</f>
        <v/>
      </c>
      <c r="D357" s="3" t="str">
        <f aca="false">IFERROR(INDEX(Calc!$O$2:$O$1001,MATCH(ROW()-1,Calc!$X$2:$X$1001,0)),"")</f>
        <v/>
      </c>
      <c r="E357" s="3" t="str">
        <f aca="false">IFERROR(INDEX(Calc!$P$2:$P$1001,MATCH(ROW()-1,Calc!$X$2:$X$1001,0)),"")</f>
        <v/>
      </c>
      <c r="F357" s="3" t="str">
        <f aca="false">IF(G357="","",E357-D357)</f>
        <v/>
      </c>
      <c r="G357" s="0" t="str">
        <f aca="false">IFERROR(INDEX(Calc!$S$2:$S$1001,MATCH(ROW()-1,Calc!$X$2:$X$1001,0)),"")</f>
        <v/>
      </c>
    </row>
    <row r="358" customFormat="false" ht="15" hidden="false" customHeight="false" outlineLevel="0" collapsed="false">
      <c r="A358" s="0" t="str">
        <f aca="false">IFERROR(INDEX(Calc!$L$2:$L$1001,MATCH(ROW()-1,Calc!$X$2:$X$1001,0)),"")</f>
        <v/>
      </c>
      <c r="B358" s="0" t="str">
        <f aca="false">IFERROR(INDEX(Calc!$M$2:$M$1001,MATCH(ROW()-1,Calc!$X$2:$X$1001,0)),"")</f>
        <v/>
      </c>
      <c r="C358" s="0" t="str">
        <f aca="false">IFERROR(INDEX(Calc!$N$2:$N$1001,MATCH(ROW()-1,Calc!$X$2:$X$1001,0)),"")</f>
        <v/>
      </c>
      <c r="D358" s="3" t="str">
        <f aca="false">IFERROR(INDEX(Calc!$O$2:$O$1001,MATCH(ROW()-1,Calc!$X$2:$X$1001,0)),"")</f>
        <v/>
      </c>
      <c r="E358" s="3" t="str">
        <f aca="false">IFERROR(INDEX(Calc!$P$2:$P$1001,MATCH(ROW()-1,Calc!$X$2:$X$1001,0)),"")</f>
        <v/>
      </c>
      <c r="F358" s="3" t="str">
        <f aca="false">IF(G358="","",E358-D358)</f>
        <v/>
      </c>
      <c r="G358" s="0" t="str">
        <f aca="false">IFERROR(INDEX(Calc!$S$2:$S$1001,MATCH(ROW()-1,Calc!$X$2:$X$1001,0)),"")</f>
        <v/>
      </c>
    </row>
    <row r="359" customFormat="false" ht="15" hidden="false" customHeight="false" outlineLevel="0" collapsed="false">
      <c r="A359" s="0" t="str">
        <f aca="false">IFERROR(INDEX(Calc!$L$2:$L$1001,MATCH(ROW()-1,Calc!$X$2:$X$1001,0)),"")</f>
        <v/>
      </c>
      <c r="B359" s="0" t="str">
        <f aca="false">IFERROR(INDEX(Calc!$M$2:$M$1001,MATCH(ROW()-1,Calc!$X$2:$X$1001,0)),"")</f>
        <v/>
      </c>
      <c r="C359" s="0" t="str">
        <f aca="false">IFERROR(INDEX(Calc!$N$2:$N$1001,MATCH(ROW()-1,Calc!$X$2:$X$1001,0)),"")</f>
        <v/>
      </c>
      <c r="D359" s="3" t="str">
        <f aca="false">IFERROR(INDEX(Calc!$O$2:$O$1001,MATCH(ROW()-1,Calc!$X$2:$X$1001,0)),"")</f>
        <v/>
      </c>
      <c r="E359" s="3" t="str">
        <f aca="false">IFERROR(INDEX(Calc!$P$2:$P$1001,MATCH(ROW()-1,Calc!$X$2:$X$1001,0)),"")</f>
        <v/>
      </c>
      <c r="F359" s="3" t="str">
        <f aca="false">IF(G359="","",E359-D359)</f>
        <v/>
      </c>
      <c r="G359" s="0" t="str">
        <f aca="false">IFERROR(INDEX(Calc!$S$2:$S$1001,MATCH(ROW()-1,Calc!$X$2:$X$1001,0)),"")</f>
        <v/>
      </c>
    </row>
    <row r="360" customFormat="false" ht="15" hidden="false" customHeight="false" outlineLevel="0" collapsed="false">
      <c r="A360" s="0" t="str">
        <f aca="false">IFERROR(INDEX(Calc!$L$2:$L$1001,MATCH(ROW()-1,Calc!$X$2:$X$1001,0)),"")</f>
        <v/>
      </c>
      <c r="B360" s="0" t="str">
        <f aca="false">IFERROR(INDEX(Calc!$M$2:$M$1001,MATCH(ROW()-1,Calc!$X$2:$X$1001,0)),"")</f>
        <v/>
      </c>
      <c r="C360" s="0" t="str">
        <f aca="false">IFERROR(INDEX(Calc!$N$2:$N$1001,MATCH(ROW()-1,Calc!$X$2:$X$1001,0)),"")</f>
        <v/>
      </c>
      <c r="D360" s="3" t="str">
        <f aca="false">IFERROR(INDEX(Calc!$O$2:$O$1001,MATCH(ROW()-1,Calc!$X$2:$X$1001,0)),"")</f>
        <v/>
      </c>
      <c r="E360" s="3" t="str">
        <f aca="false">IFERROR(INDEX(Calc!$P$2:$P$1001,MATCH(ROW()-1,Calc!$X$2:$X$1001,0)),"")</f>
        <v/>
      </c>
      <c r="F360" s="3" t="str">
        <f aca="false">IF(G360="","",E360-D360)</f>
        <v/>
      </c>
      <c r="G360" s="0" t="str">
        <f aca="false">IFERROR(INDEX(Calc!$S$2:$S$1001,MATCH(ROW()-1,Calc!$X$2:$X$1001,0)),"")</f>
        <v/>
      </c>
    </row>
    <row r="361" customFormat="false" ht="15" hidden="false" customHeight="false" outlineLevel="0" collapsed="false">
      <c r="A361" s="0" t="str">
        <f aca="false">IFERROR(INDEX(Calc!$L$2:$L$1001,MATCH(ROW()-1,Calc!$X$2:$X$1001,0)),"")</f>
        <v/>
      </c>
      <c r="B361" s="0" t="str">
        <f aca="false">IFERROR(INDEX(Calc!$M$2:$M$1001,MATCH(ROW()-1,Calc!$X$2:$X$1001,0)),"")</f>
        <v/>
      </c>
      <c r="C361" s="0" t="str">
        <f aca="false">IFERROR(INDEX(Calc!$N$2:$N$1001,MATCH(ROW()-1,Calc!$X$2:$X$1001,0)),"")</f>
        <v/>
      </c>
      <c r="D361" s="3" t="str">
        <f aca="false">IFERROR(INDEX(Calc!$O$2:$O$1001,MATCH(ROW()-1,Calc!$X$2:$X$1001,0)),"")</f>
        <v/>
      </c>
      <c r="E361" s="3" t="str">
        <f aca="false">IFERROR(INDEX(Calc!$P$2:$P$1001,MATCH(ROW()-1,Calc!$X$2:$X$1001,0)),"")</f>
        <v/>
      </c>
      <c r="F361" s="3" t="str">
        <f aca="false">IF(G361="","",E361-D361)</f>
        <v/>
      </c>
      <c r="G361" s="0" t="str">
        <f aca="false">IFERROR(INDEX(Calc!$S$2:$S$1001,MATCH(ROW()-1,Calc!$X$2:$X$1001,0)),"")</f>
        <v/>
      </c>
    </row>
    <row r="362" customFormat="false" ht="15" hidden="false" customHeight="false" outlineLevel="0" collapsed="false">
      <c r="A362" s="0" t="str">
        <f aca="false">IFERROR(INDEX(Calc!$L$2:$L$1001,MATCH(ROW()-1,Calc!$X$2:$X$1001,0)),"")</f>
        <v/>
      </c>
      <c r="B362" s="0" t="str">
        <f aca="false">IFERROR(INDEX(Calc!$M$2:$M$1001,MATCH(ROW()-1,Calc!$X$2:$X$1001,0)),"")</f>
        <v/>
      </c>
      <c r="C362" s="0" t="str">
        <f aca="false">IFERROR(INDEX(Calc!$N$2:$N$1001,MATCH(ROW()-1,Calc!$X$2:$X$1001,0)),"")</f>
        <v/>
      </c>
      <c r="D362" s="3" t="str">
        <f aca="false">IFERROR(INDEX(Calc!$O$2:$O$1001,MATCH(ROW()-1,Calc!$X$2:$X$1001,0)),"")</f>
        <v/>
      </c>
      <c r="E362" s="3" t="str">
        <f aca="false">IFERROR(INDEX(Calc!$P$2:$P$1001,MATCH(ROW()-1,Calc!$X$2:$X$1001,0)),"")</f>
        <v/>
      </c>
      <c r="F362" s="3" t="str">
        <f aca="false">IF(G362="","",E362-D362)</f>
        <v/>
      </c>
      <c r="G362" s="0" t="str">
        <f aca="false">IFERROR(INDEX(Calc!$S$2:$S$1001,MATCH(ROW()-1,Calc!$X$2:$X$1001,0)),"")</f>
        <v/>
      </c>
    </row>
    <row r="363" customFormat="false" ht="15" hidden="false" customHeight="false" outlineLevel="0" collapsed="false">
      <c r="A363" s="0" t="str">
        <f aca="false">IFERROR(INDEX(Calc!$L$2:$L$1001,MATCH(ROW()-1,Calc!$X$2:$X$1001,0)),"")</f>
        <v/>
      </c>
      <c r="B363" s="0" t="str">
        <f aca="false">IFERROR(INDEX(Calc!$M$2:$M$1001,MATCH(ROW()-1,Calc!$X$2:$X$1001,0)),"")</f>
        <v/>
      </c>
      <c r="C363" s="0" t="str">
        <f aca="false">IFERROR(INDEX(Calc!$N$2:$N$1001,MATCH(ROW()-1,Calc!$X$2:$X$1001,0)),"")</f>
        <v/>
      </c>
      <c r="D363" s="3" t="str">
        <f aca="false">IFERROR(INDEX(Calc!$O$2:$O$1001,MATCH(ROW()-1,Calc!$X$2:$X$1001,0)),"")</f>
        <v/>
      </c>
      <c r="E363" s="3" t="str">
        <f aca="false">IFERROR(INDEX(Calc!$P$2:$P$1001,MATCH(ROW()-1,Calc!$X$2:$X$1001,0)),"")</f>
        <v/>
      </c>
      <c r="F363" s="3" t="str">
        <f aca="false">IF(G363="","",E363-D363)</f>
        <v/>
      </c>
      <c r="G363" s="0" t="str">
        <f aca="false">IFERROR(INDEX(Calc!$S$2:$S$1001,MATCH(ROW()-1,Calc!$X$2:$X$1001,0)),"")</f>
        <v/>
      </c>
    </row>
    <row r="364" customFormat="false" ht="15" hidden="false" customHeight="false" outlineLevel="0" collapsed="false">
      <c r="A364" s="0" t="str">
        <f aca="false">IFERROR(INDEX(Calc!$L$2:$L$1001,MATCH(ROW()-1,Calc!$X$2:$X$1001,0)),"")</f>
        <v/>
      </c>
      <c r="B364" s="0" t="str">
        <f aca="false">IFERROR(INDEX(Calc!$M$2:$M$1001,MATCH(ROW()-1,Calc!$X$2:$X$1001,0)),"")</f>
        <v/>
      </c>
      <c r="C364" s="0" t="str">
        <f aca="false">IFERROR(INDEX(Calc!$N$2:$N$1001,MATCH(ROW()-1,Calc!$X$2:$X$1001,0)),"")</f>
        <v/>
      </c>
      <c r="D364" s="3" t="str">
        <f aca="false">IFERROR(INDEX(Calc!$O$2:$O$1001,MATCH(ROW()-1,Calc!$X$2:$X$1001,0)),"")</f>
        <v/>
      </c>
      <c r="E364" s="3" t="str">
        <f aca="false">IFERROR(INDEX(Calc!$P$2:$P$1001,MATCH(ROW()-1,Calc!$X$2:$X$1001,0)),"")</f>
        <v/>
      </c>
      <c r="F364" s="3" t="str">
        <f aca="false">IF(G364="","",E364-D364)</f>
        <v/>
      </c>
      <c r="G364" s="0" t="str">
        <f aca="false">IFERROR(INDEX(Calc!$S$2:$S$1001,MATCH(ROW()-1,Calc!$X$2:$X$1001,0)),"")</f>
        <v/>
      </c>
    </row>
    <row r="365" customFormat="false" ht="15" hidden="false" customHeight="false" outlineLevel="0" collapsed="false">
      <c r="A365" s="0" t="str">
        <f aca="false">IFERROR(INDEX(Calc!$L$2:$L$1001,MATCH(ROW()-1,Calc!$X$2:$X$1001,0)),"")</f>
        <v/>
      </c>
      <c r="B365" s="0" t="str">
        <f aca="false">IFERROR(INDEX(Calc!$M$2:$M$1001,MATCH(ROW()-1,Calc!$X$2:$X$1001,0)),"")</f>
        <v/>
      </c>
      <c r="C365" s="0" t="str">
        <f aca="false">IFERROR(INDEX(Calc!$N$2:$N$1001,MATCH(ROW()-1,Calc!$X$2:$X$1001,0)),"")</f>
        <v/>
      </c>
      <c r="D365" s="3" t="str">
        <f aca="false">IFERROR(INDEX(Calc!$O$2:$O$1001,MATCH(ROW()-1,Calc!$X$2:$X$1001,0)),"")</f>
        <v/>
      </c>
      <c r="E365" s="3" t="str">
        <f aca="false">IFERROR(INDEX(Calc!$P$2:$P$1001,MATCH(ROW()-1,Calc!$X$2:$X$1001,0)),"")</f>
        <v/>
      </c>
      <c r="F365" s="3" t="str">
        <f aca="false">IF(G365="","",E365-D365)</f>
        <v/>
      </c>
      <c r="G365" s="0" t="str">
        <f aca="false">IFERROR(INDEX(Calc!$S$2:$S$1001,MATCH(ROW()-1,Calc!$X$2:$X$1001,0)),"")</f>
        <v/>
      </c>
    </row>
    <row r="366" customFormat="false" ht="15" hidden="false" customHeight="false" outlineLevel="0" collapsed="false">
      <c r="A366" s="0" t="str">
        <f aca="false">IFERROR(INDEX(Calc!$L$2:$L$1001,MATCH(ROW()-1,Calc!$X$2:$X$1001,0)),"")</f>
        <v/>
      </c>
      <c r="B366" s="0" t="str">
        <f aca="false">IFERROR(INDEX(Calc!$M$2:$M$1001,MATCH(ROW()-1,Calc!$X$2:$X$1001,0)),"")</f>
        <v/>
      </c>
      <c r="C366" s="0" t="str">
        <f aca="false">IFERROR(INDEX(Calc!$N$2:$N$1001,MATCH(ROW()-1,Calc!$X$2:$X$1001,0)),"")</f>
        <v/>
      </c>
      <c r="D366" s="3" t="str">
        <f aca="false">IFERROR(INDEX(Calc!$O$2:$O$1001,MATCH(ROW()-1,Calc!$X$2:$X$1001,0)),"")</f>
        <v/>
      </c>
      <c r="E366" s="3" t="str">
        <f aca="false">IFERROR(INDEX(Calc!$P$2:$P$1001,MATCH(ROW()-1,Calc!$X$2:$X$1001,0)),"")</f>
        <v/>
      </c>
      <c r="F366" s="3" t="str">
        <f aca="false">IF(G366="","",E366-D366)</f>
        <v/>
      </c>
      <c r="G366" s="0" t="str">
        <f aca="false">IFERROR(INDEX(Calc!$S$2:$S$1001,MATCH(ROW()-1,Calc!$X$2:$X$1001,0)),"")</f>
        <v/>
      </c>
    </row>
    <row r="367" customFormat="false" ht="15" hidden="false" customHeight="false" outlineLevel="0" collapsed="false">
      <c r="A367" s="0" t="str">
        <f aca="false">IFERROR(INDEX(Calc!$L$2:$L$1001,MATCH(ROW()-1,Calc!$X$2:$X$1001,0)),"")</f>
        <v/>
      </c>
      <c r="B367" s="0" t="str">
        <f aca="false">IFERROR(INDEX(Calc!$M$2:$M$1001,MATCH(ROW()-1,Calc!$X$2:$X$1001,0)),"")</f>
        <v/>
      </c>
      <c r="C367" s="0" t="str">
        <f aca="false">IFERROR(INDEX(Calc!$N$2:$N$1001,MATCH(ROW()-1,Calc!$X$2:$X$1001,0)),"")</f>
        <v/>
      </c>
      <c r="D367" s="3" t="str">
        <f aca="false">IFERROR(INDEX(Calc!$O$2:$O$1001,MATCH(ROW()-1,Calc!$X$2:$X$1001,0)),"")</f>
        <v/>
      </c>
      <c r="E367" s="3" t="str">
        <f aca="false">IFERROR(INDEX(Calc!$P$2:$P$1001,MATCH(ROW()-1,Calc!$X$2:$X$1001,0)),"")</f>
        <v/>
      </c>
      <c r="F367" s="3" t="str">
        <f aca="false">IF(G367="","",E367-D367)</f>
        <v/>
      </c>
      <c r="G367" s="0" t="str">
        <f aca="false">IFERROR(INDEX(Calc!$S$2:$S$1001,MATCH(ROW()-1,Calc!$X$2:$X$1001,0)),"")</f>
        <v/>
      </c>
    </row>
    <row r="368" customFormat="false" ht="15" hidden="false" customHeight="false" outlineLevel="0" collapsed="false">
      <c r="A368" s="0" t="str">
        <f aca="false">IFERROR(INDEX(Calc!$L$2:$L$1001,MATCH(ROW()-1,Calc!$X$2:$X$1001,0)),"")</f>
        <v/>
      </c>
      <c r="B368" s="0" t="str">
        <f aca="false">IFERROR(INDEX(Calc!$M$2:$M$1001,MATCH(ROW()-1,Calc!$X$2:$X$1001,0)),"")</f>
        <v/>
      </c>
      <c r="C368" s="0" t="str">
        <f aca="false">IFERROR(INDEX(Calc!$N$2:$N$1001,MATCH(ROW()-1,Calc!$X$2:$X$1001,0)),"")</f>
        <v/>
      </c>
      <c r="D368" s="3" t="str">
        <f aca="false">IFERROR(INDEX(Calc!$O$2:$O$1001,MATCH(ROW()-1,Calc!$X$2:$X$1001,0)),"")</f>
        <v/>
      </c>
      <c r="E368" s="3" t="str">
        <f aca="false">IFERROR(INDEX(Calc!$P$2:$P$1001,MATCH(ROW()-1,Calc!$X$2:$X$1001,0)),"")</f>
        <v/>
      </c>
      <c r="F368" s="3" t="str">
        <f aca="false">IF(G368="","",E368-D368)</f>
        <v/>
      </c>
      <c r="G368" s="0" t="str">
        <f aca="false">IFERROR(INDEX(Calc!$S$2:$S$1001,MATCH(ROW()-1,Calc!$X$2:$X$1001,0)),"")</f>
        <v/>
      </c>
    </row>
    <row r="369" customFormat="false" ht="15" hidden="false" customHeight="false" outlineLevel="0" collapsed="false">
      <c r="A369" s="0" t="str">
        <f aca="false">IFERROR(INDEX(Calc!$L$2:$L$1001,MATCH(ROW()-1,Calc!$X$2:$X$1001,0)),"")</f>
        <v/>
      </c>
      <c r="B369" s="0" t="str">
        <f aca="false">IFERROR(INDEX(Calc!$M$2:$M$1001,MATCH(ROW()-1,Calc!$X$2:$X$1001,0)),"")</f>
        <v/>
      </c>
      <c r="C369" s="0" t="str">
        <f aca="false">IFERROR(INDEX(Calc!$N$2:$N$1001,MATCH(ROW()-1,Calc!$X$2:$X$1001,0)),"")</f>
        <v/>
      </c>
      <c r="D369" s="3" t="str">
        <f aca="false">IFERROR(INDEX(Calc!$O$2:$O$1001,MATCH(ROW()-1,Calc!$X$2:$X$1001,0)),"")</f>
        <v/>
      </c>
      <c r="E369" s="3" t="str">
        <f aca="false">IFERROR(INDEX(Calc!$P$2:$P$1001,MATCH(ROW()-1,Calc!$X$2:$X$1001,0)),"")</f>
        <v/>
      </c>
      <c r="F369" s="3" t="str">
        <f aca="false">IF(G369="","",E369-D369)</f>
        <v/>
      </c>
      <c r="G369" s="0" t="str">
        <f aca="false">IFERROR(INDEX(Calc!$S$2:$S$1001,MATCH(ROW()-1,Calc!$X$2:$X$1001,0)),"")</f>
        <v/>
      </c>
    </row>
    <row r="370" customFormat="false" ht="15" hidden="false" customHeight="false" outlineLevel="0" collapsed="false">
      <c r="A370" s="0" t="str">
        <f aca="false">IFERROR(INDEX(Calc!$L$2:$L$1001,MATCH(ROW()-1,Calc!$X$2:$X$1001,0)),"")</f>
        <v/>
      </c>
      <c r="B370" s="0" t="str">
        <f aca="false">IFERROR(INDEX(Calc!$M$2:$M$1001,MATCH(ROW()-1,Calc!$X$2:$X$1001,0)),"")</f>
        <v/>
      </c>
      <c r="C370" s="0" t="str">
        <f aca="false">IFERROR(INDEX(Calc!$N$2:$N$1001,MATCH(ROW()-1,Calc!$X$2:$X$1001,0)),"")</f>
        <v/>
      </c>
      <c r="D370" s="3" t="str">
        <f aca="false">IFERROR(INDEX(Calc!$O$2:$O$1001,MATCH(ROW()-1,Calc!$X$2:$X$1001,0)),"")</f>
        <v/>
      </c>
      <c r="E370" s="3" t="str">
        <f aca="false">IFERROR(INDEX(Calc!$P$2:$P$1001,MATCH(ROW()-1,Calc!$X$2:$X$1001,0)),"")</f>
        <v/>
      </c>
      <c r="F370" s="3" t="str">
        <f aca="false">IF(G370="","",E370-D370)</f>
        <v/>
      </c>
      <c r="G370" s="0" t="str">
        <f aca="false">IFERROR(INDEX(Calc!$S$2:$S$1001,MATCH(ROW()-1,Calc!$X$2:$X$1001,0)),"")</f>
        <v/>
      </c>
    </row>
    <row r="371" customFormat="false" ht="15" hidden="false" customHeight="false" outlineLevel="0" collapsed="false">
      <c r="A371" s="0" t="str">
        <f aca="false">IFERROR(INDEX(Calc!$L$2:$L$1001,MATCH(ROW()-1,Calc!$X$2:$X$1001,0)),"")</f>
        <v/>
      </c>
      <c r="B371" s="0" t="str">
        <f aca="false">IFERROR(INDEX(Calc!$M$2:$M$1001,MATCH(ROW()-1,Calc!$X$2:$X$1001,0)),"")</f>
        <v/>
      </c>
      <c r="C371" s="0" t="str">
        <f aca="false">IFERROR(INDEX(Calc!$N$2:$N$1001,MATCH(ROW()-1,Calc!$X$2:$X$1001,0)),"")</f>
        <v/>
      </c>
      <c r="D371" s="3" t="str">
        <f aca="false">IFERROR(INDEX(Calc!$O$2:$O$1001,MATCH(ROW()-1,Calc!$X$2:$X$1001,0)),"")</f>
        <v/>
      </c>
      <c r="E371" s="3" t="str">
        <f aca="false">IFERROR(INDEX(Calc!$P$2:$P$1001,MATCH(ROW()-1,Calc!$X$2:$X$1001,0)),"")</f>
        <v/>
      </c>
      <c r="F371" s="3" t="str">
        <f aca="false">IF(G371="","",E371-D371)</f>
        <v/>
      </c>
      <c r="G371" s="0" t="str">
        <f aca="false">IFERROR(INDEX(Calc!$S$2:$S$1001,MATCH(ROW()-1,Calc!$X$2:$X$1001,0)),"")</f>
        <v/>
      </c>
    </row>
    <row r="372" customFormat="false" ht="15" hidden="false" customHeight="false" outlineLevel="0" collapsed="false">
      <c r="A372" s="0" t="str">
        <f aca="false">IFERROR(INDEX(Calc!$L$2:$L$1001,MATCH(ROW()-1,Calc!$X$2:$X$1001,0)),"")</f>
        <v/>
      </c>
      <c r="B372" s="0" t="str">
        <f aca="false">IFERROR(INDEX(Calc!$M$2:$M$1001,MATCH(ROW()-1,Calc!$X$2:$X$1001,0)),"")</f>
        <v/>
      </c>
      <c r="C372" s="0" t="str">
        <f aca="false">IFERROR(INDEX(Calc!$N$2:$N$1001,MATCH(ROW()-1,Calc!$X$2:$X$1001,0)),"")</f>
        <v/>
      </c>
      <c r="D372" s="3" t="str">
        <f aca="false">IFERROR(INDEX(Calc!$O$2:$O$1001,MATCH(ROW()-1,Calc!$X$2:$X$1001,0)),"")</f>
        <v/>
      </c>
      <c r="E372" s="3" t="str">
        <f aca="false">IFERROR(INDEX(Calc!$P$2:$P$1001,MATCH(ROW()-1,Calc!$X$2:$X$1001,0)),"")</f>
        <v/>
      </c>
      <c r="F372" s="3" t="str">
        <f aca="false">IF(G372="","",E372-D372)</f>
        <v/>
      </c>
      <c r="G372" s="0" t="str">
        <f aca="false">IFERROR(INDEX(Calc!$S$2:$S$1001,MATCH(ROW()-1,Calc!$X$2:$X$1001,0)),"")</f>
        <v/>
      </c>
    </row>
    <row r="373" customFormat="false" ht="15" hidden="false" customHeight="false" outlineLevel="0" collapsed="false">
      <c r="A373" s="0" t="str">
        <f aca="false">IFERROR(INDEX(Calc!$L$2:$L$1001,MATCH(ROW()-1,Calc!$X$2:$X$1001,0)),"")</f>
        <v/>
      </c>
      <c r="B373" s="0" t="str">
        <f aca="false">IFERROR(INDEX(Calc!$M$2:$M$1001,MATCH(ROW()-1,Calc!$X$2:$X$1001,0)),"")</f>
        <v/>
      </c>
      <c r="C373" s="0" t="str">
        <f aca="false">IFERROR(INDEX(Calc!$N$2:$N$1001,MATCH(ROW()-1,Calc!$X$2:$X$1001,0)),"")</f>
        <v/>
      </c>
      <c r="D373" s="3" t="str">
        <f aca="false">IFERROR(INDEX(Calc!$O$2:$O$1001,MATCH(ROW()-1,Calc!$X$2:$X$1001,0)),"")</f>
        <v/>
      </c>
      <c r="E373" s="3" t="str">
        <f aca="false">IFERROR(INDEX(Calc!$P$2:$P$1001,MATCH(ROW()-1,Calc!$X$2:$X$1001,0)),"")</f>
        <v/>
      </c>
      <c r="F373" s="3" t="str">
        <f aca="false">IF(G373="","",E373-D373)</f>
        <v/>
      </c>
      <c r="G373" s="0" t="str">
        <f aca="false">IFERROR(INDEX(Calc!$S$2:$S$1001,MATCH(ROW()-1,Calc!$X$2:$X$1001,0)),"")</f>
        <v/>
      </c>
    </row>
    <row r="374" customFormat="false" ht="15" hidden="false" customHeight="false" outlineLevel="0" collapsed="false">
      <c r="A374" s="0" t="str">
        <f aca="false">IFERROR(INDEX(Calc!$L$2:$L$1001,MATCH(ROW()-1,Calc!$X$2:$X$1001,0)),"")</f>
        <v/>
      </c>
      <c r="B374" s="0" t="str">
        <f aca="false">IFERROR(INDEX(Calc!$M$2:$M$1001,MATCH(ROW()-1,Calc!$X$2:$X$1001,0)),"")</f>
        <v/>
      </c>
      <c r="C374" s="0" t="str">
        <f aca="false">IFERROR(INDEX(Calc!$N$2:$N$1001,MATCH(ROW()-1,Calc!$X$2:$X$1001,0)),"")</f>
        <v/>
      </c>
      <c r="D374" s="3" t="str">
        <f aca="false">IFERROR(INDEX(Calc!$O$2:$O$1001,MATCH(ROW()-1,Calc!$X$2:$X$1001,0)),"")</f>
        <v/>
      </c>
      <c r="E374" s="3" t="str">
        <f aca="false">IFERROR(INDEX(Calc!$P$2:$P$1001,MATCH(ROW()-1,Calc!$X$2:$X$1001,0)),"")</f>
        <v/>
      </c>
      <c r="F374" s="3" t="str">
        <f aca="false">IF(G374="","",E374-D374)</f>
        <v/>
      </c>
      <c r="G374" s="0" t="str">
        <f aca="false">IFERROR(INDEX(Calc!$S$2:$S$1001,MATCH(ROW()-1,Calc!$X$2:$X$1001,0)),"")</f>
        <v/>
      </c>
    </row>
    <row r="375" customFormat="false" ht="15" hidden="false" customHeight="false" outlineLevel="0" collapsed="false">
      <c r="A375" s="0" t="str">
        <f aca="false">IFERROR(INDEX(Calc!$L$2:$L$1001,MATCH(ROW()-1,Calc!$X$2:$X$1001,0)),"")</f>
        <v/>
      </c>
      <c r="B375" s="0" t="str">
        <f aca="false">IFERROR(INDEX(Calc!$M$2:$M$1001,MATCH(ROW()-1,Calc!$X$2:$X$1001,0)),"")</f>
        <v/>
      </c>
      <c r="C375" s="0" t="str">
        <f aca="false">IFERROR(INDEX(Calc!$N$2:$N$1001,MATCH(ROW()-1,Calc!$X$2:$X$1001,0)),"")</f>
        <v/>
      </c>
      <c r="D375" s="3" t="str">
        <f aca="false">IFERROR(INDEX(Calc!$O$2:$O$1001,MATCH(ROW()-1,Calc!$X$2:$X$1001,0)),"")</f>
        <v/>
      </c>
      <c r="E375" s="3" t="str">
        <f aca="false">IFERROR(INDEX(Calc!$P$2:$P$1001,MATCH(ROW()-1,Calc!$X$2:$X$1001,0)),"")</f>
        <v/>
      </c>
      <c r="F375" s="3" t="str">
        <f aca="false">IF(G375="","",E375-D375)</f>
        <v/>
      </c>
      <c r="G375" s="0" t="str">
        <f aca="false">IFERROR(INDEX(Calc!$S$2:$S$1001,MATCH(ROW()-1,Calc!$X$2:$X$1001,0)),"")</f>
        <v/>
      </c>
    </row>
    <row r="376" customFormat="false" ht="15" hidden="false" customHeight="false" outlineLevel="0" collapsed="false">
      <c r="A376" s="0" t="str">
        <f aca="false">IFERROR(INDEX(Calc!$L$2:$L$1001,MATCH(ROW()-1,Calc!$X$2:$X$1001,0)),"")</f>
        <v/>
      </c>
      <c r="B376" s="0" t="str">
        <f aca="false">IFERROR(INDEX(Calc!$M$2:$M$1001,MATCH(ROW()-1,Calc!$X$2:$X$1001,0)),"")</f>
        <v/>
      </c>
      <c r="C376" s="0" t="str">
        <f aca="false">IFERROR(INDEX(Calc!$N$2:$N$1001,MATCH(ROW()-1,Calc!$X$2:$X$1001,0)),"")</f>
        <v/>
      </c>
      <c r="D376" s="3" t="str">
        <f aca="false">IFERROR(INDEX(Calc!$O$2:$O$1001,MATCH(ROW()-1,Calc!$X$2:$X$1001,0)),"")</f>
        <v/>
      </c>
      <c r="E376" s="3" t="str">
        <f aca="false">IFERROR(INDEX(Calc!$P$2:$P$1001,MATCH(ROW()-1,Calc!$X$2:$X$1001,0)),"")</f>
        <v/>
      </c>
      <c r="F376" s="3" t="str">
        <f aca="false">IF(G376="","",E376-D376)</f>
        <v/>
      </c>
      <c r="G376" s="0" t="str">
        <f aca="false">IFERROR(INDEX(Calc!$S$2:$S$1001,MATCH(ROW()-1,Calc!$X$2:$X$1001,0)),"")</f>
        <v/>
      </c>
    </row>
    <row r="377" customFormat="false" ht="15" hidden="false" customHeight="false" outlineLevel="0" collapsed="false">
      <c r="A377" s="0" t="str">
        <f aca="false">IFERROR(INDEX(Calc!$L$2:$L$1001,MATCH(ROW()-1,Calc!$X$2:$X$1001,0)),"")</f>
        <v/>
      </c>
      <c r="B377" s="0" t="str">
        <f aca="false">IFERROR(INDEX(Calc!$M$2:$M$1001,MATCH(ROW()-1,Calc!$X$2:$X$1001,0)),"")</f>
        <v/>
      </c>
      <c r="C377" s="0" t="str">
        <f aca="false">IFERROR(INDEX(Calc!$N$2:$N$1001,MATCH(ROW()-1,Calc!$X$2:$X$1001,0)),"")</f>
        <v/>
      </c>
      <c r="D377" s="3" t="str">
        <f aca="false">IFERROR(INDEX(Calc!$O$2:$O$1001,MATCH(ROW()-1,Calc!$X$2:$X$1001,0)),"")</f>
        <v/>
      </c>
      <c r="E377" s="3" t="str">
        <f aca="false">IFERROR(INDEX(Calc!$P$2:$P$1001,MATCH(ROW()-1,Calc!$X$2:$X$1001,0)),"")</f>
        <v/>
      </c>
      <c r="F377" s="3" t="str">
        <f aca="false">IF(G377="","",E377-D377)</f>
        <v/>
      </c>
      <c r="G377" s="0" t="str">
        <f aca="false">IFERROR(INDEX(Calc!$S$2:$S$1001,MATCH(ROW()-1,Calc!$X$2:$X$1001,0)),"")</f>
        <v/>
      </c>
    </row>
    <row r="378" customFormat="false" ht="15" hidden="false" customHeight="false" outlineLevel="0" collapsed="false">
      <c r="A378" s="0" t="str">
        <f aca="false">IFERROR(INDEX(Calc!$L$2:$L$1001,MATCH(ROW()-1,Calc!$X$2:$X$1001,0)),"")</f>
        <v/>
      </c>
      <c r="B378" s="0" t="str">
        <f aca="false">IFERROR(INDEX(Calc!$M$2:$M$1001,MATCH(ROW()-1,Calc!$X$2:$X$1001,0)),"")</f>
        <v/>
      </c>
      <c r="C378" s="0" t="str">
        <f aca="false">IFERROR(INDEX(Calc!$N$2:$N$1001,MATCH(ROW()-1,Calc!$X$2:$X$1001,0)),"")</f>
        <v/>
      </c>
      <c r="D378" s="3" t="str">
        <f aca="false">IFERROR(INDEX(Calc!$O$2:$O$1001,MATCH(ROW()-1,Calc!$X$2:$X$1001,0)),"")</f>
        <v/>
      </c>
      <c r="E378" s="3" t="str">
        <f aca="false">IFERROR(INDEX(Calc!$P$2:$P$1001,MATCH(ROW()-1,Calc!$X$2:$X$1001,0)),"")</f>
        <v/>
      </c>
      <c r="F378" s="3" t="str">
        <f aca="false">IF(G378="","",E378-D378)</f>
        <v/>
      </c>
      <c r="G378" s="0" t="str">
        <f aca="false">IFERROR(INDEX(Calc!$S$2:$S$1001,MATCH(ROW()-1,Calc!$X$2:$X$1001,0)),"")</f>
        <v/>
      </c>
    </row>
    <row r="379" customFormat="false" ht="15" hidden="false" customHeight="false" outlineLevel="0" collapsed="false">
      <c r="A379" s="0" t="str">
        <f aca="false">IFERROR(INDEX(Calc!$L$2:$L$1001,MATCH(ROW()-1,Calc!$X$2:$X$1001,0)),"")</f>
        <v/>
      </c>
      <c r="B379" s="0" t="str">
        <f aca="false">IFERROR(INDEX(Calc!$M$2:$M$1001,MATCH(ROW()-1,Calc!$X$2:$X$1001,0)),"")</f>
        <v/>
      </c>
      <c r="C379" s="0" t="str">
        <f aca="false">IFERROR(INDEX(Calc!$N$2:$N$1001,MATCH(ROW()-1,Calc!$X$2:$X$1001,0)),"")</f>
        <v/>
      </c>
      <c r="D379" s="3" t="str">
        <f aca="false">IFERROR(INDEX(Calc!$O$2:$O$1001,MATCH(ROW()-1,Calc!$X$2:$X$1001,0)),"")</f>
        <v/>
      </c>
      <c r="E379" s="3" t="str">
        <f aca="false">IFERROR(INDEX(Calc!$P$2:$P$1001,MATCH(ROW()-1,Calc!$X$2:$X$1001,0)),"")</f>
        <v/>
      </c>
      <c r="F379" s="3" t="str">
        <f aca="false">IF(G379="","",E379-D379)</f>
        <v/>
      </c>
      <c r="G379" s="0" t="str">
        <f aca="false">IFERROR(INDEX(Calc!$S$2:$S$1001,MATCH(ROW()-1,Calc!$X$2:$X$1001,0)),"")</f>
        <v/>
      </c>
    </row>
    <row r="380" customFormat="false" ht="15" hidden="false" customHeight="false" outlineLevel="0" collapsed="false">
      <c r="A380" s="0" t="str">
        <f aca="false">IFERROR(INDEX(Calc!$L$2:$L$1001,MATCH(ROW()-1,Calc!$X$2:$X$1001,0)),"")</f>
        <v/>
      </c>
      <c r="B380" s="0" t="str">
        <f aca="false">IFERROR(INDEX(Calc!$M$2:$M$1001,MATCH(ROW()-1,Calc!$X$2:$X$1001,0)),"")</f>
        <v/>
      </c>
      <c r="C380" s="0" t="str">
        <f aca="false">IFERROR(INDEX(Calc!$N$2:$N$1001,MATCH(ROW()-1,Calc!$X$2:$X$1001,0)),"")</f>
        <v/>
      </c>
      <c r="D380" s="3" t="str">
        <f aca="false">IFERROR(INDEX(Calc!$O$2:$O$1001,MATCH(ROW()-1,Calc!$X$2:$X$1001,0)),"")</f>
        <v/>
      </c>
      <c r="E380" s="3" t="str">
        <f aca="false">IFERROR(INDEX(Calc!$P$2:$P$1001,MATCH(ROW()-1,Calc!$X$2:$X$1001,0)),"")</f>
        <v/>
      </c>
      <c r="F380" s="3" t="str">
        <f aca="false">IF(G380="","",E380-D380)</f>
        <v/>
      </c>
      <c r="G380" s="0" t="str">
        <f aca="false">IFERROR(INDEX(Calc!$S$2:$S$1001,MATCH(ROW()-1,Calc!$X$2:$X$1001,0)),"")</f>
        <v/>
      </c>
    </row>
    <row r="381" customFormat="false" ht="15" hidden="false" customHeight="false" outlineLevel="0" collapsed="false">
      <c r="A381" s="0" t="str">
        <f aca="false">IFERROR(INDEX(Calc!$L$2:$L$1001,MATCH(ROW()-1,Calc!$X$2:$X$1001,0)),"")</f>
        <v/>
      </c>
      <c r="B381" s="0" t="str">
        <f aca="false">IFERROR(INDEX(Calc!$M$2:$M$1001,MATCH(ROW()-1,Calc!$X$2:$X$1001,0)),"")</f>
        <v/>
      </c>
      <c r="C381" s="0" t="str">
        <f aca="false">IFERROR(INDEX(Calc!$N$2:$N$1001,MATCH(ROW()-1,Calc!$X$2:$X$1001,0)),"")</f>
        <v/>
      </c>
      <c r="D381" s="3" t="str">
        <f aca="false">IFERROR(INDEX(Calc!$O$2:$O$1001,MATCH(ROW()-1,Calc!$X$2:$X$1001,0)),"")</f>
        <v/>
      </c>
      <c r="E381" s="3" t="str">
        <f aca="false">IFERROR(INDEX(Calc!$P$2:$P$1001,MATCH(ROW()-1,Calc!$X$2:$X$1001,0)),"")</f>
        <v/>
      </c>
      <c r="F381" s="3" t="str">
        <f aca="false">IF(G381="","",E381-D381)</f>
        <v/>
      </c>
      <c r="G381" s="0" t="str">
        <f aca="false">IFERROR(INDEX(Calc!$S$2:$S$1001,MATCH(ROW()-1,Calc!$X$2:$X$1001,0)),"")</f>
        <v/>
      </c>
    </row>
    <row r="382" customFormat="false" ht="15" hidden="false" customHeight="false" outlineLevel="0" collapsed="false">
      <c r="A382" s="0" t="str">
        <f aca="false">IFERROR(INDEX(Calc!$L$2:$L$1001,MATCH(ROW()-1,Calc!$X$2:$X$1001,0)),"")</f>
        <v/>
      </c>
      <c r="B382" s="0" t="str">
        <f aca="false">IFERROR(INDEX(Calc!$M$2:$M$1001,MATCH(ROW()-1,Calc!$X$2:$X$1001,0)),"")</f>
        <v/>
      </c>
      <c r="C382" s="0" t="str">
        <f aca="false">IFERROR(INDEX(Calc!$N$2:$N$1001,MATCH(ROW()-1,Calc!$X$2:$X$1001,0)),"")</f>
        <v/>
      </c>
      <c r="D382" s="3" t="str">
        <f aca="false">IFERROR(INDEX(Calc!$O$2:$O$1001,MATCH(ROW()-1,Calc!$X$2:$X$1001,0)),"")</f>
        <v/>
      </c>
      <c r="E382" s="3" t="str">
        <f aca="false">IFERROR(INDEX(Calc!$P$2:$P$1001,MATCH(ROW()-1,Calc!$X$2:$X$1001,0)),"")</f>
        <v/>
      </c>
      <c r="F382" s="3" t="str">
        <f aca="false">IF(G382="","",E382-D382)</f>
        <v/>
      </c>
      <c r="G382" s="0" t="str">
        <f aca="false">IFERROR(INDEX(Calc!$S$2:$S$1001,MATCH(ROW()-1,Calc!$X$2:$X$1001,0)),"")</f>
        <v/>
      </c>
    </row>
    <row r="383" customFormat="false" ht="15" hidden="false" customHeight="false" outlineLevel="0" collapsed="false">
      <c r="A383" s="0" t="str">
        <f aca="false">IFERROR(INDEX(Calc!$L$2:$L$1001,MATCH(ROW()-1,Calc!$X$2:$X$1001,0)),"")</f>
        <v/>
      </c>
      <c r="B383" s="0" t="str">
        <f aca="false">IFERROR(INDEX(Calc!$M$2:$M$1001,MATCH(ROW()-1,Calc!$X$2:$X$1001,0)),"")</f>
        <v/>
      </c>
      <c r="C383" s="0" t="str">
        <f aca="false">IFERROR(INDEX(Calc!$N$2:$N$1001,MATCH(ROW()-1,Calc!$X$2:$X$1001,0)),"")</f>
        <v/>
      </c>
      <c r="D383" s="3" t="str">
        <f aca="false">IFERROR(INDEX(Calc!$O$2:$O$1001,MATCH(ROW()-1,Calc!$X$2:$X$1001,0)),"")</f>
        <v/>
      </c>
      <c r="E383" s="3" t="str">
        <f aca="false">IFERROR(INDEX(Calc!$P$2:$P$1001,MATCH(ROW()-1,Calc!$X$2:$X$1001,0)),"")</f>
        <v/>
      </c>
      <c r="F383" s="3" t="str">
        <f aca="false">IF(G383="","",E383-D383)</f>
        <v/>
      </c>
      <c r="G383" s="0" t="str">
        <f aca="false">IFERROR(INDEX(Calc!$S$2:$S$1001,MATCH(ROW()-1,Calc!$X$2:$X$1001,0)),"")</f>
        <v/>
      </c>
    </row>
    <row r="384" customFormat="false" ht="15" hidden="false" customHeight="false" outlineLevel="0" collapsed="false">
      <c r="A384" s="0" t="str">
        <f aca="false">IFERROR(INDEX(Calc!$L$2:$L$1001,MATCH(ROW()-1,Calc!$X$2:$X$1001,0)),"")</f>
        <v/>
      </c>
      <c r="B384" s="0" t="str">
        <f aca="false">IFERROR(INDEX(Calc!$M$2:$M$1001,MATCH(ROW()-1,Calc!$X$2:$X$1001,0)),"")</f>
        <v/>
      </c>
      <c r="C384" s="0" t="str">
        <f aca="false">IFERROR(INDEX(Calc!$N$2:$N$1001,MATCH(ROW()-1,Calc!$X$2:$X$1001,0)),"")</f>
        <v/>
      </c>
      <c r="D384" s="3" t="str">
        <f aca="false">IFERROR(INDEX(Calc!$O$2:$O$1001,MATCH(ROW()-1,Calc!$X$2:$X$1001,0)),"")</f>
        <v/>
      </c>
      <c r="E384" s="3" t="str">
        <f aca="false">IFERROR(INDEX(Calc!$P$2:$P$1001,MATCH(ROW()-1,Calc!$X$2:$X$1001,0)),"")</f>
        <v/>
      </c>
      <c r="F384" s="3" t="str">
        <f aca="false">IF(G384="","",E384-D384)</f>
        <v/>
      </c>
      <c r="G384" s="0" t="str">
        <f aca="false">IFERROR(INDEX(Calc!$S$2:$S$1001,MATCH(ROW()-1,Calc!$X$2:$X$1001,0)),"")</f>
        <v/>
      </c>
    </row>
    <row r="385" customFormat="false" ht="15" hidden="false" customHeight="false" outlineLevel="0" collapsed="false">
      <c r="A385" s="0" t="str">
        <f aca="false">IFERROR(INDEX(Calc!$L$2:$L$1001,MATCH(ROW()-1,Calc!$X$2:$X$1001,0)),"")</f>
        <v/>
      </c>
      <c r="B385" s="0" t="str">
        <f aca="false">IFERROR(INDEX(Calc!$M$2:$M$1001,MATCH(ROW()-1,Calc!$X$2:$X$1001,0)),"")</f>
        <v/>
      </c>
      <c r="C385" s="0" t="str">
        <f aca="false">IFERROR(INDEX(Calc!$N$2:$N$1001,MATCH(ROW()-1,Calc!$X$2:$X$1001,0)),"")</f>
        <v/>
      </c>
      <c r="D385" s="3" t="str">
        <f aca="false">IFERROR(INDEX(Calc!$O$2:$O$1001,MATCH(ROW()-1,Calc!$X$2:$X$1001,0)),"")</f>
        <v/>
      </c>
      <c r="E385" s="3" t="str">
        <f aca="false">IFERROR(INDEX(Calc!$P$2:$P$1001,MATCH(ROW()-1,Calc!$X$2:$X$1001,0)),"")</f>
        <v/>
      </c>
      <c r="F385" s="3" t="str">
        <f aca="false">IF(G385="","",E385-D385)</f>
        <v/>
      </c>
      <c r="G385" s="0" t="str">
        <f aca="false">IFERROR(INDEX(Calc!$S$2:$S$1001,MATCH(ROW()-1,Calc!$X$2:$X$1001,0)),"")</f>
        <v/>
      </c>
    </row>
    <row r="386" customFormat="false" ht="15" hidden="false" customHeight="false" outlineLevel="0" collapsed="false">
      <c r="A386" s="0" t="str">
        <f aca="false">IFERROR(INDEX(Calc!$L$2:$L$1001,MATCH(ROW()-1,Calc!$X$2:$X$1001,0)),"")</f>
        <v/>
      </c>
      <c r="B386" s="0" t="str">
        <f aca="false">IFERROR(INDEX(Calc!$M$2:$M$1001,MATCH(ROW()-1,Calc!$X$2:$X$1001,0)),"")</f>
        <v/>
      </c>
      <c r="C386" s="0" t="str">
        <f aca="false">IFERROR(INDEX(Calc!$N$2:$N$1001,MATCH(ROW()-1,Calc!$X$2:$X$1001,0)),"")</f>
        <v/>
      </c>
      <c r="D386" s="3" t="str">
        <f aca="false">IFERROR(INDEX(Calc!$O$2:$O$1001,MATCH(ROW()-1,Calc!$X$2:$X$1001,0)),"")</f>
        <v/>
      </c>
      <c r="E386" s="3" t="str">
        <f aca="false">IFERROR(INDEX(Calc!$P$2:$P$1001,MATCH(ROW()-1,Calc!$X$2:$X$1001,0)),"")</f>
        <v/>
      </c>
      <c r="F386" s="3" t="str">
        <f aca="false">IF(G386="","",E386-D386)</f>
        <v/>
      </c>
      <c r="G386" s="0" t="str">
        <f aca="false">IFERROR(INDEX(Calc!$S$2:$S$1001,MATCH(ROW()-1,Calc!$X$2:$X$1001,0)),"")</f>
        <v/>
      </c>
    </row>
    <row r="387" customFormat="false" ht="15" hidden="false" customHeight="false" outlineLevel="0" collapsed="false">
      <c r="A387" s="0" t="str">
        <f aca="false">IFERROR(INDEX(Calc!$L$2:$L$1001,MATCH(ROW()-1,Calc!$X$2:$X$1001,0)),"")</f>
        <v/>
      </c>
      <c r="B387" s="0" t="str">
        <f aca="false">IFERROR(INDEX(Calc!$M$2:$M$1001,MATCH(ROW()-1,Calc!$X$2:$X$1001,0)),"")</f>
        <v/>
      </c>
      <c r="C387" s="0" t="str">
        <f aca="false">IFERROR(INDEX(Calc!$N$2:$N$1001,MATCH(ROW()-1,Calc!$X$2:$X$1001,0)),"")</f>
        <v/>
      </c>
      <c r="D387" s="3" t="str">
        <f aca="false">IFERROR(INDEX(Calc!$O$2:$O$1001,MATCH(ROW()-1,Calc!$X$2:$X$1001,0)),"")</f>
        <v/>
      </c>
      <c r="E387" s="3" t="str">
        <f aca="false">IFERROR(INDEX(Calc!$P$2:$P$1001,MATCH(ROW()-1,Calc!$X$2:$X$1001,0)),"")</f>
        <v/>
      </c>
      <c r="F387" s="3" t="str">
        <f aca="false">IF(G387="","",E387-D387)</f>
        <v/>
      </c>
      <c r="G387" s="0" t="str">
        <f aca="false">IFERROR(INDEX(Calc!$S$2:$S$1001,MATCH(ROW()-1,Calc!$X$2:$X$1001,0)),"")</f>
        <v/>
      </c>
    </row>
    <row r="388" customFormat="false" ht="15" hidden="false" customHeight="false" outlineLevel="0" collapsed="false">
      <c r="A388" s="0" t="str">
        <f aca="false">IFERROR(INDEX(Calc!$L$2:$L$1001,MATCH(ROW()-1,Calc!$X$2:$X$1001,0)),"")</f>
        <v/>
      </c>
      <c r="B388" s="0" t="str">
        <f aca="false">IFERROR(INDEX(Calc!$M$2:$M$1001,MATCH(ROW()-1,Calc!$X$2:$X$1001,0)),"")</f>
        <v/>
      </c>
      <c r="C388" s="0" t="str">
        <f aca="false">IFERROR(INDEX(Calc!$N$2:$N$1001,MATCH(ROW()-1,Calc!$X$2:$X$1001,0)),"")</f>
        <v/>
      </c>
      <c r="D388" s="3" t="str">
        <f aca="false">IFERROR(INDEX(Calc!$O$2:$O$1001,MATCH(ROW()-1,Calc!$X$2:$X$1001,0)),"")</f>
        <v/>
      </c>
      <c r="E388" s="3" t="str">
        <f aca="false">IFERROR(INDEX(Calc!$P$2:$P$1001,MATCH(ROW()-1,Calc!$X$2:$X$1001,0)),"")</f>
        <v/>
      </c>
      <c r="F388" s="3" t="str">
        <f aca="false">IF(G388="","",E388-D388)</f>
        <v/>
      </c>
      <c r="G388" s="0" t="str">
        <f aca="false">IFERROR(INDEX(Calc!$S$2:$S$1001,MATCH(ROW()-1,Calc!$X$2:$X$1001,0)),"")</f>
        <v/>
      </c>
    </row>
    <row r="389" customFormat="false" ht="15" hidden="false" customHeight="false" outlineLevel="0" collapsed="false">
      <c r="A389" s="0" t="str">
        <f aca="false">IFERROR(INDEX(Calc!$L$2:$L$1001,MATCH(ROW()-1,Calc!$X$2:$X$1001,0)),"")</f>
        <v/>
      </c>
      <c r="B389" s="0" t="str">
        <f aca="false">IFERROR(INDEX(Calc!$M$2:$M$1001,MATCH(ROW()-1,Calc!$X$2:$X$1001,0)),"")</f>
        <v/>
      </c>
      <c r="C389" s="0" t="str">
        <f aca="false">IFERROR(INDEX(Calc!$N$2:$N$1001,MATCH(ROW()-1,Calc!$X$2:$X$1001,0)),"")</f>
        <v/>
      </c>
      <c r="D389" s="3" t="str">
        <f aca="false">IFERROR(INDEX(Calc!$O$2:$O$1001,MATCH(ROW()-1,Calc!$X$2:$X$1001,0)),"")</f>
        <v/>
      </c>
      <c r="E389" s="3" t="str">
        <f aca="false">IFERROR(INDEX(Calc!$P$2:$P$1001,MATCH(ROW()-1,Calc!$X$2:$X$1001,0)),"")</f>
        <v/>
      </c>
      <c r="F389" s="3" t="str">
        <f aca="false">IF(G389="","",E389-D389)</f>
        <v/>
      </c>
      <c r="G389" s="0" t="str">
        <f aca="false">IFERROR(INDEX(Calc!$S$2:$S$1001,MATCH(ROW()-1,Calc!$X$2:$X$1001,0)),"")</f>
        <v/>
      </c>
    </row>
    <row r="390" customFormat="false" ht="15" hidden="false" customHeight="false" outlineLevel="0" collapsed="false">
      <c r="A390" s="0" t="str">
        <f aca="false">IFERROR(INDEX(Calc!$L$2:$L$1001,MATCH(ROW()-1,Calc!$X$2:$X$1001,0)),"")</f>
        <v/>
      </c>
      <c r="B390" s="0" t="str">
        <f aca="false">IFERROR(INDEX(Calc!$M$2:$M$1001,MATCH(ROW()-1,Calc!$X$2:$X$1001,0)),"")</f>
        <v/>
      </c>
      <c r="C390" s="0" t="str">
        <f aca="false">IFERROR(INDEX(Calc!$N$2:$N$1001,MATCH(ROW()-1,Calc!$X$2:$X$1001,0)),"")</f>
        <v/>
      </c>
      <c r="D390" s="3" t="str">
        <f aca="false">IFERROR(INDEX(Calc!$O$2:$O$1001,MATCH(ROW()-1,Calc!$X$2:$X$1001,0)),"")</f>
        <v/>
      </c>
      <c r="E390" s="3" t="str">
        <f aca="false">IFERROR(INDEX(Calc!$P$2:$P$1001,MATCH(ROW()-1,Calc!$X$2:$X$1001,0)),"")</f>
        <v/>
      </c>
      <c r="F390" s="3" t="str">
        <f aca="false">IF(G390="","",E390-D390)</f>
        <v/>
      </c>
      <c r="G390" s="0" t="str">
        <f aca="false">IFERROR(INDEX(Calc!$S$2:$S$1001,MATCH(ROW()-1,Calc!$X$2:$X$1001,0)),"")</f>
        <v/>
      </c>
    </row>
    <row r="391" customFormat="false" ht="15" hidden="false" customHeight="false" outlineLevel="0" collapsed="false">
      <c r="A391" s="0" t="str">
        <f aca="false">IFERROR(INDEX(Calc!$L$2:$L$1001,MATCH(ROW()-1,Calc!$X$2:$X$1001,0)),"")</f>
        <v/>
      </c>
      <c r="B391" s="0" t="str">
        <f aca="false">IFERROR(INDEX(Calc!$M$2:$M$1001,MATCH(ROW()-1,Calc!$X$2:$X$1001,0)),"")</f>
        <v/>
      </c>
      <c r="C391" s="0" t="str">
        <f aca="false">IFERROR(INDEX(Calc!$N$2:$N$1001,MATCH(ROW()-1,Calc!$X$2:$X$1001,0)),"")</f>
        <v/>
      </c>
      <c r="D391" s="3" t="str">
        <f aca="false">IFERROR(INDEX(Calc!$O$2:$O$1001,MATCH(ROW()-1,Calc!$X$2:$X$1001,0)),"")</f>
        <v/>
      </c>
      <c r="E391" s="3" t="str">
        <f aca="false">IFERROR(INDEX(Calc!$P$2:$P$1001,MATCH(ROW()-1,Calc!$X$2:$X$1001,0)),"")</f>
        <v/>
      </c>
      <c r="F391" s="3" t="str">
        <f aca="false">IF(G391="","",E391-D391)</f>
        <v/>
      </c>
      <c r="G391" s="0" t="str">
        <f aca="false">IFERROR(INDEX(Calc!$S$2:$S$1001,MATCH(ROW()-1,Calc!$X$2:$X$1001,0)),"")</f>
        <v/>
      </c>
    </row>
    <row r="392" customFormat="false" ht="15" hidden="false" customHeight="false" outlineLevel="0" collapsed="false">
      <c r="A392" s="0" t="str">
        <f aca="false">IFERROR(INDEX(Calc!$L$2:$L$1001,MATCH(ROW()-1,Calc!$X$2:$X$1001,0)),"")</f>
        <v/>
      </c>
      <c r="B392" s="0" t="str">
        <f aca="false">IFERROR(INDEX(Calc!$M$2:$M$1001,MATCH(ROW()-1,Calc!$X$2:$X$1001,0)),"")</f>
        <v/>
      </c>
      <c r="C392" s="0" t="str">
        <f aca="false">IFERROR(INDEX(Calc!$N$2:$N$1001,MATCH(ROW()-1,Calc!$X$2:$X$1001,0)),"")</f>
        <v/>
      </c>
      <c r="D392" s="3" t="str">
        <f aca="false">IFERROR(INDEX(Calc!$O$2:$O$1001,MATCH(ROW()-1,Calc!$X$2:$X$1001,0)),"")</f>
        <v/>
      </c>
      <c r="E392" s="3" t="str">
        <f aca="false">IFERROR(INDEX(Calc!$P$2:$P$1001,MATCH(ROW()-1,Calc!$X$2:$X$1001,0)),"")</f>
        <v/>
      </c>
      <c r="F392" s="3" t="str">
        <f aca="false">IF(G392="","",E392-D392)</f>
        <v/>
      </c>
      <c r="G392" s="0" t="str">
        <f aca="false">IFERROR(INDEX(Calc!$S$2:$S$1001,MATCH(ROW()-1,Calc!$X$2:$X$1001,0)),"")</f>
        <v/>
      </c>
    </row>
    <row r="393" customFormat="false" ht="15" hidden="false" customHeight="false" outlineLevel="0" collapsed="false">
      <c r="A393" s="0" t="str">
        <f aca="false">IFERROR(INDEX(Calc!$L$2:$L$1001,MATCH(ROW()-1,Calc!$X$2:$X$1001,0)),"")</f>
        <v/>
      </c>
      <c r="B393" s="0" t="str">
        <f aca="false">IFERROR(INDEX(Calc!$M$2:$M$1001,MATCH(ROW()-1,Calc!$X$2:$X$1001,0)),"")</f>
        <v/>
      </c>
      <c r="C393" s="0" t="str">
        <f aca="false">IFERROR(INDEX(Calc!$N$2:$N$1001,MATCH(ROW()-1,Calc!$X$2:$X$1001,0)),"")</f>
        <v/>
      </c>
      <c r="D393" s="3" t="str">
        <f aca="false">IFERROR(INDEX(Calc!$O$2:$O$1001,MATCH(ROW()-1,Calc!$X$2:$X$1001,0)),"")</f>
        <v/>
      </c>
      <c r="E393" s="3" t="str">
        <f aca="false">IFERROR(INDEX(Calc!$P$2:$P$1001,MATCH(ROW()-1,Calc!$X$2:$X$1001,0)),"")</f>
        <v/>
      </c>
      <c r="F393" s="3" t="str">
        <f aca="false">IF(G393="","",E393-D393)</f>
        <v/>
      </c>
      <c r="G393" s="0" t="str">
        <f aca="false">IFERROR(INDEX(Calc!$S$2:$S$1001,MATCH(ROW()-1,Calc!$X$2:$X$1001,0)),"")</f>
        <v/>
      </c>
    </row>
    <row r="394" customFormat="false" ht="15" hidden="false" customHeight="false" outlineLevel="0" collapsed="false">
      <c r="A394" s="0" t="str">
        <f aca="false">IFERROR(INDEX(Calc!$L$2:$L$1001,MATCH(ROW()-1,Calc!$X$2:$X$1001,0)),"")</f>
        <v/>
      </c>
      <c r="B394" s="0" t="str">
        <f aca="false">IFERROR(INDEX(Calc!$M$2:$M$1001,MATCH(ROW()-1,Calc!$X$2:$X$1001,0)),"")</f>
        <v/>
      </c>
      <c r="C394" s="0" t="str">
        <f aca="false">IFERROR(INDEX(Calc!$N$2:$N$1001,MATCH(ROW()-1,Calc!$X$2:$X$1001,0)),"")</f>
        <v/>
      </c>
      <c r="D394" s="3" t="str">
        <f aca="false">IFERROR(INDEX(Calc!$O$2:$O$1001,MATCH(ROW()-1,Calc!$X$2:$X$1001,0)),"")</f>
        <v/>
      </c>
      <c r="E394" s="3" t="str">
        <f aca="false">IFERROR(INDEX(Calc!$P$2:$P$1001,MATCH(ROW()-1,Calc!$X$2:$X$1001,0)),"")</f>
        <v/>
      </c>
      <c r="F394" s="3" t="str">
        <f aca="false">IF(G394="","",E394-D394)</f>
        <v/>
      </c>
      <c r="G394" s="0" t="str">
        <f aca="false">IFERROR(INDEX(Calc!$S$2:$S$1001,MATCH(ROW()-1,Calc!$X$2:$X$1001,0)),"")</f>
        <v/>
      </c>
    </row>
    <row r="395" customFormat="false" ht="15" hidden="false" customHeight="false" outlineLevel="0" collapsed="false">
      <c r="A395" s="0" t="str">
        <f aca="false">IFERROR(INDEX(Calc!$L$2:$L$1001,MATCH(ROW()-1,Calc!$X$2:$X$1001,0)),"")</f>
        <v/>
      </c>
      <c r="B395" s="0" t="str">
        <f aca="false">IFERROR(INDEX(Calc!$M$2:$M$1001,MATCH(ROW()-1,Calc!$X$2:$X$1001,0)),"")</f>
        <v/>
      </c>
      <c r="C395" s="0" t="str">
        <f aca="false">IFERROR(INDEX(Calc!$N$2:$N$1001,MATCH(ROW()-1,Calc!$X$2:$X$1001,0)),"")</f>
        <v/>
      </c>
      <c r="D395" s="3" t="str">
        <f aca="false">IFERROR(INDEX(Calc!$O$2:$O$1001,MATCH(ROW()-1,Calc!$X$2:$X$1001,0)),"")</f>
        <v/>
      </c>
      <c r="E395" s="3" t="str">
        <f aca="false">IFERROR(INDEX(Calc!$P$2:$P$1001,MATCH(ROW()-1,Calc!$X$2:$X$1001,0)),"")</f>
        <v/>
      </c>
      <c r="F395" s="3" t="str">
        <f aca="false">IF(G395="","",E395-D395)</f>
        <v/>
      </c>
      <c r="G395" s="0" t="str">
        <f aca="false">IFERROR(INDEX(Calc!$S$2:$S$1001,MATCH(ROW()-1,Calc!$X$2:$X$1001,0)),"")</f>
        <v/>
      </c>
    </row>
    <row r="396" customFormat="false" ht="15" hidden="false" customHeight="false" outlineLevel="0" collapsed="false">
      <c r="A396" s="0" t="str">
        <f aca="false">IFERROR(INDEX(Calc!$L$2:$L$1001,MATCH(ROW()-1,Calc!$X$2:$X$1001,0)),"")</f>
        <v/>
      </c>
      <c r="B396" s="0" t="str">
        <f aca="false">IFERROR(INDEX(Calc!$M$2:$M$1001,MATCH(ROW()-1,Calc!$X$2:$X$1001,0)),"")</f>
        <v/>
      </c>
      <c r="C396" s="0" t="str">
        <f aca="false">IFERROR(INDEX(Calc!$N$2:$N$1001,MATCH(ROW()-1,Calc!$X$2:$X$1001,0)),"")</f>
        <v/>
      </c>
      <c r="D396" s="3" t="str">
        <f aca="false">IFERROR(INDEX(Calc!$O$2:$O$1001,MATCH(ROW()-1,Calc!$X$2:$X$1001,0)),"")</f>
        <v/>
      </c>
      <c r="E396" s="3" t="str">
        <f aca="false">IFERROR(INDEX(Calc!$P$2:$P$1001,MATCH(ROW()-1,Calc!$X$2:$X$1001,0)),"")</f>
        <v/>
      </c>
      <c r="F396" s="3" t="str">
        <f aca="false">IF(G396="","",E396-D396)</f>
        <v/>
      </c>
      <c r="G396" s="0" t="str">
        <f aca="false">IFERROR(INDEX(Calc!$S$2:$S$1001,MATCH(ROW()-1,Calc!$X$2:$X$1001,0)),"")</f>
        <v/>
      </c>
    </row>
    <row r="397" customFormat="false" ht="15" hidden="false" customHeight="false" outlineLevel="0" collapsed="false">
      <c r="A397" s="0" t="str">
        <f aca="false">IFERROR(INDEX(Calc!$L$2:$L$1001,MATCH(ROW()-1,Calc!$X$2:$X$1001,0)),"")</f>
        <v/>
      </c>
      <c r="B397" s="0" t="str">
        <f aca="false">IFERROR(INDEX(Calc!$M$2:$M$1001,MATCH(ROW()-1,Calc!$X$2:$X$1001,0)),"")</f>
        <v/>
      </c>
      <c r="C397" s="0" t="str">
        <f aca="false">IFERROR(INDEX(Calc!$N$2:$N$1001,MATCH(ROW()-1,Calc!$X$2:$X$1001,0)),"")</f>
        <v/>
      </c>
      <c r="D397" s="3" t="str">
        <f aca="false">IFERROR(INDEX(Calc!$O$2:$O$1001,MATCH(ROW()-1,Calc!$X$2:$X$1001,0)),"")</f>
        <v/>
      </c>
      <c r="E397" s="3" t="str">
        <f aca="false">IFERROR(INDEX(Calc!$P$2:$P$1001,MATCH(ROW()-1,Calc!$X$2:$X$1001,0)),"")</f>
        <v/>
      </c>
      <c r="F397" s="3" t="str">
        <f aca="false">IF(G397="","",E397-D397)</f>
        <v/>
      </c>
      <c r="G397" s="0" t="str">
        <f aca="false">IFERROR(INDEX(Calc!$S$2:$S$1001,MATCH(ROW()-1,Calc!$X$2:$X$1001,0)),"")</f>
        <v/>
      </c>
    </row>
    <row r="398" customFormat="false" ht="15" hidden="false" customHeight="false" outlineLevel="0" collapsed="false">
      <c r="A398" s="0" t="str">
        <f aca="false">IFERROR(INDEX(Calc!$L$2:$L$1001,MATCH(ROW()-1,Calc!$X$2:$X$1001,0)),"")</f>
        <v/>
      </c>
      <c r="B398" s="0" t="str">
        <f aca="false">IFERROR(INDEX(Calc!$M$2:$M$1001,MATCH(ROW()-1,Calc!$X$2:$X$1001,0)),"")</f>
        <v/>
      </c>
      <c r="C398" s="0" t="str">
        <f aca="false">IFERROR(INDEX(Calc!$N$2:$N$1001,MATCH(ROW()-1,Calc!$X$2:$X$1001,0)),"")</f>
        <v/>
      </c>
      <c r="D398" s="3" t="str">
        <f aca="false">IFERROR(INDEX(Calc!$O$2:$O$1001,MATCH(ROW()-1,Calc!$X$2:$X$1001,0)),"")</f>
        <v/>
      </c>
      <c r="E398" s="3" t="str">
        <f aca="false">IFERROR(INDEX(Calc!$P$2:$P$1001,MATCH(ROW()-1,Calc!$X$2:$X$1001,0)),"")</f>
        <v/>
      </c>
      <c r="F398" s="3" t="str">
        <f aca="false">IF(G398="","",E398-D398)</f>
        <v/>
      </c>
      <c r="G398" s="0" t="str">
        <f aca="false">IFERROR(INDEX(Calc!$S$2:$S$1001,MATCH(ROW()-1,Calc!$X$2:$X$1001,0)),"")</f>
        <v/>
      </c>
    </row>
    <row r="399" customFormat="false" ht="15" hidden="false" customHeight="false" outlineLevel="0" collapsed="false">
      <c r="A399" s="0" t="str">
        <f aca="false">IFERROR(INDEX(Calc!$L$2:$L$1001,MATCH(ROW()-1,Calc!$X$2:$X$1001,0)),"")</f>
        <v/>
      </c>
      <c r="B399" s="0" t="str">
        <f aca="false">IFERROR(INDEX(Calc!$M$2:$M$1001,MATCH(ROW()-1,Calc!$X$2:$X$1001,0)),"")</f>
        <v/>
      </c>
      <c r="C399" s="0" t="str">
        <f aca="false">IFERROR(INDEX(Calc!$N$2:$N$1001,MATCH(ROW()-1,Calc!$X$2:$X$1001,0)),"")</f>
        <v/>
      </c>
      <c r="D399" s="3" t="str">
        <f aca="false">IFERROR(INDEX(Calc!$O$2:$O$1001,MATCH(ROW()-1,Calc!$X$2:$X$1001,0)),"")</f>
        <v/>
      </c>
      <c r="E399" s="3" t="str">
        <f aca="false">IFERROR(INDEX(Calc!$P$2:$P$1001,MATCH(ROW()-1,Calc!$X$2:$X$1001,0)),"")</f>
        <v/>
      </c>
      <c r="F399" s="3" t="str">
        <f aca="false">IF(G399="","",E399-D399)</f>
        <v/>
      </c>
      <c r="G399" s="0" t="str">
        <f aca="false">IFERROR(INDEX(Calc!$S$2:$S$1001,MATCH(ROW()-1,Calc!$X$2:$X$1001,0)),"")</f>
        <v/>
      </c>
    </row>
    <row r="400" customFormat="false" ht="15" hidden="false" customHeight="false" outlineLevel="0" collapsed="false">
      <c r="A400" s="0" t="str">
        <f aca="false">IFERROR(INDEX(Calc!$L$2:$L$1001,MATCH(ROW()-1,Calc!$X$2:$X$1001,0)),"")</f>
        <v/>
      </c>
      <c r="B400" s="0" t="str">
        <f aca="false">IFERROR(INDEX(Calc!$M$2:$M$1001,MATCH(ROW()-1,Calc!$X$2:$X$1001,0)),"")</f>
        <v/>
      </c>
      <c r="C400" s="0" t="str">
        <f aca="false">IFERROR(INDEX(Calc!$N$2:$N$1001,MATCH(ROW()-1,Calc!$X$2:$X$1001,0)),"")</f>
        <v/>
      </c>
      <c r="D400" s="3" t="str">
        <f aca="false">IFERROR(INDEX(Calc!$O$2:$O$1001,MATCH(ROW()-1,Calc!$X$2:$X$1001,0)),"")</f>
        <v/>
      </c>
      <c r="E400" s="3" t="str">
        <f aca="false">IFERROR(INDEX(Calc!$P$2:$P$1001,MATCH(ROW()-1,Calc!$X$2:$X$1001,0)),"")</f>
        <v/>
      </c>
      <c r="F400" s="3" t="str">
        <f aca="false">IF(G400="","",E400-D400)</f>
        <v/>
      </c>
      <c r="G400" s="0" t="str">
        <f aca="false">IFERROR(INDEX(Calc!$S$2:$S$1001,MATCH(ROW()-1,Calc!$X$2:$X$1001,0)),"")</f>
        <v/>
      </c>
    </row>
    <row r="401" customFormat="false" ht="15" hidden="false" customHeight="false" outlineLevel="0" collapsed="false">
      <c r="A401" s="0" t="str">
        <f aca="false">IFERROR(INDEX(Calc!$L$2:$L$1001,MATCH(ROW()-1,Calc!$X$2:$X$1001,0)),"")</f>
        <v/>
      </c>
      <c r="B401" s="0" t="str">
        <f aca="false">IFERROR(INDEX(Calc!$M$2:$M$1001,MATCH(ROW()-1,Calc!$X$2:$X$1001,0)),"")</f>
        <v/>
      </c>
      <c r="C401" s="0" t="str">
        <f aca="false">IFERROR(INDEX(Calc!$N$2:$N$1001,MATCH(ROW()-1,Calc!$X$2:$X$1001,0)),"")</f>
        <v/>
      </c>
      <c r="D401" s="3" t="str">
        <f aca="false">IFERROR(INDEX(Calc!$O$2:$O$1001,MATCH(ROW()-1,Calc!$X$2:$X$1001,0)),"")</f>
        <v/>
      </c>
      <c r="E401" s="3" t="str">
        <f aca="false">IFERROR(INDEX(Calc!$P$2:$P$1001,MATCH(ROW()-1,Calc!$X$2:$X$1001,0)),"")</f>
        <v/>
      </c>
      <c r="F401" s="3" t="str">
        <f aca="false">IF(G401="","",E401-D401)</f>
        <v/>
      </c>
      <c r="G401" s="0" t="str">
        <f aca="false">IFERROR(INDEX(Calc!$S$2:$S$1001,MATCH(ROW()-1,Calc!$X$2:$X$1001,0)),"")</f>
        <v/>
      </c>
    </row>
    <row r="402" customFormat="false" ht="15" hidden="false" customHeight="false" outlineLevel="0" collapsed="false">
      <c r="A402" s="0" t="str">
        <f aca="false">IFERROR(INDEX(Calc!$L$2:$L$1001,MATCH(ROW()-1,Calc!$X$2:$X$1001,0)),"")</f>
        <v/>
      </c>
      <c r="B402" s="0" t="str">
        <f aca="false">IFERROR(INDEX(Calc!$M$2:$M$1001,MATCH(ROW()-1,Calc!$X$2:$X$1001,0)),"")</f>
        <v/>
      </c>
      <c r="C402" s="0" t="str">
        <f aca="false">IFERROR(INDEX(Calc!$N$2:$N$1001,MATCH(ROW()-1,Calc!$X$2:$X$1001,0)),"")</f>
        <v/>
      </c>
      <c r="D402" s="3" t="str">
        <f aca="false">IFERROR(INDEX(Calc!$O$2:$O$1001,MATCH(ROW()-1,Calc!$X$2:$X$1001,0)),"")</f>
        <v/>
      </c>
      <c r="E402" s="3" t="str">
        <f aca="false">IFERROR(INDEX(Calc!$P$2:$P$1001,MATCH(ROW()-1,Calc!$X$2:$X$1001,0)),"")</f>
        <v/>
      </c>
      <c r="F402" s="3" t="str">
        <f aca="false">IF(G402="","",E402-D402)</f>
        <v/>
      </c>
      <c r="G402" s="0" t="str">
        <f aca="false">IFERROR(INDEX(Calc!$S$2:$S$1001,MATCH(ROW()-1,Calc!$X$2:$X$1001,0)),"")</f>
        <v/>
      </c>
    </row>
    <row r="403" customFormat="false" ht="15" hidden="false" customHeight="false" outlineLevel="0" collapsed="false">
      <c r="A403" s="0" t="str">
        <f aca="false">IFERROR(INDEX(Calc!$L$2:$L$1001,MATCH(ROW()-1,Calc!$X$2:$X$1001,0)),"")</f>
        <v/>
      </c>
      <c r="B403" s="0" t="str">
        <f aca="false">IFERROR(INDEX(Calc!$M$2:$M$1001,MATCH(ROW()-1,Calc!$X$2:$X$1001,0)),"")</f>
        <v/>
      </c>
      <c r="C403" s="0" t="str">
        <f aca="false">IFERROR(INDEX(Calc!$N$2:$N$1001,MATCH(ROW()-1,Calc!$X$2:$X$1001,0)),"")</f>
        <v/>
      </c>
      <c r="D403" s="3" t="str">
        <f aca="false">IFERROR(INDEX(Calc!$O$2:$O$1001,MATCH(ROW()-1,Calc!$X$2:$X$1001,0)),"")</f>
        <v/>
      </c>
      <c r="E403" s="3" t="str">
        <f aca="false">IFERROR(INDEX(Calc!$P$2:$P$1001,MATCH(ROW()-1,Calc!$X$2:$X$1001,0)),"")</f>
        <v/>
      </c>
      <c r="F403" s="3" t="str">
        <f aca="false">IF(G403="","",E403-D403)</f>
        <v/>
      </c>
      <c r="G403" s="0" t="str">
        <f aca="false">IFERROR(INDEX(Calc!$S$2:$S$1001,MATCH(ROW()-1,Calc!$X$2:$X$1001,0)),"")</f>
        <v/>
      </c>
    </row>
    <row r="404" customFormat="false" ht="15" hidden="false" customHeight="false" outlineLevel="0" collapsed="false">
      <c r="A404" s="0" t="str">
        <f aca="false">IFERROR(INDEX(Calc!$L$2:$L$1001,MATCH(ROW()-1,Calc!$X$2:$X$1001,0)),"")</f>
        <v/>
      </c>
      <c r="B404" s="0" t="str">
        <f aca="false">IFERROR(INDEX(Calc!$M$2:$M$1001,MATCH(ROW()-1,Calc!$X$2:$X$1001,0)),"")</f>
        <v/>
      </c>
      <c r="C404" s="0" t="str">
        <f aca="false">IFERROR(INDEX(Calc!$N$2:$N$1001,MATCH(ROW()-1,Calc!$X$2:$X$1001,0)),"")</f>
        <v/>
      </c>
      <c r="D404" s="3" t="str">
        <f aca="false">IFERROR(INDEX(Calc!$O$2:$O$1001,MATCH(ROW()-1,Calc!$X$2:$X$1001,0)),"")</f>
        <v/>
      </c>
      <c r="E404" s="3" t="str">
        <f aca="false">IFERROR(INDEX(Calc!$P$2:$P$1001,MATCH(ROW()-1,Calc!$X$2:$X$1001,0)),"")</f>
        <v/>
      </c>
      <c r="F404" s="3" t="str">
        <f aca="false">IF(G404="","",E404-D404)</f>
        <v/>
      </c>
      <c r="G404" s="0" t="str">
        <f aca="false">IFERROR(INDEX(Calc!$S$2:$S$1001,MATCH(ROW()-1,Calc!$X$2:$X$1001,0)),"")</f>
        <v/>
      </c>
    </row>
    <row r="405" customFormat="false" ht="15" hidden="false" customHeight="false" outlineLevel="0" collapsed="false">
      <c r="A405" s="0" t="str">
        <f aca="false">IFERROR(INDEX(Calc!$L$2:$L$1001,MATCH(ROW()-1,Calc!$X$2:$X$1001,0)),"")</f>
        <v/>
      </c>
      <c r="B405" s="0" t="str">
        <f aca="false">IFERROR(INDEX(Calc!$M$2:$M$1001,MATCH(ROW()-1,Calc!$X$2:$X$1001,0)),"")</f>
        <v/>
      </c>
      <c r="C405" s="0" t="str">
        <f aca="false">IFERROR(INDEX(Calc!$N$2:$N$1001,MATCH(ROW()-1,Calc!$X$2:$X$1001,0)),"")</f>
        <v/>
      </c>
      <c r="D405" s="3" t="str">
        <f aca="false">IFERROR(INDEX(Calc!$O$2:$O$1001,MATCH(ROW()-1,Calc!$X$2:$X$1001,0)),"")</f>
        <v/>
      </c>
      <c r="E405" s="3" t="str">
        <f aca="false">IFERROR(INDEX(Calc!$P$2:$P$1001,MATCH(ROW()-1,Calc!$X$2:$X$1001,0)),"")</f>
        <v/>
      </c>
      <c r="F405" s="3" t="str">
        <f aca="false">IF(G405="","",E405-D405)</f>
        <v/>
      </c>
      <c r="G405" s="0" t="str">
        <f aca="false">IFERROR(INDEX(Calc!$S$2:$S$1001,MATCH(ROW()-1,Calc!$X$2:$X$1001,0)),"")</f>
        <v/>
      </c>
    </row>
    <row r="406" customFormat="false" ht="15" hidden="false" customHeight="false" outlineLevel="0" collapsed="false">
      <c r="A406" s="0" t="str">
        <f aca="false">IFERROR(INDEX(Calc!$L$2:$L$1001,MATCH(ROW()-1,Calc!$X$2:$X$1001,0)),"")</f>
        <v/>
      </c>
      <c r="B406" s="0" t="str">
        <f aca="false">IFERROR(INDEX(Calc!$M$2:$M$1001,MATCH(ROW()-1,Calc!$X$2:$X$1001,0)),"")</f>
        <v/>
      </c>
      <c r="C406" s="0" t="str">
        <f aca="false">IFERROR(INDEX(Calc!$N$2:$N$1001,MATCH(ROW()-1,Calc!$X$2:$X$1001,0)),"")</f>
        <v/>
      </c>
      <c r="D406" s="3" t="str">
        <f aca="false">IFERROR(INDEX(Calc!$O$2:$O$1001,MATCH(ROW()-1,Calc!$X$2:$X$1001,0)),"")</f>
        <v/>
      </c>
      <c r="E406" s="3" t="str">
        <f aca="false">IFERROR(INDEX(Calc!$P$2:$P$1001,MATCH(ROW()-1,Calc!$X$2:$X$1001,0)),"")</f>
        <v/>
      </c>
      <c r="F406" s="3" t="str">
        <f aca="false">IF(G406="","",E406-D406)</f>
        <v/>
      </c>
      <c r="G406" s="0" t="str">
        <f aca="false">IFERROR(INDEX(Calc!$S$2:$S$1001,MATCH(ROW()-1,Calc!$X$2:$X$1001,0)),"")</f>
        <v/>
      </c>
    </row>
    <row r="407" customFormat="false" ht="15" hidden="false" customHeight="false" outlineLevel="0" collapsed="false">
      <c r="A407" s="0" t="str">
        <f aca="false">IFERROR(INDEX(Calc!$L$2:$L$1001,MATCH(ROW()-1,Calc!$X$2:$X$1001,0)),"")</f>
        <v/>
      </c>
      <c r="B407" s="0" t="str">
        <f aca="false">IFERROR(INDEX(Calc!$M$2:$M$1001,MATCH(ROW()-1,Calc!$X$2:$X$1001,0)),"")</f>
        <v/>
      </c>
      <c r="C407" s="0" t="str">
        <f aca="false">IFERROR(INDEX(Calc!$N$2:$N$1001,MATCH(ROW()-1,Calc!$X$2:$X$1001,0)),"")</f>
        <v/>
      </c>
      <c r="D407" s="3" t="str">
        <f aca="false">IFERROR(INDEX(Calc!$O$2:$O$1001,MATCH(ROW()-1,Calc!$X$2:$X$1001,0)),"")</f>
        <v/>
      </c>
      <c r="E407" s="3" t="str">
        <f aca="false">IFERROR(INDEX(Calc!$P$2:$P$1001,MATCH(ROW()-1,Calc!$X$2:$X$1001,0)),"")</f>
        <v/>
      </c>
      <c r="F407" s="3" t="str">
        <f aca="false">IF(G407="","",E407-D407)</f>
        <v/>
      </c>
      <c r="G407" s="0" t="str">
        <f aca="false">IFERROR(INDEX(Calc!$S$2:$S$1001,MATCH(ROW()-1,Calc!$X$2:$X$1001,0)),"")</f>
        <v/>
      </c>
    </row>
    <row r="408" customFormat="false" ht="15" hidden="false" customHeight="false" outlineLevel="0" collapsed="false">
      <c r="A408" s="0" t="str">
        <f aca="false">IFERROR(INDEX(Calc!$L$2:$L$1001,MATCH(ROW()-1,Calc!$X$2:$X$1001,0)),"")</f>
        <v/>
      </c>
      <c r="B408" s="0" t="str">
        <f aca="false">IFERROR(INDEX(Calc!$M$2:$M$1001,MATCH(ROW()-1,Calc!$X$2:$X$1001,0)),"")</f>
        <v/>
      </c>
      <c r="C408" s="0" t="str">
        <f aca="false">IFERROR(INDEX(Calc!$N$2:$N$1001,MATCH(ROW()-1,Calc!$X$2:$X$1001,0)),"")</f>
        <v/>
      </c>
      <c r="D408" s="3" t="str">
        <f aca="false">IFERROR(INDEX(Calc!$O$2:$O$1001,MATCH(ROW()-1,Calc!$X$2:$X$1001,0)),"")</f>
        <v/>
      </c>
      <c r="E408" s="3" t="str">
        <f aca="false">IFERROR(INDEX(Calc!$P$2:$P$1001,MATCH(ROW()-1,Calc!$X$2:$X$1001,0)),"")</f>
        <v/>
      </c>
      <c r="F408" s="3" t="str">
        <f aca="false">IF(G408="","",E408-D408)</f>
        <v/>
      </c>
      <c r="G408" s="0" t="str">
        <f aca="false">IFERROR(INDEX(Calc!$S$2:$S$1001,MATCH(ROW()-1,Calc!$X$2:$X$1001,0)),"")</f>
        <v/>
      </c>
    </row>
    <row r="409" customFormat="false" ht="15" hidden="false" customHeight="false" outlineLevel="0" collapsed="false">
      <c r="A409" s="0" t="str">
        <f aca="false">IFERROR(INDEX(Calc!$L$2:$L$1001,MATCH(ROW()-1,Calc!$X$2:$X$1001,0)),"")</f>
        <v/>
      </c>
      <c r="B409" s="0" t="str">
        <f aca="false">IFERROR(INDEX(Calc!$M$2:$M$1001,MATCH(ROW()-1,Calc!$X$2:$X$1001,0)),"")</f>
        <v/>
      </c>
      <c r="C409" s="0" t="str">
        <f aca="false">IFERROR(INDEX(Calc!$N$2:$N$1001,MATCH(ROW()-1,Calc!$X$2:$X$1001,0)),"")</f>
        <v/>
      </c>
      <c r="D409" s="3" t="str">
        <f aca="false">IFERROR(INDEX(Calc!$O$2:$O$1001,MATCH(ROW()-1,Calc!$X$2:$X$1001,0)),"")</f>
        <v/>
      </c>
      <c r="E409" s="3" t="str">
        <f aca="false">IFERROR(INDEX(Calc!$P$2:$P$1001,MATCH(ROW()-1,Calc!$X$2:$X$1001,0)),"")</f>
        <v/>
      </c>
      <c r="F409" s="3" t="str">
        <f aca="false">IF(G409="","",E409-D409)</f>
        <v/>
      </c>
      <c r="G409" s="0" t="str">
        <f aca="false">IFERROR(INDEX(Calc!$S$2:$S$1001,MATCH(ROW()-1,Calc!$X$2:$X$1001,0)),"")</f>
        <v/>
      </c>
    </row>
    <row r="410" customFormat="false" ht="15" hidden="false" customHeight="false" outlineLevel="0" collapsed="false">
      <c r="A410" s="0" t="str">
        <f aca="false">IFERROR(INDEX(Calc!$L$2:$L$1001,MATCH(ROW()-1,Calc!$X$2:$X$1001,0)),"")</f>
        <v/>
      </c>
      <c r="B410" s="0" t="str">
        <f aca="false">IFERROR(INDEX(Calc!$M$2:$M$1001,MATCH(ROW()-1,Calc!$X$2:$X$1001,0)),"")</f>
        <v/>
      </c>
      <c r="C410" s="0" t="str">
        <f aca="false">IFERROR(INDEX(Calc!$N$2:$N$1001,MATCH(ROW()-1,Calc!$X$2:$X$1001,0)),"")</f>
        <v/>
      </c>
      <c r="D410" s="3" t="str">
        <f aca="false">IFERROR(INDEX(Calc!$O$2:$O$1001,MATCH(ROW()-1,Calc!$X$2:$X$1001,0)),"")</f>
        <v/>
      </c>
      <c r="E410" s="3" t="str">
        <f aca="false">IFERROR(INDEX(Calc!$P$2:$P$1001,MATCH(ROW()-1,Calc!$X$2:$X$1001,0)),"")</f>
        <v/>
      </c>
      <c r="F410" s="3" t="str">
        <f aca="false">IF(G410="","",E410-D410)</f>
        <v/>
      </c>
      <c r="G410" s="0" t="str">
        <f aca="false">IFERROR(INDEX(Calc!$S$2:$S$1001,MATCH(ROW()-1,Calc!$X$2:$X$1001,0)),"")</f>
        <v/>
      </c>
    </row>
    <row r="411" customFormat="false" ht="15" hidden="false" customHeight="false" outlineLevel="0" collapsed="false">
      <c r="A411" s="0" t="str">
        <f aca="false">IFERROR(INDEX(Calc!$L$2:$L$1001,MATCH(ROW()-1,Calc!$X$2:$X$1001,0)),"")</f>
        <v/>
      </c>
      <c r="B411" s="0" t="str">
        <f aca="false">IFERROR(INDEX(Calc!$M$2:$M$1001,MATCH(ROW()-1,Calc!$X$2:$X$1001,0)),"")</f>
        <v/>
      </c>
      <c r="C411" s="0" t="str">
        <f aca="false">IFERROR(INDEX(Calc!$N$2:$N$1001,MATCH(ROW()-1,Calc!$X$2:$X$1001,0)),"")</f>
        <v/>
      </c>
      <c r="D411" s="3" t="str">
        <f aca="false">IFERROR(INDEX(Calc!$O$2:$O$1001,MATCH(ROW()-1,Calc!$X$2:$X$1001,0)),"")</f>
        <v/>
      </c>
      <c r="E411" s="3" t="str">
        <f aca="false">IFERROR(INDEX(Calc!$P$2:$P$1001,MATCH(ROW()-1,Calc!$X$2:$X$1001,0)),"")</f>
        <v/>
      </c>
      <c r="F411" s="3" t="str">
        <f aca="false">IF(G411="","",E411-D411)</f>
        <v/>
      </c>
      <c r="G411" s="0" t="str">
        <f aca="false">IFERROR(INDEX(Calc!$S$2:$S$1001,MATCH(ROW()-1,Calc!$X$2:$X$1001,0)),"")</f>
        <v/>
      </c>
    </row>
    <row r="412" customFormat="false" ht="15" hidden="false" customHeight="false" outlineLevel="0" collapsed="false">
      <c r="A412" s="0" t="str">
        <f aca="false">IFERROR(INDEX(Calc!$L$2:$L$1001,MATCH(ROW()-1,Calc!$X$2:$X$1001,0)),"")</f>
        <v/>
      </c>
      <c r="B412" s="0" t="str">
        <f aca="false">IFERROR(INDEX(Calc!$M$2:$M$1001,MATCH(ROW()-1,Calc!$X$2:$X$1001,0)),"")</f>
        <v/>
      </c>
      <c r="C412" s="0" t="str">
        <f aca="false">IFERROR(INDEX(Calc!$N$2:$N$1001,MATCH(ROW()-1,Calc!$X$2:$X$1001,0)),"")</f>
        <v/>
      </c>
      <c r="D412" s="3" t="str">
        <f aca="false">IFERROR(INDEX(Calc!$O$2:$O$1001,MATCH(ROW()-1,Calc!$X$2:$X$1001,0)),"")</f>
        <v/>
      </c>
      <c r="E412" s="3" t="str">
        <f aca="false">IFERROR(INDEX(Calc!$P$2:$P$1001,MATCH(ROW()-1,Calc!$X$2:$X$1001,0)),"")</f>
        <v/>
      </c>
      <c r="F412" s="3" t="str">
        <f aca="false">IF(G412="","",E412-D412)</f>
        <v/>
      </c>
      <c r="G412" s="0" t="str">
        <f aca="false">IFERROR(INDEX(Calc!$S$2:$S$1001,MATCH(ROW()-1,Calc!$X$2:$X$1001,0)),"")</f>
        <v/>
      </c>
    </row>
    <row r="413" customFormat="false" ht="15" hidden="false" customHeight="false" outlineLevel="0" collapsed="false">
      <c r="A413" s="0" t="str">
        <f aca="false">IFERROR(INDEX(Calc!$L$2:$L$1001,MATCH(ROW()-1,Calc!$X$2:$X$1001,0)),"")</f>
        <v/>
      </c>
      <c r="B413" s="0" t="str">
        <f aca="false">IFERROR(INDEX(Calc!$M$2:$M$1001,MATCH(ROW()-1,Calc!$X$2:$X$1001,0)),"")</f>
        <v/>
      </c>
      <c r="C413" s="0" t="str">
        <f aca="false">IFERROR(INDEX(Calc!$N$2:$N$1001,MATCH(ROW()-1,Calc!$X$2:$X$1001,0)),"")</f>
        <v/>
      </c>
      <c r="D413" s="3" t="str">
        <f aca="false">IFERROR(INDEX(Calc!$O$2:$O$1001,MATCH(ROW()-1,Calc!$X$2:$X$1001,0)),"")</f>
        <v/>
      </c>
      <c r="E413" s="3" t="str">
        <f aca="false">IFERROR(INDEX(Calc!$P$2:$P$1001,MATCH(ROW()-1,Calc!$X$2:$X$1001,0)),"")</f>
        <v/>
      </c>
      <c r="F413" s="3" t="str">
        <f aca="false">IF(G413="","",E413-D413)</f>
        <v/>
      </c>
      <c r="G413" s="0" t="str">
        <f aca="false">IFERROR(INDEX(Calc!$S$2:$S$1001,MATCH(ROW()-1,Calc!$X$2:$X$1001,0)),"")</f>
        <v/>
      </c>
    </row>
    <row r="414" customFormat="false" ht="15" hidden="false" customHeight="false" outlineLevel="0" collapsed="false">
      <c r="A414" s="0" t="str">
        <f aca="false">IFERROR(INDEX(Calc!$L$2:$L$1001,MATCH(ROW()-1,Calc!$X$2:$X$1001,0)),"")</f>
        <v/>
      </c>
      <c r="B414" s="0" t="str">
        <f aca="false">IFERROR(INDEX(Calc!$M$2:$M$1001,MATCH(ROW()-1,Calc!$X$2:$X$1001,0)),"")</f>
        <v/>
      </c>
      <c r="C414" s="0" t="str">
        <f aca="false">IFERROR(INDEX(Calc!$N$2:$N$1001,MATCH(ROW()-1,Calc!$X$2:$X$1001,0)),"")</f>
        <v/>
      </c>
      <c r="D414" s="3" t="str">
        <f aca="false">IFERROR(INDEX(Calc!$O$2:$O$1001,MATCH(ROW()-1,Calc!$X$2:$X$1001,0)),"")</f>
        <v/>
      </c>
      <c r="E414" s="3" t="str">
        <f aca="false">IFERROR(INDEX(Calc!$P$2:$P$1001,MATCH(ROW()-1,Calc!$X$2:$X$1001,0)),"")</f>
        <v/>
      </c>
      <c r="F414" s="3" t="str">
        <f aca="false">IF(G414="","",E414-D414)</f>
        <v/>
      </c>
      <c r="G414" s="0" t="str">
        <f aca="false">IFERROR(INDEX(Calc!$S$2:$S$1001,MATCH(ROW()-1,Calc!$X$2:$X$1001,0)),"")</f>
        <v/>
      </c>
    </row>
    <row r="415" customFormat="false" ht="15" hidden="false" customHeight="false" outlineLevel="0" collapsed="false">
      <c r="A415" s="0" t="str">
        <f aca="false">IFERROR(INDEX(Calc!$L$2:$L$1001,MATCH(ROW()-1,Calc!$X$2:$X$1001,0)),"")</f>
        <v/>
      </c>
      <c r="B415" s="0" t="str">
        <f aca="false">IFERROR(INDEX(Calc!$M$2:$M$1001,MATCH(ROW()-1,Calc!$X$2:$X$1001,0)),"")</f>
        <v/>
      </c>
      <c r="C415" s="0" t="str">
        <f aca="false">IFERROR(INDEX(Calc!$N$2:$N$1001,MATCH(ROW()-1,Calc!$X$2:$X$1001,0)),"")</f>
        <v/>
      </c>
      <c r="D415" s="3" t="str">
        <f aca="false">IFERROR(INDEX(Calc!$O$2:$O$1001,MATCH(ROW()-1,Calc!$X$2:$X$1001,0)),"")</f>
        <v/>
      </c>
      <c r="E415" s="3" t="str">
        <f aca="false">IFERROR(INDEX(Calc!$P$2:$P$1001,MATCH(ROW()-1,Calc!$X$2:$X$1001,0)),"")</f>
        <v/>
      </c>
      <c r="F415" s="3" t="str">
        <f aca="false">IF(G415="","",E415-D415)</f>
        <v/>
      </c>
      <c r="G415" s="0" t="str">
        <f aca="false">IFERROR(INDEX(Calc!$S$2:$S$1001,MATCH(ROW()-1,Calc!$X$2:$X$1001,0)),"")</f>
        <v/>
      </c>
    </row>
    <row r="416" customFormat="false" ht="15" hidden="false" customHeight="false" outlineLevel="0" collapsed="false">
      <c r="A416" s="0" t="str">
        <f aca="false">IFERROR(INDEX(Calc!$L$2:$L$1001,MATCH(ROW()-1,Calc!$X$2:$X$1001,0)),"")</f>
        <v/>
      </c>
      <c r="B416" s="0" t="str">
        <f aca="false">IFERROR(INDEX(Calc!$M$2:$M$1001,MATCH(ROW()-1,Calc!$X$2:$X$1001,0)),"")</f>
        <v/>
      </c>
      <c r="C416" s="0" t="str">
        <f aca="false">IFERROR(INDEX(Calc!$N$2:$N$1001,MATCH(ROW()-1,Calc!$X$2:$X$1001,0)),"")</f>
        <v/>
      </c>
      <c r="D416" s="3" t="str">
        <f aca="false">IFERROR(INDEX(Calc!$O$2:$O$1001,MATCH(ROW()-1,Calc!$X$2:$X$1001,0)),"")</f>
        <v/>
      </c>
      <c r="E416" s="3" t="str">
        <f aca="false">IFERROR(INDEX(Calc!$P$2:$P$1001,MATCH(ROW()-1,Calc!$X$2:$X$1001,0)),"")</f>
        <v/>
      </c>
      <c r="F416" s="3" t="str">
        <f aca="false">IF(G416="","",E416-D416)</f>
        <v/>
      </c>
      <c r="G416" s="0" t="str">
        <f aca="false">IFERROR(INDEX(Calc!$S$2:$S$1001,MATCH(ROW()-1,Calc!$X$2:$X$1001,0)),"")</f>
        <v/>
      </c>
    </row>
    <row r="417" customFormat="false" ht="15" hidden="false" customHeight="false" outlineLevel="0" collapsed="false">
      <c r="A417" s="0" t="str">
        <f aca="false">IFERROR(INDEX(Calc!$L$2:$L$1001,MATCH(ROW()-1,Calc!$X$2:$X$1001,0)),"")</f>
        <v/>
      </c>
      <c r="B417" s="0" t="str">
        <f aca="false">IFERROR(INDEX(Calc!$M$2:$M$1001,MATCH(ROW()-1,Calc!$X$2:$X$1001,0)),"")</f>
        <v/>
      </c>
      <c r="C417" s="0" t="str">
        <f aca="false">IFERROR(INDEX(Calc!$N$2:$N$1001,MATCH(ROW()-1,Calc!$X$2:$X$1001,0)),"")</f>
        <v/>
      </c>
      <c r="D417" s="3" t="str">
        <f aca="false">IFERROR(INDEX(Calc!$O$2:$O$1001,MATCH(ROW()-1,Calc!$X$2:$X$1001,0)),"")</f>
        <v/>
      </c>
      <c r="E417" s="3" t="str">
        <f aca="false">IFERROR(INDEX(Calc!$P$2:$P$1001,MATCH(ROW()-1,Calc!$X$2:$X$1001,0)),"")</f>
        <v/>
      </c>
      <c r="F417" s="3" t="str">
        <f aca="false">IF(G417="","",E417-D417)</f>
        <v/>
      </c>
      <c r="G417" s="0" t="str">
        <f aca="false">IFERROR(INDEX(Calc!$S$2:$S$1001,MATCH(ROW()-1,Calc!$X$2:$X$1001,0)),"")</f>
        <v/>
      </c>
    </row>
    <row r="418" customFormat="false" ht="15" hidden="false" customHeight="false" outlineLevel="0" collapsed="false">
      <c r="A418" s="0" t="str">
        <f aca="false">IFERROR(INDEX(Calc!$L$2:$L$1001,MATCH(ROW()-1,Calc!$X$2:$X$1001,0)),"")</f>
        <v/>
      </c>
      <c r="B418" s="0" t="str">
        <f aca="false">IFERROR(INDEX(Calc!$M$2:$M$1001,MATCH(ROW()-1,Calc!$X$2:$X$1001,0)),"")</f>
        <v/>
      </c>
      <c r="C418" s="0" t="str">
        <f aca="false">IFERROR(INDEX(Calc!$N$2:$N$1001,MATCH(ROW()-1,Calc!$X$2:$X$1001,0)),"")</f>
        <v/>
      </c>
      <c r="D418" s="3" t="str">
        <f aca="false">IFERROR(INDEX(Calc!$O$2:$O$1001,MATCH(ROW()-1,Calc!$X$2:$X$1001,0)),"")</f>
        <v/>
      </c>
      <c r="E418" s="3" t="str">
        <f aca="false">IFERROR(INDEX(Calc!$P$2:$P$1001,MATCH(ROW()-1,Calc!$X$2:$X$1001,0)),"")</f>
        <v/>
      </c>
      <c r="F418" s="3" t="str">
        <f aca="false">IF(G418="","",E418-D418)</f>
        <v/>
      </c>
      <c r="G418" s="0" t="str">
        <f aca="false">IFERROR(INDEX(Calc!$S$2:$S$1001,MATCH(ROW()-1,Calc!$X$2:$X$1001,0)),"")</f>
        <v/>
      </c>
    </row>
    <row r="419" customFormat="false" ht="15" hidden="false" customHeight="false" outlineLevel="0" collapsed="false">
      <c r="A419" s="0" t="str">
        <f aca="false">IFERROR(INDEX(Calc!$L$2:$L$1001,MATCH(ROW()-1,Calc!$X$2:$X$1001,0)),"")</f>
        <v/>
      </c>
      <c r="B419" s="0" t="str">
        <f aca="false">IFERROR(INDEX(Calc!$M$2:$M$1001,MATCH(ROW()-1,Calc!$X$2:$X$1001,0)),"")</f>
        <v/>
      </c>
      <c r="C419" s="0" t="str">
        <f aca="false">IFERROR(INDEX(Calc!$N$2:$N$1001,MATCH(ROW()-1,Calc!$X$2:$X$1001,0)),"")</f>
        <v/>
      </c>
      <c r="D419" s="3" t="str">
        <f aca="false">IFERROR(INDEX(Calc!$O$2:$O$1001,MATCH(ROW()-1,Calc!$X$2:$X$1001,0)),"")</f>
        <v/>
      </c>
      <c r="E419" s="3" t="str">
        <f aca="false">IFERROR(INDEX(Calc!$P$2:$P$1001,MATCH(ROW()-1,Calc!$X$2:$X$1001,0)),"")</f>
        <v/>
      </c>
      <c r="F419" s="3" t="str">
        <f aca="false">IF(G419="","",E419-D419)</f>
        <v/>
      </c>
      <c r="G419" s="0" t="str">
        <f aca="false">IFERROR(INDEX(Calc!$S$2:$S$1001,MATCH(ROW()-1,Calc!$X$2:$X$1001,0)),"")</f>
        <v/>
      </c>
    </row>
    <row r="420" customFormat="false" ht="15" hidden="false" customHeight="false" outlineLevel="0" collapsed="false">
      <c r="A420" s="0" t="str">
        <f aca="false">IFERROR(INDEX(Calc!$L$2:$L$1001,MATCH(ROW()-1,Calc!$X$2:$X$1001,0)),"")</f>
        <v/>
      </c>
      <c r="B420" s="0" t="str">
        <f aca="false">IFERROR(INDEX(Calc!$M$2:$M$1001,MATCH(ROW()-1,Calc!$X$2:$X$1001,0)),"")</f>
        <v/>
      </c>
      <c r="C420" s="0" t="str">
        <f aca="false">IFERROR(INDEX(Calc!$N$2:$N$1001,MATCH(ROW()-1,Calc!$X$2:$X$1001,0)),"")</f>
        <v/>
      </c>
      <c r="D420" s="3" t="str">
        <f aca="false">IFERROR(INDEX(Calc!$O$2:$O$1001,MATCH(ROW()-1,Calc!$X$2:$X$1001,0)),"")</f>
        <v/>
      </c>
      <c r="E420" s="3" t="str">
        <f aca="false">IFERROR(INDEX(Calc!$P$2:$P$1001,MATCH(ROW()-1,Calc!$X$2:$X$1001,0)),"")</f>
        <v/>
      </c>
      <c r="F420" s="3" t="str">
        <f aca="false">IF(G420="","",E420-D420)</f>
        <v/>
      </c>
      <c r="G420" s="0" t="str">
        <f aca="false">IFERROR(INDEX(Calc!$S$2:$S$1001,MATCH(ROW()-1,Calc!$X$2:$X$1001,0)),"")</f>
        <v/>
      </c>
    </row>
    <row r="421" customFormat="false" ht="15" hidden="false" customHeight="false" outlineLevel="0" collapsed="false">
      <c r="A421" s="0" t="str">
        <f aca="false">IFERROR(INDEX(Calc!$L$2:$L$1001,MATCH(ROW()-1,Calc!$X$2:$X$1001,0)),"")</f>
        <v/>
      </c>
      <c r="B421" s="0" t="str">
        <f aca="false">IFERROR(INDEX(Calc!$M$2:$M$1001,MATCH(ROW()-1,Calc!$X$2:$X$1001,0)),"")</f>
        <v/>
      </c>
      <c r="C421" s="0" t="str">
        <f aca="false">IFERROR(INDEX(Calc!$N$2:$N$1001,MATCH(ROW()-1,Calc!$X$2:$X$1001,0)),"")</f>
        <v/>
      </c>
      <c r="D421" s="3" t="str">
        <f aca="false">IFERROR(INDEX(Calc!$O$2:$O$1001,MATCH(ROW()-1,Calc!$X$2:$X$1001,0)),"")</f>
        <v/>
      </c>
      <c r="E421" s="3" t="str">
        <f aca="false">IFERROR(INDEX(Calc!$P$2:$P$1001,MATCH(ROW()-1,Calc!$X$2:$X$1001,0)),"")</f>
        <v/>
      </c>
      <c r="F421" s="3" t="str">
        <f aca="false">IF(G421="","",E421-D421)</f>
        <v/>
      </c>
      <c r="G421" s="0" t="str">
        <f aca="false">IFERROR(INDEX(Calc!$S$2:$S$1001,MATCH(ROW()-1,Calc!$X$2:$X$1001,0)),"")</f>
        <v/>
      </c>
    </row>
    <row r="422" customFormat="false" ht="15" hidden="false" customHeight="false" outlineLevel="0" collapsed="false">
      <c r="A422" s="0" t="str">
        <f aca="false">IFERROR(INDEX(Calc!$L$2:$L$1001,MATCH(ROW()-1,Calc!$X$2:$X$1001,0)),"")</f>
        <v/>
      </c>
      <c r="B422" s="0" t="str">
        <f aca="false">IFERROR(INDEX(Calc!$M$2:$M$1001,MATCH(ROW()-1,Calc!$X$2:$X$1001,0)),"")</f>
        <v/>
      </c>
      <c r="C422" s="0" t="str">
        <f aca="false">IFERROR(INDEX(Calc!$N$2:$N$1001,MATCH(ROW()-1,Calc!$X$2:$X$1001,0)),"")</f>
        <v/>
      </c>
      <c r="D422" s="3" t="str">
        <f aca="false">IFERROR(INDEX(Calc!$O$2:$O$1001,MATCH(ROW()-1,Calc!$X$2:$X$1001,0)),"")</f>
        <v/>
      </c>
      <c r="E422" s="3" t="str">
        <f aca="false">IFERROR(INDEX(Calc!$P$2:$P$1001,MATCH(ROW()-1,Calc!$X$2:$X$1001,0)),"")</f>
        <v/>
      </c>
      <c r="F422" s="3" t="str">
        <f aca="false">IF(G422="","",E422-D422)</f>
        <v/>
      </c>
      <c r="G422" s="0" t="str">
        <f aca="false">IFERROR(INDEX(Calc!$S$2:$S$1001,MATCH(ROW()-1,Calc!$X$2:$X$1001,0)),"")</f>
        <v/>
      </c>
    </row>
    <row r="423" customFormat="false" ht="15" hidden="false" customHeight="false" outlineLevel="0" collapsed="false">
      <c r="A423" s="0" t="str">
        <f aca="false">IFERROR(INDEX(Calc!$L$2:$L$1001,MATCH(ROW()-1,Calc!$X$2:$X$1001,0)),"")</f>
        <v/>
      </c>
      <c r="B423" s="0" t="str">
        <f aca="false">IFERROR(INDEX(Calc!$M$2:$M$1001,MATCH(ROW()-1,Calc!$X$2:$X$1001,0)),"")</f>
        <v/>
      </c>
      <c r="C423" s="0" t="str">
        <f aca="false">IFERROR(INDEX(Calc!$N$2:$N$1001,MATCH(ROW()-1,Calc!$X$2:$X$1001,0)),"")</f>
        <v/>
      </c>
      <c r="D423" s="3" t="str">
        <f aca="false">IFERROR(INDEX(Calc!$O$2:$O$1001,MATCH(ROW()-1,Calc!$X$2:$X$1001,0)),"")</f>
        <v/>
      </c>
      <c r="E423" s="3" t="str">
        <f aca="false">IFERROR(INDEX(Calc!$P$2:$P$1001,MATCH(ROW()-1,Calc!$X$2:$X$1001,0)),"")</f>
        <v/>
      </c>
      <c r="F423" s="3" t="str">
        <f aca="false">IF(G423="","",E423-D423)</f>
        <v/>
      </c>
      <c r="G423" s="0" t="str">
        <f aca="false">IFERROR(INDEX(Calc!$S$2:$S$1001,MATCH(ROW()-1,Calc!$X$2:$X$1001,0)),"")</f>
        <v/>
      </c>
    </row>
    <row r="424" customFormat="false" ht="15" hidden="false" customHeight="false" outlineLevel="0" collapsed="false">
      <c r="A424" s="0" t="str">
        <f aca="false">IFERROR(INDEX(Calc!$L$2:$L$1001,MATCH(ROW()-1,Calc!$X$2:$X$1001,0)),"")</f>
        <v/>
      </c>
      <c r="B424" s="0" t="str">
        <f aca="false">IFERROR(INDEX(Calc!$M$2:$M$1001,MATCH(ROW()-1,Calc!$X$2:$X$1001,0)),"")</f>
        <v/>
      </c>
      <c r="C424" s="0" t="str">
        <f aca="false">IFERROR(INDEX(Calc!$N$2:$N$1001,MATCH(ROW()-1,Calc!$X$2:$X$1001,0)),"")</f>
        <v/>
      </c>
      <c r="D424" s="3" t="str">
        <f aca="false">IFERROR(INDEX(Calc!$O$2:$O$1001,MATCH(ROW()-1,Calc!$X$2:$X$1001,0)),"")</f>
        <v/>
      </c>
      <c r="E424" s="3" t="str">
        <f aca="false">IFERROR(INDEX(Calc!$P$2:$P$1001,MATCH(ROW()-1,Calc!$X$2:$X$1001,0)),"")</f>
        <v/>
      </c>
      <c r="F424" s="3" t="str">
        <f aca="false">IF(G424="","",E424-D424)</f>
        <v/>
      </c>
      <c r="G424" s="0" t="str">
        <f aca="false">IFERROR(INDEX(Calc!$S$2:$S$1001,MATCH(ROW()-1,Calc!$X$2:$X$1001,0)),"")</f>
        <v/>
      </c>
    </row>
    <row r="425" customFormat="false" ht="15" hidden="false" customHeight="false" outlineLevel="0" collapsed="false">
      <c r="A425" s="0" t="str">
        <f aca="false">IFERROR(INDEX(Calc!$L$2:$L$1001,MATCH(ROW()-1,Calc!$X$2:$X$1001,0)),"")</f>
        <v/>
      </c>
      <c r="B425" s="0" t="str">
        <f aca="false">IFERROR(INDEX(Calc!$M$2:$M$1001,MATCH(ROW()-1,Calc!$X$2:$X$1001,0)),"")</f>
        <v/>
      </c>
      <c r="C425" s="0" t="str">
        <f aca="false">IFERROR(INDEX(Calc!$N$2:$N$1001,MATCH(ROW()-1,Calc!$X$2:$X$1001,0)),"")</f>
        <v/>
      </c>
      <c r="D425" s="3" t="str">
        <f aca="false">IFERROR(INDEX(Calc!$O$2:$O$1001,MATCH(ROW()-1,Calc!$X$2:$X$1001,0)),"")</f>
        <v/>
      </c>
      <c r="E425" s="3" t="str">
        <f aca="false">IFERROR(INDEX(Calc!$P$2:$P$1001,MATCH(ROW()-1,Calc!$X$2:$X$1001,0)),"")</f>
        <v/>
      </c>
      <c r="F425" s="3" t="str">
        <f aca="false">IF(G425="","",E425-D425)</f>
        <v/>
      </c>
      <c r="G425" s="0" t="str">
        <f aca="false">IFERROR(INDEX(Calc!$S$2:$S$1001,MATCH(ROW()-1,Calc!$X$2:$X$1001,0)),"")</f>
        <v/>
      </c>
    </row>
    <row r="426" customFormat="false" ht="15" hidden="false" customHeight="false" outlineLevel="0" collapsed="false">
      <c r="A426" s="0" t="str">
        <f aca="false">IFERROR(INDEX(Calc!$L$2:$L$1001,MATCH(ROW()-1,Calc!$X$2:$X$1001,0)),"")</f>
        <v/>
      </c>
      <c r="B426" s="0" t="str">
        <f aca="false">IFERROR(INDEX(Calc!$M$2:$M$1001,MATCH(ROW()-1,Calc!$X$2:$X$1001,0)),"")</f>
        <v/>
      </c>
      <c r="C426" s="0" t="str">
        <f aca="false">IFERROR(INDEX(Calc!$N$2:$N$1001,MATCH(ROW()-1,Calc!$X$2:$X$1001,0)),"")</f>
        <v/>
      </c>
      <c r="D426" s="3" t="str">
        <f aca="false">IFERROR(INDEX(Calc!$O$2:$O$1001,MATCH(ROW()-1,Calc!$X$2:$X$1001,0)),"")</f>
        <v/>
      </c>
      <c r="E426" s="3" t="str">
        <f aca="false">IFERROR(INDEX(Calc!$P$2:$P$1001,MATCH(ROW()-1,Calc!$X$2:$X$1001,0)),"")</f>
        <v/>
      </c>
      <c r="F426" s="3" t="str">
        <f aca="false">IF(G426="","",E426-D426)</f>
        <v/>
      </c>
      <c r="G426" s="0" t="str">
        <f aca="false">IFERROR(INDEX(Calc!$S$2:$S$1001,MATCH(ROW()-1,Calc!$X$2:$X$1001,0)),"")</f>
        <v/>
      </c>
    </row>
    <row r="427" customFormat="false" ht="15" hidden="false" customHeight="false" outlineLevel="0" collapsed="false">
      <c r="A427" s="0" t="str">
        <f aca="false">IFERROR(INDEX(Calc!$L$2:$L$1001,MATCH(ROW()-1,Calc!$X$2:$X$1001,0)),"")</f>
        <v/>
      </c>
      <c r="B427" s="0" t="str">
        <f aca="false">IFERROR(INDEX(Calc!$M$2:$M$1001,MATCH(ROW()-1,Calc!$X$2:$X$1001,0)),"")</f>
        <v/>
      </c>
      <c r="C427" s="0" t="str">
        <f aca="false">IFERROR(INDEX(Calc!$N$2:$N$1001,MATCH(ROW()-1,Calc!$X$2:$X$1001,0)),"")</f>
        <v/>
      </c>
      <c r="D427" s="3" t="str">
        <f aca="false">IFERROR(INDEX(Calc!$O$2:$O$1001,MATCH(ROW()-1,Calc!$X$2:$X$1001,0)),"")</f>
        <v/>
      </c>
      <c r="E427" s="3" t="str">
        <f aca="false">IFERROR(INDEX(Calc!$P$2:$P$1001,MATCH(ROW()-1,Calc!$X$2:$X$1001,0)),"")</f>
        <v/>
      </c>
      <c r="F427" s="3" t="str">
        <f aca="false">IF(G427="","",E427-D427)</f>
        <v/>
      </c>
      <c r="G427" s="0" t="str">
        <f aca="false">IFERROR(INDEX(Calc!$S$2:$S$1001,MATCH(ROW()-1,Calc!$X$2:$X$1001,0)),"")</f>
        <v/>
      </c>
    </row>
    <row r="428" customFormat="false" ht="15" hidden="false" customHeight="false" outlineLevel="0" collapsed="false">
      <c r="A428" s="0" t="str">
        <f aca="false">IFERROR(INDEX(Calc!$L$2:$L$1001,MATCH(ROW()-1,Calc!$X$2:$X$1001,0)),"")</f>
        <v/>
      </c>
      <c r="B428" s="0" t="str">
        <f aca="false">IFERROR(INDEX(Calc!$M$2:$M$1001,MATCH(ROW()-1,Calc!$X$2:$X$1001,0)),"")</f>
        <v/>
      </c>
      <c r="C428" s="0" t="str">
        <f aca="false">IFERROR(INDEX(Calc!$N$2:$N$1001,MATCH(ROW()-1,Calc!$X$2:$X$1001,0)),"")</f>
        <v/>
      </c>
      <c r="D428" s="3" t="str">
        <f aca="false">IFERROR(INDEX(Calc!$O$2:$O$1001,MATCH(ROW()-1,Calc!$X$2:$X$1001,0)),"")</f>
        <v/>
      </c>
      <c r="E428" s="3" t="str">
        <f aca="false">IFERROR(INDEX(Calc!$P$2:$P$1001,MATCH(ROW()-1,Calc!$X$2:$X$1001,0)),"")</f>
        <v/>
      </c>
      <c r="F428" s="3" t="str">
        <f aca="false">IF(G428="","",E428-D428)</f>
        <v/>
      </c>
      <c r="G428" s="0" t="str">
        <f aca="false">IFERROR(INDEX(Calc!$S$2:$S$1001,MATCH(ROW()-1,Calc!$X$2:$X$1001,0)),"")</f>
        <v/>
      </c>
    </row>
    <row r="429" customFormat="false" ht="15" hidden="false" customHeight="false" outlineLevel="0" collapsed="false">
      <c r="A429" s="0" t="str">
        <f aca="false">IFERROR(INDEX(Calc!$L$2:$L$1001,MATCH(ROW()-1,Calc!$X$2:$X$1001,0)),"")</f>
        <v/>
      </c>
      <c r="B429" s="0" t="str">
        <f aca="false">IFERROR(INDEX(Calc!$M$2:$M$1001,MATCH(ROW()-1,Calc!$X$2:$X$1001,0)),"")</f>
        <v/>
      </c>
      <c r="C429" s="0" t="str">
        <f aca="false">IFERROR(INDEX(Calc!$N$2:$N$1001,MATCH(ROW()-1,Calc!$X$2:$X$1001,0)),"")</f>
        <v/>
      </c>
      <c r="D429" s="3" t="str">
        <f aca="false">IFERROR(INDEX(Calc!$O$2:$O$1001,MATCH(ROW()-1,Calc!$X$2:$X$1001,0)),"")</f>
        <v/>
      </c>
      <c r="E429" s="3" t="str">
        <f aca="false">IFERROR(INDEX(Calc!$P$2:$P$1001,MATCH(ROW()-1,Calc!$X$2:$X$1001,0)),"")</f>
        <v/>
      </c>
      <c r="F429" s="3" t="str">
        <f aca="false">IF(G429="","",E429-D429)</f>
        <v/>
      </c>
      <c r="G429" s="0" t="str">
        <f aca="false">IFERROR(INDEX(Calc!$S$2:$S$1001,MATCH(ROW()-1,Calc!$X$2:$X$1001,0)),"")</f>
        <v/>
      </c>
    </row>
    <row r="430" customFormat="false" ht="15" hidden="false" customHeight="false" outlineLevel="0" collapsed="false">
      <c r="A430" s="0" t="str">
        <f aca="false">IFERROR(INDEX(Calc!$L$2:$L$1001,MATCH(ROW()-1,Calc!$X$2:$X$1001,0)),"")</f>
        <v/>
      </c>
      <c r="B430" s="0" t="str">
        <f aca="false">IFERROR(INDEX(Calc!$M$2:$M$1001,MATCH(ROW()-1,Calc!$X$2:$X$1001,0)),"")</f>
        <v/>
      </c>
      <c r="C430" s="0" t="str">
        <f aca="false">IFERROR(INDEX(Calc!$N$2:$N$1001,MATCH(ROW()-1,Calc!$X$2:$X$1001,0)),"")</f>
        <v/>
      </c>
      <c r="D430" s="3" t="str">
        <f aca="false">IFERROR(INDEX(Calc!$O$2:$O$1001,MATCH(ROW()-1,Calc!$X$2:$X$1001,0)),"")</f>
        <v/>
      </c>
      <c r="E430" s="3" t="str">
        <f aca="false">IFERROR(INDEX(Calc!$P$2:$P$1001,MATCH(ROW()-1,Calc!$X$2:$X$1001,0)),"")</f>
        <v/>
      </c>
      <c r="F430" s="3" t="str">
        <f aca="false">IF(G430="","",E430-D430)</f>
        <v/>
      </c>
      <c r="G430" s="0" t="str">
        <f aca="false">IFERROR(INDEX(Calc!$S$2:$S$1001,MATCH(ROW()-1,Calc!$X$2:$X$1001,0)),"")</f>
        <v/>
      </c>
    </row>
    <row r="431" customFormat="false" ht="15" hidden="false" customHeight="false" outlineLevel="0" collapsed="false">
      <c r="A431" s="0" t="str">
        <f aca="false">IFERROR(INDEX(Calc!$L$2:$L$1001,MATCH(ROW()-1,Calc!$X$2:$X$1001,0)),"")</f>
        <v/>
      </c>
      <c r="B431" s="0" t="str">
        <f aca="false">IFERROR(INDEX(Calc!$M$2:$M$1001,MATCH(ROW()-1,Calc!$X$2:$X$1001,0)),"")</f>
        <v/>
      </c>
      <c r="C431" s="0" t="str">
        <f aca="false">IFERROR(INDEX(Calc!$N$2:$N$1001,MATCH(ROW()-1,Calc!$X$2:$X$1001,0)),"")</f>
        <v/>
      </c>
      <c r="D431" s="3" t="str">
        <f aca="false">IFERROR(INDEX(Calc!$O$2:$O$1001,MATCH(ROW()-1,Calc!$X$2:$X$1001,0)),"")</f>
        <v/>
      </c>
      <c r="E431" s="3" t="str">
        <f aca="false">IFERROR(INDEX(Calc!$P$2:$P$1001,MATCH(ROW()-1,Calc!$X$2:$X$1001,0)),"")</f>
        <v/>
      </c>
      <c r="F431" s="3" t="str">
        <f aca="false">IF(G431="","",E431-D431)</f>
        <v/>
      </c>
      <c r="G431" s="0" t="str">
        <f aca="false">IFERROR(INDEX(Calc!$S$2:$S$1001,MATCH(ROW()-1,Calc!$X$2:$X$1001,0)),"")</f>
        <v/>
      </c>
    </row>
    <row r="432" customFormat="false" ht="15" hidden="false" customHeight="false" outlineLevel="0" collapsed="false">
      <c r="A432" s="0" t="str">
        <f aca="false">IFERROR(INDEX(Calc!$L$2:$L$1001,MATCH(ROW()-1,Calc!$X$2:$X$1001,0)),"")</f>
        <v/>
      </c>
      <c r="B432" s="0" t="str">
        <f aca="false">IFERROR(INDEX(Calc!$M$2:$M$1001,MATCH(ROW()-1,Calc!$X$2:$X$1001,0)),"")</f>
        <v/>
      </c>
      <c r="C432" s="0" t="str">
        <f aca="false">IFERROR(INDEX(Calc!$N$2:$N$1001,MATCH(ROW()-1,Calc!$X$2:$X$1001,0)),"")</f>
        <v/>
      </c>
      <c r="D432" s="3" t="str">
        <f aca="false">IFERROR(INDEX(Calc!$O$2:$O$1001,MATCH(ROW()-1,Calc!$X$2:$X$1001,0)),"")</f>
        <v/>
      </c>
      <c r="E432" s="3" t="str">
        <f aca="false">IFERROR(INDEX(Calc!$P$2:$P$1001,MATCH(ROW()-1,Calc!$X$2:$X$1001,0)),"")</f>
        <v/>
      </c>
      <c r="F432" s="3" t="str">
        <f aca="false">IF(G432="","",E432-D432)</f>
        <v/>
      </c>
      <c r="G432" s="0" t="str">
        <f aca="false">IFERROR(INDEX(Calc!$S$2:$S$1001,MATCH(ROW()-1,Calc!$X$2:$X$1001,0)),"")</f>
        <v/>
      </c>
    </row>
    <row r="433" customFormat="false" ht="15" hidden="false" customHeight="false" outlineLevel="0" collapsed="false">
      <c r="A433" s="0" t="str">
        <f aca="false">IFERROR(INDEX(Calc!$L$2:$L$1001,MATCH(ROW()-1,Calc!$X$2:$X$1001,0)),"")</f>
        <v/>
      </c>
      <c r="B433" s="0" t="str">
        <f aca="false">IFERROR(INDEX(Calc!$M$2:$M$1001,MATCH(ROW()-1,Calc!$X$2:$X$1001,0)),"")</f>
        <v/>
      </c>
      <c r="C433" s="0" t="str">
        <f aca="false">IFERROR(INDEX(Calc!$N$2:$N$1001,MATCH(ROW()-1,Calc!$X$2:$X$1001,0)),"")</f>
        <v/>
      </c>
      <c r="D433" s="3" t="str">
        <f aca="false">IFERROR(INDEX(Calc!$O$2:$O$1001,MATCH(ROW()-1,Calc!$X$2:$X$1001,0)),"")</f>
        <v/>
      </c>
      <c r="E433" s="3" t="str">
        <f aca="false">IFERROR(INDEX(Calc!$P$2:$P$1001,MATCH(ROW()-1,Calc!$X$2:$X$1001,0)),"")</f>
        <v/>
      </c>
      <c r="F433" s="3" t="str">
        <f aca="false">IF(G433="","",E433-D433)</f>
        <v/>
      </c>
      <c r="G433" s="0" t="str">
        <f aca="false">IFERROR(INDEX(Calc!$S$2:$S$1001,MATCH(ROW()-1,Calc!$X$2:$X$1001,0)),"")</f>
        <v/>
      </c>
    </row>
    <row r="434" customFormat="false" ht="15" hidden="false" customHeight="false" outlineLevel="0" collapsed="false">
      <c r="A434" s="0" t="str">
        <f aca="false">IFERROR(INDEX(Calc!$L$2:$L$1001,MATCH(ROW()-1,Calc!$X$2:$X$1001,0)),"")</f>
        <v/>
      </c>
      <c r="B434" s="0" t="str">
        <f aca="false">IFERROR(INDEX(Calc!$M$2:$M$1001,MATCH(ROW()-1,Calc!$X$2:$X$1001,0)),"")</f>
        <v/>
      </c>
      <c r="C434" s="0" t="str">
        <f aca="false">IFERROR(INDEX(Calc!$N$2:$N$1001,MATCH(ROW()-1,Calc!$X$2:$X$1001,0)),"")</f>
        <v/>
      </c>
      <c r="D434" s="3" t="str">
        <f aca="false">IFERROR(INDEX(Calc!$O$2:$O$1001,MATCH(ROW()-1,Calc!$X$2:$X$1001,0)),"")</f>
        <v/>
      </c>
      <c r="E434" s="3" t="str">
        <f aca="false">IFERROR(INDEX(Calc!$P$2:$P$1001,MATCH(ROW()-1,Calc!$X$2:$X$1001,0)),"")</f>
        <v/>
      </c>
      <c r="F434" s="3" t="str">
        <f aca="false">IF(G434="","",E434-D434)</f>
        <v/>
      </c>
      <c r="G434" s="0" t="str">
        <f aca="false">IFERROR(INDEX(Calc!$S$2:$S$1001,MATCH(ROW()-1,Calc!$X$2:$X$1001,0)),"")</f>
        <v/>
      </c>
    </row>
    <row r="435" customFormat="false" ht="15" hidden="false" customHeight="false" outlineLevel="0" collapsed="false">
      <c r="A435" s="0" t="str">
        <f aca="false">IFERROR(INDEX(Calc!$L$2:$L$1001,MATCH(ROW()-1,Calc!$X$2:$X$1001,0)),"")</f>
        <v/>
      </c>
      <c r="B435" s="0" t="str">
        <f aca="false">IFERROR(INDEX(Calc!$M$2:$M$1001,MATCH(ROW()-1,Calc!$X$2:$X$1001,0)),"")</f>
        <v/>
      </c>
      <c r="C435" s="0" t="str">
        <f aca="false">IFERROR(INDEX(Calc!$N$2:$N$1001,MATCH(ROW()-1,Calc!$X$2:$X$1001,0)),"")</f>
        <v/>
      </c>
      <c r="D435" s="3" t="str">
        <f aca="false">IFERROR(INDEX(Calc!$O$2:$O$1001,MATCH(ROW()-1,Calc!$X$2:$X$1001,0)),"")</f>
        <v/>
      </c>
      <c r="E435" s="3" t="str">
        <f aca="false">IFERROR(INDEX(Calc!$P$2:$P$1001,MATCH(ROW()-1,Calc!$X$2:$X$1001,0)),"")</f>
        <v/>
      </c>
      <c r="F435" s="3" t="str">
        <f aca="false">IF(G435="","",E435-D435)</f>
        <v/>
      </c>
      <c r="G435" s="0" t="str">
        <f aca="false">IFERROR(INDEX(Calc!$S$2:$S$1001,MATCH(ROW()-1,Calc!$X$2:$X$1001,0)),"")</f>
        <v/>
      </c>
    </row>
    <row r="436" customFormat="false" ht="15" hidden="false" customHeight="false" outlineLevel="0" collapsed="false">
      <c r="A436" s="0" t="str">
        <f aca="false">IFERROR(INDEX(Calc!$L$2:$L$1001,MATCH(ROW()-1,Calc!$X$2:$X$1001,0)),"")</f>
        <v/>
      </c>
      <c r="B436" s="0" t="str">
        <f aca="false">IFERROR(INDEX(Calc!$M$2:$M$1001,MATCH(ROW()-1,Calc!$X$2:$X$1001,0)),"")</f>
        <v/>
      </c>
      <c r="C436" s="0" t="str">
        <f aca="false">IFERROR(INDEX(Calc!$N$2:$N$1001,MATCH(ROW()-1,Calc!$X$2:$X$1001,0)),"")</f>
        <v/>
      </c>
      <c r="D436" s="3" t="str">
        <f aca="false">IFERROR(INDEX(Calc!$O$2:$O$1001,MATCH(ROW()-1,Calc!$X$2:$X$1001,0)),"")</f>
        <v/>
      </c>
      <c r="E436" s="3" t="str">
        <f aca="false">IFERROR(INDEX(Calc!$P$2:$P$1001,MATCH(ROW()-1,Calc!$X$2:$X$1001,0)),"")</f>
        <v/>
      </c>
      <c r="F436" s="3" t="str">
        <f aca="false">IF(G436="","",E436-D436)</f>
        <v/>
      </c>
      <c r="G436" s="0" t="str">
        <f aca="false">IFERROR(INDEX(Calc!$S$2:$S$1001,MATCH(ROW()-1,Calc!$X$2:$X$1001,0)),"")</f>
        <v/>
      </c>
    </row>
    <row r="437" customFormat="false" ht="15" hidden="false" customHeight="false" outlineLevel="0" collapsed="false">
      <c r="A437" s="0" t="str">
        <f aca="false">IFERROR(INDEX(Calc!$L$2:$L$1001,MATCH(ROW()-1,Calc!$X$2:$X$1001,0)),"")</f>
        <v/>
      </c>
      <c r="B437" s="0" t="str">
        <f aca="false">IFERROR(INDEX(Calc!$M$2:$M$1001,MATCH(ROW()-1,Calc!$X$2:$X$1001,0)),"")</f>
        <v/>
      </c>
      <c r="C437" s="0" t="str">
        <f aca="false">IFERROR(INDEX(Calc!$N$2:$N$1001,MATCH(ROW()-1,Calc!$X$2:$X$1001,0)),"")</f>
        <v/>
      </c>
      <c r="D437" s="3" t="str">
        <f aca="false">IFERROR(INDEX(Calc!$O$2:$O$1001,MATCH(ROW()-1,Calc!$X$2:$X$1001,0)),"")</f>
        <v/>
      </c>
      <c r="E437" s="3" t="str">
        <f aca="false">IFERROR(INDEX(Calc!$P$2:$P$1001,MATCH(ROW()-1,Calc!$X$2:$X$1001,0)),"")</f>
        <v/>
      </c>
      <c r="F437" s="3" t="str">
        <f aca="false">IF(G437="","",E437-D437)</f>
        <v/>
      </c>
      <c r="G437" s="0" t="str">
        <f aca="false">IFERROR(INDEX(Calc!$S$2:$S$1001,MATCH(ROW()-1,Calc!$X$2:$X$1001,0)),"")</f>
        <v/>
      </c>
    </row>
    <row r="438" customFormat="false" ht="15" hidden="false" customHeight="false" outlineLevel="0" collapsed="false">
      <c r="A438" s="0" t="str">
        <f aca="false">IFERROR(INDEX(Calc!$L$2:$L$1001,MATCH(ROW()-1,Calc!$X$2:$X$1001,0)),"")</f>
        <v/>
      </c>
      <c r="B438" s="0" t="str">
        <f aca="false">IFERROR(INDEX(Calc!$M$2:$M$1001,MATCH(ROW()-1,Calc!$X$2:$X$1001,0)),"")</f>
        <v/>
      </c>
      <c r="C438" s="0" t="str">
        <f aca="false">IFERROR(INDEX(Calc!$N$2:$N$1001,MATCH(ROW()-1,Calc!$X$2:$X$1001,0)),"")</f>
        <v/>
      </c>
      <c r="D438" s="3" t="str">
        <f aca="false">IFERROR(INDEX(Calc!$O$2:$O$1001,MATCH(ROW()-1,Calc!$X$2:$X$1001,0)),"")</f>
        <v/>
      </c>
      <c r="E438" s="3" t="str">
        <f aca="false">IFERROR(INDEX(Calc!$P$2:$P$1001,MATCH(ROW()-1,Calc!$X$2:$X$1001,0)),"")</f>
        <v/>
      </c>
      <c r="F438" s="3" t="str">
        <f aca="false">IF(G438="","",E438-D438)</f>
        <v/>
      </c>
      <c r="G438" s="0" t="str">
        <f aca="false">IFERROR(INDEX(Calc!$S$2:$S$1001,MATCH(ROW()-1,Calc!$X$2:$X$1001,0)),"")</f>
        <v/>
      </c>
    </row>
    <row r="439" customFormat="false" ht="15" hidden="false" customHeight="false" outlineLevel="0" collapsed="false">
      <c r="A439" s="0" t="str">
        <f aca="false">IFERROR(INDEX(Calc!$L$2:$L$1001,MATCH(ROW()-1,Calc!$X$2:$X$1001,0)),"")</f>
        <v/>
      </c>
      <c r="B439" s="0" t="str">
        <f aca="false">IFERROR(INDEX(Calc!$M$2:$M$1001,MATCH(ROW()-1,Calc!$X$2:$X$1001,0)),"")</f>
        <v/>
      </c>
      <c r="C439" s="0" t="str">
        <f aca="false">IFERROR(INDEX(Calc!$N$2:$N$1001,MATCH(ROW()-1,Calc!$X$2:$X$1001,0)),"")</f>
        <v/>
      </c>
      <c r="D439" s="3" t="str">
        <f aca="false">IFERROR(INDEX(Calc!$O$2:$O$1001,MATCH(ROW()-1,Calc!$X$2:$X$1001,0)),"")</f>
        <v/>
      </c>
      <c r="E439" s="3" t="str">
        <f aca="false">IFERROR(INDEX(Calc!$P$2:$P$1001,MATCH(ROW()-1,Calc!$X$2:$X$1001,0)),"")</f>
        <v/>
      </c>
      <c r="F439" s="3" t="str">
        <f aca="false">IF(G439="","",E439-D439)</f>
        <v/>
      </c>
      <c r="G439" s="0" t="str">
        <f aca="false">IFERROR(INDEX(Calc!$S$2:$S$1001,MATCH(ROW()-1,Calc!$X$2:$X$1001,0)),"")</f>
        <v/>
      </c>
    </row>
    <row r="440" customFormat="false" ht="15" hidden="false" customHeight="false" outlineLevel="0" collapsed="false">
      <c r="A440" s="0" t="str">
        <f aca="false">IFERROR(INDEX(Calc!$L$2:$L$1001,MATCH(ROW()-1,Calc!$X$2:$X$1001,0)),"")</f>
        <v/>
      </c>
      <c r="B440" s="0" t="str">
        <f aca="false">IFERROR(INDEX(Calc!$M$2:$M$1001,MATCH(ROW()-1,Calc!$X$2:$X$1001,0)),"")</f>
        <v/>
      </c>
      <c r="C440" s="0" t="str">
        <f aca="false">IFERROR(INDEX(Calc!$N$2:$N$1001,MATCH(ROW()-1,Calc!$X$2:$X$1001,0)),"")</f>
        <v/>
      </c>
      <c r="D440" s="3" t="str">
        <f aca="false">IFERROR(INDEX(Calc!$O$2:$O$1001,MATCH(ROW()-1,Calc!$X$2:$X$1001,0)),"")</f>
        <v/>
      </c>
      <c r="E440" s="3" t="str">
        <f aca="false">IFERROR(INDEX(Calc!$P$2:$P$1001,MATCH(ROW()-1,Calc!$X$2:$X$1001,0)),"")</f>
        <v/>
      </c>
      <c r="F440" s="3" t="str">
        <f aca="false">IF(G440="","",E440-D440)</f>
        <v/>
      </c>
      <c r="G440" s="0" t="str">
        <f aca="false">IFERROR(INDEX(Calc!$S$2:$S$1001,MATCH(ROW()-1,Calc!$X$2:$X$1001,0)),"")</f>
        <v/>
      </c>
    </row>
    <row r="441" customFormat="false" ht="15" hidden="false" customHeight="false" outlineLevel="0" collapsed="false">
      <c r="A441" s="0" t="str">
        <f aca="false">IFERROR(INDEX(Calc!$L$2:$L$1001,MATCH(ROW()-1,Calc!$X$2:$X$1001,0)),"")</f>
        <v/>
      </c>
      <c r="B441" s="0" t="str">
        <f aca="false">IFERROR(INDEX(Calc!$M$2:$M$1001,MATCH(ROW()-1,Calc!$X$2:$X$1001,0)),"")</f>
        <v/>
      </c>
      <c r="C441" s="0" t="str">
        <f aca="false">IFERROR(INDEX(Calc!$N$2:$N$1001,MATCH(ROW()-1,Calc!$X$2:$X$1001,0)),"")</f>
        <v/>
      </c>
      <c r="D441" s="3" t="str">
        <f aca="false">IFERROR(INDEX(Calc!$O$2:$O$1001,MATCH(ROW()-1,Calc!$X$2:$X$1001,0)),"")</f>
        <v/>
      </c>
      <c r="E441" s="3" t="str">
        <f aca="false">IFERROR(INDEX(Calc!$P$2:$P$1001,MATCH(ROW()-1,Calc!$X$2:$X$1001,0)),"")</f>
        <v/>
      </c>
      <c r="F441" s="3" t="str">
        <f aca="false">IF(G441="","",E441-D441)</f>
        <v/>
      </c>
      <c r="G441" s="0" t="str">
        <f aca="false">IFERROR(INDEX(Calc!$S$2:$S$1001,MATCH(ROW()-1,Calc!$X$2:$X$1001,0)),"")</f>
        <v/>
      </c>
    </row>
    <row r="442" customFormat="false" ht="15" hidden="false" customHeight="false" outlineLevel="0" collapsed="false">
      <c r="A442" s="0" t="str">
        <f aca="false">IFERROR(INDEX(Calc!$L$2:$L$1001,MATCH(ROW()-1,Calc!$X$2:$X$1001,0)),"")</f>
        <v/>
      </c>
      <c r="B442" s="0" t="str">
        <f aca="false">IFERROR(INDEX(Calc!$M$2:$M$1001,MATCH(ROW()-1,Calc!$X$2:$X$1001,0)),"")</f>
        <v/>
      </c>
      <c r="C442" s="0" t="str">
        <f aca="false">IFERROR(INDEX(Calc!$N$2:$N$1001,MATCH(ROW()-1,Calc!$X$2:$X$1001,0)),"")</f>
        <v/>
      </c>
      <c r="D442" s="3" t="str">
        <f aca="false">IFERROR(INDEX(Calc!$O$2:$O$1001,MATCH(ROW()-1,Calc!$X$2:$X$1001,0)),"")</f>
        <v/>
      </c>
      <c r="E442" s="3" t="str">
        <f aca="false">IFERROR(INDEX(Calc!$P$2:$P$1001,MATCH(ROW()-1,Calc!$X$2:$X$1001,0)),"")</f>
        <v/>
      </c>
      <c r="F442" s="3" t="str">
        <f aca="false">IF(G442="","",E442-D442)</f>
        <v/>
      </c>
      <c r="G442" s="0" t="str">
        <f aca="false">IFERROR(INDEX(Calc!$S$2:$S$1001,MATCH(ROW()-1,Calc!$X$2:$X$1001,0)),"")</f>
        <v/>
      </c>
    </row>
    <row r="443" customFormat="false" ht="15" hidden="false" customHeight="false" outlineLevel="0" collapsed="false">
      <c r="A443" s="0" t="str">
        <f aca="false">IFERROR(INDEX(Calc!$L$2:$L$1001,MATCH(ROW()-1,Calc!$X$2:$X$1001,0)),"")</f>
        <v/>
      </c>
      <c r="B443" s="0" t="str">
        <f aca="false">IFERROR(INDEX(Calc!$M$2:$M$1001,MATCH(ROW()-1,Calc!$X$2:$X$1001,0)),"")</f>
        <v/>
      </c>
      <c r="C443" s="0" t="str">
        <f aca="false">IFERROR(INDEX(Calc!$N$2:$N$1001,MATCH(ROW()-1,Calc!$X$2:$X$1001,0)),"")</f>
        <v/>
      </c>
      <c r="D443" s="3" t="str">
        <f aca="false">IFERROR(INDEX(Calc!$O$2:$O$1001,MATCH(ROW()-1,Calc!$X$2:$X$1001,0)),"")</f>
        <v/>
      </c>
      <c r="E443" s="3" t="str">
        <f aca="false">IFERROR(INDEX(Calc!$P$2:$P$1001,MATCH(ROW()-1,Calc!$X$2:$X$1001,0)),"")</f>
        <v/>
      </c>
      <c r="F443" s="3" t="str">
        <f aca="false">IF(G443="","",E443-D443)</f>
        <v/>
      </c>
      <c r="G443" s="0" t="str">
        <f aca="false">IFERROR(INDEX(Calc!$S$2:$S$1001,MATCH(ROW()-1,Calc!$X$2:$X$1001,0)),"")</f>
        <v/>
      </c>
    </row>
    <row r="444" customFormat="false" ht="15" hidden="false" customHeight="false" outlineLevel="0" collapsed="false">
      <c r="A444" s="0" t="str">
        <f aca="false">IFERROR(INDEX(Calc!$L$2:$L$1001,MATCH(ROW()-1,Calc!$X$2:$X$1001,0)),"")</f>
        <v/>
      </c>
      <c r="B444" s="0" t="str">
        <f aca="false">IFERROR(INDEX(Calc!$M$2:$M$1001,MATCH(ROW()-1,Calc!$X$2:$X$1001,0)),"")</f>
        <v/>
      </c>
      <c r="C444" s="0" t="str">
        <f aca="false">IFERROR(INDEX(Calc!$N$2:$N$1001,MATCH(ROW()-1,Calc!$X$2:$X$1001,0)),"")</f>
        <v/>
      </c>
      <c r="D444" s="3" t="str">
        <f aca="false">IFERROR(INDEX(Calc!$O$2:$O$1001,MATCH(ROW()-1,Calc!$X$2:$X$1001,0)),"")</f>
        <v/>
      </c>
      <c r="E444" s="3" t="str">
        <f aca="false">IFERROR(INDEX(Calc!$P$2:$P$1001,MATCH(ROW()-1,Calc!$X$2:$X$1001,0)),"")</f>
        <v/>
      </c>
      <c r="F444" s="3" t="str">
        <f aca="false">IF(G444="","",E444-D444)</f>
        <v/>
      </c>
      <c r="G444" s="0" t="str">
        <f aca="false">IFERROR(INDEX(Calc!$S$2:$S$1001,MATCH(ROW()-1,Calc!$X$2:$X$1001,0)),"")</f>
        <v/>
      </c>
    </row>
    <row r="445" customFormat="false" ht="15" hidden="false" customHeight="false" outlineLevel="0" collapsed="false">
      <c r="A445" s="0" t="str">
        <f aca="false">IFERROR(INDEX(Calc!$L$2:$L$1001,MATCH(ROW()-1,Calc!$X$2:$X$1001,0)),"")</f>
        <v/>
      </c>
      <c r="B445" s="0" t="str">
        <f aca="false">IFERROR(INDEX(Calc!$M$2:$M$1001,MATCH(ROW()-1,Calc!$X$2:$X$1001,0)),"")</f>
        <v/>
      </c>
      <c r="C445" s="0" t="str">
        <f aca="false">IFERROR(INDEX(Calc!$N$2:$N$1001,MATCH(ROW()-1,Calc!$X$2:$X$1001,0)),"")</f>
        <v/>
      </c>
      <c r="D445" s="3" t="str">
        <f aca="false">IFERROR(INDEX(Calc!$O$2:$O$1001,MATCH(ROW()-1,Calc!$X$2:$X$1001,0)),"")</f>
        <v/>
      </c>
      <c r="E445" s="3" t="str">
        <f aca="false">IFERROR(INDEX(Calc!$P$2:$P$1001,MATCH(ROW()-1,Calc!$X$2:$X$1001,0)),"")</f>
        <v/>
      </c>
      <c r="F445" s="3" t="str">
        <f aca="false">IF(G445="","",E445-D445)</f>
        <v/>
      </c>
      <c r="G445" s="0" t="str">
        <f aca="false">IFERROR(INDEX(Calc!$S$2:$S$1001,MATCH(ROW()-1,Calc!$X$2:$X$1001,0)),"")</f>
        <v/>
      </c>
    </row>
    <row r="446" customFormat="false" ht="15" hidden="false" customHeight="false" outlineLevel="0" collapsed="false">
      <c r="A446" s="0" t="str">
        <f aca="false">IFERROR(INDEX(Calc!$L$2:$L$1001,MATCH(ROW()-1,Calc!$X$2:$X$1001,0)),"")</f>
        <v/>
      </c>
      <c r="B446" s="0" t="str">
        <f aca="false">IFERROR(INDEX(Calc!$M$2:$M$1001,MATCH(ROW()-1,Calc!$X$2:$X$1001,0)),"")</f>
        <v/>
      </c>
      <c r="C446" s="0" t="str">
        <f aca="false">IFERROR(INDEX(Calc!$N$2:$N$1001,MATCH(ROW()-1,Calc!$X$2:$X$1001,0)),"")</f>
        <v/>
      </c>
      <c r="D446" s="3" t="str">
        <f aca="false">IFERROR(INDEX(Calc!$O$2:$O$1001,MATCH(ROW()-1,Calc!$X$2:$X$1001,0)),"")</f>
        <v/>
      </c>
      <c r="E446" s="3" t="str">
        <f aca="false">IFERROR(INDEX(Calc!$P$2:$P$1001,MATCH(ROW()-1,Calc!$X$2:$X$1001,0)),"")</f>
        <v/>
      </c>
      <c r="F446" s="3" t="str">
        <f aca="false">IF(G446="","",E446-D446)</f>
        <v/>
      </c>
      <c r="G446" s="0" t="str">
        <f aca="false">IFERROR(INDEX(Calc!$S$2:$S$1001,MATCH(ROW()-1,Calc!$X$2:$X$1001,0)),"")</f>
        <v/>
      </c>
    </row>
    <row r="447" customFormat="false" ht="15" hidden="false" customHeight="false" outlineLevel="0" collapsed="false">
      <c r="A447" s="0" t="str">
        <f aca="false">IFERROR(INDEX(Calc!$L$2:$L$1001,MATCH(ROW()-1,Calc!$X$2:$X$1001,0)),"")</f>
        <v/>
      </c>
      <c r="B447" s="0" t="str">
        <f aca="false">IFERROR(INDEX(Calc!$M$2:$M$1001,MATCH(ROW()-1,Calc!$X$2:$X$1001,0)),"")</f>
        <v/>
      </c>
      <c r="C447" s="0" t="str">
        <f aca="false">IFERROR(INDEX(Calc!$N$2:$N$1001,MATCH(ROW()-1,Calc!$X$2:$X$1001,0)),"")</f>
        <v/>
      </c>
      <c r="D447" s="3" t="str">
        <f aca="false">IFERROR(INDEX(Calc!$O$2:$O$1001,MATCH(ROW()-1,Calc!$X$2:$X$1001,0)),"")</f>
        <v/>
      </c>
      <c r="E447" s="3" t="str">
        <f aca="false">IFERROR(INDEX(Calc!$P$2:$P$1001,MATCH(ROW()-1,Calc!$X$2:$X$1001,0)),"")</f>
        <v/>
      </c>
      <c r="F447" s="3" t="str">
        <f aca="false">IF(G447="","",E447-D447)</f>
        <v/>
      </c>
      <c r="G447" s="0" t="str">
        <f aca="false">IFERROR(INDEX(Calc!$S$2:$S$1001,MATCH(ROW()-1,Calc!$X$2:$X$1001,0)),"")</f>
        <v/>
      </c>
    </row>
    <row r="448" customFormat="false" ht="15" hidden="false" customHeight="false" outlineLevel="0" collapsed="false">
      <c r="A448" s="0" t="str">
        <f aca="false">IFERROR(INDEX(Calc!$L$2:$L$1001,MATCH(ROW()-1,Calc!$X$2:$X$1001,0)),"")</f>
        <v/>
      </c>
      <c r="B448" s="0" t="str">
        <f aca="false">IFERROR(INDEX(Calc!$M$2:$M$1001,MATCH(ROW()-1,Calc!$X$2:$X$1001,0)),"")</f>
        <v/>
      </c>
      <c r="C448" s="0" t="str">
        <f aca="false">IFERROR(INDEX(Calc!$N$2:$N$1001,MATCH(ROW()-1,Calc!$X$2:$X$1001,0)),"")</f>
        <v/>
      </c>
      <c r="D448" s="3" t="str">
        <f aca="false">IFERROR(INDEX(Calc!$O$2:$O$1001,MATCH(ROW()-1,Calc!$X$2:$X$1001,0)),"")</f>
        <v/>
      </c>
      <c r="E448" s="3" t="str">
        <f aca="false">IFERROR(INDEX(Calc!$P$2:$P$1001,MATCH(ROW()-1,Calc!$X$2:$X$1001,0)),"")</f>
        <v/>
      </c>
      <c r="F448" s="3" t="str">
        <f aca="false">IF(G448="","",E448-D448)</f>
        <v/>
      </c>
      <c r="G448" s="0" t="str">
        <f aca="false">IFERROR(INDEX(Calc!$S$2:$S$1001,MATCH(ROW()-1,Calc!$X$2:$X$1001,0)),"")</f>
        <v/>
      </c>
    </row>
    <row r="449" customFormat="false" ht="15" hidden="false" customHeight="false" outlineLevel="0" collapsed="false">
      <c r="A449" s="0" t="str">
        <f aca="false">IFERROR(INDEX(Calc!$L$2:$L$1001,MATCH(ROW()-1,Calc!$X$2:$X$1001,0)),"")</f>
        <v/>
      </c>
      <c r="B449" s="0" t="str">
        <f aca="false">IFERROR(INDEX(Calc!$M$2:$M$1001,MATCH(ROW()-1,Calc!$X$2:$X$1001,0)),"")</f>
        <v/>
      </c>
      <c r="C449" s="0" t="str">
        <f aca="false">IFERROR(INDEX(Calc!$N$2:$N$1001,MATCH(ROW()-1,Calc!$X$2:$X$1001,0)),"")</f>
        <v/>
      </c>
      <c r="D449" s="3" t="str">
        <f aca="false">IFERROR(INDEX(Calc!$O$2:$O$1001,MATCH(ROW()-1,Calc!$X$2:$X$1001,0)),"")</f>
        <v/>
      </c>
      <c r="E449" s="3" t="str">
        <f aca="false">IFERROR(INDEX(Calc!$P$2:$P$1001,MATCH(ROW()-1,Calc!$X$2:$X$1001,0)),"")</f>
        <v/>
      </c>
      <c r="F449" s="3" t="str">
        <f aca="false">IF(G449="","",E449-D449)</f>
        <v/>
      </c>
      <c r="G449" s="0" t="str">
        <f aca="false">IFERROR(INDEX(Calc!$S$2:$S$1001,MATCH(ROW()-1,Calc!$X$2:$X$1001,0)),"")</f>
        <v/>
      </c>
    </row>
    <row r="450" customFormat="false" ht="15" hidden="false" customHeight="false" outlineLevel="0" collapsed="false">
      <c r="A450" s="0" t="str">
        <f aca="false">IFERROR(INDEX(Calc!$L$2:$L$1001,MATCH(ROW()-1,Calc!$X$2:$X$1001,0)),"")</f>
        <v/>
      </c>
      <c r="B450" s="0" t="str">
        <f aca="false">IFERROR(INDEX(Calc!$M$2:$M$1001,MATCH(ROW()-1,Calc!$X$2:$X$1001,0)),"")</f>
        <v/>
      </c>
      <c r="C450" s="0" t="str">
        <f aca="false">IFERROR(INDEX(Calc!$N$2:$N$1001,MATCH(ROW()-1,Calc!$X$2:$X$1001,0)),"")</f>
        <v/>
      </c>
      <c r="D450" s="3" t="str">
        <f aca="false">IFERROR(INDEX(Calc!$O$2:$O$1001,MATCH(ROW()-1,Calc!$X$2:$X$1001,0)),"")</f>
        <v/>
      </c>
      <c r="E450" s="3" t="str">
        <f aca="false">IFERROR(INDEX(Calc!$P$2:$P$1001,MATCH(ROW()-1,Calc!$X$2:$X$1001,0)),"")</f>
        <v/>
      </c>
      <c r="F450" s="3" t="str">
        <f aca="false">IF(G450="","",E450-D450)</f>
        <v/>
      </c>
      <c r="G450" s="0" t="str">
        <f aca="false">IFERROR(INDEX(Calc!$S$2:$S$1001,MATCH(ROW()-1,Calc!$X$2:$X$1001,0)),"")</f>
        <v/>
      </c>
    </row>
    <row r="451" customFormat="false" ht="15" hidden="false" customHeight="false" outlineLevel="0" collapsed="false">
      <c r="A451" s="0" t="str">
        <f aca="false">IFERROR(INDEX(Calc!$L$2:$L$1001,MATCH(ROW()-1,Calc!$X$2:$X$1001,0)),"")</f>
        <v/>
      </c>
      <c r="B451" s="0" t="str">
        <f aca="false">IFERROR(INDEX(Calc!$M$2:$M$1001,MATCH(ROW()-1,Calc!$X$2:$X$1001,0)),"")</f>
        <v/>
      </c>
      <c r="C451" s="0" t="str">
        <f aca="false">IFERROR(INDEX(Calc!$N$2:$N$1001,MATCH(ROW()-1,Calc!$X$2:$X$1001,0)),"")</f>
        <v/>
      </c>
      <c r="D451" s="3" t="str">
        <f aca="false">IFERROR(INDEX(Calc!$O$2:$O$1001,MATCH(ROW()-1,Calc!$X$2:$X$1001,0)),"")</f>
        <v/>
      </c>
      <c r="E451" s="3" t="str">
        <f aca="false">IFERROR(INDEX(Calc!$P$2:$P$1001,MATCH(ROW()-1,Calc!$X$2:$X$1001,0)),"")</f>
        <v/>
      </c>
      <c r="F451" s="3" t="str">
        <f aca="false">IF(G451="","",E451-D451)</f>
        <v/>
      </c>
      <c r="G451" s="0" t="str">
        <f aca="false">IFERROR(INDEX(Calc!$S$2:$S$1001,MATCH(ROW()-1,Calc!$X$2:$X$1001,0)),"")</f>
        <v/>
      </c>
    </row>
    <row r="452" customFormat="false" ht="15" hidden="false" customHeight="false" outlineLevel="0" collapsed="false">
      <c r="A452" s="0" t="str">
        <f aca="false">IFERROR(INDEX(Calc!$L$2:$L$1001,MATCH(ROW()-1,Calc!$X$2:$X$1001,0)),"")</f>
        <v/>
      </c>
      <c r="B452" s="0" t="str">
        <f aca="false">IFERROR(INDEX(Calc!$M$2:$M$1001,MATCH(ROW()-1,Calc!$X$2:$X$1001,0)),"")</f>
        <v/>
      </c>
      <c r="C452" s="0" t="str">
        <f aca="false">IFERROR(INDEX(Calc!$N$2:$N$1001,MATCH(ROW()-1,Calc!$X$2:$X$1001,0)),"")</f>
        <v/>
      </c>
      <c r="D452" s="3" t="str">
        <f aca="false">IFERROR(INDEX(Calc!$O$2:$O$1001,MATCH(ROW()-1,Calc!$X$2:$X$1001,0)),"")</f>
        <v/>
      </c>
      <c r="E452" s="3" t="str">
        <f aca="false">IFERROR(INDEX(Calc!$P$2:$P$1001,MATCH(ROW()-1,Calc!$X$2:$X$1001,0)),"")</f>
        <v/>
      </c>
      <c r="F452" s="3" t="str">
        <f aca="false">IF(G452="","",E452-D452)</f>
        <v/>
      </c>
      <c r="G452" s="0" t="str">
        <f aca="false">IFERROR(INDEX(Calc!$S$2:$S$1001,MATCH(ROW()-1,Calc!$X$2:$X$1001,0)),"")</f>
        <v/>
      </c>
    </row>
    <row r="453" customFormat="false" ht="15" hidden="false" customHeight="false" outlineLevel="0" collapsed="false">
      <c r="A453" s="0" t="str">
        <f aca="false">IFERROR(INDEX(Calc!$L$2:$L$1001,MATCH(ROW()-1,Calc!$X$2:$X$1001,0)),"")</f>
        <v/>
      </c>
      <c r="B453" s="0" t="str">
        <f aca="false">IFERROR(INDEX(Calc!$M$2:$M$1001,MATCH(ROW()-1,Calc!$X$2:$X$1001,0)),"")</f>
        <v/>
      </c>
      <c r="C453" s="0" t="str">
        <f aca="false">IFERROR(INDEX(Calc!$N$2:$N$1001,MATCH(ROW()-1,Calc!$X$2:$X$1001,0)),"")</f>
        <v/>
      </c>
      <c r="D453" s="3" t="str">
        <f aca="false">IFERROR(INDEX(Calc!$O$2:$O$1001,MATCH(ROW()-1,Calc!$X$2:$X$1001,0)),"")</f>
        <v/>
      </c>
      <c r="E453" s="3" t="str">
        <f aca="false">IFERROR(INDEX(Calc!$P$2:$P$1001,MATCH(ROW()-1,Calc!$X$2:$X$1001,0)),"")</f>
        <v/>
      </c>
      <c r="F453" s="3" t="str">
        <f aca="false">IF(G453="","",E453-D453)</f>
        <v/>
      </c>
      <c r="G453" s="0" t="str">
        <f aca="false">IFERROR(INDEX(Calc!$S$2:$S$1001,MATCH(ROW()-1,Calc!$X$2:$X$1001,0)),"")</f>
        <v/>
      </c>
    </row>
    <row r="454" customFormat="false" ht="15" hidden="false" customHeight="false" outlineLevel="0" collapsed="false">
      <c r="A454" s="0" t="str">
        <f aca="false">IFERROR(INDEX(Calc!$L$2:$L$1001,MATCH(ROW()-1,Calc!$X$2:$X$1001,0)),"")</f>
        <v/>
      </c>
      <c r="B454" s="0" t="str">
        <f aca="false">IFERROR(INDEX(Calc!$M$2:$M$1001,MATCH(ROW()-1,Calc!$X$2:$X$1001,0)),"")</f>
        <v/>
      </c>
      <c r="C454" s="0" t="str">
        <f aca="false">IFERROR(INDEX(Calc!$N$2:$N$1001,MATCH(ROW()-1,Calc!$X$2:$X$1001,0)),"")</f>
        <v/>
      </c>
      <c r="D454" s="3" t="str">
        <f aca="false">IFERROR(INDEX(Calc!$O$2:$O$1001,MATCH(ROW()-1,Calc!$X$2:$X$1001,0)),"")</f>
        <v/>
      </c>
      <c r="E454" s="3" t="str">
        <f aca="false">IFERROR(INDEX(Calc!$P$2:$P$1001,MATCH(ROW()-1,Calc!$X$2:$X$1001,0)),"")</f>
        <v/>
      </c>
      <c r="F454" s="3" t="str">
        <f aca="false">IF(G454="","",E454-D454)</f>
        <v/>
      </c>
      <c r="G454" s="0" t="str">
        <f aca="false">IFERROR(INDEX(Calc!$S$2:$S$1001,MATCH(ROW()-1,Calc!$X$2:$X$1001,0)),"")</f>
        <v/>
      </c>
    </row>
    <row r="455" customFormat="false" ht="15" hidden="false" customHeight="false" outlineLevel="0" collapsed="false">
      <c r="A455" s="0" t="str">
        <f aca="false">IFERROR(INDEX(Calc!$L$2:$L$1001,MATCH(ROW()-1,Calc!$X$2:$X$1001,0)),"")</f>
        <v/>
      </c>
      <c r="B455" s="0" t="str">
        <f aca="false">IFERROR(INDEX(Calc!$M$2:$M$1001,MATCH(ROW()-1,Calc!$X$2:$X$1001,0)),"")</f>
        <v/>
      </c>
      <c r="C455" s="0" t="str">
        <f aca="false">IFERROR(INDEX(Calc!$N$2:$N$1001,MATCH(ROW()-1,Calc!$X$2:$X$1001,0)),"")</f>
        <v/>
      </c>
      <c r="D455" s="3" t="str">
        <f aca="false">IFERROR(INDEX(Calc!$O$2:$O$1001,MATCH(ROW()-1,Calc!$X$2:$X$1001,0)),"")</f>
        <v/>
      </c>
      <c r="E455" s="3" t="str">
        <f aca="false">IFERROR(INDEX(Calc!$P$2:$P$1001,MATCH(ROW()-1,Calc!$X$2:$X$1001,0)),"")</f>
        <v/>
      </c>
      <c r="F455" s="3" t="str">
        <f aca="false">IF(G455="","",E455-D455)</f>
        <v/>
      </c>
      <c r="G455" s="0" t="str">
        <f aca="false">IFERROR(INDEX(Calc!$S$2:$S$1001,MATCH(ROW()-1,Calc!$X$2:$X$1001,0)),"")</f>
        <v/>
      </c>
    </row>
    <row r="456" customFormat="false" ht="15" hidden="false" customHeight="false" outlineLevel="0" collapsed="false">
      <c r="A456" s="0" t="str">
        <f aca="false">IFERROR(INDEX(Calc!$L$2:$L$1001,MATCH(ROW()-1,Calc!$X$2:$X$1001,0)),"")</f>
        <v/>
      </c>
      <c r="B456" s="0" t="str">
        <f aca="false">IFERROR(INDEX(Calc!$M$2:$M$1001,MATCH(ROW()-1,Calc!$X$2:$X$1001,0)),"")</f>
        <v/>
      </c>
      <c r="C456" s="0" t="str">
        <f aca="false">IFERROR(INDEX(Calc!$N$2:$N$1001,MATCH(ROW()-1,Calc!$X$2:$X$1001,0)),"")</f>
        <v/>
      </c>
      <c r="D456" s="3" t="str">
        <f aca="false">IFERROR(INDEX(Calc!$O$2:$O$1001,MATCH(ROW()-1,Calc!$X$2:$X$1001,0)),"")</f>
        <v/>
      </c>
      <c r="E456" s="3" t="str">
        <f aca="false">IFERROR(INDEX(Calc!$P$2:$P$1001,MATCH(ROW()-1,Calc!$X$2:$X$1001,0)),"")</f>
        <v/>
      </c>
      <c r="F456" s="3" t="str">
        <f aca="false">IF(G456="","",E456-D456)</f>
        <v/>
      </c>
      <c r="G456" s="0" t="str">
        <f aca="false">IFERROR(INDEX(Calc!$S$2:$S$1001,MATCH(ROW()-1,Calc!$X$2:$X$1001,0)),"")</f>
        <v/>
      </c>
    </row>
    <row r="457" customFormat="false" ht="15" hidden="false" customHeight="false" outlineLevel="0" collapsed="false">
      <c r="A457" s="0" t="str">
        <f aca="false">IFERROR(INDEX(Calc!$L$2:$L$1001,MATCH(ROW()-1,Calc!$X$2:$X$1001,0)),"")</f>
        <v/>
      </c>
      <c r="B457" s="0" t="str">
        <f aca="false">IFERROR(INDEX(Calc!$M$2:$M$1001,MATCH(ROW()-1,Calc!$X$2:$X$1001,0)),"")</f>
        <v/>
      </c>
      <c r="C457" s="0" t="str">
        <f aca="false">IFERROR(INDEX(Calc!$N$2:$N$1001,MATCH(ROW()-1,Calc!$X$2:$X$1001,0)),"")</f>
        <v/>
      </c>
      <c r="D457" s="3" t="str">
        <f aca="false">IFERROR(INDEX(Calc!$O$2:$O$1001,MATCH(ROW()-1,Calc!$X$2:$X$1001,0)),"")</f>
        <v/>
      </c>
      <c r="E457" s="3" t="str">
        <f aca="false">IFERROR(INDEX(Calc!$P$2:$P$1001,MATCH(ROW()-1,Calc!$X$2:$X$1001,0)),"")</f>
        <v/>
      </c>
      <c r="F457" s="3" t="str">
        <f aca="false">IF(G457="","",E457-D457)</f>
        <v/>
      </c>
      <c r="G457" s="0" t="str">
        <f aca="false">IFERROR(INDEX(Calc!$S$2:$S$1001,MATCH(ROW()-1,Calc!$X$2:$X$1001,0)),"")</f>
        <v/>
      </c>
    </row>
    <row r="458" customFormat="false" ht="15" hidden="false" customHeight="false" outlineLevel="0" collapsed="false">
      <c r="A458" s="0" t="str">
        <f aca="false">IFERROR(INDEX(Calc!$L$2:$L$1001,MATCH(ROW()-1,Calc!$X$2:$X$1001,0)),"")</f>
        <v/>
      </c>
      <c r="B458" s="0" t="str">
        <f aca="false">IFERROR(INDEX(Calc!$M$2:$M$1001,MATCH(ROW()-1,Calc!$X$2:$X$1001,0)),"")</f>
        <v/>
      </c>
      <c r="C458" s="0" t="str">
        <f aca="false">IFERROR(INDEX(Calc!$N$2:$N$1001,MATCH(ROW()-1,Calc!$X$2:$X$1001,0)),"")</f>
        <v/>
      </c>
      <c r="D458" s="3" t="str">
        <f aca="false">IFERROR(INDEX(Calc!$O$2:$O$1001,MATCH(ROW()-1,Calc!$X$2:$X$1001,0)),"")</f>
        <v/>
      </c>
      <c r="E458" s="3" t="str">
        <f aca="false">IFERROR(INDEX(Calc!$P$2:$P$1001,MATCH(ROW()-1,Calc!$X$2:$X$1001,0)),"")</f>
        <v/>
      </c>
      <c r="F458" s="3" t="str">
        <f aca="false">IF(G458="","",E458-D458)</f>
        <v/>
      </c>
      <c r="G458" s="0" t="str">
        <f aca="false">IFERROR(INDEX(Calc!$S$2:$S$1001,MATCH(ROW()-1,Calc!$X$2:$X$1001,0)),"")</f>
        <v/>
      </c>
    </row>
    <row r="459" customFormat="false" ht="15" hidden="false" customHeight="false" outlineLevel="0" collapsed="false">
      <c r="A459" s="0" t="str">
        <f aca="false">IFERROR(INDEX(Calc!$L$2:$L$1001,MATCH(ROW()-1,Calc!$X$2:$X$1001,0)),"")</f>
        <v/>
      </c>
      <c r="B459" s="0" t="str">
        <f aca="false">IFERROR(INDEX(Calc!$M$2:$M$1001,MATCH(ROW()-1,Calc!$X$2:$X$1001,0)),"")</f>
        <v/>
      </c>
      <c r="C459" s="0" t="str">
        <f aca="false">IFERROR(INDEX(Calc!$N$2:$N$1001,MATCH(ROW()-1,Calc!$X$2:$X$1001,0)),"")</f>
        <v/>
      </c>
      <c r="D459" s="3" t="str">
        <f aca="false">IFERROR(INDEX(Calc!$O$2:$O$1001,MATCH(ROW()-1,Calc!$X$2:$X$1001,0)),"")</f>
        <v/>
      </c>
      <c r="E459" s="3" t="str">
        <f aca="false">IFERROR(INDEX(Calc!$P$2:$P$1001,MATCH(ROW()-1,Calc!$X$2:$X$1001,0)),"")</f>
        <v/>
      </c>
      <c r="F459" s="3" t="str">
        <f aca="false">IF(G459="","",E459-D459)</f>
        <v/>
      </c>
      <c r="G459" s="0" t="str">
        <f aca="false">IFERROR(INDEX(Calc!$S$2:$S$1001,MATCH(ROW()-1,Calc!$X$2:$X$1001,0)),"")</f>
        <v/>
      </c>
    </row>
    <row r="460" customFormat="false" ht="15" hidden="false" customHeight="false" outlineLevel="0" collapsed="false">
      <c r="A460" s="0" t="str">
        <f aca="false">IFERROR(INDEX(Calc!$L$2:$L$1001,MATCH(ROW()-1,Calc!$X$2:$X$1001,0)),"")</f>
        <v/>
      </c>
      <c r="B460" s="0" t="str">
        <f aca="false">IFERROR(INDEX(Calc!$M$2:$M$1001,MATCH(ROW()-1,Calc!$X$2:$X$1001,0)),"")</f>
        <v/>
      </c>
      <c r="C460" s="0" t="str">
        <f aca="false">IFERROR(INDEX(Calc!$N$2:$N$1001,MATCH(ROW()-1,Calc!$X$2:$X$1001,0)),"")</f>
        <v/>
      </c>
      <c r="D460" s="3" t="str">
        <f aca="false">IFERROR(INDEX(Calc!$O$2:$O$1001,MATCH(ROW()-1,Calc!$X$2:$X$1001,0)),"")</f>
        <v/>
      </c>
      <c r="E460" s="3" t="str">
        <f aca="false">IFERROR(INDEX(Calc!$P$2:$P$1001,MATCH(ROW()-1,Calc!$X$2:$X$1001,0)),"")</f>
        <v/>
      </c>
      <c r="F460" s="3" t="str">
        <f aca="false">IF(G460="","",E460-D460)</f>
        <v/>
      </c>
      <c r="G460" s="0" t="str">
        <f aca="false">IFERROR(INDEX(Calc!$S$2:$S$1001,MATCH(ROW()-1,Calc!$X$2:$X$1001,0)),"")</f>
        <v/>
      </c>
    </row>
    <row r="461" customFormat="false" ht="15" hidden="false" customHeight="false" outlineLevel="0" collapsed="false">
      <c r="A461" s="0" t="str">
        <f aca="false">IFERROR(INDEX(Calc!$L$2:$L$1001,MATCH(ROW()-1,Calc!$X$2:$X$1001,0)),"")</f>
        <v/>
      </c>
      <c r="B461" s="0" t="str">
        <f aca="false">IFERROR(INDEX(Calc!$M$2:$M$1001,MATCH(ROW()-1,Calc!$X$2:$X$1001,0)),"")</f>
        <v/>
      </c>
      <c r="C461" s="0" t="str">
        <f aca="false">IFERROR(INDEX(Calc!$N$2:$N$1001,MATCH(ROW()-1,Calc!$X$2:$X$1001,0)),"")</f>
        <v/>
      </c>
      <c r="D461" s="3" t="str">
        <f aca="false">IFERROR(INDEX(Calc!$O$2:$O$1001,MATCH(ROW()-1,Calc!$X$2:$X$1001,0)),"")</f>
        <v/>
      </c>
      <c r="E461" s="3" t="str">
        <f aca="false">IFERROR(INDEX(Calc!$P$2:$P$1001,MATCH(ROW()-1,Calc!$X$2:$X$1001,0)),"")</f>
        <v/>
      </c>
      <c r="F461" s="3" t="str">
        <f aca="false">IF(G461="","",E461-D461)</f>
        <v/>
      </c>
      <c r="G461" s="0" t="str">
        <f aca="false">IFERROR(INDEX(Calc!$S$2:$S$1001,MATCH(ROW()-1,Calc!$X$2:$X$1001,0)),"")</f>
        <v/>
      </c>
    </row>
    <row r="462" customFormat="false" ht="15" hidden="false" customHeight="false" outlineLevel="0" collapsed="false">
      <c r="A462" s="0" t="str">
        <f aca="false">IFERROR(INDEX(Calc!$L$2:$L$1001,MATCH(ROW()-1,Calc!$X$2:$X$1001,0)),"")</f>
        <v/>
      </c>
      <c r="B462" s="0" t="str">
        <f aca="false">IFERROR(INDEX(Calc!$M$2:$M$1001,MATCH(ROW()-1,Calc!$X$2:$X$1001,0)),"")</f>
        <v/>
      </c>
      <c r="C462" s="0" t="str">
        <f aca="false">IFERROR(INDEX(Calc!$N$2:$N$1001,MATCH(ROW()-1,Calc!$X$2:$X$1001,0)),"")</f>
        <v/>
      </c>
      <c r="D462" s="3" t="str">
        <f aca="false">IFERROR(INDEX(Calc!$O$2:$O$1001,MATCH(ROW()-1,Calc!$X$2:$X$1001,0)),"")</f>
        <v/>
      </c>
      <c r="E462" s="3" t="str">
        <f aca="false">IFERROR(INDEX(Calc!$P$2:$P$1001,MATCH(ROW()-1,Calc!$X$2:$X$1001,0)),"")</f>
        <v/>
      </c>
      <c r="F462" s="3" t="str">
        <f aca="false">IF(G462="","",E462-D462)</f>
        <v/>
      </c>
      <c r="G462" s="0" t="str">
        <f aca="false">IFERROR(INDEX(Calc!$S$2:$S$1001,MATCH(ROW()-1,Calc!$X$2:$X$1001,0)),"")</f>
        <v/>
      </c>
    </row>
    <row r="463" customFormat="false" ht="15" hidden="false" customHeight="false" outlineLevel="0" collapsed="false">
      <c r="A463" s="0" t="str">
        <f aca="false">IFERROR(INDEX(Calc!$L$2:$L$1001,MATCH(ROW()-1,Calc!$X$2:$X$1001,0)),"")</f>
        <v/>
      </c>
      <c r="B463" s="0" t="str">
        <f aca="false">IFERROR(INDEX(Calc!$M$2:$M$1001,MATCH(ROW()-1,Calc!$X$2:$X$1001,0)),"")</f>
        <v/>
      </c>
      <c r="C463" s="0" t="str">
        <f aca="false">IFERROR(INDEX(Calc!$N$2:$N$1001,MATCH(ROW()-1,Calc!$X$2:$X$1001,0)),"")</f>
        <v/>
      </c>
      <c r="D463" s="3" t="str">
        <f aca="false">IFERROR(INDEX(Calc!$O$2:$O$1001,MATCH(ROW()-1,Calc!$X$2:$X$1001,0)),"")</f>
        <v/>
      </c>
      <c r="E463" s="3" t="str">
        <f aca="false">IFERROR(INDEX(Calc!$P$2:$P$1001,MATCH(ROW()-1,Calc!$X$2:$X$1001,0)),"")</f>
        <v/>
      </c>
      <c r="F463" s="3" t="str">
        <f aca="false">IF(G463="","",E463-D463)</f>
        <v/>
      </c>
      <c r="G463" s="0" t="str">
        <f aca="false">IFERROR(INDEX(Calc!$S$2:$S$1001,MATCH(ROW()-1,Calc!$X$2:$X$1001,0)),"")</f>
        <v/>
      </c>
    </row>
    <row r="464" customFormat="false" ht="15" hidden="false" customHeight="false" outlineLevel="0" collapsed="false">
      <c r="A464" s="0" t="str">
        <f aca="false">IFERROR(INDEX(Calc!$L$2:$L$1001,MATCH(ROW()-1,Calc!$X$2:$X$1001,0)),"")</f>
        <v/>
      </c>
      <c r="B464" s="0" t="str">
        <f aca="false">IFERROR(INDEX(Calc!$M$2:$M$1001,MATCH(ROW()-1,Calc!$X$2:$X$1001,0)),"")</f>
        <v/>
      </c>
      <c r="C464" s="0" t="str">
        <f aca="false">IFERROR(INDEX(Calc!$N$2:$N$1001,MATCH(ROW()-1,Calc!$X$2:$X$1001,0)),"")</f>
        <v/>
      </c>
      <c r="D464" s="3" t="str">
        <f aca="false">IFERROR(INDEX(Calc!$O$2:$O$1001,MATCH(ROW()-1,Calc!$X$2:$X$1001,0)),"")</f>
        <v/>
      </c>
      <c r="E464" s="3" t="str">
        <f aca="false">IFERROR(INDEX(Calc!$P$2:$P$1001,MATCH(ROW()-1,Calc!$X$2:$X$1001,0)),"")</f>
        <v/>
      </c>
      <c r="F464" s="3" t="str">
        <f aca="false">IF(G464="","",E464-D464)</f>
        <v/>
      </c>
      <c r="G464" s="0" t="str">
        <f aca="false">IFERROR(INDEX(Calc!$S$2:$S$1001,MATCH(ROW()-1,Calc!$X$2:$X$1001,0)),"")</f>
        <v/>
      </c>
    </row>
    <row r="465" customFormat="false" ht="15" hidden="false" customHeight="false" outlineLevel="0" collapsed="false">
      <c r="A465" s="0" t="str">
        <f aca="false">IFERROR(INDEX(Calc!$L$2:$L$1001,MATCH(ROW()-1,Calc!$X$2:$X$1001,0)),"")</f>
        <v/>
      </c>
      <c r="B465" s="0" t="str">
        <f aca="false">IFERROR(INDEX(Calc!$M$2:$M$1001,MATCH(ROW()-1,Calc!$X$2:$X$1001,0)),"")</f>
        <v/>
      </c>
      <c r="C465" s="0" t="str">
        <f aca="false">IFERROR(INDEX(Calc!$N$2:$N$1001,MATCH(ROW()-1,Calc!$X$2:$X$1001,0)),"")</f>
        <v/>
      </c>
      <c r="D465" s="3" t="str">
        <f aca="false">IFERROR(INDEX(Calc!$O$2:$O$1001,MATCH(ROW()-1,Calc!$X$2:$X$1001,0)),"")</f>
        <v/>
      </c>
      <c r="E465" s="3" t="str">
        <f aca="false">IFERROR(INDEX(Calc!$P$2:$P$1001,MATCH(ROW()-1,Calc!$X$2:$X$1001,0)),"")</f>
        <v/>
      </c>
      <c r="F465" s="3" t="str">
        <f aca="false">IF(G465="","",E465-D465)</f>
        <v/>
      </c>
      <c r="G465" s="0" t="str">
        <f aca="false">IFERROR(INDEX(Calc!$S$2:$S$1001,MATCH(ROW()-1,Calc!$X$2:$X$1001,0)),"")</f>
        <v/>
      </c>
    </row>
    <row r="466" customFormat="false" ht="15" hidden="false" customHeight="false" outlineLevel="0" collapsed="false">
      <c r="A466" s="0" t="str">
        <f aca="false">IFERROR(INDEX(Calc!$L$2:$L$1001,MATCH(ROW()-1,Calc!$X$2:$X$1001,0)),"")</f>
        <v/>
      </c>
      <c r="B466" s="0" t="str">
        <f aca="false">IFERROR(INDEX(Calc!$M$2:$M$1001,MATCH(ROW()-1,Calc!$X$2:$X$1001,0)),"")</f>
        <v/>
      </c>
      <c r="C466" s="0" t="str">
        <f aca="false">IFERROR(INDEX(Calc!$N$2:$N$1001,MATCH(ROW()-1,Calc!$X$2:$X$1001,0)),"")</f>
        <v/>
      </c>
      <c r="D466" s="3" t="str">
        <f aca="false">IFERROR(INDEX(Calc!$O$2:$O$1001,MATCH(ROW()-1,Calc!$X$2:$X$1001,0)),"")</f>
        <v/>
      </c>
      <c r="E466" s="3" t="str">
        <f aca="false">IFERROR(INDEX(Calc!$P$2:$P$1001,MATCH(ROW()-1,Calc!$X$2:$X$1001,0)),"")</f>
        <v/>
      </c>
      <c r="F466" s="3" t="str">
        <f aca="false">IF(G466="","",E466-D466)</f>
        <v/>
      </c>
      <c r="G466" s="0" t="str">
        <f aca="false">IFERROR(INDEX(Calc!$S$2:$S$1001,MATCH(ROW()-1,Calc!$X$2:$X$1001,0)),"")</f>
        <v/>
      </c>
    </row>
    <row r="467" customFormat="false" ht="15" hidden="false" customHeight="false" outlineLevel="0" collapsed="false">
      <c r="A467" s="0" t="str">
        <f aca="false">IFERROR(INDEX(Calc!$L$2:$L$1001,MATCH(ROW()-1,Calc!$X$2:$X$1001,0)),"")</f>
        <v/>
      </c>
      <c r="B467" s="0" t="str">
        <f aca="false">IFERROR(INDEX(Calc!$M$2:$M$1001,MATCH(ROW()-1,Calc!$X$2:$X$1001,0)),"")</f>
        <v/>
      </c>
      <c r="C467" s="0" t="str">
        <f aca="false">IFERROR(INDEX(Calc!$N$2:$N$1001,MATCH(ROW()-1,Calc!$X$2:$X$1001,0)),"")</f>
        <v/>
      </c>
      <c r="D467" s="3" t="str">
        <f aca="false">IFERROR(INDEX(Calc!$O$2:$O$1001,MATCH(ROW()-1,Calc!$X$2:$X$1001,0)),"")</f>
        <v/>
      </c>
      <c r="E467" s="3" t="str">
        <f aca="false">IFERROR(INDEX(Calc!$P$2:$P$1001,MATCH(ROW()-1,Calc!$X$2:$X$1001,0)),"")</f>
        <v/>
      </c>
      <c r="F467" s="3" t="str">
        <f aca="false">IF(G467="","",E467-D467)</f>
        <v/>
      </c>
      <c r="G467" s="0" t="str">
        <f aca="false">IFERROR(INDEX(Calc!$S$2:$S$1001,MATCH(ROW()-1,Calc!$X$2:$X$1001,0)),"")</f>
        <v/>
      </c>
    </row>
    <row r="468" customFormat="false" ht="15" hidden="false" customHeight="false" outlineLevel="0" collapsed="false">
      <c r="A468" s="0" t="str">
        <f aca="false">IFERROR(INDEX(Calc!$L$2:$L$1001,MATCH(ROW()-1,Calc!$X$2:$X$1001,0)),"")</f>
        <v/>
      </c>
      <c r="B468" s="0" t="str">
        <f aca="false">IFERROR(INDEX(Calc!$M$2:$M$1001,MATCH(ROW()-1,Calc!$X$2:$X$1001,0)),"")</f>
        <v/>
      </c>
      <c r="C468" s="0" t="str">
        <f aca="false">IFERROR(INDEX(Calc!$N$2:$N$1001,MATCH(ROW()-1,Calc!$X$2:$X$1001,0)),"")</f>
        <v/>
      </c>
      <c r="D468" s="3" t="str">
        <f aca="false">IFERROR(INDEX(Calc!$O$2:$O$1001,MATCH(ROW()-1,Calc!$X$2:$X$1001,0)),"")</f>
        <v/>
      </c>
      <c r="E468" s="3" t="str">
        <f aca="false">IFERROR(INDEX(Calc!$P$2:$P$1001,MATCH(ROW()-1,Calc!$X$2:$X$1001,0)),"")</f>
        <v/>
      </c>
      <c r="F468" s="3" t="str">
        <f aca="false">IF(G468="","",E468-D468)</f>
        <v/>
      </c>
      <c r="G468" s="0" t="str">
        <f aca="false">IFERROR(INDEX(Calc!$S$2:$S$1001,MATCH(ROW()-1,Calc!$X$2:$X$1001,0)),"")</f>
        <v/>
      </c>
    </row>
    <row r="469" customFormat="false" ht="15" hidden="false" customHeight="false" outlineLevel="0" collapsed="false">
      <c r="A469" s="0" t="str">
        <f aca="false">IFERROR(INDEX(Calc!$L$2:$L$1001,MATCH(ROW()-1,Calc!$X$2:$X$1001,0)),"")</f>
        <v/>
      </c>
      <c r="B469" s="0" t="str">
        <f aca="false">IFERROR(INDEX(Calc!$M$2:$M$1001,MATCH(ROW()-1,Calc!$X$2:$X$1001,0)),"")</f>
        <v/>
      </c>
      <c r="C469" s="0" t="str">
        <f aca="false">IFERROR(INDEX(Calc!$N$2:$N$1001,MATCH(ROW()-1,Calc!$X$2:$X$1001,0)),"")</f>
        <v/>
      </c>
      <c r="D469" s="3" t="str">
        <f aca="false">IFERROR(INDEX(Calc!$O$2:$O$1001,MATCH(ROW()-1,Calc!$X$2:$X$1001,0)),"")</f>
        <v/>
      </c>
      <c r="E469" s="3" t="str">
        <f aca="false">IFERROR(INDEX(Calc!$P$2:$P$1001,MATCH(ROW()-1,Calc!$X$2:$X$1001,0)),"")</f>
        <v/>
      </c>
      <c r="F469" s="3" t="str">
        <f aca="false">IF(G469="","",E469-D469)</f>
        <v/>
      </c>
      <c r="G469" s="0" t="str">
        <f aca="false">IFERROR(INDEX(Calc!$S$2:$S$1001,MATCH(ROW()-1,Calc!$X$2:$X$1001,0)),"")</f>
        <v/>
      </c>
    </row>
    <row r="470" customFormat="false" ht="15" hidden="false" customHeight="false" outlineLevel="0" collapsed="false">
      <c r="A470" s="0" t="str">
        <f aca="false">IFERROR(INDEX(Calc!$L$2:$L$1001,MATCH(ROW()-1,Calc!$X$2:$X$1001,0)),"")</f>
        <v/>
      </c>
      <c r="B470" s="0" t="str">
        <f aca="false">IFERROR(INDEX(Calc!$M$2:$M$1001,MATCH(ROW()-1,Calc!$X$2:$X$1001,0)),"")</f>
        <v/>
      </c>
      <c r="C470" s="0" t="str">
        <f aca="false">IFERROR(INDEX(Calc!$N$2:$N$1001,MATCH(ROW()-1,Calc!$X$2:$X$1001,0)),"")</f>
        <v/>
      </c>
      <c r="D470" s="3" t="str">
        <f aca="false">IFERROR(INDEX(Calc!$O$2:$O$1001,MATCH(ROW()-1,Calc!$X$2:$X$1001,0)),"")</f>
        <v/>
      </c>
      <c r="E470" s="3" t="str">
        <f aca="false">IFERROR(INDEX(Calc!$P$2:$P$1001,MATCH(ROW()-1,Calc!$X$2:$X$1001,0)),"")</f>
        <v/>
      </c>
      <c r="F470" s="3" t="str">
        <f aca="false">IF(G470="","",E470-D470)</f>
        <v/>
      </c>
      <c r="G470" s="0" t="str">
        <f aca="false">IFERROR(INDEX(Calc!$S$2:$S$1001,MATCH(ROW()-1,Calc!$X$2:$X$1001,0)),"")</f>
        <v/>
      </c>
    </row>
    <row r="471" customFormat="false" ht="15" hidden="false" customHeight="false" outlineLevel="0" collapsed="false">
      <c r="A471" s="0" t="str">
        <f aca="false">IFERROR(INDEX(Calc!$L$2:$L$1001,MATCH(ROW()-1,Calc!$X$2:$X$1001,0)),"")</f>
        <v/>
      </c>
      <c r="B471" s="0" t="str">
        <f aca="false">IFERROR(INDEX(Calc!$M$2:$M$1001,MATCH(ROW()-1,Calc!$X$2:$X$1001,0)),"")</f>
        <v/>
      </c>
      <c r="C471" s="0" t="str">
        <f aca="false">IFERROR(INDEX(Calc!$N$2:$N$1001,MATCH(ROW()-1,Calc!$X$2:$X$1001,0)),"")</f>
        <v/>
      </c>
      <c r="D471" s="3" t="str">
        <f aca="false">IFERROR(INDEX(Calc!$O$2:$O$1001,MATCH(ROW()-1,Calc!$X$2:$X$1001,0)),"")</f>
        <v/>
      </c>
      <c r="E471" s="3" t="str">
        <f aca="false">IFERROR(INDEX(Calc!$P$2:$P$1001,MATCH(ROW()-1,Calc!$X$2:$X$1001,0)),"")</f>
        <v/>
      </c>
      <c r="F471" s="3" t="str">
        <f aca="false">IF(G471="","",E471-D471)</f>
        <v/>
      </c>
      <c r="G471" s="0" t="str">
        <f aca="false">IFERROR(INDEX(Calc!$S$2:$S$1001,MATCH(ROW()-1,Calc!$X$2:$X$1001,0)),"")</f>
        <v/>
      </c>
    </row>
    <row r="472" customFormat="false" ht="15" hidden="false" customHeight="false" outlineLevel="0" collapsed="false">
      <c r="A472" s="0" t="str">
        <f aca="false">IFERROR(INDEX(Calc!$L$2:$L$1001,MATCH(ROW()-1,Calc!$X$2:$X$1001,0)),"")</f>
        <v/>
      </c>
      <c r="B472" s="0" t="str">
        <f aca="false">IFERROR(INDEX(Calc!$M$2:$M$1001,MATCH(ROW()-1,Calc!$X$2:$X$1001,0)),"")</f>
        <v/>
      </c>
      <c r="C472" s="0" t="str">
        <f aca="false">IFERROR(INDEX(Calc!$N$2:$N$1001,MATCH(ROW()-1,Calc!$X$2:$X$1001,0)),"")</f>
        <v/>
      </c>
      <c r="D472" s="3" t="str">
        <f aca="false">IFERROR(INDEX(Calc!$O$2:$O$1001,MATCH(ROW()-1,Calc!$X$2:$X$1001,0)),"")</f>
        <v/>
      </c>
      <c r="E472" s="3" t="str">
        <f aca="false">IFERROR(INDEX(Calc!$P$2:$P$1001,MATCH(ROW()-1,Calc!$X$2:$X$1001,0)),"")</f>
        <v/>
      </c>
      <c r="F472" s="3" t="str">
        <f aca="false">IF(G472="","",E472-D472)</f>
        <v/>
      </c>
      <c r="G472" s="0" t="str">
        <f aca="false">IFERROR(INDEX(Calc!$S$2:$S$1001,MATCH(ROW()-1,Calc!$X$2:$X$1001,0)),"")</f>
        <v/>
      </c>
    </row>
    <row r="473" customFormat="false" ht="15" hidden="false" customHeight="false" outlineLevel="0" collapsed="false">
      <c r="A473" s="0" t="str">
        <f aca="false">IFERROR(INDEX(Calc!$L$2:$L$1001,MATCH(ROW()-1,Calc!$X$2:$X$1001,0)),"")</f>
        <v/>
      </c>
      <c r="B473" s="0" t="str">
        <f aca="false">IFERROR(INDEX(Calc!$M$2:$M$1001,MATCH(ROW()-1,Calc!$X$2:$X$1001,0)),"")</f>
        <v/>
      </c>
      <c r="C473" s="0" t="str">
        <f aca="false">IFERROR(INDEX(Calc!$N$2:$N$1001,MATCH(ROW()-1,Calc!$X$2:$X$1001,0)),"")</f>
        <v/>
      </c>
      <c r="D473" s="3" t="str">
        <f aca="false">IFERROR(INDEX(Calc!$O$2:$O$1001,MATCH(ROW()-1,Calc!$X$2:$X$1001,0)),"")</f>
        <v/>
      </c>
      <c r="E473" s="3" t="str">
        <f aca="false">IFERROR(INDEX(Calc!$P$2:$P$1001,MATCH(ROW()-1,Calc!$X$2:$X$1001,0)),"")</f>
        <v/>
      </c>
      <c r="F473" s="3" t="str">
        <f aca="false">IF(G473="","",E473-D473)</f>
        <v/>
      </c>
      <c r="G473" s="0" t="str">
        <f aca="false">IFERROR(INDEX(Calc!$S$2:$S$1001,MATCH(ROW()-1,Calc!$X$2:$X$1001,0)),"")</f>
        <v/>
      </c>
    </row>
    <row r="474" customFormat="false" ht="15" hidden="false" customHeight="false" outlineLevel="0" collapsed="false">
      <c r="A474" s="0" t="str">
        <f aca="false">IFERROR(INDEX(Calc!$L$2:$L$1001,MATCH(ROW()-1,Calc!$X$2:$X$1001,0)),"")</f>
        <v/>
      </c>
      <c r="B474" s="0" t="str">
        <f aca="false">IFERROR(INDEX(Calc!$M$2:$M$1001,MATCH(ROW()-1,Calc!$X$2:$X$1001,0)),"")</f>
        <v/>
      </c>
      <c r="C474" s="0" t="str">
        <f aca="false">IFERROR(INDEX(Calc!$N$2:$N$1001,MATCH(ROW()-1,Calc!$X$2:$X$1001,0)),"")</f>
        <v/>
      </c>
      <c r="D474" s="3" t="str">
        <f aca="false">IFERROR(INDEX(Calc!$O$2:$O$1001,MATCH(ROW()-1,Calc!$X$2:$X$1001,0)),"")</f>
        <v/>
      </c>
      <c r="E474" s="3" t="str">
        <f aca="false">IFERROR(INDEX(Calc!$P$2:$P$1001,MATCH(ROW()-1,Calc!$X$2:$X$1001,0)),"")</f>
        <v/>
      </c>
      <c r="F474" s="3" t="str">
        <f aca="false">IF(G474="","",E474-D474)</f>
        <v/>
      </c>
      <c r="G474" s="0" t="str">
        <f aca="false">IFERROR(INDEX(Calc!$S$2:$S$1001,MATCH(ROW()-1,Calc!$X$2:$X$1001,0)),"")</f>
        <v/>
      </c>
    </row>
    <row r="475" customFormat="false" ht="15" hidden="false" customHeight="false" outlineLevel="0" collapsed="false">
      <c r="A475" s="0" t="str">
        <f aca="false">IFERROR(INDEX(Calc!$L$2:$L$1001,MATCH(ROW()-1,Calc!$X$2:$X$1001,0)),"")</f>
        <v/>
      </c>
      <c r="B475" s="0" t="str">
        <f aca="false">IFERROR(INDEX(Calc!$M$2:$M$1001,MATCH(ROW()-1,Calc!$X$2:$X$1001,0)),"")</f>
        <v/>
      </c>
      <c r="C475" s="0" t="str">
        <f aca="false">IFERROR(INDEX(Calc!$N$2:$N$1001,MATCH(ROW()-1,Calc!$X$2:$X$1001,0)),"")</f>
        <v/>
      </c>
      <c r="D475" s="3" t="str">
        <f aca="false">IFERROR(INDEX(Calc!$O$2:$O$1001,MATCH(ROW()-1,Calc!$X$2:$X$1001,0)),"")</f>
        <v/>
      </c>
      <c r="E475" s="3" t="str">
        <f aca="false">IFERROR(INDEX(Calc!$P$2:$P$1001,MATCH(ROW()-1,Calc!$X$2:$X$1001,0)),"")</f>
        <v/>
      </c>
      <c r="F475" s="3" t="str">
        <f aca="false">IF(G475="","",E475-D475)</f>
        <v/>
      </c>
      <c r="G475" s="0" t="str">
        <f aca="false">IFERROR(INDEX(Calc!$S$2:$S$1001,MATCH(ROW()-1,Calc!$X$2:$X$1001,0)),"")</f>
        <v/>
      </c>
    </row>
    <row r="476" customFormat="false" ht="15" hidden="false" customHeight="false" outlineLevel="0" collapsed="false">
      <c r="A476" s="0" t="str">
        <f aca="false">IFERROR(INDEX(Calc!$L$2:$L$1001,MATCH(ROW()-1,Calc!$X$2:$X$1001,0)),"")</f>
        <v/>
      </c>
      <c r="B476" s="0" t="str">
        <f aca="false">IFERROR(INDEX(Calc!$M$2:$M$1001,MATCH(ROW()-1,Calc!$X$2:$X$1001,0)),"")</f>
        <v/>
      </c>
      <c r="C476" s="0" t="str">
        <f aca="false">IFERROR(INDEX(Calc!$N$2:$N$1001,MATCH(ROW()-1,Calc!$X$2:$X$1001,0)),"")</f>
        <v/>
      </c>
      <c r="D476" s="3" t="str">
        <f aca="false">IFERROR(INDEX(Calc!$O$2:$O$1001,MATCH(ROW()-1,Calc!$X$2:$X$1001,0)),"")</f>
        <v/>
      </c>
      <c r="E476" s="3" t="str">
        <f aca="false">IFERROR(INDEX(Calc!$P$2:$P$1001,MATCH(ROW()-1,Calc!$X$2:$X$1001,0)),"")</f>
        <v/>
      </c>
      <c r="F476" s="3" t="str">
        <f aca="false">IF(G476="","",E476-D476)</f>
        <v/>
      </c>
      <c r="G476" s="0" t="str">
        <f aca="false">IFERROR(INDEX(Calc!$S$2:$S$1001,MATCH(ROW()-1,Calc!$X$2:$X$1001,0)),"")</f>
        <v/>
      </c>
    </row>
    <row r="477" customFormat="false" ht="15" hidden="false" customHeight="false" outlineLevel="0" collapsed="false">
      <c r="A477" s="0" t="str">
        <f aca="false">IFERROR(INDEX(Calc!$L$2:$L$1001,MATCH(ROW()-1,Calc!$X$2:$X$1001,0)),"")</f>
        <v/>
      </c>
      <c r="B477" s="0" t="str">
        <f aca="false">IFERROR(INDEX(Calc!$M$2:$M$1001,MATCH(ROW()-1,Calc!$X$2:$X$1001,0)),"")</f>
        <v/>
      </c>
      <c r="C477" s="0" t="str">
        <f aca="false">IFERROR(INDEX(Calc!$N$2:$N$1001,MATCH(ROW()-1,Calc!$X$2:$X$1001,0)),"")</f>
        <v/>
      </c>
      <c r="D477" s="3" t="str">
        <f aca="false">IFERROR(INDEX(Calc!$O$2:$O$1001,MATCH(ROW()-1,Calc!$X$2:$X$1001,0)),"")</f>
        <v/>
      </c>
      <c r="E477" s="3" t="str">
        <f aca="false">IFERROR(INDEX(Calc!$P$2:$P$1001,MATCH(ROW()-1,Calc!$X$2:$X$1001,0)),"")</f>
        <v/>
      </c>
      <c r="F477" s="3" t="str">
        <f aca="false">IF(G477="","",E477-D477)</f>
        <v/>
      </c>
      <c r="G477" s="0" t="str">
        <f aca="false">IFERROR(INDEX(Calc!$S$2:$S$1001,MATCH(ROW()-1,Calc!$X$2:$X$1001,0)),"")</f>
        <v/>
      </c>
    </row>
    <row r="478" customFormat="false" ht="15" hidden="false" customHeight="false" outlineLevel="0" collapsed="false">
      <c r="A478" s="0" t="str">
        <f aca="false">IFERROR(INDEX(Calc!$L$2:$L$1001,MATCH(ROW()-1,Calc!$X$2:$X$1001,0)),"")</f>
        <v/>
      </c>
      <c r="B478" s="0" t="str">
        <f aca="false">IFERROR(INDEX(Calc!$M$2:$M$1001,MATCH(ROW()-1,Calc!$X$2:$X$1001,0)),"")</f>
        <v/>
      </c>
      <c r="C478" s="0" t="str">
        <f aca="false">IFERROR(INDEX(Calc!$N$2:$N$1001,MATCH(ROW()-1,Calc!$X$2:$X$1001,0)),"")</f>
        <v/>
      </c>
      <c r="D478" s="3" t="str">
        <f aca="false">IFERROR(INDEX(Calc!$O$2:$O$1001,MATCH(ROW()-1,Calc!$X$2:$X$1001,0)),"")</f>
        <v/>
      </c>
      <c r="E478" s="3" t="str">
        <f aca="false">IFERROR(INDEX(Calc!$P$2:$P$1001,MATCH(ROW()-1,Calc!$X$2:$X$1001,0)),"")</f>
        <v/>
      </c>
      <c r="F478" s="3" t="str">
        <f aca="false">IF(G478="","",E478-D478)</f>
        <v/>
      </c>
      <c r="G478" s="0" t="str">
        <f aca="false">IFERROR(INDEX(Calc!$S$2:$S$1001,MATCH(ROW()-1,Calc!$X$2:$X$1001,0)),"")</f>
        <v/>
      </c>
    </row>
    <row r="479" customFormat="false" ht="15" hidden="false" customHeight="false" outlineLevel="0" collapsed="false">
      <c r="A479" s="0" t="str">
        <f aca="false">IFERROR(INDEX(Calc!$L$2:$L$1001,MATCH(ROW()-1,Calc!$X$2:$X$1001,0)),"")</f>
        <v/>
      </c>
      <c r="B479" s="0" t="str">
        <f aca="false">IFERROR(INDEX(Calc!$M$2:$M$1001,MATCH(ROW()-1,Calc!$X$2:$X$1001,0)),"")</f>
        <v/>
      </c>
      <c r="C479" s="0" t="str">
        <f aca="false">IFERROR(INDEX(Calc!$N$2:$N$1001,MATCH(ROW()-1,Calc!$X$2:$X$1001,0)),"")</f>
        <v/>
      </c>
      <c r="D479" s="3" t="str">
        <f aca="false">IFERROR(INDEX(Calc!$O$2:$O$1001,MATCH(ROW()-1,Calc!$X$2:$X$1001,0)),"")</f>
        <v/>
      </c>
      <c r="E479" s="3" t="str">
        <f aca="false">IFERROR(INDEX(Calc!$P$2:$P$1001,MATCH(ROW()-1,Calc!$X$2:$X$1001,0)),"")</f>
        <v/>
      </c>
      <c r="F479" s="3" t="str">
        <f aca="false">IF(G479="","",E479-D479)</f>
        <v/>
      </c>
      <c r="G479" s="0" t="str">
        <f aca="false">IFERROR(INDEX(Calc!$S$2:$S$1001,MATCH(ROW()-1,Calc!$X$2:$X$1001,0)),"")</f>
        <v/>
      </c>
    </row>
    <row r="480" customFormat="false" ht="15" hidden="false" customHeight="false" outlineLevel="0" collapsed="false">
      <c r="A480" s="0" t="str">
        <f aca="false">IFERROR(INDEX(Calc!$L$2:$L$1001,MATCH(ROW()-1,Calc!$X$2:$X$1001,0)),"")</f>
        <v/>
      </c>
      <c r="B480" s="0" t="str">
        <f aca="false">IFERROR(INDEX(Calc!$M$2:$M$1001,MATCH(ROW()-1,Calc!$X$2:$X$1001,0)),"")</f>
        <v/>
      </c>
      <c r="C480" s="0" t="str">
        <f aca="false">IFERROR(INDEX(Calc!$N$2:$N$1001,MATCH(ROW()-1,Calc!$X$2:$X$1001,0)),"")</f>
        <v/>
      </c>
      <c r="D480" s="3" t="str">
        <f aca="false">IFERROR(INDEX(Calc!$O$2:$O$1001,MATCH(ROW()-1,Calc!$X$2:$X$1001,0)),"")</f>
        <v/>
      </c>
      <c r="E480" s="3" t="str">
        <f aca="false">IFERROR(INDEX(Calc!$P$2:$P$1001,MATCH(ROW()-1,Calc!$X$2:$X$1001,0)),"")</f>
        <v/>
      </c>
      <c r="F480" s="3" t="str">
        <f aca="false">IF(G480="","",E480-D480)</f>
        <v/>
      </c>
      <c r="G480" s="0" t="str">
        <f aca="false">IFERROR(INDEX(Calc!$S$2:$S$1001,MATCH(ROW()-1,Calc!$X$2:$X$1001,0)),"")</f>
        <v/>
      </c>
    </row>
    <row r="481" customFormat="false" ht="15" hidden="false" customHeight="false" outlineLevel="0" collapsed="false">
      <c r="A481" s="0" t="str">
        <f aca="false">IFERROR(INDEX(Calc!$L$2:$L$1001,MATCH(ROW()-1,Calc!$X$2:$X$1001,0)),"")</f>
        <v/>
      </c>
      <c r="B481" s="0" t="str">
        <f aca="false">IFERROR(INDEX(Calc!$M$2:$M$1001,MATCH(ROW()-1,Calc!$X$2:$X$1001,0)),"")</f>
        <v/>
      </c>
      <c r="C481" s="0" t="str">
        <f aca="false">IFERROR(INDEX(Calc!$N$2:$N$1001,MATCH(ROW()-1,Calc!$X$2:$X$1001,0)),"")</f>
        <v/>
      </c>
      <c r="D481" s="3" t="str">
        <f aca="false">IFERROR(INDEX(Calc!$O$2:$O$1001,MATCH(ROW()-1,Calc!$X$2:$X$1001,0)),"")</f>
        <v/>
      </c>
      <c r="E481" s="3" t="str">
        <f aca="false">IFERROR(INDEX(Calc!$P$2:$P$1001,MATCH(ROW()-1,Calc!$X$2:$X$1001,0)),"")</f>
        <v/>
      </c>
      <c r="F481" s="3" t="str">
        <f aca="false">IF(G481="","",E481-D481)</f>
        <v/>
      </c>
      <c r="G481" s="0" t="str">
        <f aca="false">IFERROR(INDEX(Calc!$S$2:$S$1001,MATCH(ROW()-1,Calc!$X$2:$X$1001,0)),"")</f>
        <v/>
      </c>
    </row>
    <row r="482" customFormat="false" ht="15" hidden="false" customHeight="false" outlineLevel="0" collapsed="false">
      <c r="A482" s="0" t="str">
        <f aca="false">IFERROR(INDEX(Calc!$L$2:$L$1001,MATCH(ROW()-1,Calc!$X$2:$X$1001,0)),"")</f>
        <v/>
      </c>
      <c r="B482" s="0" t="str">
        <f aca="false">IFERROR(INDEX(Calc!$M$2:$M$1001,MATCH(ROW()-1,Calc!$X$2:$X$1001,0)),"")</f>
        <v/>
      </c>
      <c r="C482" s="0" t="str">
        <f aca="false">IFERROR(INDEX(Calc!$N$2:$N$1001,MATCH(ROW()-1,Calc!$X$2:$X$1001,0)),"")</f>
        <v/>
      </c>
      <c r="D482" s="3" t="str">
        <f aca="false">IFERROR(INDEX(Calc!$O$2:$O$1001,MATCH(ROW()-1,Calc!$X$2:$X$1001,0)),"")</f>
        <v/>
      </c>
      <c r="E482" s="3" t="str">
        <f aca="false">IFERROR(INDEX(Calc!$P$2:$P$1001,MATCH(ROW()-1,Calc!$X$2:$X$1001,0)),"")</f>
        <v/>
      </c>
      <c r="F482" s="3" t="str">
        <f aca="false">IF(G482="","",E482-D482)</f>
        <v/>
      </c>
      <c r="G482" s="0" t="str">
        <f aca="false">IFERROR(INDEX(Calc!$S$2:$S$1001,MATCH(ROW()-1,Calc!$X$2:$X$1001,0)),"")</f>
        <v/>
      </c>
    </row>
    <row r="483" customFormat="false" ht="15" hidden="false" customHeight="false" outlineLevel="0" collapsed="false">
      <c r="A483" s="0" t="str">
        <f aca="false">IFERROR(INDEX(Calc!$L$2:$L$1001,MATCH(ROW()-1,Calc!$X$2:$X$1001,0)),"")</f>
        <v/>
      </c>
      <c r="B483" s="0" t="str">
        <f aca="false">IFERROR(INDEX(Calc!$M$2:$M$1001,MATCH(ROW()-1,Calc!$X$2:$X$1001,0)),"")</f>
        <v/>
      </c>
      <c r="C483" s="0" t="str">
        <f aca="false">IFERROR(INDEX(Calc!$N$2:$N$1001,MATCH(ROW()-1,Calc!$X$2:$X$1001,0)),"")</f>
        <v/>
      </c>
      <c r="D483" s="3" t="str">
        <f aca="false">IFERROR(INDEX(Calc!$O$2:$O$1001,MATCH(ROW()-1,Calc!$X$2:$X$1001,0)),"")</f>
        <v/>
      </c>
      <c r="E483" s="3" t="str">
        <f aca="false">IFERROR(INDEX(Calc!$P$2:$P$1001,MATCH(ROW()-1,Calc!$X$2:$X$1001,0)),"")</f>
        <v/>
      </c>
      <c r="F483" s="3" t="str">
        <f aca="false">IF(G483="","",E483-D483)</f>
        <v/>
      </c>
      <c r="G483" s="0" t="str">
        <f aca="false">IFERROR(INDEX(Calc!$S$2:$S$1001,MATCH(ROW()-1,Calc!$X$2:$X$1001,0)),"")</f>
        <v/>
      </c>
    </row>
    <row r="484" customFormat="false" ht="15" hidden="false" customHeight="false" outlineLevel="0" collapsed="false">
      <c r="A484" s="0" t="str">
        <f aca="false">IFERROR(INDEX(Calc!$L$2:$L$1001,MATCH(ROW()-1,Calc!$X$2:$X$1001,0)),"")</f>
        <v/>
      </c>
      <c r="B484" s="0" t="str">
        <f aca="false">IFERROR(INDEX(Calc!$M$2:$M$1001,MATCH(ROW()-1,Calc!$X$2:$X$1001,0)),"")</f>
        <v/>
      </c>
      <c r="C484" s="0" t="str">
        <f aca="false">IFERROR(INDEX(Calc!$N$2:$N$1001,MATCH(ROW()-1,Calc!$X$2:$X$1001,0)),"")</f>
        <v/>
      </c>
      <c r="D484" s="3" t="str">
        <f aca="false">IFERROR(INDEX(Calc!$O$2:$O$1001,MATCH(ROW()-1,Calc!$X$2:$X$1001,0)),"")</f>
        <v/>
      </c>
      <c r="E484" s="3" t="str">
        <f aca="false">IFERROR(INDEX(Calc!$P$2:$P$1001,MATCH(ROW()-1,Calc!$X$2:$X$1001,0)),"")</f>
        <v/>
      </c>
      <c r="F484" s="3" t="str">
        <f aca="false">IF(G484="","",E484-D484)</f>
        <v/>
      </c>
      <c r="G484" s="0" t="str">
        <f aca="false">IFERROR(INDEX(Calc!$S$2:$S$1001,MATCH(ROW()-1,Calc!$X$2:$X$1001,0)),"")</f>
        <v/>
      </c>
    </row>
    <row r="485" customFormat="false" ht="15" hidden="false" customHeight="false" outlineLevel="0" collapsed="false">
      <c r="A485" s="0" t="str">
        <f aca="false">IFERROR(INDEX(Calc!$L$2:$L$1001,MATCH(ROW()-1,Calc!$X$2:$X$1001,0)),"")</f>
        <v/>
      </c>
      <c r="B485" s="0" t="str">
        <f aca="false">IFERROR(INDEX(Calc!$M$2:$M$1001,MATCH(ROW()-1,Calc!$X$2:$X$1001,0)),"")</f>
        <v/>
      </c>
      <c r="C485" s="0" t="str">
        <f aca="false">IFERROR(INDEX(Calc!$N$2:$N$1001,MATCH(ROW()-1,Calc!$X$2:$X$1001,0)),"")</f>
        <v/>
      </c>
      <c r="D485" s="3" t="str">
        <f aca="false">IFERROR(INDEX(Calc!$O$2:$O$1001,MATCH(ROW()-1,Calc!$X$2:$X$1001,0)),"")</f>
        <v/>
      </c>
      <c r="E485" s="3" t="str">
        <f aca="false">IFERROR(INDEX(Calc!$P$2:$P$1001,MATCH(ROW()-1,Calc!$X$2:$X$1001,0)),"")</f>
        <v/>
      </c>
      <c r="F485" s="3" t="str">
        <f aca="false">IF(G485="","",E485-D485)</f>
        <v/>
      </c>
      <c r="G485" s="0" t="str">
        <f aca="false">IFERROR(INDEX(Calc!$S$2:$S$1001,MATCH(ROW()-1,Calc!$X$2:$X$1001,0)),"")</f>
        <v/>
      </c>
    </row>
    <row r="486" customFormat="false" ht="15" hidden="false" customHeight="false" outlineLevel="0" collapsed="false">
      <c r="A486" s="0" t="str">
        <f aca="false">IFERROR(INDEX(Calc!$L$2:$L$1001,MATCH(ROW()-1,Calc!$X$2:$X$1001,0)),"")</f>
        <v/>
      </c>
      <c r="B486" s="0" t="str">
        <f aca="false">IFERROR(INDEX(Calc!$M$2:$M$1001,MATCH(ROW()-1,Calc!$X$2:$X$1001,0)),"")</f>
        <v/>
      </c>
      <c r="C486" s="0" t="str">
        <f aca="false">IFERROR(INDEX(Calc!$N$2:$N$1001,MATCH(ROW()-1,Calc!$X$2:$X$1001,0)),"")</f>
        <v/>
      </c>
      <c r="D486" s="3" t="str">
        <f aca="false">IFERROR(INDEX(Calc!$O$2:$O$1001,MATCH(ROW()-1,Calc!$X$2:$X$1001,0)),"")</f>
        <v/>
      </c>
      <c r="E486" s="3" t="str">
        <f aca="false">IFERROR(INDEX(Calc!$P$2:$P$1001,MATCH(ROW()-1,Calc!$X$2:$X$1001,0)),"")</f>
        <v/>
      </c>
      <c r="F486" s="3" t="str">
        <f aca="false">IF(G486="","",E486-D486)</f>
        <v/>
      </c>
      <c r="G486" s="0" t="str">
        <f aca="false">IFERROR(INDEX(Calc!$S$2:$S$1001,MATCH(ROW()-1,Calc!$X$2:$X$1001,0)),"")</f>
        <v/>
      </c>
    </row>
    <row r="487" customFormat="false" ht="15" hidden="false" customHeight="false" outlineLevel="0" collapsed="false">
      <c r="A487" s="0" t="str">
        <f aca="false">IFERROR(INDEX(Calc!$L$2:$L$1001,MATCH(ROW()-1,Calc!$X$2:$X$1001,0)),"")</f>
        <v/>
      </c>
      <c r="B487" s="0" t="str">
        <f aca="false">IFERROR(INDEX(Calc!$M$2:$M$1001,MATCH(ROW()-1,Calc!$X$2:$X$1001,0)),"")</f>
        <v/>
      </c>
      <c r="C487" s="0" t="str">
        <f aca="false">IFERROR(INDEX(Calc!$N$2:$N$1001,MATCH(ROW()-1,Calc!$X$2:$X$1001,0)),"")</f>
        <v/>
      </c>
      <c r="D487" s="3" t="str">
        <f aca="false">IFERROR(INDEX(Calc!$O$2:$O$1001,MATCH(ROW()-1,Calc!$X$2:$X$1001,0)),"")</f>
        <v/>
      </c>
      <c r="E487" s="3" t="str">
        <f aca="false">IFERROR(INDEX(Calc!$P$2:$P$1001,MATCH(ROW()-1,Calc!$X$2:$X$1001,0)),"")</f>
        <v/>
      </c>
      <c r="F487" s="3" t="str">
        <f aca="false">IF(G487="","",E487-D487)</f>
        <v/>
      </c>
      <c r="G487" s="0" t="str">
        <f aca="false">IFERROR(INDEX(Calc!$S$2:$S$1001,MATCH(ROW()-1,Calc!$X$2:$X$1001,0)),"")</f>
        <v/>
      </c>
    </row>
    <row r="488" customFormat="false" ht="15" hidden="false" customHeight="false" outlineLevel="0" collapsed="false">
      <c r="A488" s="0" t="str">
        <f aca="false">IFERROR(INDEX(Calc!$L$2:$L$1001,MATCH(ROW()-1,Calc!$X$2:$X$1001,0)),"")</f>
        <v/>
      </c>
      <c r="B488" s="0" t="str">
        <f aca="false">IFERROR(INDEX(Calc!$M$2:$M$1001,MATCH(ROW()-1,Calc!$X$2:$X$1001,0)),"")</f>
        <v/>
      </c>
      <c r="C488" s="0" t="str">
        <f aca="false">IFERROR(INDEX(Calc!$N$2:$N$1001,MATCH(ROW()-1,Calc!$X$2:$X$1001,0)),"")</f>
        <v/>
      </c>
      <c r="D488" s="3" t="str">
        <f aca="false">IFERROR(INDEX(Calc!$O$2:$O$1001,MATCH(ROW()-1,Calc!$X$2:$X$1001,0)),"")</f>
        <v/>
      </c>
      <c r="E488" s="3" t="str">
        <f aca="false">IFERROR(INDEX(Calc!$P$2:$P$1001,MATCH(ROW()-1,Calc!$X$2:$X$1001,0)),"")</f>
        <v/>
      </c>
      <c r="F488" s="3" t="str">
        <f aca="false">IF(G488="","",E488-D488)</f>
        <v/>
      </c>
      <c r="G488" s="0" t="str">
        <f aca="false">IFERROR(INDEX(Calc!$S$2:$S$1001,MATCH(ROW()-1,Calc!$X$2:$X$1001,0)),"")</f>
        <v/>
      </c>
    </row>
    <row r="489" customFormat="false" ht="15" hidden="false" customHeight="false" outlineLevel="0" collapsed="false">
      <c r="A489" s="0" t="str">
        <f aca="false">IFERROR(INDEX(Calc!$L$2:$L$1001,MATCH(ROW()-1,Calc!$X$2:$X$1001,0)),"")</f>
        <v/>
      </c>
      <c r="B489" s="0" t="str">
        <f aca="false">IFERROR(INDEX(Calc!$M$2:$M$1001,MATCH(ROW()-1,Calc!$X$2:$X$1001,0)),"")</f>
        <v/>
      </c>
      <c r="C489" s="0" t="str">
        <f aca="false">IFERROR(INDEX(Calc!$N$2:$N$1001,MATCH(ROW()-1,Calc!$X$2:$X$1001,0)),"")</f>
        <v/>
      </c>
      <c r="D489" s="3" t="str">
        <f aca="false">IFERROR(INDEX(Calc!$O$2:$O$1001,MATCH(ROW()-1,Calc!$X$2:$X$1001,0)),"")</f>
        <v/>
      </c>
      <c r="E489" s="3" t="str">
        <f aca="false">IFERROR(INDEX(Calc!$P$2:$P$1001,MATCH(ROW()-1,Calc!$X$2:$X$1001,0)),"")</f>
        <v/>
      </c>
      <c r="F489" s="3" t="str">
        <f aca="false">IF(G489="","",E489-D489)</f>
        <v/>
      </c>
      <c r="G489" s="0" t="str">
        <f aca="false">IFERROR(INDEX(Calc!$S$2:$S$1001,MATCH(ROW()-1,Calc!$X$2:$X$1001,0)),"")</f>
        <v/>
      </c>
    </row>
    <row r="490" customFormat="false" ht="15" hidden="false" customHeight="false" outlineLevel="0" collapsed="false">
      <c r="A490" s="0" t="str">
        <f aca="false">IFERROR(INDEX(Calc!$L$2:$L$1001,MATCH(ROW()-1,Calc!$X$2:$X$1001,0)),"")</f>
        <v/>
      </c>
      <c r="B490" s="0" t="str">
        <f aca="false">IFERROR(INDEX(Calc!$M$2:$M$1001,MATCH(ROW()-1,Calc!$X$2:$X$1001,0)),"")</f>
        <v/>
      </c>
      <c r="C490" s="0" t="str">
        <f aca="false">IFERROR(INDEX(Calc!$N$2:$N$1001,MATCH(ROW()-1,Calc!$X$2:$X$1001,0)),"")</f>
        <v/>
      </c>
      <c r="D490" s="3" t="str">
        <f aca="false">IFERROR(INDEX(Calc!$O$2:$O$1001,MATCH(ROW()-1,Calc!$X$2:$X$1001,0)),"")</f>
        <v/>
      </c>
      <c r="E490" s="3" t="str">
        <f aca="false">IFERROR(INDEX(Calc!$P$2:$P$1001,MATCH(ROW()-1,Calc!$X$2:$X$1001,0)),"")</f>
        <v/>
      </c>
      <c r="F490" s="3" t="str">
        <f aca="false">IF(G490="","",E490-D490)</f>
        <v/>
      </c>
      <c r="G490" s="0" t="str">
        <f aca="false">IFERROR(INDEX(Calc!$S$2:$S$1001,MATCH(ROW()-1,Calc!$X$2:$X$1001,0)),"")</f>
        <v/>
      </c>
    </row>
    <row r="491" customFormat="false" ht="15" hidden="false" customHeight="false" outlineLevel="0" collapsed="false">
      <c r="A491" s="0" t="str">
        <f aca="false">IFERROR(INDEX(Calc!$L$2:$L$1001,MATCH(ROW()-1,Calc!$X$2:$X$1001,0)),"")</f>
        <v/>
      </c>
      <c r="B491" s="0" t="str">
        <f aca="false">IFERROR(INDEX(Calc!$M$2:$M$1001,MATCH(ROW()-1,Calc!$X$2:$X$1001,0)),"")</f>
        <v/>
      </c>
      <c r="C491" s="0" t="str">
        <f aca="false">IFERROR(INDEX(Calc!$N$2:$N$1001,MATCH(ROW()-1,Calc!$X$2:$X$1001,0)),"")</f>
        <v/>
      </c>
      <c r="D491" s="3" t="str">
        <f aca="false">IFERROR(INDEX(Calc!$O$2:$O$1001,MATCH(ROW()-1,Calc!$X$2:$X$1001,0)),"")</f>
        <v/>
      </c>
      <c r="E491" s="3" t="str">
        <f aca="false">IFERROR(INDEX(Calc!$P$2:$P$1001,MATCH(ROW()-1,Calc!$X$2:$X$1001,0)),"")</f>
        <v/>
      </c>
      <c r="F491" s="3" t="str">
        <f aca="false">IF(G491="","",E491-D491)</f>
        <v/>
      </c>
      <c r="G491" s="0" t="str">
        <f aca="false">IFERROR(INDEX(Calc!$S$2:$S$1001,MATCH(ROW()-1,Calc!$X$2:$X$1001,0)),"")</f>
        <v/>
      </c>
    </row>
    <row r="492" customFormat="false" ht="15" hidden="false" customHeight="false" outlineLevel="0" collapsed="false">
      <c r="A492" s="0" t="str">
        <f aca="false">IFERROR(INDEX(Calc!$L$2:$L$1001,MATCH(ROW()-1,Calc!$X$2:$X$1001,0)),"")</f>
        <v/>
      </c>
      <c r="B492" s="0" t="str">
        <f aca="false">IFERROR(INDEX(Calc!$M$2:$M$1001,MATCH(ROW()-1,Calc!$X$2:$X$1001,0)),"")</f>
        <v/>
      </c>
      <c r="C492" s="0" t="str">
        <f aca="false">IFERROR(INDEX(Calc!$N$2:$N$1001,MATCH(ROW()-1,Calc!$X$2:$X$1001,0)),"")</f>
        <v/>
      </c>
      <c r="D492" s="3" t="str">
        <f aca="false">IFERROR(INDEX(Calc!$O$2:$O$1001,MATCH(ROW()-1,Calc!$X$2:$X$1001,0)),"")</f>
        <v/>
      </c>
      <c r="E492" s="3" t="str">
        <f aca="false">IFERROR(INDEX(Calc!$P$2:$P$1001,MATCH(ROW()-1,Calc!$X$2:$X$1001,0)),"")</f>
        <v/>
      </c>
      <c r="F492" s="3" t="str">
        <f aca="false">IF(G492="","",E492-D492)</f>
        <v/>
      </c>
      <c r="G492" s="0" t="str">
        <f aca="false">IFERROR(INDEX(Calc!$S$2:$S$1001,MATCH(ROW()-1,Calc!$X$2:$X$1001,0)),"")</f>
        <v/>
      </c>
    </row>
    <row r="493" customFormat="false" ht="15" hidden="false" customHeight="false" outlineLevel="0" collapsed="false">
      <c r="A493" s="0" t="str">
        <f aca="false">IFERROR(INDEX(Calc!$L$2:$L$1001,MATCH(ROW()-1,Calc!$X$2:$X$1001,0)),"")</f>
        <v/>
      </c>
      <c r="B493" s="0" t="str">
        <f aca="false">IFERROR(INDEX(Calc!$M$2:$M$1001,MATCH(ROW()-1,Calc!$X$2:$X$1001,0)),"")</f>
        <v/>
      </c>
      <c r="C493" s="0" t="str">
        <f aca="false">IFERROR(INDEX(Calc!$N$2:$N$1001,MATCH(ROW()-1,Calc!$X$2:$X$1001,0)),"")</f>
        <v/>
      </c>
      <c r="D493" s="3" t="str">
        <f aca="false">IFERROR(INDEX(Calc!$O$2:$O$1001,MATCH(ROW()-1,Calc!$X$2:$X$1001,0)),"")</f>
        <v/>
      </c>
      <c r="E493" s="3" t="str">
        <f aca="false">IFERROR(INDEX(Calc!$P$2:$P$1001,MATCH(ROW()-1,Calc!$X$2:$X$1001,0)),"")</f>
        <v/>
      </c>
      <c r="F493" s="3" t="str">
        <f aca="false">IF(G493="","",E493-D493)</f>
        <v/>
      </c>
      <c r="G493" s="0" t="str">
        <f aca="false">IFERROR(INDEX(Calc!$S$2:$S$1001,MATCH(ROW()-1,Calc!$X$2:$X$1001,0)),"")</f>
        <v/>
      </c>
    </row>
    <row r="494" customFormat="false" ht="15" hidden="false" customHeight="false" outlineLevel="0" collapsed="false">
      <c r="A494" s="0" t="str">
        <f aca="false">IFERROR(INDEX(Calc!$L$2:$L$1001,MATCH(ROW()-1,Calc!$X$2:$X$1001,0)),"")</f>
        <v/>
      </c>
      <c r="B494" s="0" t="str">
        <f aca="false">IFERROR(INDEX(Calc!$M$2:$M$1001,MATCH(ROW()-1,Calc!$X$2:$X$1001,0)),"")</f>
        <v/>
      </c>
      <c r="C494" s="0" t="str">
        <f aca="false">IFERROR(INDEX(Calc!$N$2:$N$1001,MATCH(ROW()-1,Calc!$X$2:$X$1001,0)),"")</f>
        <v/>
      </c>
      <c r="D494" s="3" t="str">
        <f aca="false">IFERROR(INDEX(Calc!$O$2:$O$1001,MATCH(ROW()-1,Calc!$X$2:$X$1001,0)),"")</f>
        <v/>
      </c>
      <c r="E494" s="3" t="str">
        <f aca="false">IFERROR(INDEX(Calc!$P$2:$P$1001,MATCH(ROW()-1,Calc!$X$2:$X$1001,0)),"")</f>
        <v/>
      </c>
      <c r="F494" s="3" t="str">
        <f aca="false">IF(G494="","",E494-D494)</f>
        <v/>
      </c>
      <c r="G494" s="0" t="str">
        <f aca="false">IFERROR(INDEX(Calc!$S$2:$S$1001,MATCH(ROW()-1,Calc!$X$2:$X$1001,0)),"")</f>
        <v/>
      </c>
    </row>
    <row r="495" customFormat="false" ht="15" hidden="false" customHeight="false" outlineLevel="0" collapsed="false">
      <c r="A495" s="0" t="str">
        <f aca="false">IFERROR(INDEX(Calc!$L$2:$L$1001,MATCH(ROW()-1,Calc!$X$2:$X$1001,0)),"")</f>
        <v/>
      </c>
      <c r="B495" s="0" t="str">
        <f aca="false">IFERROR(INDEX(Calc!$M$2:$M$1001,MATCH(ROW()-1,Calc!$X$2:$X$1001,0)),"")</f>
        <v/>
      </c>
      <c r="C495" s="0" t="str">
        <f aca="false">IFERROR(INDEX(Calc!$N$2:$N$1001,MATCH(ROW()-1,Calc!$X$2:$X$1001,0)),"")</f>
        <v/>
      </c>
      <c r="D495" s="3" t="str">
        <f aca="false">IFERROR(INDEX(Calc!$O$2:$O$1001,MATCH(ROW()-1,Calc!$X$2:$X$1001,0)),"")</f>
        <v/>
      </c>
      <c r="E495" s="3" t="str">
        <f aca="false">IFERROR(INDEX(Calc!$P$2:$P$1001,MATCH(ROW()-1,Calc!$X$2:$X$1001,0)),"")</f>
        <v/>
      </c>
      <c r="F495" s="3" t="str">
        <f aca="false">IF(G495="","",E495-D495)</f>
        <v/>
      </c>
      <c r="G495" s="0" t="str">
        <f aca="false">IFERROR(INDEX(Calc!$S$2:$S$1001,MATCH(ROW()-1,Calc!$X$2:$X$1001,0)),"")</f>
        <v/>
      </c>
    </row>
    <row r="496" customFormat="false" ht="15" hidden="false" customHeight="false" outlineLevel="0" collapsed="false">
      <c r="A496" s="0" t="str">
        <f aca="false">IFERROR(INDEX(Calc!$L$2:$L$1001,MATCH(ROW()-1,Calc!$X$2:$X$1001,0)),"")</f>
        <v/>
      </c>
      <c r="B496" s="0" t="str">
        <f aca="false">IFERROR(INDEX(Calc!$M$2:$M$1001,MATCH(ROW()-1,Calc!$X$2:$X$1001,0)),"")</f>
        <v/>
      </c>
      <c r="C496" s="0" t="str">
        <f aca="false">IFERROR(INDEX(Calc!$N$2:$N$1001,MATCH(ROW()-1,Calc!$X$2:$X$1001,0)),"")</f>
        <v/>
      </c>
      <c r="D496" s="3" t="str">
        <f aca="false">IFERROR(INDEX(Calc!$O$2:$O$1001,MATCH(ROW()-1,Calc!$X$2:$X$1001,0)),"")</f>
        <v/>
      </c>
      <c r="E496" s="3" t="str">
        <f aca="false">IFERROR(INDEX(Calc!$P$2:$P$1001,MATCH(ROW()-1,Calc!$X$2:$X$1001,0)),"")</f>
        <v/>
      </c>
      <c r="F496" s="3" t="str">
        <f aca="false">IF(G496="","",E496-D496)</f>
        <v/>
      </c>
      <c r="G496" s="0" t="str">
        <f aca="false">IFERROR(INDEX(Calc!$S$2:$S$1001,MATCH(ROW()-1,Calc!$X$2:$X$1001,0)),"")</f>
        <v/>
      </c>
    </row>
    <row r="497" customFormat="false" ht="15" hidden="false" customHeight="false" outlineLevel="0" collapsed="false">
      <c r="A497" s="0" t="str">
        <f aca="false">IFERROR(INDEX(Calc!$L$2:$L$1001,MATCH(ROW()-1,Calc!$X$2:$X$1001,0)),"")</f>
        <v/>
      </c>
      <c r="B497" s="0" t="str">
        <f aca="false">IFERROR(INDEX(Calc!$M$2:$M$1001,MATCH(ROW()-1,Calc!$X$2:$X$1001,0)),"")</f>
        <v/>
      </c>
      <c r="C497" s="0" t="str">
        <f aca="false">IFERROR(INDEX(Calc!$N$2:$N$1001,MATCH(ROW()-1,Calc!$X$2:$X$1001,0)),"")</f>
        <v/>
      </c>
      <c r="D497" s="3" t="str">
        <f aca="false">IFERROR(INDEX(Calc!$O$2:$O$1001,MATCH(ROW()-1,Calc!$X$2:$X$1001,0)),"")</f>
        <v/>
      </c>
      <c r="E497" s="3" t="str">
        <f aca="false">IFERROR(INDEX(Calc!$P$2:$P$1001,MATCH(ROW()-1,Calc!$X$2:$X$1001,0)),"")</f>
        <v/>
      </c>
      <c r="F497" s="3" t="str">
        <f aca="false">IF(G497="","",E497-D497)</f>
        <v/>
      </c>
      <c r="G497" s="0" t="str">
        <f aca="false">IFERROR(INDEX(Calc!$S$2:$S$1001,MATCH(ROW()-1,Calc!$X$2:$X$1001,0)),"")</f>
        <v/>
      </c>
    </row>
    <row r="498" customFormat="false" ht="15" hidden="false" customHeight="false" outlineLevel="0" collapsed="false">
      <c r="A498" s="0" t="str">
        <f aca="false">IFERROR(INDEX(Calc!$L$2:$L$1001,MATCH(ROW()-1,Calc!$X$2:$X$1001,0)),"")</f>
        <v/>
      </c>
      <c r="B498" s="0" t="str">
        <f aca="false">IFERROR(INDEX(Calc!$M$2:$M$1001,MATCH(ROW()-1,Calc!$X$2:$X$1001,0)),"")</f>
        <v/>
      </c>
      <c r="C498" s="0" t="str">
        <f aca="false">IFERROR(INDEX(Calc!$N$2:$N$1001,MATCH(ROW()-1,Calc!$X$2:$X$1001,0)),"")</f>
        <v/>
      </c>
      <c r="D498" s="3" t="str">
        <f aca="false">IFERROR(INDEX(Calc!$O$2:$O$1001,MATCH(ROW()-1,Calc!$X$2:$X$1001,0)),"")</f>
        <v/>
      </c>
      <c r="E498" s="3" t="str">
        <f aca="false">IFERROR(INDEX(Calc!$P$2:$P$1001,MATCH(ROW()-1,Calc!$X$2:$X$1001,0)),"")</f>
        <v/>
      </c>
      <c r="F498" s="3" t="str">
        <f aca="false">IF(G498="","",E498-D498)</f>
        <v/>
      </c>
      <c r="G498" s="0" t="str">
        <f aca="false">IFERROR(INDEX(Calc!$S$2:$S$1001,MATCH(ROW()-1,Calc!$X$2:$X$1001,0)),"")</f>
        <v/>
      </c>
    </row>
    <row r="499" customFormat="false" ht="15" hidden="false" customHeight="false" outlineLevel="0" collapsed="false">
      <c r="A499" s="0" t="str">
        <f aca="false">IFERROR(INDEX(Calc!$L$2:$L$1001,MATCH(ROW()-1,Calc!$X$2:$X$1001,0)),"")</f>
        <v/>
      </c>
      <c r="B499" s="0" t="str">
        <f aca="false">IFERROR(INDEX(Calc!$M$2:$M$1001,MATCH(ROW()-1,Calc!$X$2:$X$1001,0)),"")</f>
        <v/>
      </c>
      <c r="C499" s="0" t="str">
        <f aca="false">IFERROR(INDEX(Calc!$N$2:$N$1001,MATCH(ROW()-1,Calc!$X$2:$X$1001,0)),"")</f>
        <v/>
      </c>
      <c r="D499" s="3" t="str">
        <f aca="false">IFERROR(INDEX(Calc!$O$2:$O$1001,MATCH(ROW()-1,Calc!$X$2:$X$1001,0)),"")</f>
        <v/>
      </c>
      <c r="E499" s="3" t="str">
        <f aca="false">IFERROR(INDEX(Calc!$P$2:$P$1001,MATCH(ROW()-1,Calc!$X$2:$X$1001,0)),"")</f>
        <v/>
      </c>
      <c r="F499" s="3" t="str">
        <f aca="false">IF(G499="","",E499-D499)</f>
        <v/>
      </c>
      <c r="G499" s="0" t="str">
        <f aca="false">IFERROR(INDEX(Calc!$S$2:$S$1001,MATCH(ROW()-1,Calc!$X$2:$X$1001,0)),"")</f>
        <v/>
      </c>
    </row>
    <row r="500" customFormat="false" ht="15" hidden="false" customHeight="false" outlineLevel="0" collapsed="false">
      <c r="A500" s="0" t="str">
        <f aca="false">IFERROR(INDEX(Calc!$L$2:$L$1001,MATCH(ROW()-1,Calc!$X$2:$X$1001,0)),"")</f>
        <v/>
      </c>
      <c r="B500" s="0" t="str">
        <f aca="false">IFERROR(INDEX(Calc!$M$2:$M$1001,MATCH(ROW()-1,Calc!$X$2:$X$1001,0)),"")</f>
        <v/>
      </c>
      <c r="C500" s="0" t="str">
        <f aca="false">IFERROR(INDEX(Calc!$N$2:$N$1001,MATCH(ROW()-1,Calc!$X$2:$X$1001,0)),"")</f>
        <v/>
      </c>
      <c r="D500" s="3" t="str">
        <f aca="false">IFERROR(INDEX(Calc!$O$2:$O$1001,MATCH(ROW()-1,Calc!$X$2:$X$1001,0)),"")</f>
        <v/>
      </c>
      <c r="E500" s="3" t="str">
        <f aca="false">IFERROR(INDEX(Calc!$P$2:$P$1001,MATCH(ROW()-1,Calc!$X$2:$X$1001,0)),"")</f>
        <v/>
      </c>
      <c r="F500" s="3" t="str">
        <f aca="false">IF(G500="","",E500-D500)</f>
        <v/>
      </c>
      <c r="G500" s="0" t="str">
        <f aca="false">IFERROR(INDEX(Calc!$S$2:$S$1001,MATCH(ROW()-1,Calc!$X$2:$X$1001,0)),"")</f>
        <v/>
      </c>
    </row>
    <row r="501" customFormat="false" ht="15" hidden="false" customHeight="false" outlineLevel="0" collapsed="false">
      <c r="A501" s="0" t="str">
        <f aca="false">IFERROR(INDEX(Calc!$L$2:$L$1001,MATCH(ROW()-1,Calc!$X$2:$X$1001,0)),"")</f>
        <v/>
      </c>
      <c r="B501" s="0" t="str">
        <f aca="false">IFERROR(INDEX(Calc!$M$2:$M$1001,MATCH(ROW()-1,Calc!$X$2:$X$1001,0)),"")</f>
        <v/>
      </c>
      <c r="C501" s="0" t="str">
        <f aca="false">IFERROR(INDEX(Calc!$N$2:$N$1001,MATCH(ROW()-1,Calc!$X$2:$X$1001,0)),"")</f>
        <v/>
      </c>
      <c r="D501" s="3" t="str">
        <f aca="false">IFERROR(INDEX(Calc!$O$2:$O$1001,MATCH(ROW()-1,Calc!$X$2:$X$1001,0)),"")</f>
        <v/>
      </c>
      <c r="E501" s="3" t="str">
        <f aca="false">IFERROR(INDEX(Calc!$P$2:$P$1001,MATCH(ROW()-1,Calc!$X$2:$X$1001,0)),"")</f>
        <v/>
      </c>
      <c r="F501" s="3" t="str">
        <f aca="false">IF(G501="","",E501-D501)</f>
        <v/>
      </c>
      <c r="G501" s="0" t="str">
        <f aca="false">IFERROR(INDEX(Calc!$S$2:$S$1001,MATCH(ROW()-1,Calc!$X$2:$X$1001,0)),"")</f>
        <v/>
      </c>
    </row>
    <row r="502" customFormat="false" ht="15" hidden="false" customHeight="false" outlineLevel="0" collapsed="false">
      <c r="A502" s="0" t="str">
        <f aca="false">IFERROR(INDEX(Calc!$L$2:$L$1001,MATCH(ROW()-1,Calc!$X$2:$X$1001,0)),"")</f>
        <v/>
      </c>
      <c r="B502" s="0" t="str">
        <f aca="false">IFERROR(INDEX(Calc!$M$2:$M$1001,MATCH(ROW()-1,Calc!$X$2:$X$1001,0)),"")</f>
        <v/>
      </c>
      <c r="C502" s="0" t="str">
        <f aca="false">IFERROR(INDEX(Calc!$N$2:$N$1001,MATCH(ROW()-1,Calc!$X$2:$X$1001,0)),"")</f>
        <v/>
      </c>
      <c r="D502" s="3" t="str">
        <f aca="false">IFERROR(INDEX(Calc!$O$2:$O$1001,MATCH(ROW()-1,Calc!$X$2:$X$1001,0)),"")</f>
        <v/>
      </c>
      <c r="E502" s="3" t="str">
        <f aca="false">IFERROR(INDEX(Calc!$P$2:$P$1001,MATCH(ROW()-1,Calc!$X$2:$X$1001,0)),"")</f>
        <v/>
      </c>
      <c r="F502" s="3" t="str">
        <f aca="false">IF(G502="","",E502-D502)</f>
        <v/>
      </c>
      <c r="G502" s="0" t="str">
        <f aca="false">IFERROR(INDEX(Calc!$S$2:$S$1001,MATCH(ROW()-1,Calc!$X$2:$X$1001,0)),"")</f>
        <v/>
      </c>
    </row>
    <row r="503" customFormat="false" ht="15" hidden="false" customHeight="false" outlineLevel="0" collapsed="false">
      <c r="A503" s="0" t="str">
        <f aca="false">IFERROR(INDEX(Calc!$L$2:$L$1001,MATCH(ROW()-1,Calc!$X$2:$X$1001,0)),"")</f>
        <v/>
      </c>
      <c r="B503" s="0" t="str">
        <f aca="false">IFERROR(INDEX(Calc!$M$2:$M$1001,MATCH(ROW()-1,Calc!$X$2:$X$1001,0)),"")</f>
        <v/>
      </c>
      <c r="C503" s="0" t="str">
        <f aca="false">IFERROR(INDEX(Calc!$N$2:$N$1001,MATCH(ROW()-1,Calc!$X$2:$X$1001,0)),"")</f>
        <v/>
      </c>
      <c r="D503" s="3" t="str">
        <f aca="false">IFERROR(INDEX(Calc!$O$2:$O$1001,MATCH(ROW()-1,Calc!$X$2:$X$1001,0)),"")</f>
        <v/>
      </c>
      <c r="E503" s="3" t="str">
        <f aca="false">IFERROR(INDEX(Calc!$P$2:$P$1001,MATCH(ROW()-1,Calc!$X$2:$X$1001,0)),"")</f>
        <v/>
      </c>
      <c r="F503" s="3" t="str">
        <f aca="false">IF(G503="","",E503-D503)</f>
        <v/>
      </c>
      <c r="G503" s="0" t="str">
        <f aca="false">IFERROR(INDEX(Calc!$S$2:$S$1001,MATCH(ROW()-1,Calc!$X$2:$X$1001,0)),"")</f>
        <v/>
      </c>
    </row>
    <row r="504" customFormat="false" ht="15" hidden="false" customHeight="false" outlineLevel="0" collapsed="false">
      <c r="A504" s="0" t="str">
        <f aca="false">IFERROR(INDEX(Calc!$L$2:$L$1001,MATCH(ROW()-1,Calc!$X$2:$X$1001,0)),"")</f>
        <v/>
      </c>
      <c r="B504" s="0" t="str">
        <f aca="false">IFERROR(INDEX(Calc!$M$2:$M$1001,MATCH(ROW()-1,Calc!$X$2:$X$1001,0)),"")</f>
        <v/>
      </c>
      <c r="C504" s="0" t="str">
        <f aca="false">IFERROR(INDEX(Calc!$N$2:$N$1001,MATCH(ROW()-1,Calc!$X$2:$X$1001,0)),"")</f>
        <v/>
      </c>
      <c r="D504" s="3" t="str">
        <f aca="false">IFERROR(INDEX(Calc!$O$2:$O$1001,MATCH(ROW()-1,Calc!$X$2:$X$1001,0)),"")</f>
        <v/>
      </c>
      <c r="E504" s="3" t="str">
        <f aca="false">IFERROR(INDEX(Calc!$P$2:$P$1001,MATCH(ROW()-1,Calc!$X$2:$X$1001,0)),"")</f>
        <v/>
      </c>
      <c r="F504" s="3" t="str">
        <f aca="false">IF(G504="","",E504-D504)</f>
        <v/>
      </c>
      <c r="G504" s="0" t="str">
        <f aca="false">IFERROR(INDEX(Calc!$S$2:$S$1001,MATCH(ROW()-1,Calc!$X$2:$X$1001,0)),"")</f>
        <v/>
      </c>
    </row>
    <row r="505" customFormat="false" ht="15" hidden="false" customHeight="false" outlineLevel="0" collapsed="false">
      <c r="A505" s="0" t="str">
        <f aca="false">IFERROR(INDEX(Calc!$L$2:$L$1001,MATCH(ROW()-1,Calc!$X$2:$X$1001,0)),"")</f>
        <v/>
      </c>
      <c r="B505" s="0" t="str">
        <f aca="false">IFERROR(INDEX(Calc!$M$2:$M$1001,MATCH(ROW()-1,Calc!$X$2:$X$1001,0)),"")</f>
        <v/>
      </c>
      <c r="C505" s="0" t="str">
        <f aca="false">IFERROR(INDEX(Calc!$N$2:$N$1001,MATCH(ROW()-1,Calc!$X$2:$X$1001,0)),"")</f>
        <v/>
      </c>
      <c r="D505" s="3" t="str">
        <f aca="false">IFERROR(INDEX(Calc!$O$2:$O$1001,MATCH(ROW()-1,Calc!$X$2:$X$1001,0)),"")</f>
        <v/>
      </c>
      <c r="E505" s="3" t="str">
        <f aca="false">IFERROR(INDEX(Calc!$P$2:$P$1001,MATCH(ROW()-1,Calc!$X$2:$X$1001,0)),"")</f>
        <v/>
      </c>
      <c r="F505" s="3" t="str">
        <f aca="false">IF(G505="","",E505-D505)</f>
        <v/>
      </c>
      <c r="G505" s="0" t="str">
        <f aca="false">IFERROR(INDEX(Calc!$S$2:$S$1001,MATCH(ROW()-1,Calc!$X$2:$X$1001,0)),"")</f>
        <v/>
      </c>
    </row>
    <row r="506" customFormat="false" ht="15" hidden="false" customHeight="false" outlineLevel="0" collapsed="false">
      <c r="A506" s="0" t="str">
        <f aca="false">IFERROR(INDEX(Calc!$L$2:$L$1001,MATCH(ROW()-1,Calc!$X$2:$X$1001,0)),"")</f>
        <v/>
      </c>
      <c r="B506" s="0" t="str">
        <f aca="false">IFERROR(INDEX(Calc!$M$2:$M$1001,MATCH(ROW()-1,Calc!$X$2:$X$1001,0)),"")</f>
        <v/>
      </c>
      <c r="C506" s="0" t="str">
        <f aca="false">IFERROR(INDEX(Calc!$N$2:$N$1001,MATCH(ROW()-1,Calc!$X$2:$X$1001,0)),"")</f>
        <v/>
      </c>
      <c r="D506" s="3" t="str">
        <f aca="false">IFERROR(INDEX(Calc!$O$2:$O$1001,MATCH(ROW()-1,Calc!$X$2:$X$1001,0)),"")</f>
        <v/>
      </c>
      <c r="E506" s="3" t="str">
        <f aca="false">IFERROR(INDEX(Calc!$P$2:$P$1001,MATCH(ROW()-1,Calc!$X$2:$X$1001,0)),"")</f>
        <v/>
      </c>
      <c r="F506" s="3" t="str">
        <f aca="false">IF(G506="","",E506-D506)</f>
        <v/>
      </c>
      <c r="G506" s="0" t="str">
        <f aca="false">IFERROR(INDEX(Calc!$S$2:$S$1001,MATCH(ROW()-1,Calc!$X$2:$X$1001,0)),"")</f>
        <v/>
      </c>
    </row>
    <row r="507" customFormat="false" ht="15" hidden="false" customHeight="false" outlineLevel="0" collapsed="false">
      <c r="A507" s="0" t="str">
        <f aca="false">IFERROR(INDEX(Calc!$L$2:$L$1001,MATCH(ROW()-1,Calc!$X$2:$X$1001,0)),"")</f>
        <v/>
      </c>
      <c r="B507" s="0" t="str">
        <f aca="false">IFERROR(INDEX(Calc!$M$2:$M$1001,MATCH(ROW()-1,Calc!$X$2:$X$1001,0)),"")</f>
        <v/>
      </c>
      <c r="C507" s="0" t="str">
        <f aca="false">IFERROR(INDEX(Calc!$N$2:$N$1001,MATCH(ROW()-1,Calc!$X$2:$X$1001,0)),"")</f>
        <v/>
      </c>
      <c r="D507" s="3" t="str">
        <f aca="false">IFERROR(INDEX(Calc!$O$2:$O$1001,MATCH(ROW()-1,Calc!$X$2:$X$1001,0)),"")</f>
        <v/>
      </c>
      <c r="E507" s="3" t="str">
        <f aca="false">IFERROR(INDEX(Calc!$P$2:$P$1001,MATCH(ROW()-1,Calc!$X$2:$X$1001,0)),"")</f>
        <v/>
      </c>
      <c r="F507" s="3" t="str">
        <f aca="false">IF(G507="","",E507-D507)</f>
        <v/>
      </c>
      <c r="G507" s="0" t="str">
        <f aca="false">IFERROR(INDEX(Calc!$S$2:$S$1001,MATCH(ROW()-1,Calc!$X$2:$X$1001,0)),"")</f>
        <v/>
      </c>
    </row>
    <row r="508" customFormat="false" ht="15" hidden="false" customHeight="false" outlineLevel="0" collapsed="false">
      <c r="A508" s="0" t="str">
        <f aca="false">IFERROR(INDEX(Calc!$L$2:$L$1001,MATCH(ROW()-1,Calc!$X$2:$X$1001,0)),"")</f>
        <v/>
      </c>
      <c r="B508" s="0" t="str">
        <f aca="false">IFERROR(INDEX(Calc!$M$2:$M$1001,MATCH(ROW()-1,Calc!$X$2:$X$1001,0)),"")</f>
        <v/>
      </c>
      <c r="C508" s="0" t="str">
        <f aca="false">IFERROR(INDEX(Calc!$N$2:$N$1001,MATCH(ROW()-1,Calc!$X$2:$X$1001,0)),"")</f>
        <v/>
      </c>
      <c r="D508" s="3" t="str">
        <f aca="false">IFERROR(INDEX(Calc!$O$2:$O$1001,MATCH(ROW()-1,Calc!$X$2:$X$1001,0)),"")</f>
        <v/>
      </c>
      <c r="E508" s="3" t="str">
        <f aca="false">IFERROR(INDEX(Calc!$P$2:$P$1001,MATCH(ROW()-1,Calc!$X$2:$X$1001,0)),"")</f>
        <v/>
      </c>
      <c r="F508" s="3" t="str">
        <f aca="false">IF(G508="","",E508-D508)</f>
        <v/>
      </c>
      <c r="G508" s="0" t="str">
        <f aca="false">IFERROR(INDEX(Calc!$S$2:$S$1001,MATCH(ROW()-1,Calc!$X$2:$X$1001,0)),"")</f>
        <v/>
      </c>
    </row>
    <row r="509" customFormat="false" ht="15" hidden="false" customHeight="false" outlineLevel="0" collapsed="false">
      <c r="A509" s="0" t="str">
        <f aca="false">IFERROR(INDEX(Calc!$L$2:$L$1001,MATCH(ROW()-1,Calc!$X$2:$X$1001,0)),"")</f>
        <v/>
      </c>
      <c r="B509" s="0" t="str">
        <f aca="false">IFERROR(INDEX(Calc!$M$2:$M$1001,MATCH(ROW()-1,Calc!$X$2:$X$1001,0)),"")</f>
        <v/>
      </c>
      <c r="C509" s="0" t="str">
        <f aca="false">IFERROR(INDEX(Calc!$N$2:$N$1001,MATCH(ROW()-1,Calc!$X$2:$X$1001,0)),"")</f>
        <v/>
      </c>
      <c r="D509" s="3" t="str">
        <f aca="false">IFERROR(INDEX(Calc!$O$2:$O$1001,MATCH(ROW()-1,Calc!$X$2:$X$1001,0)),"")</f>
        <v/>
      </c>
      <c r="E509" s="3" t="str">
        <f aca="false">IFERROR(INDEX(Calc!$P$2:$P$1001,MATCH(ROW()-1,Calc!$X$2:$X$1001,0)),"")</f>
        <v/>
      </c>
      <c r="F509" s="3" t="str">
        <f aca="false">IF(G509="","",E509-D509)</f>
        <v/>
      </c>
      <c r="G509" s="0" t="str">
        <f aca="false">IFERROR(INDEX(Calc!$S$2:$S$1001,MATCH(ROW()-1,Calc!$X$2:$X$1001,0)),"")</f>
        <v/>
      </c>
    </row>
    <row r="510" customFormat="false" ht="15" hidden="false" customHeight="false" outlineLevel="0" collapsed="false">
      <c r="A510" s="0" t="str">
        <f aca="false">IFERROR(INDEX(Calc!$L$2:$L$1001,MATCH(ROW()-1,Calc!$X$2:$X$1001,0)),"")</f>
        <v/>
      </c>
      <c r="B510" s="0" t="str">
        <f aca="false">IFERROR(INDEX(Calc!$M$2:$M$1001,MATCH(ROW()-1,Calc!$X$2:$X$1001,0)),"")</f>
        <v/>
      </c>
      <c r="C510" s="0" t="str">
        <f aca="false">IFERROR(INDEX(Calc!$N$2:$N$1001,MATCH(ROW()-1,Calc!$X$2:$X$1001,0)),"")</f>
        <v/>
      </c>
      <c r="D510" s="3" t="str">
        <f aca="false">IFERROR(INDEX(Calc!$O$2:$O$1001,MATCH(ROW()-1,Calc!$X$2:$X$1001,0)),"")</f>
        <v/>
      </c>
      <c r="E510" s="3" t="str">
        <f aca="false">IFERROR(INDEX(Calc!$P$2:$P$1001,MATCH(ROW()-1,Calc!$X$2:$X$1001,0)),"")</f>
        <v/>
      </c>
      <c r="F510" s="3" t="str">
        <f aca="false">IF(G510="","",E510-D510)</f>
        <v/>
      </c>
      <c r="G510" s="0" t="str">
        <f aca="false">IFERROR(INDEX(Calc!$S$2:$S$1001,MATCH(ROW()-1,Calc!$X$2:$X$1001,0)),"")</f>
        <v/>
      </c>
    </row>
    <row r="511" customFormat="false" ht="15" hidden="false" customHeight="false" outlineLevel="0" collapsed="false">
      <c r="A511" s="0" t="str">
        <f aca="false">IFERROR(INDEX(Calc!$L$2:$L$1001,MATCH(ROW()-1,Calc!$X$2:$X$1001,0)),"")</f>
        <v/>
      </c>
      <c r="B511" s="0" t="str">
        <f aca="false">IFERROR(INDEX(Calc!$M$2:$M$1001,MATCH(ROW()-1,Calc!$X$2:$X$1001,0)),"")</f>
        <v/>
      </c>
      <c r="C511" s="0" t="str">
        <f aca="false">IFERROR(INDEX(Calc!$N$2:$N$1001,MATCH(ROW()-1,Calc!$X$2:$X$1001,0)),"")</f>
        <v/>
      </c>
      <c r="D511" s="3" t="str">
        <f aca="false">IFERROR(INDEX(Calc!$O$2:$O$1001,MATCH(ROW()-1,Calc!$X$2:$X$1001,0)),"")</f>
        <v/>
      </c>
      <c r="E511" s="3" t="str">
        <f aca="false">IFERROR(INDEX(Calc!$P$2:$P$1001,MATCH(ROW()-1,Calc!$X$2:$X$1001,0)),"")</f>
        <v/>
      </c>
      <c r="F511" s="3" t="str">
        <f aca="false">IF(G511="","",E511-D511)</f>
        <v/>
      </c>
      <c r="G511" s="0" t="str">
        <f aca="false">IFERROR(INDEX(Calc!$S$2:$S$1001,MATCH(ROW()-1,Calc!$X$2:$X$1001,0)),"")</f>
        <v/>
      </c>
    </row>
    <row r="512" customFormat="false" ht="15" hidden="false" customHeight="false" outlineLevel="0" collapsed="false">
      <c r="A512" s="0" t="str">
        <f aca="false">IFERROR(INDEX(Calc!$L$2:$L$1001,MATCH(ROW()-1,Calc!$X$2:$X$1001,0)),"")</f>
        <v/>
      </c>
      <c r="B512" s="0" t="str">
        <f aca="false">IFERROR(INDEX(Calc!$M$2:$M$1001,MATCH(ROW()-1,Calc!$X$2:$X$1001,0)),"")</f>
        <v/>
      </c>
      <c r="C512" s="0" t="str">
        <f aca="false">IFERROR(INDEX(Calc!$N$2:$N$1001,MATCH(ROW()-1,Calc!$X$2:$X$1001,0)),"")</f>
        <v/>
      </c>
      <c r="D512" s="3" t="str">
        <f aca="false">IFERROR(INDEX(Calc!$O$2:$O$1001,MATCH(ROW()-1,Calc!$X$2:$X$1001,0)),"")</f>
        <v/>
      </c>
      <c r="E512" s="3" t="str">
        <f aca="false">IFERROR(INDEX(Calc!$P$2:$P$1001,MATCH(ROW()-1,Calc!$X$2:$X$1001,0)),"")</f>
        <v/>
      </c>
      <c r="F512" s="3" t="str">
        <f aca="false">IF(G512="","",E512-D512)</f>
        <v/>
      </c>
      <c r="G512" s="0" t="str">
        <f aca="false">IFERROR(INDEX(Calc!$S$2:$S$1001,MATCH(ROW()-1,Calc!$X$2:$X$1001,0)),"")</f>
        <v/>
      </c>
    </row>
    <row r="513" customFormat="false" ht="15" hidden="false" customHeight="false" outlineLevel="0" collapsed="false">
      <c r="A513" s="0" t="str">
        <f aca="false">IFERROR(INDEX(Calc!$L$2:$L$1001,MATCH(ROW()-1,Calc!$X$2:$X$1001,0)),"")</f>
        <v/>
      </c>
      <c r="B513" s="0" t="str">
        <f aca="false">IFERROR(INDEX(Calc!$M$2:$M$1001,MATCH(ROW()-1,Calc!$X$2:$X$1001,0)),"")</f>
        <v/>
      </c>
      <c r="C513" s="0" t="str">
        <f aca="false">IFERROR(INDEX(Calc!$N$2:$N$1001,MATCH(ROW()-1,Calc!$X$2:$X$1001,0)),"")</f>
        <v/>
      </c>
      <c r="D513" s="3" t="str">
        <f aca="false">IFERROR(INDEX(Calc!$O$2:$O$1001,MATCH(ROW()-1,Calc!$X$2:$X$1001,0)),"")</f>
        <v/>
      </c>
      <c r="E513" s="3" t="str">
        <f aca="false">IFERROR(INDEX(Calc!$P$2:$P$1001,MATCH(ROW()-1,Calc!$X$2:$X$1001,0)),"")</f>
        <v/>
      </c>
      <c r="F513" s="3" t="str">
        <f aca="false">IF(G513="","",E513-D513)</f>
        <v/>
      </c>
      <c r="G513" s="0" t="str">
        <f aca="false">IFERROR(INDEX(Calc!$S$2:$S$1001,MATCH(ROW()-1,Calc!$X$2:$X$1001,0)),"")</f>
        <v/>
      </c>
    </row>
    <row r="514" customFormat="false" ht="15" hidden="false" customHeight="false" outlineLevel="0" collapsed="false">
      <c r="A514" s="0" t="str">
        <f aca="false">IFERROR(INDEX(Calc!$L$2:$L$1001,MATCH(ROW()-1,Calc!$X$2:$X$1001,0)),"")</f>
        <v/>
      </c>
      <c r="B514" s="0" t="str">
        <f aca="false">IFERROR(INDEX(Calc!$M$2:$M$1001,MATCH(ROW()-1,Calc!$X$2:$X$1001,0)),"")</f>
        <v/>
      </c>
      <c r="C514" s="0" t="str">
        <f aca="false">IFERROR(INDEX(Calc!$N$2:$N$1001,MATCH(ROW()-1,Calc!$X$2:$X$1001,0)),"")</f>
        <v/>
      </c>
      <c r="D514" s="3" t="str">
        <f aca="false">IFERROR(INDEX(Calc!$O$2:$O$1001,MATCH(ROW()-1,Calc!$X$2:$X$1001,0)),"")</f>
        <v/>
      </c>
      <c r="E514" s="3" t="str">
        <f aca="false">IFERROR(INDEX(Calc!$P$2:$P$1001,MATCH(ROW()-1,Calc!$X$2:$X$1001,0)),"")</f>
        <v/>
      </c>
      <c r="F514" s="3" t="str">
        <f aca="false">IF(G514="","",E514-D514)</f>
        <v/>
      </c>
      <c r="G514" s="0" t="str">
        <f aca="false">IFERROR(INDEX(Calc!$S$2:$S$1001,MATCH(ROW()-1,Calc!$X$2:$X$1001,0)),"")</f>
        <v/>
      </c>
    </row>
    <row r="515" customFormat="false" ht="15" hidden="false" customHeight="false" outlineLevel="0" collapsed="false">
      <c r="A515" s="0" t="str">
        <f aca="false">IFERROR(INDEX(Calc!$L$2:$L$1001,MATCH(ROW()-1,Calc!$X$2:$X$1001,0)),"")</f>
        <v/>
      </c>
      <c r="B515" s="0" t="str">
        <f aca="false">IFERROR(INDEX(Calc!$M$2:$M$1001,MATCH(ROW()-1,Calc!$X$2:$X$1001,0)),"")</f>
        <v/>
      </c>
      <c r="C515" s="0" t="str">
        <f aca="false">IFERROR(INDEX(Calc!$N$2:$N$1001,MATCH(ROW()-1,Calc!$X$2:$X$1001,0)),"")</f>
        <v/>
      </c>
      <c r="D515" s="3" t="str">
        <f aca="false">IFERROR(INDEX(Calc!$O$2:$O$1001,MATCH(ROW()-1,Calc!$X$2:$X$1001,0)),"")</f>
        <v/>
      </c>
      <c r="E515" s="3" t="str">
        <f aca="false">IFERROR(INDEX(Calc!$P$2:$P$1001,MATCH(ROW()-1,Calc!$X$2:$X$1001,0)),"")</f>
        <v/>
      </c>
      <c r="F515" s="3" t="str">
        <f aca="false">IF(G515="","",E515-D515)</f>
        <v/>
      </c>
      <c r="G515" s="0" t="str">
        <f aca="false">IFERROR(INDEX(Calc!$S$2:$S$1001,MATCH(ROW()-1,Calc!$X$2:$X$1001,0)),"")</f>
        <v/>
      </c>
    </row>
    <row r="516" customFormat="false" ht="15" hidden="false" customHeight="false" outlineLevel="0" collapsed="false">
      <c r="A516" s="0" t="str">
        <f aca="false">IFERROR(INDEX(Calc!$L$2:$L$1001,MATCH(ROW()-1,Calc!$X$2:$X$1001,0)),"")</f>
        <v/>
      </c>
      <c r="B516" s="0" t="str">
        <f aca="false">IFERROR(INDEX(Calc!$M$2:$M$1001,MATCH(ROW()-1,Calc!$X$2:$X$1001,0)),"")</f>
        <v/>
      </c>
      <c r="C516" s="0" t="str">
        <f aca="false">IFERROR(INDEX(Calc!$N$2:$N$1001,MATCH(ROW()-1,Calc!$X$2:$X$1001,0)),"")</f>
        <v/>
      </c>
      <c r="D516" s="3" t="str">
        <f aca="false">IFERROR(INDEX(Calc!$O$2:$O$1001,MATCH(ROW()-1,Calc!$X$2:$X$1001,0)),"")</f>
        <v/>
      </c>
      <c r="E516" s="3" t="str">
        <f aca="false">IFERROR(INDEX(Calc!$P$2:$P$1001,MATCH(ROW()-1,Calc!$X$2:$X$1001,0)),"")</f>
        <v/>
      </c>
      <c r="F516" s="3" t="str">
        <f aca="false">IF(G516="","",E516-D516)</f>
        <v/>
      </c>
      <c r="G516" s="0" t="str">
        <f aca="false">IFERROR(INDEX(Calc!$S$2:$S$1001,MATCH(ROW()-1,Calc!$X$2:$X$1001,0)),"")</f>
        <v/>
      </c>
    </row>
    <row r="517" customFormat="false" ht="15" hidden="false" customHeight="false" outlineLevel="0" collapsed="false">
      <c r="A517" s="0" t="str">
        <f aca="false">IFERROR(INDEX(Calc!$L$2:$L$1001,MATCH(ROW()-1,Calc!$X$2:$X$1001,0)),"")</f>
        <v/>
      </c>
      <c r="B517" s="0" t="str">
        <f aca="false">IFERROR(INDEX(Calc!$M$2:$M$1001,MATCH(ROW()-1,Calc!$X$2:$X$1001,0)),"")</f>
        <v/>
      </c>
      <c r="C517" s="0" t="str">
        <f aca="false">IFERROR(INDEX(Calc!$N$2:$N$1001,MATCH(ROW()-1,Calc!$X$2:$X$1001,0)),"")</f>
        <v/>
      </c>
      <c r="D517" s="3" t="str">
        <f aca="false">IFERROR(INDEX(Calc!$O$2:$O$1001,MATCH(ROW()-1,Calc!$X$2:$X$1001,0)),"")</f>
        <v/>
      </c>
      <c r="E517" s="3" t="str">
        <f aca="false">IFERROR(INDEX(Calc!$P$2:$P$1001,MATCH(ROW()-1,Calc!$X$2:$X$1001,0)),"")</f>
        <v/>
      </c>
      <c r="F517" s="3" t="str">
        <f aca="false">IF(G517="","",E517-D517)</f>
        <v/>
      </c>
      <c r="G517" s="0" t="str">
        <f aca="false">IFERROR(INDEX(Calc!$S$2:$S$1001,MATCH(ROW()-1,Calc!$X$2:$X$1001,0)),"")</f>
        <v/>
      </c>
    </row>
    <row r="518" customFormat="false" ht="15" hidden="false" customHeight="false" outlineLevel="0" collapsed="false">
      <c r="A518" s="0" t="str">
        <f aca="false">IFERROR(INDEX(Calc!$L$2:$L$1001,MATCH(ROW()-1,Calc!$X$2:$X$1001,0)),"")</f>
        <v/>
      </c>
      <c r="B518" s="0" t="str">
        <f aca="false">IFERROR(INDEX(Calc!$M$2:$M$1001,MATCH(ROW()-1,Calc!$X$2:$X$1001,0)),"")</f>
        <v/>
      </c>
      <c r="C518" s="0" t="str">
        <f aca="false">IFERROR(INDEX(Calc!$N$2:$N$1001,MATCH(ROW()-1,Calc!$X$2:$X$1001,0)),"")</f>
        <v/>
      </c>
      <c r="D518" s="3" t="str">
        <f aca="false">IFERROR(INDEX(Calc!$O$2:$O$1001,MATCH(ROW()-1,Calc!$X$2:$X$1001,0)),"")</f>
        <v/>
      </c>
      <c r="E518" s="3" t="str">
        <f aca="false">IFERROR(INDEX(Calc!$P$2:$P$1001,MATCH(ROW()-1,Calc!$X$2:$X$1001,0)),"")</f>
        <v/>
      </c>
      <c r="F518" s="3" t="str">
        <f aca="false">IF(G518="","",E518-D518)</f>
        <v/>
      </c>
      <c r="G518" s="0" t="str">
        <f aca="false">IFERROR(INDEX(Calc!$S$2:$S$1001,MATCH(ROW()-1,Calc!$X$2:$X$1001,0)),"")</f>
        <v/>
      </c>
    </row>
    <row r="519" customFormat="false" ht="15" hidden="false" customHeight="false" outlineLevel="0" collapsed="false">
      <c r="A519" s="0" t="str">
        <f aca="false">IFERROR(INDEX(Calc!$L$2:$L$1001,MATCH(ROW()-1,Calc!$X$2:$X$1001,0)),"")</f>
        <v/>
      </c>
      <c r="B519" s="0" t="str">
        <f aca="false">IFERROR(INDEX(Calc!$M$2:$M$1001,MATCH(ROW()-1,Calc!$X$2:$X$1001,0)),"")</f>
        <v/>
      </c>
      <c r="C519" s="0" t="str">
        <f aca="false">IFERROR(INDEX(Calc!$N$2:$N$1001,MATCH(ROW()-1,Calc!$X$2:$X$1001,0)),"")</f>
        <v/>
      </c>
      <c r="D519" s="3" t="str">
        <f aca="false">IFERROR(INDEX(Calc!$O$2:$O$1001,MATCH(ROW()-1,Calc!$X$2:$X$1001,0)),"")</f>
        <v/>
      </c>
      <c r="E519" s="3" t="str">
        <f aca="false">IFERROR(INDEX(Calc!$P$2:$P$1001,MATCH(ROW()-1,Calc!$X$2:$X$1001,0)),"")</f>
        <v/>
      </c>
      <c r="F519" s="3" t="str">
        <f aca="false">IF(G519="","",E519-D519)</f>
        <v/>
      </c>
      <c r="G519" s="0" t="str">
        <f aca="false">IFERROR(INDEX(Calc!$S$2:$S$1001,MATCH(ROW()-1,Calc!$X$2:$X$1001,0)),"")</f>
        <v/>
      </c>
    </row>
    <row r="520" customFormat="false" ht="15" hidden="false" customHeight="false" outlineLevel="0" collapsed="false">
      <c r="A520" s="0" t="str">
        <f aca="false">IFERROR(INDEX(Calc!$L$2:$L$1001,MATCH(ROW()-1,Calc!$X$2:$X$1001,0)),"")</f>
        <v/>
      </c>
      <c r="B520" s="0" t="str">
        <f aca="false">IFERROR(INDEX(Calc!$M$2:$M$1001,MATCH(ROW()-1,Calc!$X$2:$X$1001,0)),"")</f>
        <v/>
      </c>
      <c r="C520" s="0" t="str">
        <f aca="false">IFERROR(INDEX(Calc!$N$2:$N$1001,MATCH(ROW()-1,Calc!$X$2:$X$1001,0)),"")</f>
        <v/>
      </c>
      <c r="D520" s="3" t="str">
        <f aca="false">IFERROR(INDEX(Calc!$O$2:$O$1001,MATCH(ROW()-1,Calc!$X$2:$X$1001,0)),"")</f>
        <v/>
      </c>
      <c r="E520" s="3" t="str">
        <f aca="false">IFERROR(INDEX(Calc!$P$2:$P$1001,MATCH(ROW()-1,Calc!$X$2:$X$1001,0)),"")</f>
        <v/>
      </c>
      <c r="F520" s="3" t="str">
        <f aca="false">IF(G520="","",E520-D520)</f>
        <v/>
      </c>
      <c r="G520" s="0" t="str">
        <f aca="false">IFERROR(INDEX(Calc!$S$2:$S$1001,MATCH(ROW()-1,Calc!$X$2:$X$1001,0)),"")</f>
        <v/>
      </c>
    </row>
    <row r="521" customFormat="false" ht="15" hidden="false" customHeight="false" outlineLevel="0" collapsed="false">
      <c r="A521" s="0" t="str">
        <f aca="false">IFERROR(INDEX(Calc!$L$2:$L$1001,MATCH(ROW()-1,Calc!$X$2:$X$1001,0)),"")</f>
        <v/>
      </c>
      <c r="B521" s="0" t="str">
        <f aca="false">IFERROR(INDEX(Calc!$M$2:$M$1001,MATCH(ROW()-1,Calc!$X$2:$X$1001,0)),"")</f>
        <v/>
      </c>
      <c r="C521" s="0" t="str">
        <f aca="false">IFERROR(INDEX(Calc!$N$2:$N$1001,MATCH(ROW()-1,Calc!$X$2:$X$1001,0)),"")</f>
        <v/>
      </c>
      <c r="D521" s="3" t="str">
        <f aca="false">IFERROR(INDEX(Calc!$O$2:$O$1001,MATCH(ROW()-1,Calc!$X$2:$X$1001,0)),"")</f>
        <v/>
      </c>
      <c r="E521" s="3" t="str">
        <f aca="false">IFERROR(INDEX(Calc!$P$2:$P$1001,MATCH(ROW()-1,Calc!$X$2:$X$1001,0)),"")</f>
        <v/>
      </c>
      <c r="F521" s="3" t="str">
        <f aca="false">IF(G521="","",E521-D521)</f>
        <v/>
      </c>
      <c r="G521" s="0" t="str">
        <f aca="false">IFERROR(INDEX(Calc!$S$2:$S$1001,MATCH(ROW()-1,Calc!$X$2:$X$1001,0)),"")</f>
        <v/>
      </c>
    </row>
    <row r="522" customFormat="false" ht="15" hidden="false" customHeight="false" outlineLevel="0" collapsed="false">
      <c r="A522" s="0" t="str">
        <f aca="false">IFERROR(INDEX(Calc!$L$2:$L$1001,MATCH(ROW()-1,Calc!$X$2:$X$1001,0)),"")</f>
        <v/>
      </c>
      <c r="B522" s="0" t="str">
        <f aca="false">IFERROR(INDEX(Calc!$M$2:$M$1001,MATCH(ROW()-1,Calc!$X$2:$X$1001,0)),"")</f>
        <v/>
      </c>
      <c r="C522" s="0" t="str">
        <f aca="false">IFERROR(INDEX(Calc!$N$2:$N$1001,MATCH(ROW()-1,Calc!$X$2:$X$1001,0)),"")</f>
        <v/>
      </c>
      <c r="D522" s="3" t="str">
        <f aca="false">IFERROR(INDEX(Calc!$O$2:$O$1001,MATCH(ROW()-1,Calc!$X$2:$X$1001,0)),"")</f>
        <v/>
      </c>
      <c r="E522" s="3" t="str">
        <f aca="false">IFERROR(INDEX(Calc!$P$2:$P$1001,MATCH(ROW()-1,Calc!$X$2:$X$1001,0)),"")</f>
        <v/>
      </c>
      <c r="F522" s="3" t="str">
        <f aca="false">IF(G522="","",E522-D522)</f>
        <v/>
      </c>
      <c r="G522" s="0" t="str">
        <f aca="false">IFERROR(INDEX(Calc!$S$2:$S$1001,MATCH(ROW()-1,Calc!$X$2:$X$1001,0)),"")</f>
        <v/>
      </c>
    </row>
    <row r="523" customFormat="false" ht="15" hidden="false" customHeight="false" outlineLevel="0" collapsed="false">
      <c r="A523" s="0" t="str">
        <f aca="false">IFERROR(INDEX(Calc!$L$2:$L$1001,MATCH(ROW()-1,Calc!$X$2:$X$1001,0)),"")</f>
        <v/>
      </c>
      <c r="B523" s="0" t="str">
        <f aca="false">IFERROR(INDEX(Calc!$M$2:$M$1001,MATCH(ROW()-1,Calc!$X$2:$X$1001,0)),"")</f>
        <v/>
      </c>
      <c r="C523" s="0" t="str">
        <f aca="false">IFERROR(INDEX(Calc!$N$2:$N$1001,MATCH(ROW()-1,Calc!$X$2:$X$1001,0)),"")</f>
        <v/>
      </c>
      <c r="D523" s="3" t="str">
        <f aca="false">IFERROR(INDEX(Calc!$O$2:$O$1001,MATCH(ROW()-1,Calc!$X$2:$X$1001,0)),"")</f>
        <v/>
      </c>
      <c r="E523" s="3" t="str">
        <f aca="false">IFERROR(INDEX(Calc!$P$2:$P$1001,MATCH(ROW()-1,Calc!$X$2:$X$1001,0)),"")</f>
        <v/>
      </c>
      <c r="F523" s="3" t="str">
        <f aca="false">IF(G523="","",E523-D523)</f>
        <v/>
      </c>
      <c r="G523" s="0" t="str">
        <f aca="false">IFERROR(INDEX(Calc!$S$2:$S$1001,MATCH(ROW()-1,Calc!$X$2:$X$1001,0)),"")</f>
        <v/>
      </c>
    </row>
    <row r="524" customFormat="false" ht="15" hidden="false" customHeight="false" outlineLevel="0" collapsed="false">
      <c r="A524" s="0" t="str">
        <f aca="false">IFERROR(INDEX(Calc!$L$2:$L$1001,MATCH(ROW()-1,Calc!$X$2:$X$1001,0)),"")</f>
        <v/>
      </c>
      <c r="B524" s="0" t="str">
        <f aca="false">IFERROR(INDEX(Calc!$M$2:$M$1001,MATCH(ROW()-1,Calc!$X$2:$X$1001,0)),"")</f>
        <v/>
      </c>
      <c r="C524" s="0" t="str">
        <f aca="false">IFERROR(INDEX(Calc!$N$2:$N$1001,MATCH(ROW()-1,Calc!$X$2:$X$1001,0)),"")</f>
        <v/>
      </c>
      <c r="D524" s="3" t="str">
        <f aca="false">IFERROR(INDEX(Calc!$O$2:$O$1001,MATCH(ROW()-1,Calc!$X$2:$X$1001,0)),"")</f>
        <v/>
      </c>
      <c r="E524" s="3" t="str">
        <f aca="false">IFERROR(INDEX(Calc!$P$2:$P$1001,MATCH(ROW()-1,Calc!$X$2:$X$1001,0)),"")</f>
        <v/>
      </c>
      <c r="F524" s="3" t="str">
        <f aca="false">IF(G524="","",E524-D524)</f>
        <v/>
      </c>
      <c r="G524" s="0" t="str">
        <f aca="false">IFERROR(INDEX(Calc!$S$2:$S$1001,MATCH(ROW()-1,Calc!$X$2:$X$1001,0)),"")</f>
        <v/>
      </c>
    </row>
    <row r="525" customFormat="false" ht="15" hidden="false" customHeight="false" outlineLevel="0" collapsed="false">
      <c r="A525" s="0" t="str">
        <f aca="false">IFERROR(INDEX(Calc!$L$2:$L$1001,MATCH(ROW()-1,Calc!$X$2:$X$1001,0)),"")</f>
        <v/>
      </c>
      <c r="B525" s="0" t="str">
        <f aca="false">IFERROR(INDEX(Calc!$M$2:$M$1001,MATCH(ROW()-1,Calc!$X$2:$X$1001,0)),"")</f>
        <v/>
      </c>
      <c r="C525" s="0" t="str">
        <f aca="false">IFERROR(INDEX(Calc!$N$2:$N$1001,MATCH(ROW()-1,Calc!$X$2:$X$1001,0)),"")</f>
        <v/>
      </c>
      <c r="D525" s="3" t="str">
        <f aca="false">IFERROR(INDEX(Calc!$O$2:$O$1001,MATCH(ROW()-1,Calc!$X$2:$X$1001,0)),"")</f>
        <v/>
      </c>
      <c r="E525" s="3" t="str">
        <f aca="false">IFERROR(INDEX(Calc!$P$2:$P$1001,MATCH(ROW()-1,Calc!$X$2:$X$1001,0)),"")</f>
        <v/>
      </c>
      <c r="F525" s="3" t="str">
        <f aca="false">IF(G525="","",E525-D525)</f>
        <v/>
      </c>
      <c r="G525" s="0" t="str">
        <f aca="false">IFERROR(INDEX(Calc!$S$2:$S$1001,MATCH(ROW()-1,Calc!$X$2:$X$1001,0)),"")</f>
        <v/>
      </c>
    </row>
    <row r="526" customFormat="false" ht="15" hidden="false" customHeight="false" outlineLevel="0" collapsed="false">
      <c r="A526" s="0" t="str">
        <f aca="false">IFERROR(INDEX(Calc!$L$2:$L$1001,MATCH(ROW()-1,Calc!$X$2:$X$1001,0)),"")</f>
        <v/>
      </c>
      <c r="B526" s="0" t="str">
        <f aca="false">IFERROR(INDEX(Calc!$M$2:$M$1001,MATCH(ROW()-1,Calc!$X$2:$X$1001,0)),"")</f>
        <v/>
      </c>
      <c r="C526" s="0" t="str">
        <f aca="false">IFERROR(INDEX(Calc!$N$2:$N$1001,MATCH(ROW()-1,Calc!$X$2:$X$1001,0)),"")</f>
        <v/>
      </c>
      <c r="D526" s="3" t="str">
        <f aca="false">IFERROR(INDEX(Calc!$O$2:$O$1001,MATCH(ROW()-1,Calc!$X$2:$X$1001,0)),"")</f>
        <v/>
      </c>
      <c r="E526" s="3" t="str">
        <f aca="false">IFERROR(INDEX(Calc!$P$2:$P$1001,MATCH(ROW()-1,Calc!$X$2:$X$1001,0)),"")</f>
        <v/>
      </c>
      <c r="F526" s="3" t="str">
        <f aca="false">IF(G526="","",E526-D526)</f>
        <v/>
      </c>
      <c r="G526" s="0" t="str">
        <f aca="false">IFERROR(INDEX(Calc!$S$2:$S$1001,MATCH(ROW()-1,Calc!$X$2:$X$1001,0)),"")</f>
        <v/>
      </c>
    </row>
    <row r="527" customFormat="false" ht="15" hidden="false" customHeight="false" outlineLevel="0" collapsed="false">
      <c r="A527" s="0" t="str">
        <f aca="false">IFERROR(INDEX(Calc!$L$2:$L$1001,MATCH(ROW()-1,Calc!$X$2:$X$1001,0)),"")</f>
        <v/>
      </c>
      <c r="B527" s="0" t="str">
        <f aca="false">IFERROR(INDEX(Calc!$M$2:$M$1001,MATCH(ROW()-1,Calc!$X$2:$X$1001,0)),"")</f>
        <v/>
      </c>
      <c r="C527" s="0" t="str">
        <f aca="false">IFERROR(INDEX(Calc!$N$2:$N$1001,MATCH(ROW()-1,Calc!$X$2:$X$1001,0)),"")</f>
        <v/>
      </c>
      <c r="D527" s="3" t="str">
        <f aca="false">IFERROR(INDEX(Calc!$O$2:$O$1001,MATCH(ROW()-1,Calc!$X$2:$X$1001,0)),"")</f>
        <v/>
      </c>
      <c r="E527" s="3" t="str">
        <f aca="false">IFERROR(INDEX(Calc!$P$2:$P$1001,MATCH(ROW()-1,Calc!$X$2:$X$1001,0)),"")</f>
        <v/>
      </c>
      <c r="F527" s="3" t="str">
        <f aca="false">IF(G527="","",E527-D527)</f>
        <v/>
      </c>
      <c r="G527" s="0" t="str">
        <f aca="false">IFERROR(INDEX(Calc!$S$2:$S$1001,MATCH(ROW()-1,Calc!$X$2:$X$1001,0)),"")</f>
        <v/>
      </c>
    </row>
    <row r="528" customFormat="false" ht="15" hidden="false" customHeight="false" outlineLevel="0" collapsed="false">
      <c r="A528" s="0" t="str">
        <f aca="false">IFERROR(INDEX(Calc!$L$2:$L$1001,MATCH(ROW()-1,Calc!$X$2:$X$1001,0)),"")</f>
        <v/>
      </c>
      <c r="B528" s="0" t="str">
        <f aca="false">IFERROR(INDEX(Calc!$M$2:$M$1001,MATCH(ROW()-1,Calc!$X$2:$X$1001,0)),"")</f>
        <v/>
      </c>
      <c r="C528" s="0" t="str">
        <f aca="false">IFERROR(INDEX(Calc!$N$2:$N$1001,MATCH(ROW()-1,Calc!$X$2:$X$1001,0)),"")</f>
        <v/>
      </c>
      <c r="D528" s="3" t="str">
        <f aca="false">IFERROR(INDEX(Calc!$O$2:$O$1001,MATCH(ROW()-1,Calc!$X$2:$X$1001,0)),"")</f>
        <v/>
      </c>
      <c r="E528" s="3" t="str">
        <f aca="false">IFERROR(INDEX(Calc!$P$2:$P$1001,MATCH(ROW()-1,Calc!$X$2:$X$1001,0)),"")</f>
        <v/>
      </c>
      <c r="F528" s="3" t="str">
        <f aca="false">IF(G528="","",E528-D528)</f>
        <v/>
      </c>
      <c r="G528" s="0" t="str">
        <f aca="false">IFERROR(INDEX(Calc!$S$2:$S$1001,MATCH(ROW()-1,Calc!$X$2:$X$1001,0)),"")</f>
        <v/>
      </c>
    </row>
    <row r="529" customFormat="false" ht="15" hidden="false" customHeight="false" outlineLevel="0" collapsed="false">
      <c r="A529" s="0" t="str">
        <f aca="false">IFERROR(INDEX(Calc!$L$2:$L$1001,MATCH(ROW()-1,Calc!$X$2:$X$1001,0)),"")</f>
        <v/>
      </c>
      <c r="B529" s="0" t="str">
        <f aca="false">IFERROR(INDEX(Calc!$M$2:$M$1001,MATCH(ROW()-1,Calc!$X$2:$X$1001,0)),"")</f>
        <v/>
      </c>
      <c r="C529" s="0" t="str">
        <f aca="false">IFERROR(INDEX(Calc!$N$2:$N$1001,MATCH(ROW()-1,Calc!$X$2:$X$1001,0)),"")</f>
        <v/>
      </c>
      <c r="D529" s="3" t="str">
        <f aca="false">IFERROR(INDEX(Calc!$O$2:$O$1001,MATCH(ROW()-1,Calc!$X$2:$X$1001,0)),"")</f>
        <v/>
      </c>
      <c r="E529" s="3" t="str">
        <f aca="false">IFERROR(INDEX(Calc!$P$2:$P$1001,MATCH(ROW()-1,Calc!$X$2:$X$1001,0)),"")</f>
        <v/>
      </c>
      <c r="F529" s="3" t="str">
        <f aca="false">IF(G529="","",E529-D529)</f>
        <v/>
      </c>
      <c r="G529" s="0" t="str">
        <f aca="false">IFERROR(INDEX(Calc!$S$2:$S$1001,MATCH(ROW()-1,Calc!$X$2:$X$1001,0)),"")</f>
        <v/>
      </c>
    </row>
    <row r="530" customFormat="false" ht="15" hidden="false" customHeight="false" outlineLevel="0" collapsed="false">
      <c r="A530" s="0" t="str">
        <f aca="false">IFERROR(INDEX(Calc!$L$2:$L$1001,MATCH(ROW()-1,Calc!$X$2:$X$1001,0)),"")</f>
        <v/>
      </c>
      <c r="B530" s="0" t="str">
        <f aca="false">IFERROR(INDEX(Calc!$M$2:$M$1001,MATCH(ROW()-1,Calc!$X$2:$X$1001,0)),"")</f>
        <v/>
      </c>
      <c r="C530" s="0" t="str">
        <f aca="false">IFERROR(INDEX(Calc!$N$2:$N$1001,MATCH(ROW()-1,Calc!$X$2:$X$1001,0)),"")</f>
        <v/>
      </c>
      <c r="D530" s="3" t="str">
        <f aca="false">IFERROR(INDEX(Calc!$O$2:$O$1001,MATCH(ROW()-1,Calc!$X$2:$X$1001,0)),"")</f>
        <v/>
      </c>
      <c r="E530" s="3" t="str">
        <f aca="false">IFERROR(INDEX(Calc!$P$2:$P$1001,MATCH(ROW()-1,Calc!$X$2:$X$1001,0)),"")</f>
        <v/>
      </c>
      <c r="F530" s="3" t="str">
        <f aca="false">IF(G530="","",E530-D530)</f>
        <v/>
      </c>
      <c r="G530" s="0" t="str">
        <f aca="false">IFERROR(INDEX(Calc!$S$2:$S$1001,MATCH(ROW()-1,Calc!$X$2:$X$1001,0)),"")</f>
        <v/>
      </c>
    </row>
    <row r="531" customFormat="false" ht="15" hidden="false" customHeight="false" outlineLevel="0" collapsed="false">
      <c r="A531" s="0" t="str">
        <f aca="false">IFERROR(INDEX(Calc!$L$2:$L$1001,MATCH(ROW()-1,Calc!$X$2:$X$1001,0)),"")</f>
        <v/>
      </c>
      <c r="B531" s="0" t="str">
        <f aca="false">IFERROR(INDEX(Calc!$M$2:$M$1001,MATCH(ROW()-1,Calc!$X$2:$X$1001,0)),"")</f>
        <v/>
      </c>
      <c r="C531" s="0" t="str">
        <f aca="false">IFERROR(INDEX(Calc!$N$2:$N$1001,MATCH(ROW()-1,Calc!$X$2:$X$1001,0)),"")</f>
        <v/>
      </c>
      <c r="D531" s="3" t="str">
        <f aca="false">IFERROR(INDEX(Calc!$O$2:$O$1001,MATCH(ROW()-1,Calc!$X$2:$X$1001,0)),"")</f>
        <v/>
      </c>
      <c r="E531" s="3" t="str">
        <f aca="false">IFERROR(INDEX(Calc!$P$2:$P$1001,MATCH(ROW()-1,Calc!$X$2:$X$1001,0)),"")</f>
        <v/>
      </c>
      <c r="F531" s="3" t="str">
        <f aca="false">IF(G531="","",E531-D531)</f>
        <v/>
      </c>
      <c r="G531" s="0" t="str">
        <f aca="false">IFERROR(INDEX(Calc!$S$2:$S$1001,MATCH(ROW()-1,Calc!$X$2:$X$1001,0)),"")</f>
        <v/>
      </c>
    </row>
    <row r="532" customFormat="false" ht="15" hidden="false" customHeight="false" outlineLevel="0" collapsed="false">
      <c r="A532" s="0" t="str">
        <f aca="false">IFERROR(INDEX(Calc!$L$2:$L$1001,MATCH(ROW()-1,Calc!$X$2:$X$1001,0)),"")</f>
        <v/>
      </c>
      <c r="B532" s="0" t="str">
        <f aca="false">IFERROR(INDEX(Calc!$M$2:$M$1001,MATCH(ROW()-1,Calc!$X$2:$X$1001,0)),"")</f>
        <v/>
      </c>
      <c r="C532" s="0" t="str">
        <f aca="false">IFERROR(INDEX(Calc!$N$2:$N$1001,MATCH(ROW()-1,Calc!$X$2:$X$1001,0)),"")</f>
        <v/>
      </c>
      <c r="D532" s="3" t="str">
        <f aca="false">IFERROR(INDEX(Calc!$O$2:$O$1001,MATCH(ROW()-1,Calc!$X$2:$X$1001,0)),"")</f>
        <v/>
      </c>
      <c r="E532" s="3" t="str">
        <f aca="false">IFERROR(INDEX(Calc!$P$2:$P$1001,MATCH(ROW()-1,Calc!$X$2:$X$1001,0)),"")</f>
        <v/>
      </c>
      <c r="F532" s="3" t="str">
        <f aca="false">IF(G532="","",E532-D532)</f>
        <v/>
      </c>
      <c r="G532" s="0" t="str">
        <f aca="false">IFERROR(INDEX(Calc!$S$2:$S$1001,MATCH(ROW()-1,Calc!$X$2:$X$1001,0)),"")</f>
        <v/>
      </c>
    </row>
    <row r="533" customFormat="false" ht="15" hidden="false" customHeight="false" outlineLevel="0" collapsed="false">
      <c r="A533" s="0" t="str">
        <f aca="false">IFERROR(INDEX(Calc!$L$2:$L$1001,MATCH(ROW()-1,Calc!$X$2:$X$1001,0)),"")</f>
        <v/>
      </c>
      <c r="B533" s="0" t="str">
        <f aca="false">IFERROR(INDEX(Calc!$M$2:$M$1001,MATCH(ROW()-1,Calc!$X$2:$X$1001,0)),"")</f>
        <v/>
      </c>
      <c r="C533" s="0" t="str">
        <f aca="false">IFERROR(INDEX(Calc!$N$2:$N$1001,MATCH(ROW()-1,Calc!$X$2:$X$1001,0)),"")</f>
        <v/>
      </c>
      <c r="D533" s="3" t="str">
        <f aca="false">IFERROR(INDEX(Calc!$O$2:$O$1001,MATCH(ROW()-1,Calc!$X$2:$X$1001,0)),"")</f>
        <v/>
      </c>
      <c r="E533" s="3" t="str">
        <f aca="false">IFERROR(INDEX(Calc!$P$2:$P$1001,MATCH(ROW()-1,Calc!$X$2:$X$1001,0)),"")</f>
        <v/>
      </c>
      <c r="F533" s="3" t="str">
        <f aca="false">IF(G533="","",E533-D533)</f>
        <v/>
      </c>
      <c r="G533" s="0" t="str">
        <f aca="false">IFERROR(INDEX(Calc!$S$2:$S$1001,MATCH(ROW()-1,Calc!$X$2:$X$1001,0)),"")</f>
        <v/>
      </c>
    </row>
    <row r="534" customFormat="false" ht="15" hidden="false" customHeight="false" outlineLevel="0" collapsed="false">
      <c r="A534" s="0" t="str">
        <f aca="false">IFERROR(INDEX(Calc!$L$2:$L$1001,MATCH(ROW()-1,Calc!$X$2:$X$1001,0)),"")</f>
        <v/>
      </c>
      <c r="B534" s="0" t="str">
        <f aca="false">IFERROR(INDEX(Calc!$M$2:$M$1001,MATCH(ROW()-1,Calc!$X$2:$X$1001,0)),"")</f>
        <v/>
      </c>
      <c r="C534" s="0" t="str">
        <f aca="false">IFERROR(INDEX(Calc!$N$2:$N$1001,MATCH(ROW()-1,Calc!$X$2:$X$1001,0)),"")</f>
        <v/>
      </c>
      <c r="D534" s="3" t="str">
        <f aca="false">IFERROR(INDEX(Calc!$O$2:$O$1001,MATCH(ROW()-1,Calc!$X$2:$X$1001,0)),"")</f>
        <v/>
      </c>
      <c r="E534" s="3" t="str">
        <f aca="false">IFERROR(INDEX(Calc!$P$2:$P$1001,MATCH(ROW()-1,Calc!$X$2:$X$1001,0)),"")</f>
        <v/>
      </c>
      <c r="F534" s="3" t="str">
        <f aca="false">IF(G534="","",E534-D534)</f>
        <v/>
      </c>
      <c r="G534" s="0" t="str">
        <f aca="false">IFERROR(INDEX(Calc!$S$2:$S$1001,MATCH(ROW()-1,Calc!$X$2:$X$1001,0)),"")</f>
        <v/>
      </c>
    </row>
    <row r="535" customFormat="false" ht="15" hidden="false" customHeight="false" outlineLevel="0" collapsed="false">
      <c r="A535" s="0" t="str">
        <f aca="false">IFERROR(INDEX(Calc!$L$2:$L$1001,MATCH(ROW()-1,Calc!$X$2:$X$1001,0)),"")</f>
        <v/>
      </c>
      <c r="B535" s="0" t="str">
        <f aca="false">IFERROR(INDEX(Calc!$M$2:$M$1001,MATCH(ROW()-1,Calc!$X$2:$X$1001,0)),"")</f>
        <v/>
      </c>
      <c r="C535" s="0" t="str">
        <f aca="false">IFERROR(INDEX(Calc!$N$2:$N$1001,MATCH(ROW()-1,Calc!$X$2:$X$1001,0)),"")</f>
        <v/>
      </c>
      <c r="D535" s="3" t="str">
        <f aca="false">IFERROR(INDEX(Calc!$O$2:$O$1001,MATCH(ROW()-1,Calc!$X$2:$X$1001,0)),"")</f>
        <v/>
      </c>
      <c r="E535" s="3" t="str">
        <f aca="false">IFERROR(INDEX(Calc!$P$2:$P$1001,MATCH(ROW()-1,Calc!$X$2:$X$1001,0)),"")</f>
        <v/>
      </c>
      <c r="F535" s="3" t="str">
        <f aca="false">IF(G535="","",E535-D535)</f>
        <v/>
      </c>
      <c r="G535" s="0" t="str">
        <f aca="false">IFERROR(INDEX(Calc!$S$2:$S$1001,MATCH(ROW()-1,Calc!$X$2:$X$1001,0)),"")</f>
        <v/>
      </c>
    </row>
    <row r="536" customFormat="false" ht="15" hidden="false" customHeight="false" outlineLevel="0" collapsed="false">
      <c r="A536" s="0" t="str">
        <f aca="false">IFERROR(INDEX(Calc!$L$2:$L$1001,MATCH(ROW()-1,Calc!$X$2:$X$1001,0)),"")</f>
        <v/>
      </c>
      <c r="B536" s="0" t="str">
        <f aca="false">IFERROR(INDEX(Calc!$M$2:$M$1001,MATCH(ROW()-1,Calc!$X$2:$X$1001,0)),"")</f>
        <v/>
      </c>
      <c r="C536" s="0" t="str">
        <f aca="false">IFERROR(INDEX(Calc!$N$2:$N$1001,MATCH(ROW()-1,Calc!$X$2:$X$1001,0)),"")</f>
        <v/>
      </c>
      <c r="D536" s="3" t="str">
        <f aca="false">IFERROR(INDEX(Calc!$O$2:$O$1001,MATCH(ROW()-1,Calc!$X$2:$X$1001,0)),"")</f>
        <v/>
      </c>
      <c r="E536" s="3" t="str">
        <f aca="false">IFERROR(INDEX(Calc!$P$2:$P$1001,MATCH(ROW()-1,Calc!$X$2:$X$1001,0)),"")</f>
        <v/>
      </c>
      <c r="F536" s="3" t="str">
        <f aca="false">IF(G536="","",E536-D536)</f>
        <v/>
      </c>
      <c r="G536" s="0" t="str">
        <f aca="false">IFERROR(INDEX(Calc!$S$2:$S$1001,MATCH(ROW()-1,Calc!$X$2:$X$1001,0)),"")</f>
        <v/>
      </c>
    </row>
    <row r="537" customFormat="false" ht="15" hidden="false" customHeight="false" outlineLevel="0" collapsed="false">
      <c r="A537" s="0" t="str">
        <f aca="false">IFERROR(INDEX(Calc!$L$2:$L$1001,MATCH(ROW()-1,Calc!$X$2:$X$1001,0)),"")</f>
        <v/>
      </c>
      <c r="B537" s="0" t="str">
        <f aca="false">IFERROR(INDEX(Calc!$M$2:$M$1001,MATCH(ROW()-1,Calc!$X$2:$X$1001,0)),"")</f>
        <v/>
      </c>
      <c r="C537" s="0" t="str">
        <f aca="false">IFERROR(INDEX(Calc!$N$2:$N$1001,MATCH(ROW()-1,Calc!$X$2:$X$1001,0)),"")</f>
        <v/>
      </c>
      <c r="D537" s="3" t="str">
        <f aca="false">IFERROR(INDEX(Calc!$O$2:$O$1001,MATCH(ROW()-1,Calc!$X$2:$X$1001,0)),"")</f>
        <v/>
      </c>
      <c r="E537" s="3" t="str">
        <f aca="false">IFERROR(INDEX(Calc!$P$2:$P$1001,MATCH(ROW()-1,Calc!$X$2:$X$1001,0)),"")</f>
        <v/>
      </c>
      <c r="F537" s="3" t="str">
        <f aca="false">IF(G537="","",E537-D537)</f>
        <v/>
      </c>
      <c r="G537" s="0" t="str">
        <f aca="false">IFERROR(INDEX(Calc!$S$2:$S$1001,MATCH(ROW()-1,Calc!$X$2:$X$1001,0)),"")</f>
        <v/>
      </c>
    </row>
    <row r="538" customFormat="false" ht="15" hidden="false" customHeight="false" outlineLevel="0" collapsed="false">
      <c r="A538" s="0" t="str">
        <f aca="false">IFERROR(INDEX(Calc!$L$2:$L$1001,MATCH(ROW()-1,Calc!$X$2:$X$1001,0)),"")</f>
        <v/>
      </c>
      <c r="B538" s="0" t="str">
        <f aca="false">IFERROR(INDEX(Calc!$M$2:$M$1001,MATCH(ROW()-1,Calc!$X$2:$X$1001,0)),"")</f>
        <v/>
      </c>
      <c r="C538" s="0" t="str">
        <f aca="false">IFERROR(INDEX(Calc!$N$2:$N$1001,MATCH(ROW()-1,Calc!$X$2:$X$1001,0)),"")</f>
        <v/>
      </c>
      <c r="D538" s="3" t="str">
        <f aca="false">IFERROR(INDEX(Calc!$O$2:$O$1001,MATCH(ROW()-1,Calc!$X$2:$X$1001,0)),"")</f>
        <v/>
      </c>
      <c r="E538" s="3" t="str">
        <f aca="false">IFERROR(INDEX(Calc!$P$2:$P$1001,MATCH(ROW()-1,Calc!$X$2:$X$1001,0)),"")</f>
        <v/>
      </c>
      <c r="F538" s="3" t="str">
        <f aca="false">IF(G538="","",E538-D538)</f>
        <v/>
      </c>
      <c r="G538" s="0" t="str">
        <f aca="false">IFERROR(INDEX(Calc!$S$2:$S$1001,MATCH(ROW()-1,Calc!$X$2:$X$1001,0)),"")</f>
        <v/>
      </c>
    </row>
    <row r="539" customFormat="false" ht="15" hidden="false" customHeight="false" outlineLevel="0" collapsed="false">
      <c r="A539" s="0" t="str">
        <f aca="false">IFERROR(INDEX(Calc!$L$2:$L$1001,MATCH(ROW()-1,Calc!$X$2:$X$1001,0)),"")</f>
        <v/>
      </c>
      <c r="B539" s="0" t="str">
        <f aca="false">IFERROR(INDEX(Calc!$M$2:$M$1001,MATCH(ROW()-1,Calc!$X$2:$X$1001,0)),"")</f>
        <v/>
      </c>
      <c r="C539" s="0" t="str">
        <f aca="false">IFERROR(INDEX(Calc!$N$2:$N$1001,MATCH(ROW()-1,Calc!$X$2:$X$1001,0)),"")</f>
        <v/>
      </c>
      <c r="D539" s="3" t="str">
        <f aca="false">IFERROR(INDEX(Calc!$O$2:$O$1001,MATCH(ROW()-1,Calc!$X$2:$X$1001,0)),"")</f>
        <v/>
      </c>
      <c r="E539" s="3" t="str">
        <f aca="false">IFERROR(INDEX(Calc!$P$2:$P$1001,MATCH(ROW()-1,Calc!$X$2:$X$1001,0)),"")</f>
        <v/>
      </c>
      <c r="F539" s="3" t="str">
        <f aca="false">IF(G539="","",E539-D539)</f>
        <v/>
      </c>
      <c r="G539" s="0" t="str">
        <f aca="false">IFERROR(INDEX(Calc!$S$2:$S$1001,MATCH(ROW()-1,Calc!$X$2:$X$1001,0)),"")</f>
        <v/>
      </c>
    </row>
    <row r="540" customFormat="false" ht="15" hidden="false" customHeight="false" outlineLevel="0" collapsed="false">
      <c r="A540" s="0" t="str">
        <f aca="false">IFERROR(INDEX(Calc!$L$2:$L$1001,MATCH(ROW()-1,Calc!$X$2:$X$1001,0)),"")</f>
        <v/>
      </c>
      <c r="B540" s="0" t="str">
        <f aca="false">IFERROR(INDEX(Calc!$M$2:$M$1001,MATCH(ROW()-1,Calc!$X$2:$X$1001,0)),"")</f>
        <v/>
      </c>
      <c r="C540" s="0" t="str">
        <f aca="false">IFERROR(INDEX(Calc!$N$2:$N$1001,MATCH(ROW()-1,Calc!$X$2:$X$1001,0)),"")</f>
        <v/>
      </c>
      <c r="D540" s="3" t="str">
        <f aca="false">IFERROR(INDEX(Calc!$O$2:$O$1001,MATCH(ROW()-1,Calc!$X$2:$X$1001,0)),"")</f>
        <v/>
      </c>
      <c r="E540" s="3" t="str">
        <f aca="false">IFERROR(INDEX(Calc!$P$2:$P$1001,MATCH(ROW()-1,Calc!$X$2:$X$1001,0)),"")</f>
        <v/>
      </c>
      <c r="F540" s="3" t="str">
        <f aca="false">IF(G540="","",E540-D540)</f>
        <v/>
      </c>
      <c r="G540" s="0" t="str">
        <f aca="false">IFERROR(INDEX(Calc!$S$2:$S$1001,MATCH(ROW()-1,Calc!$X$2:$X$1001,0)),"")</f>
        <v/>
      </c>
    </row>
    <row r="541" customFormat="false" ht="15" hidden="false" customHeight="false" outlineLevel="0" collapsed="false">
      <c r="A541" s="0" t="str">
        <f aca="false">IFERROR(INDEX(Calc!$L$2:$L$1001,MATCH(ROW()-1,Calc!$X$2:$X$1001,0)),"")</f>
        <v/>
      </c>
      <c r="B541" s="0" t="str">
        <f aca="false">IFERROR(INDEX(Calc!$M$2:$M$1001,MATCH(ROW()-1,Calc!$X$2:$X$1001,0)),"")</f>
        <v/>
      </c>
      <c r="C541" s="0" t="str">
        <f aca="false">IFERROR(INDEX(Calc!$N$2:$N$1001,MATCH(ROW()-1,Calc!$X$2:$X$1001,0)),"")</f>
        <v/>
      </c>
      <c r="D541" s="3" t="str">
        <f aca="false">IFERROR(INDEX(Calc!$O$2:$O$1001,MATCH(ROW()-1,Calc!$X$2:$X$1001,0)),"")</f>
        <v/>
      </c>
      <c r="E541" s="3" t="str">
        <f aca="false">IFERROR(INDEX(Calc!$P$2:$P$1001,MATCH(ROW()-1,Calc!$X$2:$X$1001,0)),"")</f>
        <v/>
      </c>
      <c r="F541" s="3" t="str">
        <f aca="false">IF(G541="","",E541-D541)</f>
        <v/>
      </c>
      <c r="G541" s="0" t="str">
        <f aca="false">IFERROR(INDEX(Calc!$S$2:$S$1001,MATCH(ROW()-1,Calc!$X$2:$X$1001,0)),"")</f>
        <v/>
      </c>
    </row>
    <row r="542" customFormat="false" ht="15" hidden="false" customHeight="false" outlineLevel="0" collapsed="false">
      <c r="A542" s="0" t="str">
        <f aca="false">IFERROR(INDEX(Calc!$L$2:$L$1001,MATCH(ROW()-1,Calc!$X$2:$X$1001,0)),"")</f>
        <v/>
      </c>
      <c r="B542" s="0" t="str">
        <f aca="false">IFERROR(INDEX(Calc!$M$2:$M$1001,MATCH(ROW()-1,Calc!$X$2:$X$1001,0)),"")</f>
        <v/>
      </c>
      <c r="C542" s="0" t="str">
        <f aca="false">IFERROR(INDEX(Calc!$N$2:$N$1001,MATCH(ROW()-1,Calc!$X$2:$X$1001,0)),"")</f>
        <v/>
      </c>
      <c r="D542" s="3" t="str">
        <f aca="false">IFERROR(INDEX(Calc!$O$2:$O$1001,MATCH(ROW()-1,Calc!$X$2:$X$1001,0)),"")</f>
        <v/>
      </c>
      <c r="E542" s="3" t="str">
        <f aca="false">IFERROR(INDEX(Calc!$P$2:$P$1001,MATCH(ROW()-1,Calc!$X$2:$X$1001,0)),"")</f>
        <v/>
      </c>
      <c r="F542" s="3" t="str">
        <f aca="false">IF(G542="","",E542-D542)</f>
        <v/>
      </c>
      <c r="G542" s="0" t="str">
        <f aca="false">IFERROR(INDEX(Calc!$S$2:$S$1001,MATCH(ROW()-1,Calc!$X$2:$X$1001,0)),"")</f>
        <v/>
      </c>
    </row>
    <row r="543" customFormat="false" ht="15" hidden="false" customHeight="false" outlineLevel="0" collapsed="false">
      <c r="A543" s="0" t="str">
        <f aca="false">IFERROR(INDEX(Calc!$L$2:$L$1001,MATCH(ROW()-1,Calc!$X$2:$X$1001,0)),"")</f>
        <v/>
      </c>
      <c r="B543" s="0" t="str">
        <f aca="false">IFERROR(INDEX(Calc!$M$2:$M$1001,MATCH(ROW()-1,Calc!$X$2:$X$1001,0)),"")</f>
        <v/>
      </c>
      <c r="C543" s="0" t="str">
        <f aca="false">IFERROR(INDEX(Calc!$N$2:$N$1001,MATCH(ROW()-1,Calc!$X$2:$X$1001,0)),"")</f>
        <v/>
      </c>
      <c r="D543" s="3" t="str">
        <f aca="false">IFERROR(INDEX(Calc!$O$2:$O$1001,MATCH(ROW()-1,Calc!$X$2:$X$1001,0)),"")</f>
        <v/>
      </c>
      <c r="E543" s="3" t="str">
        <f aca="false">IFERROR(INDEX(Calc!$P$2:$P$1001,MATCH(ROW()-1,Calc!$X$2:$X$1001,0)),"")</f>
        <v/>
      </c>
      <c r="F543" s="3" t="str">
        <f aca="false">IF(G543="","",E543-D543)</f>
        <v/>
      </c>
      <c r="G543" s="0" t="str">
        <f aca="false">IFERROR(INDEX(Calc!$S$2:$S$1001,MATCH(ROW()-1,Calc!$X$2:$X$1001,0)),"")</f>
        <v/>
      </c>
    </row>
    <row r="544" customFormat="false" ht="15" hidden="false" customHeight="false" outlineLevel="0" collapsed="false">
      <c r="A544" s="0" t="str">
        <f aca="false">IFERROR(INDEX(Calc!$L$2:$L$1001,MATCH(ROW()-1,Calc!$X$2:$X$1001,0)),"")</f>
        <v/>
      </c>
      <c r="B544" s="0" t="str">
        <f aca="false">IFERROR(INDEX(Calc!$M$2:$M$1001,MATCH(ROW()-1,Calc!$X$2:$X$1001,0)),"")</f>
        <v/>
      </c>
      <c r="C544" s="0" t="str">
        <f aca="false">IFERROR(INDEX(Calc!$N$2:$N$1001,MATCH(ROW()-1,Calc!$X$2:$X$1001,0)),"")</f>
        <v/>
      </c>
      <c r="D544" s="3" t="str">
        <f aca="false">IFERROR(INDEX(Calc!$O$2:$O$1001,MATCH(ROW()-1,Calc!$X$2:$X$1001,0)),"")</f>
        <v/>
      </c>
      <c r="E544" s="3" t="str">
        <f aca="false">IFERROR(INDEX(Calc!$P$2:$P$1001,MATCH(ROW()-1,Calc!$X$2:$X$1001,0)),"")</f>
        <v/>
      </c>
      <c r="F544" s="3" t="str">
        <f aca="false">IF(G544="","",E544-D544)</f>
        <v/>
      </c>
      <c r="G544" s="0" t="str">
        <f aca="false">IFERROR(INDEX(Calc!$S$2:$S$1001,MATCH(ROW()-1,Calc!$X$2:$X$1001,0)),"")</f>
        <v/>
      </c>
    </row>
    <row r="545" customFormat="false" ht="15" hidden="false" customHeight="false" outlineLevel="0" collapsed="false">
      <c r="A545" s="0" t="str">
        <f aca="false">IFERROR(INDEX(Calc!$L$2:$L$1001,MATCH(ROW()-1,Calc!$X$2:$X$1001,0)),"")</f>
        <v/>
      </c>
      <c r="B545" s="0" t="str">
        <f aca="false">IFERROR(INDEX(Calc!$M$2:$M$1001,MATCH(ROW()-1,Calc!$X$2:$X$1001,0)),"")</f>
        <v/>
      </c>
      <c r="C545" s="0" t="str">
        <f aca="false">IFERROR(INDEX(Calc!$N$2:$N$1001,MATCH(ROW()-1,Calc!$X$2:$X$1001,0)),"")</f>
        <v/>
      </c>
      <c r="D545" s="3" t="str">
        <f aca="false">IFERROR(INDEX(Calc!$O$2:$O$1001,MATCH(ROW()-1,Calc!$X$2:$X$1001,0)),"")</f>
        <v/>
      </c>
      <c r="E545" s="3" t="str">
        <f aca="false">IFERROR(INDEX(Calc!$P$2:$P$1001,MATCH(ROW()-1,Calc!$X$2:$X$1001,0)),"")</f>
        <v/>
      </c>
      <c r="F545" s="3" t="str">
        <f aca="false">IF(G545="","",E545-D545)</f>
        <v/>
      </c>
      <c r="G545" s="0" t="str">
        <f aca="false">IFERROR(INDEX(Calc!$S$2:$S$1001,MATCH(ROW()-1,Calc!$X$2:$X$1001,0)),"")</f>
        <v/>
      </c>
    </row>
    <row r="546" customFormat="false" ht="15" hidden="false" customHeight="false" outlineLevel="0" collapsed="false">
      <c r="A546" s="0" t="str">
        <f aca="false">IFERROR(INDEX(Calc!$L$2:$L$1001,MATCH(ROW()-1,Calc!$X$2:$X$1001,0)),"")</f>
        <v/>
      </c>
      <c r="B546" s="0" t="str">
        <f aca="false">IFERROR(INDEX(Calc!$M$2:$M$1001,MATCH(ROW()-1,Calc!$X$2:$X$1001,0)),"")</f>
        <v/>
      </c>
      <c r="C546" s="0" t="str">
        <f aca="false">IFERROR(INDEX(Calc!$N$2:$N$1001,MATCH(ROW()-1,Calc!$X$2:$X$1001,0)),"")</f>
        <v/>
      </c>
      <c r="D546" s="3" t="str">
        <f aca="false">IFERROR(INDEX(Calc!$O$2:$O$1001,MATCH(ROW()-1,Calc!$X$2:$X$1001,0)),"")</f>
        <v/>
      </c>
      <c r="E546" s="3" t="str">
        <f aca="false">IFERROR(INDEX(Calc!$P$2:$P$1001,MATCH(ROW()-1,Calc!$X$2:$X$1001,0)),"")</f>
        <v/>
      </c>
      <c r="F546" s="3" t="str">
        <f aca="false">IF(G546="","",E546-D546)</f>
        <v/>
      </c>
      <c r="G546" s="0" t="str">
        <f aca="false">IFERROR(INDEX(Calc!$S$2:$S$1001,MATCH(ROW()-1,Calc!$X$2:$X$1001,0)),"")</f>
        <v/>
      </c>
    </row>
    <row r="547" customFormat="false" ht="15" hidden="false" customHeight="false" outlineLevel="0" collapsed="false">
      <c r="A547" s="0" t="str">
        <f aca="false">IFERROR(INDEX(Calc!$L$2:$L$1001,MATCH(ROW()-1,Calc!$X$2:$X$1001,0)),"")</f>
        <v/>
      </c>
      <c r="B547" s="0" t="str">
        <f aca="false">IFERROR(INDEX(Calc!$M$2:$M$1001,MATCH(ROW()-1,Calc!$X$2:$X$1001,0)),"")</f>
        <v/>
      </c>
      <c r="C547" s="0" t="str">
        <f aca="false">IFERROR(INDEX(Calc!$N$2:$N$1001,MATCH(ROW()-1,Calc!$X$2:$X$1001,0)),"")</f>
        <v/>
      </c>
      <c r="D547" s="3" t="str">
        <f aca="false">IFERROR(INDEX(Calc!$O$2:$O$1001,MATCH(ROW()-1,Calc!$X$2:$X$1001,0)),"")</f>
        <v/>
      </c>
      <c r="E547" s="3" t="str">
        <f aca="false">IFERROR(INDEX(Calc!$P$2:$P$1001,MATCH(ROW()-1,Calc!$X$2:$X$1001,0)),"")</f>
        <v/>
      </c>
      <c r="F547" s="3" t="str">
        <f aca="false">IF(G547="","",E547-D547)</f>
        <v/>
      </c>
      <c r="G547" s="0" t="str">
        <f aca="false">IFERROR(INDEX(Calc!$S$2:$S$1001,MATCH(ROW()-1,Calc!$X$2:$X$1001,0)),"")</f>
        <v/>
      </c>
    </row>
    <row r="548" customFormat="false" ht="15" hidden="false" customHeight="false" outlineLevel="0" collapsed="false">
      <c r="A548" s="0" t="str">
        <f aca="false">IFERROR(INDEX(Calc!$L$2:$L$1001,MATCH(ROW()-1,Calc!$X$2:$X$1001,0)),"")</f>
        <v/>
      </c>
      <c r="B548" s="0" t="str">
        <f aca="false">IFERROR(INDEX(Calc!$M$2:$M$1001,MATCH(ROW()-1,Calc!$X$2:$X$1001,0)),"")</f>
        <v/>
      </c>
      <c r="C548" s="0" t="str">
        <f aca="false">IFERROR(INDEX(Calc!$N$2:$N$1001,MATCH(ROW()-1,Calc!$X$2:$X$1001,0)),"")</f>
        <v/>
      </c>
      <c r="D548" s="3" t="str">
        <f aca="false">IFERROR(INDEX(Calc!$O$2:$O$1001,MATCH(ROW()-1,Calc!$X$2:$X$1001,0)),"")</f>
        <v/>
      </c>
      <c r="E548" s="3" t="str">
        <f aca="false">IFERROR(INDEX(Calc!$P$2:$P$1001,MATCH(ROW()-1,Calc!$X$2:$X$1001,0)),"")</f>
        <v/>
      </c>
      <c r="F548" s="3" t="str">
        <f aca="false">IF(G548="","",E548-D548)</f>
        <v/>
      </c>
      <c r="G548" s="0" t="str">
        <f aca="false">IFERROR(INDEX(Calc!$S$2:$S$1001,MATCH(ROW()-1,Calc!$X$2:$X$1001,0)),"")</f>
        <v/>
      </c>
    </row>
    <row r="549" customFormat="false" ht="15" hidden="false" customHeight="false" outlineLevel="0" collapsed="false">
      <c r="A549" s="0" t="str">
        <f aca="false">IFERROR(INDEX(Calc!$L$2:$L$1001,MATCH(ROW()-1,Calc!$X$2:$X$1001,0)),"")</f>
        <v/>
      </c>
      <c r="B549" s="0" t="str">
        <f aca="false">IFERROR(INDEX(Calc!$M$2:$M$1001,MATCH(ROW()-1,Calc!$X$2:$X$1001,0)),"")</f>
        <v/>
      </c>
      <c r="C549" s="0" t="str">
        <f aca="false">IFERROR(INDEX(Calc!$N$2:$N$1001,MATCH(ROW()-1,Calc!$X$2:$X$1001,0)),"")</f>
        <v/>
      </c>
      <c r="D549" s="3" t="str">
        <f aca="false">IFERROR(INDEX(Calc!$O$2:$O$1001,MATCH(ROW()-1,Calc!$X$2:$X$1001,0)),"")</f>
        <v/>
      </c>
      <c r="E549" s="3" t="str">
        <f aca="false">IFERROR(INDEX(Calc!$P$2:$P$1001,MATCH(ROW()-1,Calc!$X$2:$X$1001,0)),"")</f>
        <v/>
      </c>
      <c r="F549" s="3" t="str">
        <f aca="false">IF(G549="","",E549-D549)</f>
        <v/>
      </c>
      <c r="G549" s="0" t="str">
        <f aca="false">IFERROR(INDEX(Calc!$S$2:$S$1001,MATCH(ROW()-1,Calc!$X$2:$X$1001,0)),"")</f>
        <v/>
      </c>
    </row>
    <row r="550" customFormat="false" ht="15" hidden="false" customHeight="false" outlineLevel="0" collapsed="false">
      <c r="A550" s="0" t="str">
        <f aca="false">IFERROR(INDEX(Calc!$L$2:$L$1001,MATCH(ROW()-1,Calc!$X$2:$X$1001,0)),"")</f>
        <v/>
      </c>
      <c r="B550" s="0" t="str">
        <f aca="false">IFERROR(INDEX(Calc!$M$2:$M$1001,MATCH(ROW()-1,Calc!$X$2:$X$1001,0)),"")</f>
        <v/>
      </c>
      <c r="C550" s="0" t="str">
        <f aca="false">IFERROR(INDEX(Calc!$N$2:$N$1001,MATCH(ROW()-1,Calc!$X$2:$X$1001,0)),"")</f>
        <v/>
      </c>
      <c r="D550" s="3" t="str">
        <f aca="false">IFERROR(INDEX(Calc!$O$2:$O$1001,MATCH(ROW()-1,Calc!$X$2:$X$1001,0)),"")</f>
        <v/>
      </c>
      <c r="E550" s="3" t="str">
        <f aca="false">IFERROR(INDEX(Calc!$P$2:$P$1001,MATCH(ROW()-1,Calc!$X$2:$X$1001,0)),"")</f>
        <v/>
      </c>
      <c r="F550" s="3" t="str">
        <f aca="false">IF(G550="","",E550-D550)</f>
        <v/>
      </c>
      <c r="G550" s="0" t="str">
        <f aca="false">IFERROR(INDEX(Calc!$S$2:$S$1001,MATCH(ROW()-1,Calc!$X$2:$X$1001,0)),"")</f>
        <v/>
      </c>
    </row>
    <row r="551" customFormat="false" ht="15" hidden="false" customHeight="false" outlineLevel="0" collapsed="false">
      <c r="A551" s="0" t="str">
        <f aca="false">IFERROR(INDEX(Calc!$L$2:$L$1001,MATCH(ROW()-1,Calc!$X$2:$X$1001,0)),"")</f>
        <v/>
      </c>
      <c r="B551" s="0" t="str">
        <f aca="false">IFERROR(INDEX(Calc!$M$2:$M$1001,MATCH(ROW()-1,Calc!$X$2:$X$1001,0)),"")</f>
        <v/>
      </c>
      <c r="C551" s="0" t="str">
        <f aca="false">IFERROR(INDEX(Calc!$N$2:$N$1001,MATCH(ROW()-1,Calc!$X$2:$X$1001,0)),"")</f>
        <v/>
      </c>
      <c r="D551" s="3" t="str">
        <f aca="false">IFERROR(INDEX(Calc!$O$2:$O$1001,MATCH(ROW()-1,Calc!$X$2:$X$1001,0)),"")</f>
        <v/>
      </c>
      <c r="E551" s="3" t="str">
        <f aca="false">IFERROR(INDEX(Calc!$P$2:$P$1001,MATCH(ROW()-1,Calc!$X$2:$X$1001,0)),"")</f>
        <v/>
      </c>
      <c r="F551" s="3" t="str">
        <f aca="false">IF(G551="","",E551-D551)</f>
        <v/>
      </c>
      <c r="G551" s="0" t="str">
        <f aca="false">IFERROR(INDEX(Calc!$S$2:$S$1001,MATCH(ROW()-1,Calc!$X$2:$X$1001,0)),"")</f>
        <v/>
      </c>
    </row>
    <row r="552" customFormat="false" ht="15" hidden="false" customHeight="false" outlineLevel="0" collapsed="false">
      <c r="A552" s="0" t="str">
        <f aca="false">IFERROR(INDEX(Calc!$L$2:$L$1001,MATCH(ROW()-1,Calc!$X$2:$X$1001,0)),"")</f>
        <v/>
      </c>
      <c r="B552" s="0" t="str">
        <f aca="false">IFERROR(INDEX(Calc!$M$2:$M$1001,MATCH(ROW()-1,Calc!$X$2:$X$1001,0)),"")</f>
        <v/>
      </c>
      <c r="C552" s="0" t="str">
        <f aca="false">IFERROR(INDEX(Calc!$N$2:$N$1001,MATCH(ROW()-1,Calc!$X$2:$X$1001,0)),"")</f>
        <v/>
      </c>
      <c r="D552" s="3" t="str">
        <f aca="false">IFERROR(INDEX(Calc!$O$2:$O$1001,MATCH(ROW()-1,Calc!$X$2:$X$1001,0)),"")</f>
        <v/>
      </c>
      <c r="E552" s="3" t="str">
        <f aca="false">IFERROR(INDEX(Calc!$P$2:$P$1001,MATCH(ROW()-1,Calc!$X$2:$X$1001,0)),"")</f>
        <v/>
      </c>
      <c r="F552" s="3" t="str">
        <f aca="false">IF(G552="","",E552-D552)</f>
        <v/>
      </c>
      <c r="G552" s="0" t="str">
        <f aca="false">IFERROR(INDEX(Calc!$S$2:$S$1001,MATCH(ROW()-1,Calc!$X$2:$X$1001,0)),"")</f>
        <v/>
      </c>
    </row>
    <row r="553" customFormat="false" ht="15" hidden="false" customHeight="false" outlineLevel="0" collapsed="false">
      <c r="A553" s="0" t="str">
        <f aca="false">IFERROR(INDEX(Calc!$L$2:$L$1001,MATCH(ROW()-1,Calc!$X$2:$X$1001,0)),"")</f>
        <v/>
      </c>
      <c r="B553" s="0" t="str">
        <f aca="false">IFERROR(INDEX(Calc!$M$2:$M$1001,MATCH(ROW()-1,Calc!$X$2:$X$1001,0)),"")</f>
        <v/>
      </c>
      <c r="C553" s="0" t="str">
        <f aca="false">IFERROR(INDEX(Calc!$N$2:$N$1001,MATCH(ROW()-1,Calc!$X$2:$X$1001,0)),"")</f>
        <v/>
      </c>
      <c r="D553" s="3" t="str">
        <f aca="false">IFERROR(INDEX(Calc!$O$2:$O$1001,MATCH(ROW()-1,Calc!$X$2:$X$1001,0)),"")</f>
        <v/>
      </c>
      <c r="E553" s="3" t="str">
        <f aca="false">IFERROR(INDEX(Calc!$P$2:$P$1001,MATCH(ROW()-1,Calc!$X$2:$X$1001,0)),"")</f>
        <v/>
      </c>
      <c r="F553" s="3" t="str">
        <f aca="false">IF(G553="","",E553-D553)</f>
        <v/>
      </c>
      <c r="G553" s="0" t="str">
        <f aca="false">IFERROR(INDEX(Calc!$S$2:$S$1001,MATCH(ROW()-1,Calc!$X$2:$X$1001,0)),"")</f>
        <v/>
      </c>
    </row>
    <row r="554" customFormat="false" ht="15" hidden="false" customHeight="false" outlineLevel="0" collapsed="false">
      <c r="A554" s="0" t="str">
        <f aca="false">IFERROR(INDEX(Calc!$L$2:$L$1001,MATCH(ROW()-1,Calc!$X$2:$X$1001,0)),"")</f>
        <v/>
      </c>
      <c r="B554" s="0" t="str">
        <f aca="false">IFERROR(INDEX(Calc!$M$2:$M$1001,MATCH(ROW()-1,Calc!$X$2:$X$1001,0)),"")</f>
        <v/>
      </c>
      <c r="C554" s="0" t="str">
        <f aca="false">IFERROR(INDEX(Calc!$N$2:$N$1001,MATCH(ROW()-1,Calc!$X$2:$X$1001,0)),"")</f>
        <v/>
      </c>
      <c r="D554" s="3" t="str">
        <f aca="false">IFERROR(INDEX(Calc!$O$2:$O$1001,MATCH(ROW()-1,Calc!$X$2:$X$1001,0)),"")</f>
        <v/>
      </c>
      <c r="E554" s="3" t="str">
        <f aca="false">IFERROR(INDEX(Calc!$P$2:$P$1001,MATCH(ROW()-1,Calc!$X$2:$X$1001,0)),"")</f>
        <v/>
      </c>
      <c r="F554" s="3" t="str">
        <f aca="false">IF(G554="","",E554-D554)</f>
        <v/>
      </c>
      <c r="G554" s="0" t="str">
        <f aca="false">IFERROR(INDEX(Calc!$S$2:$S$1001,MATCH(ROW()-1,Calc!$X$2:$X$1001,0)),"")</f>
        <v/>
      </c>
    </row>
    <row r="555" customFormat="false" ht="15" hidden="false" customHeight="false" outlineLevel="0" collapsed="false">
      <c r="A555" s="0" t="str">
        <f aca="false">IFERROR(INDEX(Calc!$L$2:$L$1001,MATCH(ROW()-1,Calc!$X$2:$X$1001,0)),"")</f>
        <v/>
      </c>
      <c r="B555" s="0" t="str">
        <f aca="false">IFERROR(INDEX(Calc!$M$2:$M$1001,MATCH(ROW()-1,Calc!$X$2:$X$1001,0)),"")</f>
        <v/>
      </c>
      <c r="C555" s="0" t="str">
        <f aca="false">IFERROR(INDEX(Calc!$N$2:$N$1001,MATCH(ROW()-1,Calc!$X$2:$X$1001,0)),"")</f>
        <v/>
      </c>
      <c r="D555" s="3" t="str">
        <f aca="false">IFERROR(INDEX(Calc!$O$2:$O$1001,MATCH(ROW()-1,Calc!$X$2:$X$1001,0)),"")</f>
        <v/>
      </c>
      <c r="E555" s="3" t="str">
        <f aca="false">IFERROR(INDEX(Calc!$P$2:$P$1001,MATCH(ROW()-1,Calc!$X$2:$X$1001,0)),"")</f>
        <v/>
      </c>
      <c r="F555" s="3" t="str">
        <f aca="false">IF(G555="","",E555-D555)</f>
        <v/>
      </c>
      <c r="G555" s="0" t="str">
        <f aca="false">IFERROR(INDEX(Calc!$S$2:$S$1001,MATCH(ROW()-1,Calc!$X$2:$X$1001,0)),"")</f>
        <v/>
      </c>
    </row>
    <row r="556" customFormat="false" ht="15" hidden="false" customHeight="false" outlineLevel="0" collapsed="false">
      <c r="A556" s="0" t="str">
        <f aca="false">IFERROR(INDEX(Calc!$L$2:$L$1001,MATCH(ROW()-1,Calc!$X$2:$X$1001,0)),"")</f>
        <v/>
      </c>
      <c r="B556" s="0" t="str">
        <f aca="false">IFERROR(INDEX(Calc!$M$2:$M$1001,MATCH(ROW()-1,Calc!$X$2:$X$1001,0)),"")</f>
        <v/>
      </c>
      <c r="C556" s="0" t="str">
        <f aca="false">IFERROR(INDEX(Calc!$N$2:$N$1001,MATCH(ROW()-1,Calc!$X$2:$X$1001,0)),"")</f>
        <v/>
      </c>
      <c r="D556" s="3" t="str">
        <f aca="false">IFERROR(INDEX(Calc!$O$2:$O$1001,MATCH(ROW()-1,Calc!$X$2:$X$1001,0)),"")</f>
        <v/>
      </c>
      <c r="E556" s="3" t="str">
        <f aca="false">IFERROR(INDEX(Calc!$P$2:$P$1001,MATCH(ROW()-1,Calc!$X$2:$X$1001,0)),"")</f>
        <v/>
      </c>
      <c r="F556" s="3" t="str">
        <f aca="false">IF(G556="","",E556-D556)</f>
        <v/>
      </c>
      <c r="G556" s="0" t="str">
        <f aca="false">IFERROR(INDEX(Calc!$S$2:$S$1001,MATCH(ROW()-1,Calc!$X$2:$X$1001,0)),"")</f>
        <v/>
      </c>
    </row>
    <row r="557" customFormat="false" ht="15" hidden="false" customHeight="false" outlineLevel="0" collapsed="false">
      <c r="A557" s="0" t="str">
        <f aca="false">IFERROR(INDEX(Calc!$L$2:$L$1001,MATCH(ROW()-1,Calc!$X$2:$X$1001,0)),"")</f>
        <v/>
      </c>
      <c r="B557" s="0" t="str">
        <f aca="false">IFERROR(INDEX(Calc!$M$2:$M$1001,MATCH(ROW()-1,Calc!$X$2:$X$1001,0)),"")</f>
        <v/>
      </c>
      <c r="C557" s="0" t="str">
        <f aca="false">IFERROR(INDEX(Calc!$N$2:$N$1001,MATCH(ROW()-1,Calc!$X$2:$X$1001,0)),"")</f>
        <v/>
      </c>
      <c r="D557" s="3" t="str">
        <f aca="false">IFERROR(INDEX(Calc!$O$2:$O$1001,MATCH(ROW()-1,Calc!$X$2:$X$1001,0)),"")</f>
        <v/>
      </c>
      <c r="E557" s="3" t="str">
        <f aca="false">IFERROR(INDEX(Calc!$P$2:$P$1001,MATCH(ROW()-1,Calc!$X$2:$X$1001,0)),"")</f>
        <v/>
      </c>
      <c r="F557" s="3" t="str">
        <f aca="false">IF(G557="","",E557-D557)</f>
        <v/>
      </c>
      <c r="G557" s="0" t="str">
        <f aca="false">IFERROR(INDEX(Calc!$S$2:$S$1001,MATCH(ROW()-1,Calc!$X$2:$X$1001,0)),"")</f>
        <v/>
      </c>
    </row>
    <row r="558" customFormat="false" ht="15" hidden="false" customHeight="false" outlineLevel="0" collapsed="false">
      <c r="A558" s="0" t="str">
        <f aca="false">IFERROR(INDEX(Calc!$L$2:$L$1001,MATCH(ROW()-1,Calc!$X$2:$X$1001,0)),"")</f>
        <v/>
      </c>
      <c r="B558" s="0" t="str">
        <f aca="false">IFERROR(INDEX(Calc!$M$2:$M$1001,MATCH(ROW()-1,Calc!$X$2:$X$1001,0)),"")</f>
        <v/>
      </c>
      <c r="C558" s="0" t="str">
        <f aca="false">IFERROR(INDEX(Calc!$N$2:$N$1001,MATCH(ROW()-1,Calc!$X$2:$X$1001,0)),"")</f>
        <v/>
      </c>
      <c r="D558" s="3" t="str">
        <f aca="false">IFERROR(INDEX(Calc!$O$2:$O$1001,MATCH(ROW()-1,Calc!$X$2:$X$1001,0)),"")</f>
        <v/>
      </c>
      <c r="E558" s="3" t="str">
        <f aca="false">IFERROR(INDEX(Calc!$P$2:$P$1001,MATCH(ROW()-1,Calc!$X$2:$X$1001,0)),"")</f>
        <v/>
      </c>
      <c r="F558" s="3" t="str">
        <f aca="false">IF(G558="","",E558-D558)</f>
        <v/>
      </c>
      <c r="G558" s="0" t="str">
        <f aca="false">IFERROR(INDEX(Calc!$S$2:$S$1001,MATCH(ROW()-1,Calc!$X$2:$X$1001,0)),"")</f>
        <v/>
      </c>
    </row>
    <row r="559" customFormat="false" ht="15" hidden="false" customHeight="false" outlineLevel="0" collapsed="false">
      <c r="A559" s="0" t="str">
        <f aca="false">IFERROR(INDEX(Calc!$L$2:$L$1001,MATCH(ROW()-1,Calc!$X$2:$X$1001,0)),"")</f>
        <v/>
      </c>
      <c r="B559" s="0" t="str">
        <f aca="false">IFERROR(INDEX(Calc!$M$2:$M$1001,MATCH(ROW()-1,Calc!$X$2:$X$1001,0)),"")</f>
        <v/>
      </c>
      <c r="C559" s="0" t="str">
        <f aca="false">IFERROR(INDEX(Calc!$N$2:$N$1001,MATCH(ROW()-1,Calc!$X$2:$X$1001,0)),"")</f>
        <v/>
      </c>
      <c r="D559" s="3" t="str">
        <f aca="false">IFERROR(INDEX(Calc!$O$2:$O$1001,MATCH(ROW()-1,Calc!$X$2:$X$1001,0)),"")</f>
        <v/>
      </c>
      <c r="E559" s="3" t="str">
        <f aca="false">IFERROR(INDEX(Calc!$P$2:$P$1001,MATCH(ROW()-1,Calc!$X$2:$X$1001,0)),"")</f>
        <v/>
      </c>
      <c r="F559" s="3" t="str">
        <f aca="false">IF(G559="","",E559-D559)</f>
        <v/>
      </c>
      <c r="G559" s="0" t="str">
        <f aca="false">IFERROR(INDEX(Calc!$S$2:$S$1001,MATCH(ROW()-1,Calc!$X$2:$X$1001,0)),"")</f>
        <v/>
      </c>
    </row>
    <row r="560" customFormat="false" ht="15" hidden="false" customHeight="false" outlineLevel="0" collapsed="false">
      <c r="A560" s="0" t="str">
        <f aca="false">IFERROR(INDEX(Calc!$L$2:$L$1001,MATCH(ROW()-1,Calc!$X$2:$X$1001,0)),"")</f>
        <v/>
      </c>
      <c r="B560" s="0" t="str">
        <f aca="false">IFERROR(INDEX(Calc!$M$2:$M$1001,MATCH(ROW()-1,Calc!$X$2:$X$1001,0)),"")</f>
        <v/>
      </c>
      <c r="C560" s="0" t="str">
        <f aca="false">IFERROR(INDEX(Calc!$N$2:$N$1001,MATCH(ROW()-1,Calc!$X$2:$X$1001,0)),"")</f>
        <v/>
      </c>
      <c r="D560" s="3" t="str">
        <f aca="false">IFERROR(INDEX(Calc!$O$2:$O$1001,MATCH(ROW()-1,Calc!$X$2:$X$1001,0)),"")</f>
        <v/>
      </c>
      <c r="E560" s="3" t="str">
        <f aca="false">IFERROR(INDEX(Calc!$P$2:$P$1001,MATCH(ROW()-1,Calc!$X$2:$X$1001,0)),"")</f>
        <v/>
      </c>
      <c r="F560" s="3" t="str">
        <f aca="false">IF(G560="","",E560-D560)</f>
        <v/>
      </c>
      <c r="G560" s="0" t="str">
        <f aca="false">IFERROR(INDEX(Calc!$S$2:$S$1001,MATCH(ROW()-1,Calc!$X$2:$X$1001,0)),"")</f>
        <v/>
      </c>
    </row>
    <row r="561" customFormat="false" ht="15" hidden="false" customHeight="false" outlineLevel="0" collapsed="false">
      <c r="A561" s="0" t="str">
        <f aca="false">IFERROR(INDEX(Calc!$L$2:$L$1001,MATCH(ROW()-1,Calc!$X$2:$X$1001,0)),"")</f>
        <v/>
      </c>
      <c r="B561" s="0" t="str">
        <f aca="false">IFERROR(INDEX(Calc!$M$2:$M$1001,MATCH(ROW()-1,Calc!$X$2:$X$1001,0)),"")</f>
        <v/>
      </c>
      <c r="C561" s="0" t="str">
        <f aca="false">IFERROR(INDEX(Calc!$N$2:$N$1001,MATCH(ROW()-1,Calc!$X$2:$X$1001,0)),"")</f>
        <v/>
      </c>
      <c r="D561" s="3" t="str">
        <f aca="false">IFERROR(INDEX(Calc!$O$2:$O$1001,MATCH(ROW()-1,Calc!$X$2:$X$1001,0)),"")</f>
        <v/>
      </c>
      <c r="E561" s="3" t="str">
        <f aca="false">IFERROR(INDEX(Calc!$P$2:$P$1001,MATCH(ROW()-1,Calc!$X$2:$X$1001,0)),"")</f>
        <v/>
      </c>
      <c r="F561" s="3" t="str">
        <f aca="false">IF(G561="","",E561-D561)</f>
        <v/>
      </c>
      <c r="G561" s="0" t="str">
        <f aca="false">IFERROR(INDEX(Calc!$S$2:$S$1001,MATCH(ROW()-1,Calc!$X$2:$X$1001,0)),"")</f>
        <v/>
      </c>
    </row>
    <row r="562" customFormat="false" ht="15" hidden="false" customHeight="false" outlineLevel="0" collapsed="false">
      <c r="A562" s="0" t="str">
        <f aca="false">IFERROR(INDEX(Calc!$L$2:$L$1001,MATCH(ROW()-1,Calc!$X$2:$X$1001,0)),"")</f>
        <v/>
      </c>
      <c r="B562" s="0" t="str">
        <f aca="false">IFERROR(INDEX(Calc!$M$2:$M$1001,MATCH(ROW()-1,Calc!$X$2:$X$1001,0)),"")</f>
        <v/>
      </c>
      <c r="C562" s="0" t="str">
        <f aca="false">IFERROR(INDEX(Calc!$N$2:$N$1001,MATCH(ROW()-1,Calc!$X$2:$X$1001,0)),"")</f>
        <v/>
      </c>
      <c r="D562" s="3" t="str">
        <f aca="false">IFERROR(INDEX(Calc!$O$2:$O$1001,MATCH(ROW()-1,Calc!$X$2:$X$1001,0)),"")</f>
        <v/>
      </c>
      <c r="E562" s="3" t="str">
        <f aca="false">IFERROR(INDEX(Calc!$P$2:$P$1001,MATCH(ROW()-1,Calc!$X$2:$X$1001,0)),"")</f>
        <v/>
      </c>
      <c r="F562" s="3" t="str">
        <f aca="false">IF(G562="","",E562-D562)</f>
        <v/>
      </c>
      <c r="G562" s="0" t="str">
        <f aca="false">IFERROR(INDEX(Calc!$S$2:$S$1001,MATCH(ROW()-1,Calc!$X$2:$X$1001,0)),"")</f>
        <v/>
      </c>
    </row>
    <row r="563" customFormat="false" ht="15" hidden="false" customHeight="false" outlineLevel="0" collapsed="false">
      <c r="A563" s="0" t="str">
        <f aca="false">IFERROR(INDEX(Calc!$L$2:$L$1001,MATCH(ROW()-1,Calc!$X$2:$X$1001,0)),"")</f>
        <v/>
      </c>
      <c r="B563" s="0" t="str">
        <f aca="false">IFERROR(INDEX(Calc!$M$2:$M$1001,MATCH(ROW()-1,Calc!$X$2:$X$1001,0)),"")</f>
        <v/>
      </c>
      <c r="C563" s="0" t="str">
        <f aca="false">IFERROR(INDEX(Calc!$N$2:$N$1001,MATCH(ROW()-1,Calc!$X$2:$X$1001,0)),"")</f>
        <v/>
      </c>
      <c r="D563" s="3" t="str">
        <f aca="false">IFERROR(INDEX(Calc!$O$2:$O$1001,MATCH(ROW()-1,Calc!$X$2:$X$1001,0)),"")</f>
        <v/>
      </c>
      <c r="E563" s="3" t="str">
        <f aca="false">IFERROR(INDEX(Calc!$P$2:$P$1001,MATCH(ROW()-1,Calc!$X$2:$X$1001,0)),"")</f>
        <v/>
      </c>
      <c r="F563" s="3" t="str">
        <f aca="false">IF(G563="","",E563-D563)</f>
        <v/>
      </c>
      <c r="G563" s="0" t="str">
        <f aca="false">IFERROR(INDEX(Calc!$S$2:$S$1001,MATCH(ROW()-1,Calc!$X$2:$X$1001,0)),"")</f>
        <v/>
      </c>
    </row>
    <row r="564" customFormat="false" ht="15" hidden="false" customHeight="false" outlineLevel="0" collapsed="false">
      <c r="A564" s="0" t="str">
        <f aca="false">IFERROR(INDEX(Calc!$L$2:$L$1001,MATCH(ROW()-1,Calc!$X$2:$X$1001,0)),"")</f>
        <v/>
      </c>
      <c r="B564" s="0" t="str">
        <f aca="false">IFERROR(INDEX(Calc!$M$2:$M$1001,MATCH(ROW()-1,Calc!$X$2:$X$1001,0)),"")</f>
        <v/>
      </c>
      <c r="C564" s="0" t="str">
        <f aca="false">IFERROR(INDEX(Calc!$N$2:$N$1001,MATCH(ROW()-1,Calc!$X$2:$X$1001,0)),"")</f>
        <v/>
      </c>
      <c r="D564" s="3" t="str">
        <f aca="false">IFERROR(INDEX(Calc!$O$2:$O$1001,MATCH(ROW()-1,Calc!$X$2:$X$1001,0)),"")</f>
        <v/>
      </c>
      <c r="E564" s="3" t="str">
        <f aca="false">IFERROR(INDEX(Calc!$P$2:$P$1001,MATCH(ROW()-1,Calc!$X$2:$X$1001,0)),"")</f>
        <v/>
      </c>
      <c r="F564" s="3" t="str">
        <f aca="false">IF(G564="","",E564-D564)</f>
        <v/>
      </c>
      <c r="G564" s="0" t="str">
        <f aca="false">IFERROR(INDEX(Calc!$S$2:$S$1001,MATCH(ROW()-1,Calc!$X$2:$X$1001,0)),"")</f>
        <v/>
      </c>
    </row>
    <row r="565" customFormat="false" ht="15" hidden="false" customHeight="false" outlineLevel="0" collapsed="false">
      <c r="A565" s="0" t="str">
        <f aca="false">IFERROR(INDEX(Calc!$L$2:$L$1001,MATCH(ROW()-1,Calc!$X$2:$X$1001,0)),"")</f>
        <v/>
      </c>
      <c r="B565" s="0" t="str">
        <f aca="false">IFERROR(INDEX(Calc!$M$2:$M$1001,MATCH(ROW()-1,Calc!$X$2:$X$1001,0)),"")</f>
        <v/>
      </c>
      <c r="C565" s="0" t="str">
        <f aca="false">IFERROR(INDEX(Calc!$N$2:$N$1001,MATCH(ROW()-1,Calc!$X$2:$X$1001,0)),"")</f>
        <v/>
      </c>
      <c r="D565" s="3" t="str">
        <f aca="false">IFERROR(INDEX(Calc!$O$2:$O$1001,MATCH(ROW()-1,Calc!$X$2:$X$1001,0)),"")</f>
        <v/>
      </c>
      <c r="E565" s="3" t="str">
        <f aca="false">IFERROR(INDEX(Calc!$P$2:$P$1001,MATCH(ROW()-1,Calc!$X$2:$X$1001,0)),"")</f>
        <v/>
      </c>
      <c r="F565" s="3" t="str">
        <f aca="false">IF(G565="","",E565-D565)</f>
        <v/>
      </c>
      <c r="G565" s="0" t="str">
        <f aca="false">IFERROR(INDEX(Calc!$S$2:$S$1001,MATCH(ROW()-1,Calc!$X$2:$X$1001,0)),"")</f>
        <v/>
      </c>
    </row>
    <row r="566" customFormat="false" ht="15" hidden="false" customHeight="false" outlineLevel="0" collapsed="false">
      <c r="A566" s="0" t="str">
        <f aca="false">IFERROR(INDEX(Calc!$L$2:$L$1001,MATCH(ROW()-1,Calc!$X$2:$X$1001,0)),"")</f>
        <v/>
      </c>
      <c r="B566" s="0" t="str">
        <f aca="false">IFERROR(INDEX(Calc!$M$2:$M$1001,MATCH(ROW()-1,Calc!$X$2:$X$1001,0)),"")</f>
        <v/>
      </c>
      <c r="C566" s="0" t="str">
        <f aca="false">IFERROR(INDEX(Calc!$N$2:$N$1001,MATCH(ROW()-1,Calc!$X$2:$X$1001,0)),"")</f>
        <v/>
      </c>
      <c r="D566" s="3" t="str">
        <f aca="false">IFERROR(INDEX(Calc!$O$2:$O$1001,MATCH(ROW()-1,Calc!$X$2:$X$1001,0)),"")</f>
        <v/>
      </c>
      <c r="E566" s="3" t="str">
        <f aca="false">IFERROR(INDEX(Calc!$P$2:$P$1001,MATCH(ROW()-1,Calc!$X$2:$X$1001,0)),"")</f>
        <v/>
      </c>
      <c r="F566" s="3" t="str">
        <f aca="false">IF(G566="","",E566-D566)</f>
        <v/>
      </c>
      <c r="G566" s="0" t="str">
        <f aca="false">IFERROR(INDEX(Calc!$S$2:$S$1001,MATCH(ROW()-1,Calc!$X$2:$X$1001,0)),"")</f>
        <v/>
      </c>
    </row>
    <row r="567" customFormat="false" ht="15" hidden="false" customHeight="false" outlineLevel="0" collapsed="false">
      <c r="A567" s="0" t="str">
        <f aca="false">IFERROR(INDEX(Calc!$L$2:$L$1001,MATCH(ROW()-1,Calc!$X$2:$X$1001,0)),"")</f>
        <v/>
      </c>
      <c r="B567" s="0" t="str">
        <f aca="false">IFERROR(INDEX(Calc!$M$2:$M$1001,MATCH(ROW()-1,Calc!$X$2:$X$1001,0)),"")</f>
        <v/>
      </c>
      <c r="C567" s="0" t="str">
        <f aca="false">IFERROR(INDEX(Calc!$N$2:$N$1001,MATCH(ROW()-1,Calc!$X$2:$X$1001,0)),"")</f>
        <v/>
      </c>
      <c r="D567" s="3" t="str">
        <f aca="false">IFERROR(INDEX(Calc!$O$2:$O$1001,MATCH(ROW()-1,Calc!$X$2:$X$1001,0)),"")</f>
        <v/>
      </c>
      <c r="E567" s="3" t="str">
        <f aca="false">IFERROR(INDEX(Calc!$P$2:$P$1001,MATCH(ROW()-1,Calc!$X$2:$X$1001,0)),"")</f>
        <v/>
      </c>
      <c r="F567" s="3" t="str">
        <f aca="false">IF(G567="","",E567-D567)</f>
        <v/>
      </c>
      <c r="G567" s="0" t="str">
        <f aca="false">IFERROR(INDEX(Calc!$S$2:$S$1001,MATCH(ROW()-1,Calc!$X$2:$X$1001,0)),"")</f>
        <v/>
      </c>
    </row>
    <row r="568" customFormat="false" ht="15" hidden="false" customHeight="false" outlineLevel="0" collapsed="false">
      <c r="A568" s="0" t="str">
        <f aca="false">IFERROR(INDEX(Calc!$L$2:$L$1001,MATCH(ROW()-1,Calc!$X$2:$X$1001,0)),"")</f>
        <v/>
      </c>
      <c r="B568" s="0" t="str">
        <f aca="false">IFERROR(INDEX(Calc!$M$2:$M$1001,MATCH(ROW()-1,Calc!$X$2:$X$1001,0)),"")</f>
        <v/>
      </c>
      <c r="C568" s="0" t="str">
        <f aca="false">IFERROR(INDEX(Calc!$N$2:$N$1001,MATCH(ROW()-1,Calc!$X$2:$X$1001,0)),"")</f>
        <v/>
      </c>
      <c r="D568" s="3" t="str">
        <f aca="false">IFERROR(INDEX(Calc!$O$2:$O$1001,MATCH(ROW()-1,Calc!$X$2:$X$1001,0)),"")</f>
        <v/>
      </c>
      <c r="E568" s="3" t="str">
        <f aca="false">IFERROR(INDEX(Calc!$P$2:$P$1001,MATCH(ROW()-1,Calc!$X$2:$X$1001,0)),"")</f>
        <v/>
      </c>
      <c r="F568" s="3" t="str">
        <f aca="false">IF(G568="","",E568-D568)</f>
        <v/>
      </c>
      <c r="G568" s="0" t="str">
        <f aca="false">IFERROR(INDEX(Calc!$S$2:$S$1001,MATCH(ROW()-1,Calc!$X$2:$X$1001,0)),"")</f>
        <v/>
      </c>
    </row>
    <row r="569" customFormat="false" ht="15" hidden="false" customHeight="false" outlineLevel="0" collapsed="false">
      <c r="A569" s="0" t="str">
        <f aca="false">IFERROR(INDEX(Calc!$L$2:$L$1001,MATCH(ROW()-1,Calc!$X$2:$X$1001,0)),"")</f>
        <v/>
      </c>
      <c r="B569" s="0" t="str">
        <f aca="false">IFERROR(INDEX(Calc!$M$2:$M$1001,MATCH(ROW()-1,Calc!$X$2:$X$1001,0)),"")</f>
        <v/>
      </c>
      <c r="C569" s="0" t="str">
        <f aca="false">IFERROR(INDEX(Calc!$N$2:$N$1001,MATCH(ROW()-1,Calc!$X$2:$X$1001,0)),"")</f>
        <v/>
      </c>
      <c r="D569" s="3" t="str">
        <f aca="false">IFERROR(INDEX(Calc!$O$2:$O$1001,MATCH(ROW()-1,Calc!$X$2:$X$1001,0)),"")</f>
        <v/>
      </c>
      <c r="E569" s="3" t="str">
        <f aca="false">IFERROR(INDEX(Calc!$P$2:$P$1001,MATCH(ROW()-1,Calc!$X$2:$X$1001,0)),"")</f>
        <v/>
      </c>
      <c r="F569" s="3" t="str">
        <f aca="false">IF(G569="","",E569-D569)</f>
        <v/>
      </c>
      <c r="G569" s="0" t="str">
        <f aca="false">IFERROR(INDEX(Calc!$S$2:$S$1001,MATCH(ROW()-1,Calc!$X$2:$X$1001,0)),"")</f>
        <v/>
      </c>
    </row>
    <row r="570" customFormat="false" ht="15" hidden="false" customHeight="false" outlineLevel="0" collapsed="false">
      <c r="A570" s="0" t="str">
        <f aca="false">IFERROR(INDEX(Calc!$L$2:$L$1001,MATCH(ROW()-1,Calc!$X$2:$X$1001,0)),"")</f>
        <v/>
      </c>
      <c r="B570" s="0" t="str">
        <f aca="false">IFERROR(INDEX(Calc!$M$2:$M$1001,MATCH(ROW()-1,Calc!$X$2:$X$1001,0)),"")</f>
        <v/>
      </c>
      <c r="C570" s="0" t="str">
        <f aca="false">IFERROR(INDEX(Calc!$N$2:$N$1001,MATCH(ROW()-1,Calc!$X$2:$X$1001,0)),"")</f>
        <v/>
      </c>
      <c r="D570" s="3" t="str">
        <f aca="false">IFERROR(INDEX(Calc!$O$2:$O$1001,MATCH(ROW()-1,Calc!$X$2:$X$1001,0)),"")</f>
        <v/>
      </c>
      <c r="E570" s="3" t="str">
        <f aca="false">IFERROR(INDEX(Calc!$P$2:$P$1001,MATCH(ROW()-1,Calc!$X$2:$X$1001,0)),"")</f>
        <v/>
      </c>
      <c r="F570" s="3" t="str">
        <f aca="false">IF(G570="","",E570-D570)</f>
        <v/>
      </c>
      <c r="G570" s="0" t="str">
        <f aca="false">IFERROR(INDEX(Calc!$S$2:$S$1001,MATCH(ROW()-1,Calc!$X$2:$X$1001,0)),"")</f>
        <v/>
      </c>
    </row>
    <row r="571" customFormat="false" ht="15" hidden="false" customHeight="false" outlineLevel="0" collapsed="false">
      <c r="A571" s="0" t="str">
        <f aca="false">IFERROR(INDEX(Calc!$L$2:$L$1001,MATCH(ROW()-1,Calc!$X$2:$X$1001,0)),"")</f>
        <v/>
      </c>
      <c r="B571" s="0" t="str">
        <f aca="false">IFERROR(INDEX(Calc!$M$2:$M$1001,MATCH(ROW()-1,Calc!$X$2:$X$1001,0)),"")</f>
        <v/>
      </c>
      <c r="C571" s="0" t="str">
        <f aca="false">IFERROR(INDEX(Calc!$N$2:$N$1001,MATCH(ROW()-1,Calc!$X$2:$X$1001,0)),"")</f>
        <v/>
      </c>
      <c r="D571" s="3" t="str">
        <f aca="false">IFERROR(INDEX(Calc!$O$2:$O$1001,MATCH(ROW()-1,Calc!$X$2:$X$1001,0)),"")</f>
        <v/>
      </c>
      <c r="E571" s="3" t="str">
        <f aca="false">IFERROR(INDEX(Calc!$P$2:$P$1001,MATCH(ROW()-1,Calc!$X$2:$X$1001,0)),"")</f>
        <v/>
      </c>
      <c r="F571" s="3" t="str">
        <f aca="false">IF(G571="","",E571-D571)</f>
        <v/>
      </c>
      <c r="G571" s="0" t="str">
        <f aca="false">IFERROR(INDEX(Calc!$S$2:$S$1001,MATCH(ROW()-1,Calc!$X$2:$X$1001,0)),"")</f>
        <v/>
      </c>
    </row>
    <row r="572" customFormat="false" ht="15" hidden="false" customHeight="false" outlineLevel="0" collapsed="false">
      <c r="A572" s="0" t="str">
        <f aca="false">IFERROR(INDEX(Calc!$L$2:$L$1001,MATCH(ROW()-1,Calc!$X$2:$X$1001,0)),"")</f>
        <v/>
      </c>
      <c r="B572" s="0" t="str">
        <f aca="false">IFERROR(INDEX(Calc!$M$2:$M$1001,MATCH(ROW()-1,Calc!$X$2:$X$1001,0)),"")</f>
        <v/>
      </c>
      <c r="C572" s="0" t="str">
        <f aca="false">IFERROR(INDEX(Calc!$N$2:$N$1001,MATCH(ROW()-1,Calc!$X$2:$X$1001,0)),"")</f>
        <v/>
      </c>
      <c r="D572" s="3" t="str">
        <f aca="false">IFERROR(INDEX(Calc!$O$2:$O$1001,MATCH(ROW()-1,Calc!$X$2:$X$1001,0)),"")</f>
        <v/>
      </c>
      <c r="E572" s="3" t="str">
        <f aca="false">IFERROR(INDEX(Calc!$P$2:$P$1001,MATCH(ROW()-1,Calc!$X$2:$X$1001,0)),"")</f>
        <v/>
      </c>
      <c r="F572" s="3" t="str">
        <f aca="false">IF(G572="","",E572-D572)</f>
        <v/>
      </c>
      <c r="G572" s="0" t="str">
        <f aca="false">IFERROR(INDEX(Calc!$S$2:$S$1001,MATCH(ROW()-1,Calc!$X$2:$X$1001,0)),"")</f>
        <v/>
      </c>
    </row>
    <row r="573" customFormat="false" ht="15" hidden="false" customHeight="false" outlineLevel="0" collapsed="false">
      <c r="A573" s="0" t="str">
        <f aca="false">IFERROR(INDEX(Calc!$L$2:$L$1001,MATCH(ROW()-1,Calc!$X$2:$X$1001,0)),"")</f>
        <v/>
      </c>
      <c r="B573" s="0" t="str">
        <f aca="false">IFERROR(INDEX(Calc!$M$2:$M$1001,MATCH(ROW()-1,Calc!$X$2:$X$1001,0)),"")</f>
        <v/>
      </c>
      <c r="C573" s="0" t="str">
        <f aca="false">IFERROR(INDEX(Calc!$N$2:$N$1001,MATCH(ROW()-1,Calc!$X$2:$X$1001,0)),"")</f>
        <v/>
      </c>
      <c r="D573" s="3" t="str">
        <f aca="false">IFERROR(INDEX(Calc!$O$2:$O$1001,MATCH(ROW()-1,Calc!$X$2:$X$1001,0)),"")</f>
        <v/>
      </c>
      <c r="E573" s="3" t="str">
        <f aca="false">IFERROR(INDEX(Calc!$P$2:$P$1001,MATCH(ROW()-1,Calc!$X$2:$X$1001,0)),"")</f>
        <v/>
      </c>
      <c r="F573" s="3" t="str">
        <f aca="false">IF(G573="","",E573-D573)</f>
        <v/>
      </c>
      <c r="G573" s="0" t="str">
        <f aca="false">IFERROR(INDEX(Calc!$S$2:$S$1001,MATCH(ROW()-1,Calc!$X$2:$X$1001,0)),"")</f>
        <v/>
      </c>
    </row>
    <row r="574" customFormat="false" ht="15" hidden="false" customHeight="false" outlineLevel="0" collapsed="false">
      <c r="A574" s="0" t="str">
        <f aca="false">IFERROR(INDEX(Calc!$L$2:$L$1001,MATCH(ROW()-1,Calc!$X$2:$X$1001,0)),"")</f>
        <v/>
      </c>
      <c r="B574" s="0" t="str">
        <f aca="false">IFERROR(INDEX(Calc!$M$2:$M$1001,MATCH(ROW()-1,Calc!$X$2:$X$1001,0)),"")</f>
        <v/>
      </c>
      <c r="C574" s="0" t="str">
        <f aca="false">IFERROR(INDEX(Calc!$N$2:$N$1001,MATCH(ROW()-1,Calc!$X$2:$X$1001,0)),"")</f>
        <v/>
      </c>
      <c r="D574" s="3" t="str">
        <f aca="false">IFERROR(INDEX(Calc!$O$2:$O$1001,MATCH(ROW()-1,Calc!$X$2:$X$1001,0)),"")</f>
        <v/>
      </c>
      <c r="E574" s="3" t="str">
        <f aca="false">IFERROR(INDEX(Calc!$P$2:$P$1001,MATCH(ROW()-1,Calc!$X$2:$X$1001,0)),"")</f>
        <v/>
      </c>
      <c r="F574" s="3" t="str">
        <f aca="false">IF(G574="","",E574-D574)</f>
        <v/>
      </c>
      <c r="G574" s="0" t="str">
        <f aca="false">IFERROR(INDEX(Calc!$S$2:$S$1001,MATCH(ROW()-1,Calc!$X$2:$X$1001,0)),"")</f>
        <v/>
      </c>
    </row>
    <row r="575" customFormat="false" ht="15" hidden="false" customHeight="false" outlineLevel="0" collapsed="false">
      <c r="A575" s="0" t="str">
        <f aca="false">IFERROR(INDEX(Calc!$L$2:$L$1001,MATCH(ROW()-1,Calc!$X$2:$X$1001,0)),"")</f>
        <v/>
      </c>
      <c r="B575" s="0" t="str">
        <f aca="false">IFERROR(INDEX(Calc!$M$2:$M$1001,MATCH(ROW()-1,Calc!$X$2:$X$1001,0)),"")</f>
        <v/>
      </c>
      <c r="C575" s="0" t="str">
        <f aca="false">IFERROR(INDEX(Calc!$N$2:$N$1001,MATCH(ROW()-1,Calc!$X$2:$X$1001,0)),"")</f>
        <v/>
      </c>
      <c r="D575" s="3" t="str">
        <f aca="false">IFERROR(INDEX(Calc!$O$2:$O$1001,MATCH(ROW()-1,Calc!$X$2:$X$1001,0)),"")</f>
        <v/>
      </c>
      <c r="E575" s="3" t="str">
        <f aca="false">IFERROR(INDEX(Calc!$P$2:$P$1001,MATCH(ROW()-1,Calc!$X$2:$X$1001,0)),"")</f>
        <v/>
      </c>
      <c r="F575" s="3" t="str">
        <f aca="false">IF(G575="","",E575-D575)</f>
        <v/>
      </c>
      <c r="G575" s="0" t="str">
        <f aca="false">IFERROR(INDEX(Calc!$S$2:$S$1001,MATCH(ROW()-1,Calc!$X$2:$X$1001,0)),"")</f>
        <v/>
      </c>
    </row>
    <row r="576" customFormat="false" ht="15" hidden="false" customHeight="false" outlineLevel="0" collapsed="false">
      <c r="A576" s="0" t="str">
        <f aca="false">IFERROR(INDEX(Calc!$L$2:$L$1001,MATCH(ROW()-1,Calc!$X$2:$X$1001,0)),"")</f>
        <v/>
      </c>
      <c r="B576" s="0" t="str">
        <f aca="false">IFERROR(INDEX(Calc!$M$2:$M$1001,MATCH(ROW()-1,Calc!$X$2:$X$1001,0)),"")</f>
        <v/>
      </c>
      <c r="C576" s="0" t="str">
        <f aca="false">IFERROR(INDEX(Calc!$N$2:$N$1001,MATCH(ROW()-1,Calc!$X$2:$X$1001,0)),"")</f>
        <v/>
      </c>
      <c r="D576" s="3" t="str">
        <f aca="false">IFERROR(INDEX(Calc!$O$2:$O$1001,MATCH(ROW()-1,Calc!$X$2:$X$1001,0)),"")</f>
        <v/>
      </c>
      <c r="E576" s="3" t="str">
        <f aca="false">IFERROR(INDEX(Calc!$P$2:$P$1001,MATCH(ROW()-1,Calc!$X$2:$X$1001,0)),"")</f>
        <v/>
      </c>
      <c r="F576" s="3" t="str">
        <f aca="false">IF(G576="","",E576-D576)</f>
        <v/>
      </c>
      <c r="G576" s="0" t="str">
        <f aca="false">IFERROR(INDEX(Calc!$S$2:$S$1001,MATCH(ROW()-1,Calc!$X$2:$X$1001,0)),"")</f>
        <v/>
      </c>
    </row>
    <row r="577" customFormat="false" ht="15" hidden="false" customHeight="false" outlineLevel="0" collapsed="false">
      <c r="A577" s="0" t="str">
        <f aca="false">IFERROR(INDEX(Calc!$L$2:$L$1001,MATCH(ROW()-1,Calc!$X$2:$X$1001,0)),"")</f>
        <v/>
      </c>
      <c r="B577" s="0" t="str">
        <f aca="false">IFERROR(INDEX(Calc!$M$2:$M$1001,MATCH(ROW()-1,Calc!$X$2:$X$1001,0)),"")</f>
        <v/>
      </c>
      <c r="C577" s="0" t="str">
        <f aca="false">IFERROR(INDEX(Calc!$N$2:$N$1001,MATCH(ROW()-1,Calc!$X$2:$X$1001,0)),"")</f>
        <v/>
      </c>
      <c r="D577" s="3" t="str">
        <f aca="false">IFERROR(INDEX(Calc!$O$2:$O$1001,MATCH(ROW()-1,Calc!$X$2:$X$1001,0)),"")</f>
        <v/>
      </c>
      <c r="E577" s="3" t="str">
        <f aca="false">IFERROR(INDEX(Calc!$P$2:$P$1001,MATCH(ROW()-1,Calc!$X$2:$X$1001,0)),"")</f>
        <v/>
      </c>
      <c r="F577" s="3" t="str">
        <f aca="false">IF(G577="","",E577-D577)</f>
        <v/>
      </c>
      <c r="G577" s="0" t="str">
        <f aca="false">IFERROR(INDEX(Calc!$S$2:$S$1001,MATCH(ROW()-1,Calc!$X$2:$X$1001,0)),"")</f>
        <v/>
      </c>
    </row>
    <row r="578" customFormat="false" ht="15" hidden="false" customHeight="false" outlineLevel="0" collapsed="false">
      <c r="A578" s="0" t="str">
        <f aca="false">IFERROR(INDEX(Calc!$L$2:$L$1001,MATCH(ROW()-1,Calc!$X$2:$X$1001,0)),"")</f>
        <v/>
      </c>
      <c r="B578" s="0" t="str">
        <f aca="false">IFERROR(INDEX(Calc!$M$2:$M$1001,MATCH(ROW()-1,Calc!$X$2:$X$1001,0)),"")</f>
        <v/>
      </c>
      <c r="C578" s="0" t="str">
        <f aca="false">IFERROR(INDEX(Calc!$N$2:$N$1001,MATCH(ROW()-1,Calc!$X$2:$X$1001,0)),"")</f>
        <v/>
      </c>
      <c r="D578" s="3" t="str">
        <f aca="false">IFERROR(INDEX(Calc!$O$2:$O$1001,MATCH(ROW()-1,Calc!$X$2:$X$1001,0)),"")</f>
        <v/>
      </c>
      <c r="E578" s="3" t="str">
        <f aca="false">IFERROR(INDEX(Calc!$P$2:$P$1001,MATCH(ROW()-1,Calc!$X$2:$X$1001,0)),"")</f>
        <v/>
      </c>
      <c r="F578" s="3" t="str">
        <f aca="false">IF(G578="","",E578-D578)</f>
        <v/>
      </c>
      <c r="G578" s="0" t="str">
        <f aca="false">IFERROR(INDEX(Calc!$S$2:$S$1001,MATCH(ROW()-1,Calc!$X$2:$X$1001,0)),"")</f>
        <v/>
      </c>
    </row>
    <row r="579" customFormat="false" ht="15" hidden="false" customHeight="false" outlineLevel="0" collapsed="false">
      <c r="A579" s="0" t="str">
        <f aca="false">IFERROR(INDEX(Calc!$L$2:$L$1001,MATCH(ROW()-1,Calc!$X$2:$X$1001,0)),"")</f>
        <v/>
      </c>
      <c r="B579" s="0" t="str">
        <f aca="false">IFERROR(INDEX(Calc!$M$2:$M$1001,MATCH(ROW()-1,Calc!$X$2:$X$1001,0)),"")</f>
        <v/>
      </c>
      <c r="C579" s="0" t="str">
        <f aca="false">IFERROR(INDEX(Calc!$N$2:$N$1001,MATCH(ROW()-1,Calc!$X$2:$X$1001,0)),"")</f>
        <v/>
      </c>
      <c r="D579" s="3" t="str">
        <f aca="false">IFERROR(INDEX(Calc!$O$2:$O$1001,MATCH(ROW()-1,Calc!$X$2:$X$1001,0)),"")</f>
        <v/>
      </c>
      <c r="E579" s="3" t="str">
        <f aca="false">IFERROR(INDEX(Calc!$P$2:$P$1001,MATCH(ROW()-1,Calc!$X$2:$X$1001,0)),"")</f>
        <v/>
      </c>
      <c r="F579" s="3" t="str">
        <f aca="false">IF(G579="","",E579-D579)</f>
        <v/>
      </c>
      <c r="G579" s="0" t="str">
        <f aca="false">IFERROR(INDEX(Calc!$S$2:$S$1001,MATCH(ROW()-1,Calc!$X$2:$X$1001,0)),"")</f>
        <v/>
      </c>
    </row>
    <row r="580" customFormat="false" ht="15" hidden="false" customHeight="false" outlineLevel="0" collapsed="false">
      <c r="A580" s="0" t="str">
        <f aca="false">IFERROR(INDEX(Calc!$L$2:$L$1001,MATCH(ROW()-1,Calc!$X$2:$X$1001,0)),"")</f>
        <v/>
      </c>
      <c r="B580" s="0" t="str">
        <f aca="false">IFERROR(INDEX(Calc!$M$2:$M$1001,MATCH(ROW()-1,Calc!$X$2:$X$1001,0)),"")</f>
        <v/>
      </c>
      <c r="C580" s="0" t="str">
        <f aca="false">IFERROR(INDEX(Calc!$N$2:$N$1001,MATCH(ROW()-1,Calc!$X$2:$X$1001,0)),"")</f>
        <v/>
      </c>
      <c r="D580" s="3" t="str">
        <f aca="false">IFERROR(INDEX(Calc!$O$2:$O$1001,MATCH(ROW()-1,Calc!$X$2:$X$1001,0)),"")</f>
        <v/>
      </c>
      <c r="E580" s="3" t="str">
        <f aca="false">IFERROR(INDEX(Calc!$P$2:$P$1001,MATCH(ROW()-1,Calc!$X$2:$X$1001,0)),"")</f>
        <v/>
      </c>
      <c r="F580" s="3" t="str">
        <f aca="false">IF(G580="","",E580-D580)</f>
        <v/>
      </c>
      <c r="G580" s="0" t="str">
        <f aca="false">IFERROR(INDEX(Calc!$S$2:$S$1001,MATCH(ROW()-1,Calc!$X$2:$X$1001,0)),"")</f>
        <v/>
      </c>
    </row>
    <row r="581" customFormat="false" ht="15" hidden="false" customHeight="false" outlineLevel="0" collapsed="false">
      <c r="A581" s="0" t="str">
        <f aca="false">IFERROR(INDEX(Calc!$L$2:$L$1001,MATCH(ROW()-1,Calc!$X$2:$X$1001,0)),"")</f>
        <v/>
      </c>
      <c r="B581" s="0" t="str">
        <f aca="false">IFERROR(INDEX(Calc!$M$2:$M$1001,MATCH(ROW()-1,Calc!$X$2:$X$1001,0)),"")</f>
        <v/>
      </c>
      <c r="C581" s="0" t="str">
        <f aca="false">IFERROR(INDEX(Calc!$N$2:$N$1001,MATCH(ROW()-1,Calc!$X$2:$X$1001,0)),"")</f>
        <v/>
      </c>
      <c r="D581" s="3" t="str">
        <f aca="false">IFERROR(INDEX(Calc!$O$2:$O$1001,MATCH(ROW()-1,Calc!$X$2:$X$1001,0)),"")</f>
        <v/>
      </c>
      <c r="E581" s="3" t="str">
        <f aca="false">IFERROR(INDEX(Calc!$P$2:$P$1001,MATCH(ROW()-1,Calc!$X$2:$X$1001,0)),"")</f>
        <v/>
      </c>
      <c r="F581" s="3" t="str">
        <f aca="false">IF(G581="","",E581-D581)</f>
        <v/>
      </c>
      <c r="G581" s="0" t="str">
        <f aca="false">IFERROR(INDEX(Calc!$S$2:$S$1001,MATCH(ROW()-1,Calc!$X$2:$X$1001,0)),"")</f>
        <v/>
      </c>
    </row>
    <row r="582" customFormat="false" ht="15" hidden="false" customHeight="false" outlineLevel="0" collapsed="false">
      <c r="A582" s="0" t="str">
        <f aca="false">IFERROR(INDEX(Calc!$L$2:$L$1001,MATCH(ROW()-1,Calc!$X$2:$X$1001,0)),"")</f>
        <v/>
      </c>
      <c r="B582" s="0" t="str">
        <f aca="false">IFERROR(INDEX(Calc!$M$2:$M$1001,MATCH(ROW()-1,Calc!$X$2:$X$1001,0)),"")</f>
        <v/>
      </c>
      <c r="C582" s="0" t="str">
        <f aca="false">IFERROR(INDEX(Calc!$N$2:$N$1001,MATCH(ROW()-1,Calc!$X$2:$X$1001,0)),"")</f>
        <v/>
      </c>
      <c r="D582" s="3" t="str">
        <f aca="false">IFERROR(INDEX(Calc!$O$2:$O$1001,MATCH(ROW()-1,Calc!$X$2:$X$1001,0)),"")</f>
        <v/>
      </c>
      <c r="E582" s="3" t="str">
        <f aca="false">IFERROR(INDEX(Calc!$P$2:$P$1001,MATCH(ROW()-1,Calc!$X$2:$X$1001,0)),"")</f>
        <v/>
      </c>
      <c r="F582" s="3" t="str">
        <f aca="false">IF(G582="","",E582-D582)</f>
        <v/>
      </c>
      <c r="G582" s="0" t="str">
        <f aca="false">IFERROR(INDEX(Calc!$S$2:$S$1001,MATCH(ROW()-1,Calc!$X$2:$X$1001,0)),"")</f>
        <v/>
      </c>
    </row>
    <row r="583" customFormat="false" ht="15" hidden="false" customHeight="false" outlineLevel="0" collapsed="false">
      <c r="A583" s="0" t="str">
        <f aca="false">IFERROR(INDEX(Calc!$L$2:$L$1001,MATCH(ROW()-1,Calc!$X$2:$X$1001,0)),"")</f>
        <v/>
      </c>
      <c r="B583" s="0" t="str">
        <f aca="false">IFERROR(INDEX(Calc!$M$2:$M$1001,MATCH(ROW()-1,Calc!$X$2:$X$1001,0)),"")</f>
        <v/>
      </c>
      <c r="C583" s="0" t="str">
        <f aca="false">IFERROR(INDEX(Calc!$N$2:$N$1001,MATCH(ROW()-1,Calc!$X$2:$X$1001,0)),"")</f>
        <v/>
      </c>
      <c r="D583" s="3" t="str">
        <f aca="false">IFERROR(INDEX(Calc!$O$2:$O$1001,MATCH(ROW()-1,Calc!$X$2:$X$1001,0)),"")</f>
        <v/>
      </c>
      <c r="E583" s="3" t="str">
        <f aca="false">IFERROR(INDEX(Calc!$P$2:$P$1001,MATCH(ROW()-1,Calc!$X$2:$X$1001,0)),"")</f>
        <v/>
      </c>
      <c r="F583" s="3" t="str">
        <f aca="false">IF(G583="","",E583-D583)</f>
        <v/>
      </c>
      <c r="G583" s="0" t="str">
        <f aca="false">IFERROR(INDEX(Calc!$S$2:$S$1001,MATCH(ROW()-1,Calc!$X$2:$X$1001,0)),"")</f>
        <v/>
      </c>
    </row>
    <row r="584" customFormat="false" ht="15" hidden="false" customHeight="false" outlineLevel="0" collapsed="false">
      <c r="A584" s="0" t="str">
        <f aca="false">IFERROR(INDEX(Calc!$L$2:$L$1001,MATCH(ROW()-1,Calc!$X$2:$X$1001,0)),"")</f>
        <v/>
      </c>
      <c r="B584" s="0" t="str">
        <f aca="false">IFERROR(INDEX(Calc!$M$2:$M$1001,MATCH(ROW()-1,Calc!$X$2:$X$1001,0)),"")</f>
        <v/>
      </c>
      <c r="C584" s="0" t="str">
        <f aca="false">IFERROR(INDEX(Calc!$N$2:$N$1001,MATCH(ROW()-1,Calc!$X$2:$X$1001,0)),"")</f>
        <v/>
      </c>
      <c r="D584" s="3" t="str">
        <f aca="false">IFERROR(INDEX(Calc!$O$2:$O$1001,MATCH(ROW()-1,Calc!$X$2:$X$1001,0)),"")</f>
        <v/>
      </c>
      <c r="E584" s="3" t="str">
        <f aca="false">IFERROR(INDEX(Calc!$P$2:$P$1001,MATCH(ROW()-1,Calc!$X$2:$X$1001,0)),"")</f>
        <v/>
      </c>
      <c r="F584" s="3" t="str">
        <f aca="false">IF(G584="","",E584-D584)</f>
        <v/>
      </c>
      <c r="G584" s="0" t="str">
        <f aca="false">IFERROR(INDEX(Calc!$S$2:$S$1001,MATCH(ROW()-1,Calc!$X$2:$X$1001,0)),"")</f>
        <v/>
      </c>
    </row>
    <row r="585" customFormat="false" ht="15" hidden="false" customHeight="false" outlineLevel="0" collapsed="false">
      <c r="A585" s="0" t="str">
        <f aca="false">IFERROR(INDEX(Calc!$L$2:$L$1001,MATCH(ROW()-1,Calc!$X$2:$X$1001,0)),"")</f>
        <v/>
      </c>
      <c r="B585" s="0" t="str">
        <f aca="false">IFERROR(INDEX(Calc!$M$2:$M$1001,MATCH(ROW()-1,Calc!$X$2:$X$1001,0)),"")</f>
        <v/>
      </c>
      <c r="C585" s="0" t="str">
        <f aca="false">IFERROR(INDEX(Calc!$N$2:$N$1001,MATCH(ROW()-1,Calc!$X$2:$X$1001,0)),"")</f>
        <v/>
      </c>
      <c r="D585" s="3" t="str">
        <f aca="false">IFERROR(INDEX(Calc!$O$2:$O$1001,MATCH(ROW()-1,Calc!$X$2:$X$1001,0)),"")</f>
        <v/>
      </c>
      <c r="E585" s="3" t="str">
        <f aca="false">IFERROR(INDEX(Calc!$P$2:$P$1001,MATCH(ROW()-1,Calc!$X$2:$X$1001,0)),"")</f>
        <v/>
      </c>
      <c r="F585" s="3" t="str">
        <f aca="false">IF(G585="","",E585-D585)</f>
        <v/>
      </c>
      <c r="G585" s="0" t="str">
        <f aca="false">IFERROR(INDEX(Calc!$S$2:$S$1001,MATCH(ROW()-1,Calc!$X$2:$X$1001,0)),"")</f>
        <v/>
      </c>
    </row>
    <row r="586" customFormat="false" ht="15" hidden="false" customHeight="false" outlineLevel="0" collapsed="false">
      <c r="A586" s="0" t="str">
        <f aca="false">IFERROR(INDEX(Calc!$L$2:$L$1001,MATCH(ROW()-1,Calc!$X$2:$X$1001,0)),"")</f>
        <v/>
      </c>
      <c r="B586" s="0" t="str">
        <f aca="false">IFERROR(INDEX(Calc!$M$2:$M$1001,MATCH(ROW()-1,Calc!$X$2:$X$1001,0)),"")</f>
        <v/>
      </c>
      <c r="C586" s="0" t="str">
        <f aca="false">IFERROR(INDEX(Calc!$N$2:$N$1001,MATCH(ROW()-1,Calc!$X$2:$X$1001,0)),"")</f>
        <v/>
      </c>
      <c r="D586" s="3" t="str">
        <f aca="false">IFERROR(INDEX(Calc!$O$2:$O$1001,MATCH(ROW()-1,Calc!$X$2:$X$1001,0)),"")</f>
        <v/>
      </c>
      <c r="E586" s="3" t="str">
        <f aca="false">IFERROR(INDEX(Calc!$P$2:$P$1001,MATCH(ROW()-1,Calc!$X$2:$X$1001,0)),"")</f>
        <v/>
      </c>
      <c r="F586" s="3" t="str">
        <f aca="false">IF(G586="","",E586-D586)</f>
        <v/>
      </c>
      <c r="G586" s="0" t="str">
        <f aca="false">IFERROR(INDEX(Calc!$S$2:$S$1001,MATCH(ROW()-1,Calc!$X$2:$X$1001,0)),"")</f>
        <v/>
      </c>
    </row>
    <row r="587" customFormat="false" ht="15" hidden="false" customHeight="false" outlineLevel="0" collapsed="false">
      <c r="A587" s="0" t="str">
        <f aca="false">IFERROR(INDEX(Calc!$L$2:$L$1001,MATCH(ROW()-1,Calc!$X$2:$X$1001,0)),"")</f>
        <v/>
      </c>
      <c r="B587" s="0" t="str">
        <f aca="false">IFERROR(INDEX(Calc!$M$2:$M$1001,MATCH(ROW()-1,Calc!$X$2:$X$1001,0)),"")</f>
        <v/>
      </c>
      <c r="C587" s="0" t="str">
        <f aca="false">IFERROR(INDEX(Calc!$N$2:$N$1001,MATCH(ROW()-1,Calc!$X$2:$X$1001,0)),"")</f>
        <v/>
      </c>
      <c r="D587" s="3" t="str">
        <f aca="false">IFERROR(INDEX(Calc!$O$2:$O$1001,MATCH(ROW()-1,Calc!$X$2:$X$1001,0)),"")</f>
        <v/>
      </c>
      <c r="E587" s="3" t="str">
        <f aca="false">IFERROR(INDEX(Calc!$P$2:$P$1001,MATCH(ROW()-1,Calc!$X$2:$X$1001,0)),"")</f>
        <v/>
      </c>
      <c r="F587" s="3" t="str">
        <f aca="false">IF(G587="","",E587-D587)</f>
        <v/>
      </c>
      <c r="G587" s="0" t="str">
        <f aca="false">IFERROR(INDEX(Calc!$S$2:$S$1001,MATCH(ROW()-1,Calc!$X$2:$X$1001,0)),"")</f>
        <v/>
      </c>
    </row>
    <row r="588" customFormat="false" ht="15" hidden="false" customHeight="false" outlineLevel="0" collapsed="false">
      <c r="A588" s="0" t="str">
        <f aca="false">IFERROR(INDEX(Calc!$L$2:$L$1001,MATCH(ROW()-1,Calc!$X$2:$X$1001,0)),"")</f>
        <v/>
      </c>
      <c r="B588" s="0" t="str">
        <f aca="false">IFERROR(INDEX(Calc!$M$2:$M$1001,MATCH(ROW()-1,Calc!$X$2:$X$1001,0)),"")</f>
        <v/>
      </c>
      <c r="C588" s="0" t="str">
        <f aca="false">IFERROR(INDEX(Calc!$N$2:$N$1001,MATCH(ROW()-1,Calc!$X$2:$X$1001,0)),"")</f>
        <v/>
      </c>
      <c r="D588" s="3" t="str">
        <f aca="false">IFERROR(INDEX(Calc!$O$2:$O$1001,MATCH(ROW()-1,Calc!$X$2:$X$1001,0)),"")</f>
        <v/>
      </c>
      <c r="E588" s="3" t="str">
        <f aca="false">IFERROR(INDEX(Calc!$P$2:$P$1001,MATCH(ROW()-1,Calc!$X$2:$X$1001,0)),"")</f>
        <v/>
      </c>
      <c r="F588" s="3" t="str">
        <f aca="false">IF(G588="","",E588-D588)</f>
        <v/>
      </c>
      <c r="G588" s="0" t="str">
        <f aca="false">IFERROR(INDEX(Calc!$S$2:$S$1001,MATCH(ROW()-1,Calc!$X$2:$X$1001,0)),"")</f>
        <v/>
      </c>
    </row>
    <row r="589" customFormat="false" ht="15" hidden="false" customHeight="false" outlineLevel="0" collapsed="false">
      <c r="A589" s="0" t="str">
        <f aca="false">IFERROR(INDEX(Calc!$L$2:$L$1001,MATCH(ROW()-1,Calc!$X$2:$X$1001,0)),"")</f>
        <v/>
      </c>
      <c r="B589" s="0" t="str">
        <f aca="false">IFERROR(INDEX(Calc!$M$2:$M$1001,MATCH(ROW()-1,Calc!$X$2:$X$1001,0)),"")</f>
        <v/>
      </c>
      <c r="C589" s="0" t="str">
        <f aca="false">IFERROR(INDEX(Calc!$N$2:$N$1001,MATCH(ROW()-1,Calc!$X$2:$X$1001,0)),"")</f>
        <v/>
      </c>
      <c r="D589" s="3" t="str">
        <f aca="false">IFERROR(INDEX(Calc!$O$2:$O$1001,MATCH(ROW()-1,Calc!$X$2:$X$1001,0)),"")</f>
        <v/>
      </c>
      <c r="E589" s="3" t="str">
        <f aca="false">IFERROR(INDEX(Calc!$P$2:$P$1001,MATCH(ROW()-1,Calc!$X$2:$X$1001,0)),"")</f>
        <v/>
      </c>
      <c r="F589" s="3" t="str">
        <f aca="false">IF(G589="","",E589-D589)</f>
        <v/>
      </c>
      <c r="G589" s="0" t="str">
        <f aca="false">IFERROR(INDEX(Calc!$S$2:$S$1001,MATCH(ROW()-1,Calc!$X$2:$X$1001,0)),"")</f>
        <v/>
      </c>
    </row>
    <row r="590" customFormat="false" ht="15" hidden="false" customHeight="false" outlineLevel="0" collapsed="false">
      <c r="A590" s="0" t="str">
        <f aca="false">IFERROR(INDEX(Calc!$L$2:$L$1001,MATCH(ROW()-1,Calc!$X$2:$X$1001,0)),"")</f>
        <v/>
      </c>
      <c r="B590" s="0" t="str">
        <f aca="false">IFERROR(INDEX(Calc!$M$2:$M$1001,MATCH(ROW()-1,Calc!$X$2:$X$1001,0)),"")</f>
        <v/>
      </c>
      <c r="C590" s="0" t="str">
        <f aca="false">IFERROR(INDEX(Calc!$N$2:$N$1001,MATCH(ROW()-1,Calc!$X$2:$X$1001,0)),"")</f>
        <v/>
      </c>
      <c r="D590" s="3" t="str">
        <f aca="false">IFERROR(INDEX(Calc!$O$2:$O$1001,MATCH(ROW()-1,Calc!$X$2:$X$1001,0)),"")</f>
        <v/>
      </c>
      <c r="E590" s="3" t="str">
        <f aca="false">IFERROR(INDEX(Calc!$P$2:$P$1001,MATCH(ROW()-1,Calc!$X$2:$X$1001,0)),"")</f>
        <v/>
      </c>
      <c r="F590" s="3" t="str">
        <f aca="false">IF(G590="","",E590-D590)</f>
        <v/>
      </c>
      <c r="G590" s="0" t="str">
        <f aca="false">IFERROR(INDEX(Calc!$S$2:$S$1001,MATCH(ROW()-1,Calc!$X$2:$X$1001,0)),"")</f>
        <v/>
      </c>
    </row>
    <row r="591" customFormat="false" ht="15" hidden="false" customHeight="false" outlineLevel="0" collapsed="false">
      <c r="A591" s="0" t="str">
        <f aca="false">IFERROR(INDEX(Calc!$L$2:$L$1001,MATCH(ROW()-1,Calc!$X$2:$X$1001,0)),"")</f>
        <v/>
      </c>
      <c r="B591" s="0" t="str">
        <f aca="false">IFERROR(INDEX(Calc!$M$2:$M$1001,MATCH(ROW()-1,Calc!$X$2:$X$1001,0)),"")</f>
        <v/>
      </c>
      <c r="C591" s="0" t="str">
        <f aca="false">IFERROR(INDEX(Calc!$N$2:$N$1001,MATCH(ROW()-1,Calc!$X$2:$X$1001,0)),"")</f>
        <v/>
      </c>
      <c r="D591" s="3" t="str">
        <f aca="false">IFERROR(INDEX(Calc!$O$2:$O$1001,MATCH(ROW()-1,Calc!$X$2:$X$1001,0)),"")</f>
        <v/>
      </c>
      <c r="E591" s="3" t="str">
        <f aca="false">IFERROR(INDEX(Calc!$P$2:$P$1001,MATCH(ROW()-1,Calc!$X$2:$X$1001,0)),"")</f>
        <v/>
      </c>
      <c r="F591" s="3" t="str">
        <f aca="false">IF(G591="","",E591-D591)</f>
        <v/>
      </c>
      <c r="G591" s="0" t="str">
        <f aca="false">IFERROR(INDEX(Calc!$S$2:$S$1001,MATCH(ROW()-1,Calc!$X$2:$X$1001,0)),"")</f>
        <v/>
      </c>
    </row>
    <row r="592" customFormat="false" ht="15" hidden="false" customHeight="false" outlineLevel="0" collapsed="false">
      <c r="A592" s="0" t="str">
        <f aca="false">IFERROR(INDEX(Calc!$L$2:$L$1001,MATCH(ROW()-1,Calc!$X$2:$X$1001,0)),"")</f>
        <v/>
      </c>
      <c r="B592" s="0" t="str">
        <f aca="false">IFERROR(INDEX(Calc!$M$2:$M$1001,MATCH(ROW()-1,Calc!$X$2:$X$1001,0)),"")</f>
        <v/>
      </c>
      <c r="C592" s="0" t="str">
        <f aca="false">IFERROR(INDEX(Calc!$N$2:$N$1001,MATCH(ROW()-1,Calc!$X$2:$X$1001,0)),"")</f>
        <v/>
      </c>
      <c r="D592" s="3" t="str">
        <f aca="false">IFERROR(INDEX(Calc!$O$2:$O$1001,MATCH(ROW()-1,Calc!$X$2:$X$1001,0)),"")</f>
        <v/>
      </c>
      <c r="E592" s="3" t="str">
        <f aca="false">IFERROR(INDEX(Calc!$P$2:$P$1001,MATCH(ROW()-1,Calc!$X$2:$X$1001,0)),"")</f>
        <v/>
      </c>
      <c r="F592" s="3" t="str">
        <f aca="false">IF(G592="","",E592-D592)</f>
        <v/>
      </c>
      <c r="G592" s="0" t="str">
        <f aca="false">IFERROR(INDEX(Calc!$S$2:$S$1001,MATCH(ROW()-1,Calc!$X$2:$X$1001,0)),"")</f>
        <v/>
      </c>
    </row>
    <row r="593" customFormat="false" ht="15" hidden="false" customHeight="false" outlineLevel="0" collapsed="false">
      <c r="A593" s="0" t="str">
        <f aca="false">IFERROR(INDEX(Calc!$L$2:$L$1001,MATCH(ROW()-1,Calc!$X$2:$X$1001,0)),"")</f>
        <v/>
      </c>
      <c r="B593" s="0" t="str">
        <f aca="false">IFERROR(INDEX(Calc!$M$2:$M$1001,MATCH(ROW()-1,Calc!$X$2:$X$1001,0)),"")</f>
        <v/>
      </c>
      <c r="C593" s="0" t="str">
        <f aca="false">IFERROR(INDEX(Calc!$N$2:$N$1001,MATCH(ROW()-1,Calc!$X$2:$X$1001,0)),"")</f>
        <v/>
      </c>
      <c r="D593" s="3" t="str">
        <f aca="false">IFERROR(INDEX(Calc!$O$2:$O$1001,MATCH(ROW()-1,Calc!$X$2:$X$1001,0)),"")</f>
        <v/>
      </c>
      <c r="E593" s="3" t="str">
        <f aca="false">IFERROR(INDEX(Calc!$P$2:$P$1001,MATCH(ROW()-1,Calc!$X$2:$X$1001,0)),"")</f>
        <v/>
      </c>
      <c r="F593" s="3" t="str">
        <f aca="false">IF(G593="","",E593-D593)</f>
        <v/>
      </c>
      <c r="G593" s="0" t="str">
        <f aca="false">IFERROR(INDEX(Calc!$S$2:$S$1001,MATCH(ROW()-1,Calc!$X$2:$X$1001,0)),"")</f>
        <v/>
      </c>
    </row>
    <row r="594" customFormat="false" ht="15" hidden="false" customHeight="false" outlineLevel="0" collapsed="false">
      <c r="A594" s="0" t="str">
        <f aca="false">IFERROR(INDEX(Calc!$L$2:$L$1001,MATCH(ROW()-1,Calc!$X$2:$X$1001,0)),"")</f>
        <v/>
      </c>
      <c r="B594" s="0" t="str">
        <f aca="false">IFERROR(INDEX(Calc!$M$2:$M$1001,MATCH(ROW()-1,Calc!$X$2:$X$1001,0)),"")</f>
        <v/>
      </c>
      <c r="C594" s="0" t="str">
        <f aca="false">IFERROR(INDEX(Calc!$N$2:$N$1001,MATCH(ROW()-1,Calc!$X$2:$X$1001,0)),"")</f>
        <v/>
      </c>
      <c r="D594" s="3" t="str">
        <f aca="false">IFERROR(INDEX(Calc!$O$2:$O$1001,MATCH(ROW()-1,Calc!$X$2:$X$1001,0)),"")</f>
        <v/>
      </c>
      <c r="E594" s="3" t="str">
        <f aca="false">IFERROR(INDEX(Calc!$P$2:$P$1001,MATCH(ROW()-1,Calc!$X$2:$X$1001,0)),"")</f>
        <v/>
      </c>
      <c r="F594" s="3" t="str">
        <f aca="false">IF(G594="","",E594-D594)</f>
        <v/>
      </c>
      <c r="G594" s="0" t="str">
        <f aca="false">IFERROR(INDEX(Calc!$S$2:$S$1001,MATCH(ROW()-1,Calc!$X$2:$X$1001,0)),"")</f>
        <v/>
      </c>
    </row>
    <row r="595" customFormat="false" ht="15" hidden="false" customHeight="false" outlineLevel="0" collapsed="false">
      <c r="A595" s="0" t="str">
        <f aca="false">IFERROR(INDEX(Calc!$L$2:$L$1001,MATCH(ROW()-1,Calc!$X$2:$X$1001,0)),"")</f>
        <v/>
      </c>
      <c r="B595" s="0" t="str">
        <f aca="false">IFERROR(INDEX(Calc!$M$2:$M$1001,MATCH(ROW()-1,Calc!$X$2:$X$1001,0)),"")</f>
        <v/>
      </c>
      <c r="C595" s="0" t="str">
        <f aca="false">IFERROR(INDEX(Calc!$N$2:$N$1001,MATCH(ROW()-1,Calc!$X$2:$X$1001,0)),"")</f>
        <v/>
      </c>
      <c r="D595" s="3" t="str">
        <f aca="false">IFERROR(INDEX(Calc!$O$2:$O$1001,MATCH(ROW()-1,Calc!$X$2:$X$1001,0)),"")</f>
        <v/>
      </c>
      <c r="E595" s="3" t="str">
        <f aca="false">IFERROR(INDEX(Calc!$P$2:$P$1001,MATCH(ROW()-1,Calc!$X$2:$X$1001,0)),"")</f>
        <v/>
      </c>
      <c r="F595" s="3" t="str">
        <f aca="false">IF(G595="","",E595-D595)</f>
        <v/>
      </c>
      <c r="G595" s="0" t="str">
        <f aca="false">IFERROR(INDEX(Calc!$S$2:$S$1001,MATCH(ROW()-1,Calc!$X$2:$X$1001,0)),"")</f>
        <v/>
      </c>
    </row>
    <row r="596" customFormat="false" ht="15" hidden="false" customHeight="false" outlineLevel="0" collapsed="false">
      <c r="A596" s="0" t="str">
        <f aca="false">IFERROR(INDEX(Calc!$L$2:$L$1001,MATCH(ROW()-1,Calc!$X$2:$X$1001,0)),"")</f>
        <v/>
      </c>
      <c r="B596" s="0" t="str">
        <f aca="false">IFERROR(INDEX(Calc!$M$2:$M$1001,MATCH(ROW()-1,Calc!$X$2:$X$1001,0)),"")</f>
        <v/>
      </c>
      <c r="C596" s="0" t="str">
        <f aca="false">IFERROR(INDEX(Calc!$N$2:$N$1001,MATCH(ROW()-1,Calc!$X$2:$X$1001,0)),"")</f>
        <v/>
      </c>
      <c r="D596" s="3" t="str">
        <f aca="false">IFERROR(INDEX(Calc!$O$2:$O$1001,MATCH(ROW()-1,Calc!$X$2:$X$1001,0)),"")</f>
        <v/>
      </c>
      <c r="E596" s="3" t="str">
        <f aca="false">IFERROR(INDEX(Calc!$P$2:$P$1001,MATCH(ROW()-1,Calc!$X$2:$X$1001,0)),"")</f>
        <v/>
      </c>
      <c r="F596" s="3" t="str">
        <f aca="false">IF(G596="","",E596-D596)</f>
        <v/>
      </c>
      <c r="G596" s="0" t="str">
        <f aca="false">IFERROR(INDEX(Calc!$S$2:$S$1001,MATCH(ROW()-1,Calc!$X$2:$X$1001,0)),"")</f>
        <v/>
      </c>
    </row>
    <row r="597" customFormat="false" ht="15" hidden="false" customHeight="false" outlineLevel="0" collapsed="false">
      <c r="A597" s="0" t="str">
        <f aca="false">IFERROR(INDEX(Calc!$L$2:$L$1001,MATCH(ROW()-1,Calc!$X$2:$X$1001,0)),"")</f>
        <v/>
      </c>
      <c r="B597" s="0" t="str">
        <f aca="false">IFERROR(INDEX(Calc!$M$2:$M$1001,MATCH(ROW()-1,Calc!$X$2:$X$1001,0)),"")</f>
        <v/>
      </c>
      <c r="C597" s="0" t="str">
        <f aca="false">IFERROR(INDEX(Calc!$N$2:$N$1001,MATCH(ROW()-1,Calc!$X$2:$X$1001,0)),"")</f>
        <v/>
      </c>
      <c r="D597" s="3" t="str">
        <f aca="false">IFERROR(INDEX(Calc!$O$2:$O$1001,MATCH(ROW()-1,Calc!$X$2:$X$1001,0)),"")</f>
        <v/>
      </c>
      <c r="E597" s="3" t="str">
        <f aca="false">IFERROR(INDEX(Calc!$P$2:$P$1001,MATCH(ROW()-1,Calc!$X$2:$X$1001,0)),"")</f>
        <v/>
      </c>
      <c r="F597" s="3" t="str">
        <f aca="false">IF(G597="","",E597-D597)</f>
        <v/>
      </c>
      <c r="G597" s="0" t="str">
        <f aca="false">IFERROR(INDEX(Calc!$S$2:$S$1001,MATCH(ROW()-1,Calc!$X$2:$X$1001,0)),"")</f>
        <v/>
      </c>
    </row>
    <row r="598" customFormat="false" ht="15" hidden="false" customHeight="false" outlineLevel="0" collapsed="false">
      <c r="A598" s="0" t="str">
        <f aca="false">IFERROR(INDEX(Calc!$L$2:$L$1001,MATCH(ROW()-1,Calc!$X$2:$X$1001,0)),"")</f>
        <v/>
      </c>
      <c r="B598" s="0" t="str">
        <f aca="false">IFERROR(INDEX(Calc!$M$2:$M$1001,MATCH(ROW()-1,Calc!$X$2:$X$1001,0)),"")</f>
        <v/>
      </c>
      <c r="C598" s="0" t="str">
        <f aca="false">IFERROR(INDEX(Calc!$N$2:$N$1001,MATCH(ROW()-1,Calc!$X$2:$X$1001,0)),"")</f>
        <v/>
      </c>
      <c r="D598" s="3" t="str">
        <f aca="false">IFERROR(INDEX(Calc!$O$2:$O$1001,MATCH(ROW()-1,Calc!$X$2:$X$1001,0)),"")</f>
        <v/>
      </c>
      <c r="E598" s="3" t="str">
        <f aca="false">IFERROR(INDEX(Calc!$P$2:$P$1001,MATCH(ROW()-1,Calc!$X$2:$X$1001,0)),"")</f>
        <v/>
      </c>
      <c r="F598" s="3" t="str">
        <f aca="false">IF(G598="","",E598-D598)</f>
        <v/>
      </c>
      <c r="G598" s="0" t="str">
        <f aca="false">IFERROR(INDEX(Calc!$S$2:$S$1001,MATCH(ROW()-1,Calc!$X$2:$X$1001,0)),"")</f>
        <v/>
      </c>
    </row>
    <row r="599" customFormat="false" ht="15" hidden="false" customHeight="false" outlineLevel="0" collapsed="false">
      <c r="A599" s="0" t="str">
        <f aca="false">IFERROR(INDEX(Calc!$L$2:$L$1001,MATCH(ROW()-1,Calc!$X$2:$X$1001,0)),"")</f>
        <v/>
      </c>
      <c r="B599" s="0" t="str">
        <f aca="false">IFERROR(INDEX(Calc!$M$2:$M$1001,MATCH(ROW()-1,Calc!$X$2:$X$1001,0)),"")</f>
        <v/>
      </c>
      <c r="C599" s="0" t="str">
        <f aca="false">IFERROR(INDEX(Calc!$N$2:$N$1001,MATCH(ROW()-1,Calc!$X$2:$X$1001,0)),"")</f>
        <v/>
      </c>
      <c r="D599" s="3" t="str">
        <f aca="false">IFERROR(INDEX(Calc!$O$2:$O$1001,MATCH(ROW()-1,Calc!$X$2:$X$1001,0)),"")</f>
        <v/>
      </c>
      <c r="E599" s="3" t="str">
        <f aca="false">IFERROR(INDEX(Calc!$P$2:$P$1001,MATCH(ROW()-1,Calc!$X$2:$X$1001,0)),"")</f>
        <v/>
      </c>
      <c r="F599" s="3" t="str">
        <f aca="false">IF(G599="","",E599-D599)</f>
        <v/>
      </c>
      <c r="G599" s="0" t="str">
        <f aca="false">IFERROR(INDEX(Calc!$S$2:$S$1001,MATCH(ROW()-1,Calc!$X$2:$X$1001,0)),"")</f>
        <v/>
      </c>
    </row>
    <row r="600" customFormat="false" ht="15" hidden="false" customHeight="false" outlineLevel="0" collapsed="false">
      <c r="A600" s="0" t="str">
        <f aca="false">IFERROR(INDEX(Calc!$L$2:$L$1001,MATCH(ROW()-1,Calc!$X$2:$X$1001,0)),"")</f>
        <v/>
      </c>
      <c r="B600" s="0" t="str">
        <f aca="false">IFERROR(INDEX(Calc!$M$2:$M$1001,MATCH(ROW()-1,Calc!$X$2:$X$1001,0)),"")</f>
        <v/>
      </c>
      <c r="C600" s="0" t="str">
        <f aca="false">IFERROR(INDEX(Calc!$N$2:$N$1001,MATCH(ROW()-1,Calc!$X$2:$X$1001,0)),"")</f>
        <v/>
      </c>
      <c r="D600" s="3" t="str">
        <f aca="false">IFERROR(INDEX(Calc!$O$2:$O$1001,MATCH(ROW()-1,Calc!$X$2:$X$1001,0)),"")</f>
        <v/>
      </c>
      <c r="E600" s="3" t="str">
        <f aca="false">IFERROR(INDEX(Calc!$P$2:$P$1001,MATCH(ROW()-1,Calc!$X$2:$X$1001,0)),"")</f>
        <v/>
      </c>
      <c r="F600" s="3" t="str">
        <f aca="false">IF(G600="","",E600-D600)</f>
        <v/>
      </c>
      <c r="G600" s="0" t="str">
        <f aca="false">IFERROR(INDEX(Calc!$S$2:$S$1001,MATCH(ROW()-1,Calc!$X$2:$X$1001,0)),"")</f>
        <v/>
      </c>
    </row>
    <row r="601" customFormat="false" ht="15" hidden="false" customHeight="false" outlineLevel="0" collapsed="false">
      <c r="A601" s="0" t="str">
        <f aca="false">IFERROR(INDEX(Calc!$L$2:$L$1001,MATCH(ROW()-1,Calc!$X$2:$X$1001,0)),"")</f>
        <v/>
      </c>
      <c r="B601" s="0" t="str">
        <f aca="false">IFERROR(INDEX(Calc!$M$2:$M$1001,MATCH(ROW()-1,Calc!$X$2:$X$1001,0)),"")</f>
        <v/>
      </c>
      <c r="C601" s="0" t="str">
        <f aca="false">IFERROR(INDEX(Calc!$N$2:$N$1001,MATCH(ROW()-1,Calc!$X$2:$X$1001,0)),"")</f>
        <v/>
      </c>
      <c r="D601" s="3" t="str">
        <f aca="false">IFERROR(INDEX(Calc!$O$2:$O$1001,MATCH(ROW()-1,Calc!$X$2:$X$1001,0)),"")</f>
        <v/>
      </c>
      <c r="E601" s="3" t="str">
        <f aca="false">IFERROR(INDEX(Calc!$P$2:$P$1001,MATCH(ROW()-1,Calc!$X$2:$X$1001,0)),"")</f>
        <v/>
      </c>
      <c r="F601" s="3" t="str">
        <f aca="false">IF(G601="","",E601-D601)</f>
        <v/>
      </c>
      <c r="G601" s="0" t="str">
        <f aca="false">IFERROR(INDEX(Calc!$S$2:$S$1001,MATCH(ROW()-1,Calc!$X$2:$X$1001,0)),"")</f>
        <v/>
      </c>
    </row>
    <row r="602" customFormat="false" ht="15" hidden="false" customHeight="false" outlineLevel="0" collapsed="false">
      <c r="A602" s="0" t="str">
        <f aca="false">IFERROR(INDEX(Calc!$L$2:$L$1001,MATCH(ROW()-1,Calc!$X$2:$X$1001,0)),"")</f>
        <v/>
      </c>
      <c r="B602" s="0" t="str">
        <f aca="false">IFERROR(INDEX(Calc!$M$2:$M$1001,MATCH(ROW()-1,Calc!$X$2:$X$1001,0)),"")</f>
        <v/>
      </c>
      <c r="C602" s="0" t="str">
        <f aca="false">IFERROR(INDEX(Calc!$N$2:$N$1001,MATCH(ROW()-1,Calc!$X$2:$X$1001,0)),"")</f>
        <v/>
      </c>
      <c r="D602" s="3" t="str">
        <f aca="false">IFERROR(INDEX(Calc!$O$2:$O$1001,MATCH(ROW()-1,Calc!$X$2:$X$1001,0)),"")</f>
        <v/>
      </c>
      <c r="E602" s="3" t="str">
        <f aca="false">IFERROR(INDEX(Calc!$P$2:$P$1001,MATCH(ROW()-1,Calc!$X$2:$X$1001,0)),"")</f>
        <v/>
      </c>
      <c r="F602" s="3" t="str">
        <f aca="false">IF(G602="","",E602-D602)</f>
        <v/>
      </c>
      <c r="G602" s="0" t="str">
        <f aca="false">IFERROR(INDEX(Calc!$S$2:$S$1001,MATCH(ROW()-1,Calc!$X$2:$X$1001,0)),"")</f>
        <v/>
      </c>
    </row>
    <row r="603" customFormat="false" ht="15" hidden="false" customHeight="false" outlineLevel="0" collapsed="false">
      <c r="A603" s="0" t="str">
        <f aca="false">IFERROR(INDEX(Calc!$L$2:$L$1001,MATCH(ROW()-1,Calc!$X$2:$X$1001,0)),"")</f>
        <v/>
      </c>
      <c r="B603" s="0" t="str">
        <f aca="false">IFERROR(INDEX(Calc!$M$2:$M$1001,MATCH(ROW()-1,Calc!$X$2:$X$1001,0)),"")</f>
        <v/>
      </c>
      <c r="C603" s="0" t="str">
        <f aca="false">IFERROR(INDEX(Calc!$N$2:$N$1001,MATCH(ROW()-1,Calc!$X$2:$X$1001,0)),"")</f>
        <v/>
      </c>
      <c r="D603" s="3" t="str">
        <f aca="false">IFERROR(INDEX(Calc!$O$2:$O$1001,MATCH(ROW()-1,Calc!$X$2:$X$1001,0)),"")</f>
        <v/>
      </c>
      <c r="E603" s="3" t="str">
        <f aca="false">IFERROR(INDEX(Calc!$P$2:$P$1001,MATCH(ROW()-1,Calc!$X$2:$X$1001,0)),"")</f>
        <v/>
      </c>
      <c r="F603" s="3" t="str">
        <f aca="false">IF(G603="","",E603-D603)</f>
        <v/>
      </c>
      <c r="G603" s="0" t="str">
        <f aca="false">IFERROR(INDEX(Calc!$S$2:$S$1001,MATCH(ROW()-1,Calc!$X$2:$X$1001,0)),"")</f>
        <v/>
      </c>
    </row>
    <row r="604" customFormat="false" ht="15" hidden="false" customHeight="false" outlineLevel="0" collapsed="false">
      <c r="A604" s="0" t="str">
        <f aca="false">IFERROR(INDEX(Calc!$L$2:$L$1001,MATCH(ROW()-1,Calc!$X$2:$X$1001,0)),"")</f>
        <v/>
      </c>
      <c r="B604" s="0" t="str">
        <f aca="false">IFERROR(INDEX(Calc!$M$2:$M$1001,MATCH(ROW()-1,Calc!$X$2:$X$1001,0)),"")</f>
        <v/>
      </c>
      <c r="C604" s="0" t="str">
        <f aca="false">IFERROR(INDEX(Calc!$N$2:$N$1001,MATCH(ROW()-1,Calc!$X$2:$X$1001,0)),"")</f>
        <v/>
      </c>
      <c r="D604" s="3" t="str">
        <f aca="false">IFERROR(INDEX(Calc!$O$2:$O$1001,MATCH(ROW()-1,Calc!$X$2:$X$1001,0)),"")</f>
        <v/>
      </c>
      <c r="E604" s="3" t="str">
        <f aca="false">IFERROR(INDEX(Calc!$P$2:$P$1001,MATCH(ROW()-1,Calc!$X$2:$X$1001,0)),"")</f>
        <v/>
      </c>
      <c r="F604" s="3" t="str">
        <f aca="false">IF(G604="","",E604-D604)</f>
        <v/>
      </c>
      <c r="G604" s="0" t="str">
        <f aca="false">IFERROR(INDEX(Calc!$S$2:$S$1001,MATCH(ROW()-1,Calc!$X$2:$X$1001,0)),"")</f>
        <v/>
      </c>
    </row>
    <row r="605" customFormat="false" ht="15" hidden="false" customHeight="false" outlineLevel="0" collapsed="false">
      <c r="A605" s="0" t="str">
        <f aca="false">IFERROR(INDEX(Calc!$L$2:$L$1001,MATCH(ROW()-1,Calc!$X$2:$X$1001,0)),"")</f>
        <v/>
      </c>
      <c r="B605" s="0" t="str">
        <f aca="false">IFERROR(INDEX(Calc!$M$2:$M$1001,MATCH(ROW()-1,Calc!$X$2:$X$1001,0)),"")</f>
        <v/>
      </c>
      <c r="C605" s="0" t="str">
        <f aca="false">IFERROR(INDEX(Calc!$N$2:$N$1001,MATCH(ROW()-1,Calc!$X$2:$X$1001,0)),"")</f>
        <v/>
      </c>
      <c r="D605" s="3" t="str">
        <f aca="false">IFERROR(INDEX(Calc!$O$2:$O$1001,MATCH(ROW()-1,Calc!$X$2:$X$1001,0)),"")</f>
        <v/>
      </c>
      <c r="E605" s="3" t="str">
        <f aca="false">IFERROR(INDEX(Calc!$P$2:$P$1001,MATCH(ROW()-1,Calc!$X$2:$X$1001,0)),"")</f>
        <v/>
      </c>
      <c r="F605" s="3" t="str">
        <f aca="false">IF(G605="","",E605-D605)</f>
        <v/>
      </c>
      <c r="G605" s="0" t="str">
        <f aca="false">IFERROR(INDEX(Calc!$S$2:$S$1001,MATCH(ROW()-1,Calc!$X$2:$X$1001,0)),"")</f>
        <v/>
      </c>
    </row>
    <row r="606" customFormat="false" ht="15" hidden="false" customHeight="false" outlineLevel="0" collapsed="false">
      <c r="A606" s="0" t="str">
        <f aca="false">IFERROR(INDEX(Calc!$L$2:$L$1001,MATCH(ROW()-1,Calc!$X$2:$X$1001,0)),"")</f>
        <v/>
      </c>
      <c r="B606" s="0" t="str">
        <f aca="false">IFERROR(INDEX(Calc!$M$2:$M$1001,MATCH(ROW()-1,Calc!$X$2:$X$1001,0)),"")</f>
        <v/>
      </c>
      <c r="C606" s="0" t="str">
        <f aca="false">IFERROR(INDEX(Calc!$N$2:$N$1001,MATCH(ROW()-1,Calc!$X$2:$X$1001,0)),"")</f>
        <v/>
      </c>
      <c r="D606" s="3" t="str">
        <f aca="false">IFERROR(INDEX(Calc!$O$2:$O$1001,MATCH(ROW()-1,Calc!$X$2:$X$1001,0)),"")</f>
        <v/>
      </c>
      <c r="E606" s="3" t="str">
        <f aca="false">IFERROR(INDEX(Calc!$P$2:$P$1001,MATCH(ROW()-1,Calc!$X$2:$X$1001,0)),"")</f>
        <v/>
      </c>
      <c r="F606" s="3" t="str">
        <f aca="false">IF(G606="","",E606-D606)</f>
        <v/>
      </c>
      <c r="G606" s="0" t="str">
        <f aca="false">IFERROR(INDEX(Calc!$S$2:$S$1001,MATCH(ROW()-1,Calc!$X$2:$X$1001,0)),"")</f>
        <v/>
      </c>
    </row>
    <row r="607" customFormat="false" ht="15" hidden="false" customHeight="false" outlineLevel="0" collapsed="false">
      <c r="A607" s="0" t="str">
        <f aca="false">IFERROR(INDEX(Calc!$L$2:$L$1001,MATCH(ROW()-1,Calc!$X$2:$X$1001,0)),"")</f>
        <v/>
      </c>
      <c r="B607" s="0" t="str">
        <f aca="false">IFERROR(INDEX(Calc!$M$2:$M$1001,MATCH(ROW()-1,Calc!$X$2:$X$1001,0)),"")</f>
        <v/>
      </c>
      <c r="C607" s="0" t="str">
        <f aca="false">IFERROR(INDEX(Calc!$N$2:$N$1001,MATCH(ROW()-1,Calc!$X$2:$X$1001,0)),"")</f>
        <v/>
      </c>
      <c r="D607" s="3" t="str">
        <f aca="false">IFERROR(INDEX(Calc!$O$2:$O$1001,MATCH(ROW()-1,Calc!$X$2:$X$1001,0)),"")</f>
        <v/>
      </c>
      <c r="E607" s="3" t="str">
        <f aca="false">IFERROR(INDEX(Calc!$P$2:$P$1001,MATCH(ROW()-1,Calc!$X$2:$X$1001,0)),"")</f>
        <v/>
      </c>
      <c r="F607" s="3" t="str">
        <f aca="false">IF(G607="","",E607-D607)</f>
        <v/>
      </c>
      <c r="G607" s="0" t="str">
        <f aca="false">IFERROR(INDEX(Calc!$S$2:$S$1001,MATCH(ROW()-1,Calc!$X$2:$X$1001,0)),"")</f>
        <v/>
      </c>
    </row>
    <row r="608" customFormat="false" ht="15" hidden="false" customHeight="false" outlineLevel="0" collapsed="false">
      <c r="A608" s="0" t="str">
        <f aca="false">IFERROR(INDEX(Calc!$L$2:$L$1001,MATCH(ROW()-1,Calc!$X$2:$X$1001,0)),"")</f>
        <v/>
      </c>
      <c r="B608" s="0" t="str">
        <f aca="false">IFERROR(INDEX(Calc!$M$2:$M$1001,MATCH(ROW()-1,Calc!$X$2:$X$1001,0)),"")</f>
        <v/>
      </c>
      <c r="C608" s="0" t="str">
        <f aca="false">IFERROR(INDEX(Calc!$N$2:$N$1001,MATCH(ROW()-1,Calc!$X$2:$X$1001,0)),"")</f>
        <v/>
      </c>
      <c r="D608" s="3" t="str">
        <f aca="false">IFERROR(INDEX(Calc!$O$2:$O$1001,MATCH(ROW()-1,Calc!$X$2:$X$1001,0)),"")</f>
        <v/>
      </c>
      <c r="E608" s="3" t="str">
        <f aca="false">IFERROR(INDEX(Calc!$P$2:$P$1001,MATCH(ROW()-1,Calc!$X$2:$X$1001,0)),"")</f>
        <v/>
      </c>
      <c r="F608" s="3" t="str">
        <f aca="false">IF(G608="","",E608-D608)</f>
        <v/>
      </c>
      <c r="G608" s="0" t="str">
        <f aca="false">IFERROR(INDEX(Calc!$S$2:$S$1001,MATCH(ROW()-1,Calc!$X$2:$X$1001,0)),"")</f>
        <v/>
      </c>
    </row>
    <row r="609" customFormat="false" ht="15" hidden="false" customHeight="false" outlineLevel="0" collapsed="false">
      <c r="A609" s="0" t="str">
        <f aca="false">IFERROR(INDEX(Calc!$L$2:$L$1001,MATCH(ROW()-1,Calc!$X$2:$X$1001,0)),"")</f>
        <v/>
      </c>
      <c r="B609" s="0" t="str">
        <f aca="false">IFERROR(INDEX(Calc!$M$2:$M$1001,MATCH(ROW()-1,Calc!$X$2:$X$1001,0)),"")</f>
        <v/>
      </c>
      <c r="C609" s="0" t="str">
        <f aca="false">IFERROR(INDEX(Calc!$N$2:$N$1001,MATCH(ROW()-1,Calc!$X$2:$X$1001,0)),"")</f>
        <v/>
      </c>
      <c r="D609" s="3" t="str">
        <f aca="false">IFERROR(INDEX(Calc!$O$2:$O$1001,MATCH(ROW()-1,Calc!$X$2:$X$1001,0)),"")</f>
        <v/>
      </c>
      <c r="E609" s="3" t="str">
        <f aca="false">IFERROR(INDEX(Calc!$P$2:$P$1001,MATCH(ROW()-1,Calc!$X$2:$X$1001,0)),"")</f>
        <v/>
      </c>
      <c r="F609" s="3" t="str">
        <f aca="false">IF(G609="","",E609-D609)</f>
        <v/>
      </c>
      <c r="G609" s="0" t="str">
        <f aca="false">IFERROR(INDEX(Calc!$S$2:$S$1001,MATCH(ROW()-1,Calc!$X$2:$X$1001,0)),"")</f>
        <v/>
      </c>
    </row>
    <row r="610" customFormat="false" ht="15" hidden="false" customHeight="false" outlineLevel="0" collapsed="false">
      <c r="A610" s="0" t="str">
        <f aca="false">IFERROR(INDEX(Calc!$L$2:$L$1001,MATCH(ROW()-1,Calc!$X$2:$X$1001,0)),"")</f>
        <v/>
      </c>
      <c r="B610" s="0" t="str">
        <f aca="false">IFERROR(INDEX(Calc!$M$2:$M$1001,MATCH(ROW()-1,Calc!$X$2:$X$1001,0)),"")</f>
        <v/>
      </c>
      <c r="C610" s="0" t="str">
        <f aca="false">IFERROR(INDEX(Calc!$N$2:$N$1001,MATCH(ROW()-1,Calc!$X$2:$X$1001,0)),"")</f>
        <v/>
      </c>
      <c r="D610" s="3" t="str">
        <f aca="false">IFERROR(INDEX(Calc!$O$2:$O$1001,MATCH(ROW()-1,Calc!$X$2:$X$1001,0)),"")</f>
        <v/>
      </c>
      <c r="E610" s="3" t="str">
        <f aca="false">IFERROR(INDEX(Calc!$P$2:$P$1001,MATCH(ROW()-1,Calc!$X$2:$X$1001,0)),"")</f>
        <v/>
      </c>
      <c r="F610" s="3" t="str">
        <f aca="false">IF(G610="","",E610-D610)</f>
        <v/>
      </c>
      <c r="G610" s="0" t="str">
        <f aca="false">IFERROR(INDEX(Calc!$S$2:$S$1001,MATCH(ROW()-1,Calc!$X$2:$X$1001,0)),"")</f>
        <v/>
      </c>
    </row>
    <row r="611" customFormat="false" ht="15" hidden="false" customHeight="false" outlineLevel="0" collapsed="false">
      <c r="A611" s="0" t="str">
        <f aca="false">IFERROR(INDEX(Calc!$L$2:$L$1001,MATCH(ROW()-1,Calc!$X$2:$X$1001,0)),"")</f>
        <v/>
      </c>
      <c r="B611" s="0" t="str">
        <f aca="false">IFERROR(INDEX(Calc!$M$2:$M$1001,MATCH(ROW()-1,Calc!$X$2:$X$1001,0)),"")</f>
        <v/>
      </c>
      <c r="C611" s="0" t="str">
        <f aca="false">IFERROR(INDEX(Calc!$N$2:$N$1001,MATCH(ROW()-1,Calc!$X$2:$X$1001,0)),"")</f>
        <v/>
      </c>
      <c r="D611" s="3" t="str">
        <f aca="false">IFERROR(INDEX(Calc!$O$2:$O$1001,MATCH(ROW()-1,Calc!$X$2:$X$1001,0)),"")</f>
        <v/>
      </c>
      <c r="E611" s="3" t="str">
        <f aca="false">IFERROR(INDEX(Calc!$P$2:$P$1001,MATCH(ROW()-1,Calc!$X$2:$X$1001,0)),"")</f>
        <v/>
      </c>
      <c r="F611" s="3" t="str">
        <f aca="false">IF(G611="","",E611-D611)</f>
        <v/>
      </c>
      <c r="G611" s="0" t="str">
        <f aca="false">IFERROR(INDEX(Calc!$S$2:$S$1001,MATCH(ROW()-1,Calc!$X$2:$X$1001,0)),"")</f>
        <v/>
      </c>
    </row>
    <row r="612" customFormat="false" ht="15" hidden="false" customHeight="false" outlineLevel="0" collapsed="false">
      <c r="A612" s="0" t="str">
        <f aca="false">IFERROR(INDEX(Calc!$L$2:$L$1001,MATCH(ROW()-1,Calc!$X$2:$X$1001,0)),"")</f>
        <v/>
      </c>
      <c r="B612" s="0" t="str">
        <f aca="false">IFERROR(INDEX(Calc!$M$2:$M$1001,MATCH(ROW()-1,Calc!$X$2:$X$1001,0)),"")</f>
        <v/>
      </c>
      <c r="C612" s="0" t="str">
        <f aca="false">IFERROR(INDEX(Calc!$N$2:$N$1001,MATCH(ROW()-1,Calc!$X$2:$X$1001,0)),"")</f>
        <v/>
      </c>
      <c r="D612" s="3" t="str">
        <f aca="false">IFERROR(INDEX(Calc!$O$2:$O$1001,MATCH(ROW()-1,Calc!$X$2:$X$1001,0)),"")</f>
        <v/>
      </c>
      <c r="E612" s="3" t="str">
        <f aca="false">IFERROR(INDEX(Calc!$P$2:$P$1001,MATCH(ROW()-1,Calc!$X$2:$X$1001,0)),"")</f>
        <v/>
      </c>
      <c r="F612" s="3" t="str">
        <f aca="false">IF(G612="","",E612-D612)</f>
        <v/>
      </c>
      <c r="G612" s="0" t="str">
        <f aca="false">IFERROR(INDEX(Calc!$S$2:$S$1001,MATCH(ROW()-1,Calc!$X$2:$X$1001,0)),"")</f>
        <v/>
      </c>
    </row>
    <row r="613" customFormat="false" ht="15" hidden="false" customHeight="false" outlineLevel="0" collapsed="false">
      <c r="A613" s="0" t="str">
        <f aca="false">IFERROR(INDEX(Calc!$L$2:$L$1001,MATCH(ROW()-1,Calc!$X$2:$X$1001,0)),"")</f>
        <v/>
      </c>
      <c r="B613" s="0" t="str">
        <f aca="false">IFERROR(INDEX(Calc!$M$2:$M$1001,MATCH(ROW()-1,Calc!$X$2:$X$1001,0)),"")</f>
        <v/>
      </c>
      <c r="C613" s="0" t="str">
        <f aca="false">IFERROR(INDEX(Calc!$N$2:$N$1001,MATCH(ROW()-1,Calc!$X$2:$X$1001,0)),"")</f>
        <v/>
      </c>
      <c r="D613" s="3" t="str">
        <f aca="false">IFERROR(INDEX(Calc!$O$2:$O$1001,MATCH(ROW()-1,Calc!$X$2:$X$1001,0)),"")</f>
        <v/>
      </c>
      <c r="E613" s="3" t="str">
        <f aca="false">IFERROR(INDEX(Calc!$P$2:$P$1001,MATCH(ROW()-1,Calc!$X$2:$X$1001,0)),"")</f>
        <v/>
      </c>
      <c r="F613" s="3" t="str">
        <f aca="false">IF(G613="","",E613-D613)</f>
        <v/>
      </c>
      <c r="G613" s="0" t="str">
        <f aca="false">IFERROR(INDEX(Calc!$S$2:$S$1001,MATCH(ROW()-1,Calc!$X$2:$X$1001,0)),"")</f>
        <v/>
      </c>
    </row>
    <row r="614" customFormat="false" ht="15" hidden="false" customHeight="false" outlineLevel="0" collapsed="false">
      <c r="A614" s="0" t="str">
        <f aca="false">IFERROR(INDEX(Calc!$L$2:$L$1001,MATCH(ROW()-1,Calc!$X$2:$X$1001,0)),"")</f>
        <v/>
      </c>
      <c r="B614" s="0" t="str">
        <f aca="false">IFERROR(INDEX(Calc!$M$2:$M$1001,MATCH(ROW()-1,Calc!$X$2:$X$1001,0)),"")</f>
        <v/>
      </c>
      <c r="C614" s="0" t="str">
        <f aca="false">IFERROR(INDEX(Calc!$N$2:$N$1001,MATCH(ROW()-1,Calc!$X$2:$X$1001,0)),"")</f>
        <v/>
      </c>
      <c r="D614" s="3" t="str">
        <f aca="false">IFERROR(INDEX(Calc!$O$2:$O$1001,MATCH(ROW()-1,Calc!$X$2:$X$1001,0)),"")</f>
        <v/>
      </c>
      <c r="E614" s="3" t="str">
        <f aca="false">IFERROR(INDEX(Calc!$P$2:$P$1001,MATCH(ROW()-1,Calc!$X$2:$X$1001,0)),"")</f>
        <v/>
      </c>
      <c r="F614" s="3" t="str">
        <f aca="false">IF(G614="","",E614-D614)</f>
        <v/>
      </c>
      <c r="G614" s="0" t="str">
        <f aca="false">IFERROR(INDEX(Calc!$S$2:$S$1001,MATCH(ROW()-1,Calc!$X$2:$X$1001,0)),"")</f>
        <v/>
      </c>
    </row>
    <row r="615" customFormat="false" ht="15" hidden="false" customHeight="false" outlineLevel="0" collapsed="false">
      <c r="A615" s="0" t="str">
        <f aca="false">IFERROR(INDEX(Calc!$L$2:$L$1001,MATCH(ROW()-1,Calc!$X$2:$X$1001,0)),"")</f>
        <v/>
      </c>
      <c r="B615" s="0" t="str">
        <f aca="false">IFERROR(INDEX(Calc!$M$2:$M$1001,MATCH(ROW()-1,Calc!$X$2:$X$1001,0)),"")</f>
        <v/>
      </c>
      <c r="C615" s="0" t="str">
        <f aca="false">IFERROR(INDEX(Calc!$N$2:$N$1001,MATCH(ROW()-1,Calc!$X$2:$X$1001,0)),"")</f>
        <v/>
      </c>
      <c r="D615" s="3" t="str">
        <f aca="false">IFERROR(INDEX(Calc!$O$2:$O$1001,MATCH(ROW()-1,Calc!$X$2:$X$1001,0)),"")</f>
        <v/>
      </c>
      <c r="E615" s="3" t="str">
        <f aca="false">IFERROR(INDEX(Calc!$P$2:$P$1001,MATCH(ROW()-1,Calc!$X$2:$X$1001,0)),"")</f>
        <v/>
      </c>
      <c r="F615" s="3" t="str">
        <f aca="false">IF(G615="","",E615-D615)</f>
        <v/>
      </c>
      <c r="G615" s="0" t="str">
        <f aca="false">IFERROR(INDEX(Calc!$S$2:$S$1001,MATCH(ROW()-1,Calc!$X$2:$X$1001,0)),"")</f>
        <v/>
      </c>
    </row>
    <row r="616" customFormat="false" ht="15" hidden="false" customHeight="false" outlineLevel="0" collapsed="false">
      <c r="A616" s="0" t="str">
        <f aca="false">IFERROR(INDEX(Calc!$L$2:$L$1001,MATCH(ROW()-1,Calc!$X$2:$X$1001,0)),"")</f>
        <v/>
      </c>
      <c r="B616" s="0" t="str">
        <f aca="false">IFERROR(INDEX(Calc!$M$2:$M$1001,MATCH(ROW()-1,Calc!$X$2:$X$1001,0)),"")</f>
        <v/>
      </c>
      <c r="C616" s="0" t="str">
        <f aca="false">IFERROR(INDEX(Calc!$N$2:$N$1001,MATCH(ROW()-1,Calc!$X$2:$X$1001,0)),"")</f>
        <v/>
      </c>
      <c r="D616" s="3" t="str">
        <f aca="false">IFERROR(INDEX(Calc!$O$2:$O$1001,MATCH(ROW()-1,Calc!$X$2:$X$1001,0)),"")</f>
        <v/>
      </c>
      <c r="E616" s="3" t="str">
        <f aca="false">IFERROR(INDEX(Calc!$P$2:$P$1001,MATCH(ROW()-1,Calc!$X$2:$X$1001,0)),"")</f>
        <v/>
      </c>
      <c r="F616" s="3" t="str">
        <f aca="false">IF(G616="","",E616-D616)</f>
        <v/>
      </c>
      <c r="G616" s="0" t="str">
        <f aca="false">IFERROR(INDEX(Calc!$S$2:$S$1001,MATCH(ROW()-1,Calc!$X$2:$X$1001,0)),"")</f>
        <v/>
      </c>
    </row>
    <row r="617" customFormat="false" ht="15" hidden="false" customHeight="false" outlineLevel="0" collapsed="false">
      <c r="A617" s="0" t="str">
        <f aca="false">IFERROR(INDEX(Calc!$L$2:$L$1001,MATCH(ROW()-1,Calc!$X$2:$X$1001,0)),"")</f>
        <v/>
      </c>
      <c r="B617" s="0" t="str">
        <f aca="false">IFERROR(INDEX(Calc!$M$2:$M$1001,MATCH(ROW()-1,Calc!$X$2:$X$1001,0)),"")</f>
        <v/>
      </c>
      <c r="C617" s="0" t="str">
        <f aca="false">IFERROR(INDEX(Calc!$N$2:$N$1001,MATCH(ROW()-1,Calc!$X$2:$X$1001,0)),"")</f>
        <v/>
      </c>
      <c r="D617" s="3" t="str">
        <f aca="false">IFERROR(INDEX(Calc!$O$2:$O$1001,MATCH(ROW()-1,Calc!$X$2:$X$1001,0)),"")</f>
        <v/>
      </c>
      <c r="E617" s="3" t="str">
        <f aca="false">IFERROR(INDEX(Calc!$P$2:$P$1001,MATCH(ROW()-1,Calc!$X$2:$X$1001,0)),"")</f>
        <v/>
      </c>
      <c r="F617" s="3" t="str">
        <f aca="false">IF(G617="","",E617-D617)</f>
        <v/>
      </c>
      <c r="G617" s="0" t="str">
        <f aca="false">IFERROR(INDEX(Calc!$S$2:$S$1001,MATCH(ROW()-1,Calc!$X$2:$X$1001,0)),"")</f>
        <v/>
      </c>
    </row>
    <row r="618" customFormat="false" ht="15" hidden="false" customHeight="false" outlineLevel="0" collapsed="false">
      <c r="A618" s="0" t="str">
        <f aca="false">IFERROR(INDEX(Calc!$L$2:$L$1001,MATCH(ROW()-1,Calc!$X$2:$X$1001,0)),"")</f>
        <v/>
      </c>
      <c r="B618" s="0" t="str">
        <f aca="false">IFERROR(INDEX(Calc!$M$2:$M$1001,MATCH(ROW()-1,Calc!$X$2:$X$1001,0)),"")</f>
        <v/>
      </c>
      <c r="C618" s="0" t="str">
        <f aca="false">IFERROR(INDEX(Calc!$N$2:$N$1001,MATCH(ROW()-1,Calc!$X$2:$X$1001,0)),"")</f>
        <v/>
      </c>
      <c r="D618" s="3" t="str">
        <f aca="false">IFERROR(INDEX(Calc!$O$2:$O$1001,MATCH(ROW()-1,Calc!$X$2:$X$1001,0)),"")</f>
        <v/>
      </c>
      <c r="E618" s="3" t="str">
        <f aca="false">IFERROR(INDEX(Calc!$P$2:$P$1001,MATCH(ROW()-1,Calc!$X$2:$X$1001,0)),"")</f>
        <v/>
      </c>
      <c r="F618" s="3" t="str">
        <f aca="false">IF(G618="","",E618-D618)</f>
        <v/>
      </c>
      <c r="G618" s="0" t="str">
        <f aca="false">IFERROR(INDEX(Calc!$S$2:$S$1001,MATCH(ROW()-1,Calc!$X$2:$X$1001,0)),"")</f>
        <v/>
      </c>
    </row>
    <row r="619" customFormat="false" ht="15" hidden="false" customHeight="false" outlineLevel="0" collapsed="false">
      <c r="A619" s="0" t="str">
        <f aca="false">IFERROR(INDEX(Calc!$L$2:$L$1001,MATCH(ROW()-1,Calc!$X$2:$X$1001,0)),"")</f>
        <v/>
      </c>
      <c r="B619" s="0" t="str">
        <f aca="false">IFERROR(INDEX(Calc!$M$2:$M$1001,MATCH(ROW()-1,Calc!$X$2:$X$1001,0)),"")</f>
        <v/>
      </c>
      <c r="C619" s="0" t="str">
        <f aca="false">IFERROR(INDEX(Calc!$N$2:$N$1001,MATCH(ROW()-1,Calc!$X$2:$X$1001,0)),"")</f>
        <v/>
      </c>
      <c r="D619" s="3" t="str">
        <f aca="false">IFERROR(INDEX(Calc!$O$2:$O$1001,MATCH(ROW()-1,Calc!$X$2:$X$1001,0)),"")</f>
        <v/>
      </c>
      <c r="E619" s="3" t="str">
        <f aca="false">IFERROR(INDEX(Calc!$P$2:$P$1001,MATCH(ROW()-1,Calc!$X$2:$X$1001,0)),"")</f>
        <v/>
      </c>
      <c r="F619" s="3" t="str">
        <f aca="false">IF(G619="","",E619-D619)</f>
        <v/>
      </c>
      <c r="G619" s="0" t="str">
        <f aca="false">IFERROR(INDEX(Calc!$S$2:$S$1001,MATCH(ROW()-1,Calc!$X$2:$X$1001,0)),"")</f>
        <v/>
      </c>
    </row>
    <row r="620" customFormat="false" ht="15" hidden="false" customHeight="false" outlineLevel="0" collapsed="false">
      <c r="A620" s="0" t="str">
        <f aca="false">IFERROR(INDEX(Calc!$L$2:$L$1001,MATCH(ROW()-1,Calc!$X$2:$X$1001,0)),"")</f>
        <v/>
      </c>
      <c r="B620" s="0" t="str">
        <f aca="false">IFERROR(INDEX(Calc!$M$2:$M$1001,MATCH(ROW()-1,Calc!$X$2:$X$1001,0)),"")</f>
        <v/>
      </c>
      <c r="C620" s="0" t="str">
        <f aca="false">IFERROR(INDEX(Calc!$N$2:$N$1001,MATCH(ROW()-1,Calc!$X$2:$X$1001,0)),"")</f>
        <v/>
      </c>
      <c r="D620" s="3" t="str">
        <f aca="false">IFERROR(INDEX(Calc!$O$2:$O$1001,MATCH(ROW()-1,Calc!$X$2:$X$1001,0)),"")</f>
        <v/>
      </c>
      <c r="E620" s="3" t="str">
        <f aca="false">IFERROR(INDEX(Calc!$P$2:$P$1001,MATCH(ROW()-1,Calc!$X$2:$X$1001,0)),"")</f>
        <v/>
      </c>
      <c r="F620" s="3" t="str">
        <f aca="false">IF(G620="","",E620-D620)</f>
        <v/>
      </c>
      <c r="G620" s="0" t="str">
        <f aca="false">IFERROR(INDEX(Calc!$S$2:$S$1001,MATCH(ROW()-1,Calc!$X$2:$X$1001,0)),"")</f>
        <v/>
      </c>
    </row>
    <row r="621" customFormat="false" ht="15" hidden="false" customHeight="false" outlineLevel="0" collapsed="false">
      <c r="A621" s="0" t="str">
        <f aca="false">IFERROR(INDEX(Calc!$L$2:$L$1001,MATCH(ROW()-1,Calc!$X$2:$X$1001,0)),"")</f>
        <v/>
      </c>
      <c r="B621" s="0" t="str">
        <f aca="false">IFERROR(INDEX(Calc!$M$2:$M$1001,MATCH(ROW()-1,Calc!$X$2:$X$1001,0)),"")</f>
        <v/>
      </c>
      <c r="C621" s="0" t="str">
        <f aca="false">IFERROR(INDEX(Calc!$N$2:$N$1001,MATCH(ROW()-1,Calc!$X$2:$X$1001,0)),"")</f>
        <v/>
      </c>
      <c r="D621" s="3" t="str">
        <f aca="false">IFERROR(INDEX(Calc!$O$2:$O$1001,MATCH(ROW()-1,Calc!$X$2:$X$1001,0)),"")</f>
        <v/>
      </c>
      <c r="E621" s="3" t="str">
        <f aca="false">IFERROR(INDEX(Calc!$P$2:$P$1001,MATCH(ROW()-1,Calc!$X$2:$X$1001,0)),"")</f>
        <v/>
      </c>
      <c r="F621" s="3" t="str">
        <f aca="false">IF(G621="","",E621-D621)</f>
        <v/>
      </c>
      <c r="G621" s="0" t="str">
        <f aca="false">IFERROR(INDEX(Calc!$S$2:$S$1001,MATCH(ROW()-1,Calc!$X$2:$X$1001,0)),"")</f>
        <v/>
      </c>
    </row>
    <row r="622" customFormat="false" ht="15" hidden="false" customHeight="false" outlineLevel="0" collapsed="false">
      <c r="A622" s="0" t="str">
        <f aca="false">IFERROR(INDEX(Calc!$L$2:$L$1001,MATCH(ROW()-1,Calc!$X$2:$X$1001,0)),"")</f>
        <v/>
      </c>
      <c r="B622" s="0" t="str">
        <f aca="false">IFERROR(INDEX(Calc!$M$2:$M$1001,MATCH(ROW()-1,Calc!$X$2:$X$1001,0)),"")</f>
        <v/>
      </c>
      <c r="C622" s="0" t="str">
        <f aca="false">IFERROR(INDEX(Calc!$N$2:$N$1001,MATCH(ROW()-1,Calc!$X$2:$X$1001,0)),"")</f>
        <v/>
      </c>
      <c r="D622" s="3" t="str">
        <f aca="false">IFERROR(INDEX(Calc!$O$2:$O$1001,MATCH(ROW()-1,Calc!$X$2:$X$1001,0)),"")</f>
        <v/>
      </c>
      <c r="E622" s="3" t="str">
        <f aca="false">IFERROR(INDEX(Calc!$P$2:$P$1001,MATCH(ROW()-1,Calc!$X$2:$X$1001,0)),"")</f>
        <v/>
      </c>
      <c r="F622" s="3" t="str">
        <f aca="false">IF(G622="","",E622-D622)</f>
        <v/>
      </c>
      <c r="G622" s="0" t="str">
        <f aca="false">IFERROR(INDEX(Calc!$S$2:$S$1001,MATCH(ROW()-1,Calc!$X$2:$X$1001,0)),"")</f>
        <v/>
      </c>
    </row>
    <row r="623" customFormat="false" ht="15" hidden="false" customHeight="false" outlineLevel="0" collapsed="false">
      <c r="A623" s="0" t="str">
        <f aca="false">IFERROR(INDEX(Calc!$L$2:$L$1001,MATCH(ROW()-1,Calc!$X$2:$X$1001,0)),"")</f>
        <v/>
      </c>
      <c r="B623" s="0" t="str">
        <f aca="false">IFERROR(INDEX(Calc!$M$2:$M$1001,MATCH(ROW()-1,Calc!$X$2:$X$1001,0)),"")</f>
        <v/>
      </c>
      <c r="C623" s="0" t="str">
        <f aca="false">IFERROR(INDEX(Calc!$N$2:$N$1001,MATCH(ROW()-1,Calc!$X$2:$X$1001,0)),"")</f>
        <v/>
      </c>
      <c r="D623" s="3" t="str">
        <f aca="false">IFERROR(INDEX(Calc!$O$2:$O$1001,MATCH(ROW()-1,Calc!$X$2:$X$1001,0)),"")</f>
        <v/>
      </c>
      <c r="E623" s="3" t="str">
        <f aca="false">IFERROR(INDEX(Calc!$P$2:$P$1001,MATCH(ROW()-1,Calc!$X$2:$X$1001,0)),"")</f>
        <v/>
      </c>
      <c r="F623" s="3" t="str">
        <f aca="false">IF(G623="","",E623-D623)</f>
        <v/>
      </c>
      <c r="G623" s="0" t="str">
        <f aca="false">IFERROR(INDEX(Calc!$S$2:$S$1001,MATCH(ROW()-1,Calc!$X$2:$X$1001,0)),"")</f>
        <v/>
      </c>
    </row>
    <row r="624" customFormat="false" ht="15" hidden="false" customHeight="false" outlineLevel="0" collapsed="false">
      <c r="A624" s="0" t="str">
        <f aca="false">IFERROR(INDEX(Calc!$L$2:$L$1001,MATCH(ROW()-1,Calc!$X$2:$X$1001,0)),"")</f>
        <v/>
      </c>
      <c r="B624" s="0" t="str">
        <f aca="false">IFERROR(INDEX(Calc!$M$2:$M$1001,MATCH(ROW()-1,Calc!$X$2:$X$1001,0)),"")</f>
        <v/>
      </c>
      <c r="C624" s="0" t="str">
        <f aca="false">IFERROR(INDEX(Calc!$N$2:$N$1001,MATCH(ROW()-1,Calc!$X$2:$X$1001,0)),"")</f>
        <v/>
      </c>
      <c r="D624" s="3" t="str">
        <f aca="false">IFERROR(INDEX(Calc!$O$2:$O$1001,MATCH(ROW()-1,Calc!$X$2:$X$1001,0)),"")</f>
        <v/>
      </c>
      <c r="E624" s="3" t="str">
        <f aca="false">IFERROR(INDEX(Calc!$P$2:$P$1001,MATCH(ROW()-1,Calc!$X$2:$X$1001,0)),"")</f>
        <v/>
      </c>
      <c r="F624" s="3" t="str">
        <f aca="false">IF(G624="","",E624-D624)</f>
        <v/>
      </c>
      <c r="G624" s="0" t="str">
        <f aca="false">IFERROR(INDEX(Calc!$S$2:$S$1001,MATCH(ROW()-1,Calc!$X$2:$X$1001,0)),"")</f>
        <v/>
      </c>
    </row>
    <row r="625" customFormat="false" ht="15" hidden="false" customHeight="false" outlineLevel="0" collapsed="false">
      <c r="A625" s="0" t="str">
        <f aca="false">IFERROR(INDEX(Calc!$L$2:$L$1001,MATCH(ROW()-1,Calc!$X$2:$X$1001,0)),"")</f>
        <v/>
      </c>
      <c r="B625" s="0" t="str">
        <f aca="false">IFERROR(INDEX(Calc!$M$2:$M$1001,MATCH(ROW()-1,Calc!$X$2:$X$1001,0)),"")</f>
        <v/>
      </c>
      <c r="C625" s="0" t="str">
        <f aca="false">IFERROR(INDEX(Calc!$N$2:$N$1001,MATCH(ROW()-1,Calc!$X$2:$X$1001,0)),"")</f>
        <v/>
      </c>
      <c r="D625" s="3" t="str">
        <f aca="false">IFERROR(INDEX(Calc!$O$2:$O$1001,MATCH(ROW()-1,Calc!$X$2:$X$1001,0)),"")</f>
        <v/>
      </c>
      <c r="E625" s="3" t="str">
        <f aca="false">IFERROR(INDEX(Calc!$P$2:$P$1001,MATCH(ROW()-1,Calc!$X$2:$X$1001,0)),"")</f>
        <v/>
      </c>
      <c r="F625" s="3" t="str">
        <f aca="false">IF(G625="","",E625-D625)</f>
        <v/>
      </c>
      <c r="G625" s="0" t="str">
        <f aca="false">IFERROR(INDEX(Calc!$S$2:$S$1001,MATCH(ROW()-1,Calc!$X$2:$X$1001,0)),"")</f>
        <v/>
      </c>
    </row>
    <row r="626" customFormat="false" ht="15" hidden="false" customHeight="false" outlineLevel="0" collapsed="false">
      <c r="A626" s="0" t="str">
        <f aca="false">IFERROR(INDEX(Calc!$L$2:$L$1001,MATCH(ROW()-1,Calc!$X$2:$X$1001,0)),"")</f>
        <v/>
      </c>
      <c r="B626" s="0" t="str">
        <f aca="false">IFERROR(INDEX(Calc!$M$2:$M$1001,MATCH(ROW()-1,Calc!$X$2:$X$1001,0)),"")</f>
        <v/>
      </c>
      <c r="C626" s="0" t="str">
        <f aca="false">IFERROR(INDEX(Calc!$N$2:$N$1001,MATCH(ROW()-1,Calc!$X$2:$X$1001,0)),"")</f>
        <v/>
      </c>
      <c r="D626" s="3" t="str">
        <f aca="false">IFERROR(INDEX(Calc!$O$2:$O$1001,MATCH(ROW()-1,Calc!$X$2:$X$1001,0)),"")</f>
        <v/>
      </c>
      <c r="E626" s="3" t="str">
        <f aca="false">IFERROR(INDEX(Calc!$P$2:$P$1001,MATCH(ROW()-1,Calc!$X$2:$X$1001,0)),"")</f>
        <v/>
      </c>
      <c r="F626" s="3" t="str">
        <f aca="false">IF(G626="","",E626-D626)</f>
        <v/>
      </c>
      <c r="G626" s="0" t="str">
        <f aca="false">IFERROR(INDEX(Calc!$S$2:$S$1001,MATCH(ROW()-1,Calc!$X$2:$X$1001,0)),"")</f>
        <v/>
      </c>
    </row>
    <row r="627" customFormat="false" ht="15" hidden="false" customHeight="false" outlineLevel="0" collapsed="false">
      <c r="A627" s="0" t="str">
        <f aca="false">IFERROR(INDEX(Calc!$L$2:$L$1001,MATCH(ROW()-1,Calc!$X$2:$X$1001,0)),"")</f>
        <v/>
      </c>
      <c r="B627" s="0" t="str">
        <f aca="false">IFERROR(INDEX(Calc!$M$2:$M$1001,MATCH(ROW()-1,Calc!$X$2:$X$1001,0)),"")</f>
        <v/>
      </c>
      <c r="C627" s="0" t="str">
        <f aca="false">IFERROR(INDEX(Calc!$N$2:$N$1001,MATCH(ROW()-1,Calc!$X$2:$X$1001,0)),"")</f>
        <v/>
      </c>
      <c r="D627" s="3" t="str">
        <f aca="false">IFERROR(INDEX(Calc!$O$2:$O$1001,MATCH(ROW()-1,Calc!$X$2:$X$1001,0)),"")</f>
        <v/>
      </c>
      <c r="E627" s="3" t="str">
        <f aca="false">IFERROR(INDEX(Calc!$P$2:$P$1001,MATCH(ROW()-1,Calc!$X$2:$X$1001,0)),"")</f>
        <v/>
      </c>
      <c r="F627" s="3" t="str">
        <f aca="false">IF(G627="","",E627-D627)</f>
        <v/>
      </c>
      <c r="G627" s="0" t="str">
        <f aca="false">IFERROR(INDEX(Calc!$S$2:$S$1001,MATCH(ROW()-1,Calc!$X$2:$X$1001,0)),"")</f>
        <v/>
      </c>
    </row>
    <row r="628" customFormat="false" ht="15" hidden="false" customHeight="false" outlineLevel="0" collapsed="false">
      <c r="A628" s="0" t="str">
        <f aca="false">IFERROR(INDEX(Calc!$L$2:$L$1001,MATCH(ROW()-1,Calc!$X$2:$X$1001,0)),"")</f>
        <v/>
      </c>
      <c r="B628" s="0" t="str">
        <f aca="false">IFERROR(INDEX(Calc!$M$2:$M$1001,MATCH(ROW()-1,Calc!$X$2:$X$1001,0)),"")</f>
        <v/>
      </c>
      <c r="C628" s="0" t="str">
        <f aca="false">IFERROR(INDEX(Calc!$N$2:$N$1001,MATCH(ROW()-1,Calc!$X$2:$X$1001,0)),"")</f>
        <v/>
      </c>
      <c r="D628" s="3" t="str">
        <f aca="false">IFERROR(INDEX(Calc!$O$2:$O$1001,MATCH(ROW()-1,Calc!$X$2:$X$1001,0)),"")</f>
        <v/>
      </c>
      <c r="E628" s="3" t="str">
        <f aca="false">IFERROR(INDEX(Calc!$P$2:$P$1001,MATCH(ROW()-1,Calc!$X$2:$X$1001,0)),"")</f>
        <v/>
      </c>
      <c r="F628" s="3" t="str">
        <f aca="false">IF(G628="","",E628-D628)</f>
        <v/>
      </c>
      <c r="G628" s="0" t="str">
        <f aca="false">IFERROR(INDEX(Calc!$S$2:$S$1001,MATCH(ROW()-1,Calc!$X$2:$X$1001,0)),"")</f>
        <v/>
      </c>
    </row>
    <row r="629" customFormat="false" ht="15" hidden="false" customHeight="false" outlineLevel="0" collapsed="false">
      <c r="A629" s="0" t="str">
        <f aca="false">IFERROR(INDEX(Calc!$L$2:$L$1001,MATCH(ROW()-1,Calc!$X$2:$X$1001,0)),"")</f>
        <v/>
      </c>
      <c r="B629" s="0" t="str">
        <f aca="false">IFERROR(INDEX(Calc!$M$2:$M$1001,MATCH(ROW()-1,Calc!$X$2:$X$1001,0)),"")</f>
        <v/>
      </c>
      <c r="C629" s="0" t="str">
        <f aca="false">IFERROR(INDEX(Calc!$N$2:$N$1001,MATCH(ROW()-1,Calc!$X$2:$X$1001,0)),"")</f>
        <v/>
      </c>
      <c r="D629" s="3" t="str">
        <f aca="false">IFERROR(INDEX(Calc!$O$2:$O$1001,MATCH(ROW()-1,Calc!$X$2:$X$1001,0)),"")</f>
        <v/>
      </c>
      <c r="E629" s="3" t="str">
        <f aca="false">IFERROR(INDEX(Calc!$P$2:$P$1001,MATCH(ROW()-1,Calc!$X$2:$X$1001,0)),"")</f>
        <v/>
      </c>
      <c r="F629" s="3" t="str">
        <f aca="false">IF(G629="","",E629-D629)</f>
        <v/>
      </c>
      <c r="G629" s="0" t="str">
        <f aca="false">IFERROR(INDEX(Calc!$S$2:$S$1001,MATCH(ROW()-1,Calc!$X$2:$X$1001,0)),"")</f>
        <v/>
      </c>
    </row>
    <row r="630" customFormat="false" ht="15" hidden="false" customHeight="false" outlineLevel="0" collapsed="false">
      <c r="A630" s="0" t="str">
        <f aca="false">IFERROR(INDEX(Calc!$L$2:$L$1001,MATCH(ROW()-1,Calc!$X$2:$X$1001,0)),"")</f>
        <v/>
      </c>
      <c r="B630" s="0" t="str">
        <f aca="false">IFERROR(INDEX(Calc!$M$2:$M$1001,MATCH(ROW()-1,Calc!$X$2:$X$1001,0)),"")</f>
        <v/>
      </c>
      <c r="C630" s="0" t="str">
        <f aca="false">IFERROR(INDEX(Calc!$N$2:$N$1001,MATCH(ROW()-1,Calc!$X$2:$X$1001,0)),"")</f>
        <v/>
      </c>
      <c r="D630" s="3" t="str">
        <f aca="false">IFERROR(INDEX(Calc!$O$2:$O$1001,MATCH(ROW()-1,Calc!$X$2:$X$1001,0)),"")</f>
        <v/>
      </c>
      <c r="E630" s="3" t="str">
        <f aca="false">IFERROR(INDEX(Calc!$P$2:$P$1001,MATCH(ROW()-1,Calc!$X$2:$X$1001,0)),"")</f>
        <v/>
      </c>
      <c r="F630" s="3" t="str">
        <f aca="false">IF(G630="","",E630-D630)</f>
        <v/>
      </c>
      <c r="G630" s="0" t="str">
        <f aca="false">IFERROR(INDEX(Calc!$S$2:$S$1001,MATCH(ROW()-1,Calc!$X$2:$X$1001,0)),"")</f>
        <v/>
      </c>
    </row>
    <row r="631" customFormat="false" ht="15" hidden="false" customHeight="false" outlineLevel="0" collapsed="false">
      <c r="A631" s="0" t="str">
        <f aca="false">IFERROR(INDEX(Calc!$L$2:$L$1001,MATCH(ROW()-1,Calc!$X$2:$X$1001,0)),"")</f>
        <v/>
      </c>
      <c r="B631" s="0" t="str">
        <f aca="false">IFERROR(INDEX(Calc!$M$2:$M$1001,MATCH(ROW()-1,Calc!$X$2:$X$1001,0)),"")</f>
        <v/>
      </c>
      <c r="C631" s="0" t="str">
        <f aca="false">IFERROR(INDEX(Calc!$N$2:$N$1001,MATCH(ROW()-1,Calc!$X$2:$X$1001,0)),"")</f>
        <v/>
      </c>
      <c r="D631" s="3" t="str">
        <f aca="false">IFERROR(INDEX(Calc!$O$2:$O$1001,MATCH(ROW()-1,Calc!$X$2:$X$1001,0)),"")</f>
        <v/>
      </c>
      <c r="E631" s="3" t="str">
        <f aca="false">IFERROR(INDEX(Calc!$P$2:$P$1001,MATCH(ROW()-1,Calc!$X$2:$X$1001,0)),"")</f>
        <v/>
      </c>
      <c r="F631" s="3" t="str">
        <f aca="false">IF(G631="","",E631-D631)</f>
        <v/>
      </c>
      <c r="G631" s="0" t="str">
        <f aca="false">IFERROR(INDEX(Calc!$S$2:$S$1001,MATCH(ROW()-1,Calc!$X$2:$X$1001,0)),"")</f>
        <v/>
      </c>
    </row>
    <row r="632" customFormat="false" ht="15" hidden="false" customHeight="false" outlineLevel="0" collapsed="false">
      <c r="A632" s="0" t="str">
        <f aca="false">IFERROR(INDEX(Calc!$L$2:$L$1001,MATCH(ROW()-1,Calc!$X$2:$X$1001,0)),"")</f>
        <v/>
      </c>
      <c r="B632" s="0" t="str">
        <f aca="false">IFERROR(INDEX(Calc!$M$2:$M$1001,MATCH(ROW()-1,Calc!$X$2:$X$1001,0)),"")</f>
        <v/>
      </c>
      <c r="C632" s="0" t="str">
        <f aca="false">IFERROR(INDEX(Calc!$N$2:$N$1001,MATCH(ROW()-1,Calc!$X$2:$X$1001,0)),"")</f>
        <v/>
      </c>
      <c r="D632" s="3" t="str">
        <f aca="false">IFERROR(INDEX(Calc!$O$2:$O$1001,MATCH(ROW()-1,Calc!$X$2:$X$1001,0)),"")</f>
        <v/>
      </c>
      <c r="E632" s="3" t="str">
        <f aca="false">IFERROR(INDEX(Calc!$P$2:$P$1001,MATCH(ROW()-1,Calc!$X$2:$X$1001,0)),"")</f>
        <v/>
      </c>
      <c r="F632" s="3" t="str">
        <f aca="false">IF(G632="","",E632-D632)</f>
        <v/>
      </c>
      <c r="G632" s="0" t="str">
        <f aca="false">IFERROR(INDEX(Calc!$S$2:$S$1001,MATCH(ROW()-1,Calc!$X$2:$X$1001,0)),"")</f>
        <v/>
      </c>
    </row>
    <row r="633" customFormat="false" ht="15" hidden="false" customHeight="false" outlineLevel="0" collapsed="false">
      <c r="A633" s="0" t="str">
        <f aca="false">IFERROR(INDEX(Calc!$L$2:$L$1001,MATCH(ROW()-1,Calc!$X$2:$X$1001,0)),"")</f>
        <v/>
      </c>
      <c r="B633" s="0" t="str">
        <f aca="false">IFERROR(INDEX(Calc!$M$2:$M$1001,MATCH(ROW()-1,Calc!$X$2:$X$1001,0)),"")</f>
        <v/>
      </c>
      <c r="C633" s="0" t="str">
        <f aca="false">IFERROR(INDEX(Calc!$N$2:$N$1001,MATCH(ROW()-1,Calc!$X$2:$X$1001,0)),"")</f>
        <v/>
      </c>
      <c r="D633" s="3" t="str">
        <f aca="false">IFERROR(INDEX(Calc!$O$2:$O$1001,MATCH(ROW()-1,Calc!$X$2:$X$1001,0)),"")</f>
        <v/>
      </c>
      <c r="E633" s="3" t="str">
        <f aca="false">IFERROR(INDEX(Calc!$P$2:$P$1001,MATCH(ROW()-1,Calc!$X$2:$X$1001,0)),"")</f>
        <v/>
      </c>
      <c r="F633" s="3" t="str">
        <f aca="false">IF(G633="","",E633-D633)</f>
        <v/>
      </c>
      <c r="G633" s="0" t="str">
        <f aca="false">IFERROR(INDEX(Calc!$S$2:$S$1001,MATCH(ROW()-1,Calc!$X$2:$X$1001,0)),"")</f>
        <v/>
      </c>
    </row>
    <row r="634" customFormat="false" ht="15" hidden="false" customHeight="false" outlineLevel="0" collapsed="false">
      <c r="A634" s="0" t="str">
        <f aca="false">IFERROR(INDEX(Calc!$L$2:$L$1001,MATCH(ROW()-1,Calc!$X$2:$X$1001,0)),"")</f>
        <v/>
      </c>
      <c r="B634" s="0" t="str">
        <f aca="false">IFERROR(INDEX(Calc!$M$2:$M$1001,MATCH(ROW()-1,Calc!$X$2:$X$1001,0)),"")</f>
        <v/>
      </c>
      <c r="C634" s="0" t="str">
        <f aca="false">IFERROR(INDEX(Calc!$N$2:$N$1001,MATCH(ROW()-1,Calc!$X$2:$X$1001,0)),"")</f>
        <v/>
      </c>
      <c r="D634" s="3" t="str">
        <f aca="false">IFERROR(INDEX(Calc!$O$2:$O$1001,MATCH(ROW()-1,Calc!$X$2:$X$1001,0)),"")</f>
        <v/>
      </c>
      <c r="E634" s="3" t="str">
        <f aca="false">IFERROR(INDEX(Calc!$P$2:$P$1001,MATCH(ROW()-1,Calc!$X$2:$X$1001,0)),"")</f>
        <v/>
      </c>
      <c r="F634" s="3" t="str">
        <f aca="false">IF(G634="","",E634-D634)</f>
        <v/>
      </c>
      <c r="G634" s="0" t="str">
        <f aca="false">IFERROR(INDEX(Calc!$S$2:$S$1001,MATCH(ROW()-1,Calc!$X$2:$X$1001,0)),"")</f>
        <v/>
      </c>
    </row>
    <row r="635" customFormat="false" ht="15" hidden="false" customHeight="false" outlineLevel="0" collapsed="false">
      <c r="A635" s="0" t="str">
        <f aca="false">IFERROR(INDEX(Calc!$L$2:$L$1001,MATCH(ROW()-1,Calc!$X$2:$X$1001,0)),"")</f>
        <v/>
      </c>
      <c r="B635" s="0" t="str">
        <f aca="false">IFERROR(INDEX(Calc!$M$2:$M$1001,MATCH(ROW()-1,Calc!$X$2:$X$1001,0)),"")</f>
        <v/>
      </c>
      <c r="C635" s="0" t="str">
        <f aca="false">IFERROR(INDEX(Calc!$N$2:$N$1001,MATCH(ROW()-1,Calc!$X$2:$X$1001,0)),"")</f>
        <v/>
      </c>
      <c r="D635" s="3" t="str">
        <f aca="false">IFERROR(INDEX(Calc!$O$2:$O$1001,MATCH(ROW()-1,Calc!$X$2:$X$1001,0)),"")</f>
        <v/>
      </c>
      <c r="E635" s="3" t="str">
        <f aca="false">IFERROR(INDEX(Calc!$P$2:$P$1001,MATCH(ROW()-1,Calc!$X$2:$X$1001,0)),"")</f>
        <v/>
      </c>
      <c r="F635" s="3" t="str">
        <f aca="false">IF(G635="","",E635-D635)</f>
        <v/>
      </c>
      <c r="G635" s="0" t="str">
        <f aca="false">IFERROR(INDEX(Calc!$S$2:$S$1001,MATCH(ROW()-1,Calc!$X$2:$X$1001,0)),"")</f>
        <v/>
      </c>
    </row>
    <row r="636" customFormat="false" ht="15" hidden="false" customHeight="false" outlineLevel="0" collapsed="false">
      <c r="A636" s="0" t="str">
        <f aca="false">IFERROR(INDEX(Calc!$L$2:$L$1001,MATCH(ROW()-1,Calc!$X$2:$X$1001,0)),"")</f>
        <v/>
      </c>
      <c r="B636" s="0" t="str">
        <f aca="false">IFERROR(INDEX(Calc!$M$2:$M$1001,MATCH(ROW()-1,Calc!$X$2:$X$1001,0)),"")</f>
        <v/>
      </c>
      <c r="C636" s="0" t="str">
        <f aca="false">IFERROR(INDEX(Calc!$N$2:$N$1001,MATCH(ROW()-1,Calc!$X$2:$X$1001,0)),"")</f>
        <v/>
      </c>
      <c r="D636" s="3" t="str">
        <f aca="false">IFERROR(INDEX(Calc!$O$2:$O$1001,MATCH(ROW()-1,Calc!$X$2:$X$1001,0)),"")</f>
        <v/>
      </c>
      <c r="E636" s="3" t="str">
        <f aca="false">IFERROR(INDEX(Calc!$P$2:$P$1001,MATCH(ROW()-1,Calc!$X$2:$X$1001,0)),"")</f>
        <v/>
      </c>
      <c r="F636" s="3" t="str">
        <f aca="false">IF(G636="","",E636-D636)</f>
        <v/>
      </c>
      <c r="G636" s="0" t="str">
        <f aca="false">IFERROR(INDEX(Calc!$S$2:$S$1001,MATCH(ROW()-1,Calc!$X$2:$X$1001,0)),"")</f>
        <v/>
      </c>
    </row>
    <row r="637" customFormat="false" ht="15" hidden="false" customHeight="false" outlineLevel="0" collapsed="false">
      <c r="A637" s="0" t="str">
        <f aca="false">IFERROR(INDEX(Calc!$L$2:$L$1001,MATCH(ROW()-1,Calc!$X$2:$X$1001,0)),"")</f>
        <v/>
      </c>
      <c r="B637" s="0" t="str">
        <f aca="false">IFERROR(INDEX(Calc!$M$2:$M$1001,MATCH(ROW()-1,Calc!$X$2:$X$1001,0)),"")</f>
        <v/>
      </c>
      <c r="C637" s="0" t="str">
        <f aca="false">IFERROR(INDEX(Calc!$N$2:$N$1001,MATCH(ROW()-1,Calc!$X$2:$X$1001,0)),"")</f>
        <v/>
      </c>
      <c r="D637" s="3" t="str">
        <f aca="false">IFERROR(INDEX(Calc!$O$2:$O$1001,MATCH(ROW()-1,Calc!$X$2:$X$1001,0)),"")</f>
        <v/>
      </c>
      <c r="E637" s="3" t="str">
        <f aca="false">IFERROR(INDEX(Calc!$P$2:$P$1001,MATCH(ROW()-1,Calc!$X$2:$X$1001,0)),"")</f>
        <v/>
      </c>
      <c r="F637" s="3" t="str">
        <f aca="false">IF(G637="","",E637-D637)</f>
        <v/>
      </c>
      <c r="G637" s="0" t="str">
        <f aca="false">IFERROR(INDEX(Calc!$S$2:$S$1001,MATCH(ROW()-1,Calc!$X$2:$X$1001,0)),"")</f>
        <v/>
      </c>
    </row>
    <row r="638" customFormat="false" ht="15" hidden="false" customHeight="false" outlineLevel="0" collapsed="false">
      <c r="A638" s="0" t="str">
        <f aca="false">IFERROR(INDEX(Calc!$L$2:$L$1001,MATCH(ROW()-1,Calc!$X$2:$X$1001,0)),"")</f>
        <v/>
      </c>
      <c r="B638" s="0" t="str">
        <f aca="false">IFERROR(INDEX(Calc!$M$2:$M$1001,MATCH(ROW()-1,Calc!$X$2:$X$1001,0)),"")</f>
        <v/>
      </c>
      <c r="C638" s="0" t="str">
        <f aca="false">IFERROR(INDEX(Calc!$N$2:$N$1001,MATCH(ROW()-1,Calc!$X$2:$X$1001,0)),"")</f>
        <v/>
      </c>
      <c r="D638" s="3" t="str">
        <f aca="false">IFERROR(INDEX(Calc!$O$2:$O$1001,MATCH(ROW()-1,Calc!$X$2:$X$1001,0)),"")</f>
        <v/>
      </c>
      <c r="E638" s="3" t="str">
        <f aca="false">IFERROR(INDEX(Calc!$P$2:$P$1001,MATCH(ROW()-1,Calc!$X$2:$X$1001,0)),"")</f>
        <v/>
      </c>
      <c r="F638" s="3" t="str">
        <f aca="false">IF(G638="","",E638-D638)</f>
        <v/>
      </c>
      <c r="G638" s="0" t="str">
        <f aca="false">IFERROR(INDEX(Calc!$S$2:$S$1001,MATCH(ROW()-1,Calc!$X$2:$X$1001,0)),"")</f>
        <v/>
      </c>
    </row>
    <row r="639" customFormat="false" ht="15" hidden="false" customHeight="false" outlineLevel="0" collapsed="false">
      <c r="A639" s="0" t="str">
        <f aca="false">IFERROR(INDEX(Calc!$L$2:$L$1001,MATCH(ROW()-1,Calc!$X$2:$X$1001,0)),"")</f>
        <v/>
      </c>
      <c r="B639" s="0" t="str">
        <f aca="false">IFERROR(INDEX(Calc!$M$2:$M$1001,MATCH(ROW()-1,Calc!$X$2:$X$1001,0)),"")</f>
        <v/>
      </c>
      <c r="C639" s="0" t="str">
        <f aca="false">IFERROR(INDEX(Calc!$N$2:$N$1001,MATCH(ROW()-1,Calc!$X$2:$X$1001,0)),"")</f>
        <v/>
      </c>
      <c r="D639" s="3" t="str">
        <f aca="false">IFERROR(INDEX(Calc!$O$2:$O$1001,MATCH(ROW()-1,Calc!$X$2:$X$1001,0)),"")</f>
        <v/>
      </c>
      <c r="E639" s="3" t="str">
        <f aca="false">IFERROR(INDEX(Calc!$P$2:$P$1001,MATCH(ROW()-1,Calc!$X$2:$X$1001,0)),"")</f>
        <v/>
      </c>
      <c r="F639" s="3" t="str">
        <f aca="false">IF(G639="","",E639-D639)</f>
        <v/>
      </c>
      <c r="G639" s="0" t="str">
        <f aca="false">IFERROR(INDEX(Calc!$S$2:$S$1001,MATCH(ROW()-1,Calc!$X$2:$X$1001,0)),"")</f>
        <v/>
      </c>
    </row>
    <row r="640" customFormat="false" ht="15" hidden="false" customHeight="false" outlineLevel="0" collapsed="false">
      <c r="A640" s="0" t="str">
        <f aca="false">IFERROR(INDEX(Calc!$L$2:$L$1001,MATCH(ROW()-1,Calc!$X$2:$X$1001,0)),"")</f>
        <v/>
      </c>
      <c r="B640" s="0" t="str">
        <f aca="false">IFERROR(INDEX(Calc!$M$2:$M$1001,MATCH(ROW()-1,Calc!$X$2:$X$1001,0)),"")</f>
        <v/>
      </c>
      <c r="C640" s="0" t="str">
        <f aca="false">IFERROR(INDEX(Calc!$N$2:$N$1001,MATCH(ROW()-1,Calc!$X$2:$X$1001,0)),"")</f>
        <v/>
      </c>
      <c r="D640" s="3" t="str">
        <f aca="false">IFERROR(INDEX(Calc!$O$2:$O$1001,MATCH(ROW()-1,Calc!$X$2:$X$1001,0)),"")</f>
        <v/>
      </c>
      <c r="E640" s="3" t="str">
        <f aca="false">IFERROR(INDEX(Calc!$P$2:$P$1001,MATCH(ROW()-1,Calc!$X$2:$X$1001,0)),"")</f>
        <v/>
      </c>
      <c r="F640" s="3" t="str">
        <f aca="false">IF(G640="","",E640-D640)</f>
        <v/>
      </c>
      <c r="G640" s="0" t="str">
        <f aca="false">IFERROR(INDEX(Calc!$S$2:$S$1001,MATCH(ROW()-1,Calc!$X$2:$X$1001,0)),"")</f>
        <v/>
      </c>
    </row>
    <row r="641" customFormat="false" ht="15" hidden="false" customHeight="false" outlineLevel="0" collapsed="false">
      <c r="A641" s="0" t="str">
        <f aca="false">IFERROR(INDEX(Calc!$L$2:$L$1001,MATCH(ROW()-1,Calc!$X$2:$X$1001,0)),"")</f>
        <v/>
      </c>
      <c r="B641" s="0" t="str">
        <f aca="false">IFERROR(INDEX(Calc!$M$2:$M$1001,MATCH(ROW()-1,Calc!$X$2:$X$1001,0)),"")</f>
        <v/>
      </c>
      <c r="C641" s="0" t="str">
        <f aca="false">IFERROR(INDEX(Calc!$N$2:$N$1001,MATCH(ROW()-1,Calc!$X$2:$X$1001,0)),"")</f>
        <v/>
      </c>
      <c r="D641" s="3" t="str">
        <f aca="false">IFERROR(INDEX(Calc!$O$2:$O$1001,MATCH(ROW()-1,Calc!$X$2:$X$1001,0)),"")</f>
        <v/>
      </c>
      <c r="E641" s="3" t="str">
        <f aca="false">IFERROR(INDEX(Calc!$P$2:$P$1001,MATCH(ROW()-1,Calc!$X$2:$X$1001,0)),"")</f>
        <v/>
      </c>
      <c r="F641" s="3" t="str">
        <f aca="false">IF(G641="","",E641-D641)</f>
        <v/>
      </c>
      <c r="G641" s="0" t="str">
        <f aca="false">IFERROR(INDEX(Calc!$S$2:$S$1001,MATCH(ROW()-1,Calc!$X$2:$X$1001,0)),"")</f>
        <v/>
      </c>
    </row>
    <row r="642" customFormat="false" ht="15" hidden="false" customHeight="false" outlineLevel="0" collapsed="false">
      <c r="A642" s="0" t="str">
        <f aca="false">IFERROR(INDEX(Calc!$L$2:$L$1001,MATCH(ROW()-1,Calc!$X$2:$X$1001,0)),"")</f>
        <v/>
      </c>
      <c r="B642" s="0" t="str">
        <f aca="false">IFERROR(INDEX(Calc!$M$2:$M$1001,MATCH(ROW()-1,Calc!$X$2:$X$1001,0)),"")</f>
        <v/>
      </c>
      <c r="C642" s="0" t="str">
        <f aca="false">IFERROR(INDEX(Calc!$N$2:$N$1001,MATCH(ROW()-1,Calc!$X$2:$X$1001,0)),"")</f>
        <v/>
      </c>
      <c r="D642" s="3" t="str">
        <f aca="false">IFERROR(INDEX(Calc!$O$2:$O$1001,MATCH(ROW()-1,Calc!$X$2:$X$1001,0)),"")</f>
        <v/>
      </c>
      <c r="E642" s="3" t="str">
        <f aca="false">IFERROR(INDEX(Calc!$P$2:$P$1001,MATCH(ROW()-1,Calc!$X$2:$X$1001,0)),"")</f>
        <v/>
      </c>
      <c r="F642" s="3" t="str">
        <f aca="false">IF(G642="","",E642-D642)</f>
        <v/>
      </c>
      <c r="G642" s="0" t="str">
        <f aca="false">IFERROR(INDEX(Calc!$S$2:$S$1001,MATCH(ROW()-1,Calc!$X$2:$X$1001,0)),"")</f>
        <v/>
      </c>
    </row>
    <row r="643" customFormat="false" ht="15" hidden="false" customHeight="false" outlineLevel="0" collapsed="false">
      <c r="A643" s="0" t="str">
        <f aca="false">IFERROR(INDEX(Calc!$L$2:$L$1001,MATCH(ROW()-1,Calc!$X$2:$X$1001,0)),"")</f>
        <v/>
      </c>
      <c r="B643" s="0" t="str">
        <f aca="false">IFERROR(INDEX(Calc!$M$2:$M$1001,MATCH(ROW()-1,Calc!$X$2:$X$1001,0)),"")</f>
        <v/>
      </c>
      <c r="C643" s="0" t="str">
        <f aca="false">IFERROR(INDEX(Calc!$N$2:$N$1001,MATCH(ROW()-1,Calc!$X$2:$X$1001,0)),"")</f>
        <v/>
      </c>
      <c r="D643" s="3" t="str">
        <f aca="false">IFERROR(INDEX(Calc!$O$2:$O$1001,MATCH(ROW()-1,Calc!$X$2:$X$1001,0)),"")</f>
        <v/>
      </c>
      <c r="E643" s="3" t="str">
        <f aca="false">IFERROR(INDEX(Calc!$P$2:$P$1001,MATCH(ROW()-1,Calc!$X$2:$X$1001,0)),"")</f>
        <v/>
      </c>
      <c r="F643" s="3" t="str">
        <f aca="false">IF(G643="","",E643-D643)</f>
        <v/>
      </c>
      <c r="G643" s="0" t="str">
        <f aca="false">IFERROR(INDEX(Calc!$S$2:$S$1001,MATCH(ROW()-1,Calc!$X$2:$X$1001,0)),"")</f>
        <v/>
      </c>
    </row>
    <row r="644" customFormat="false" ht="15" hidden="false" customHeight="false" outlineLevel="0" collapsed="false">
      <c r="A644" s="0" t="str">
        <f aca="false">IFERROR(INDEX(Calc!$L$2:$L$1001,MATCH(ROW()-1,Calc!$X$2:$X$1001,0)),"")</f>
        <v/>
      </c>
      <c r="B644" s="0" t="str">
        <f aca="false">IFERROR(INDEX(Calc!$M$2:$M$1001,MATCH(ROW()-1,Calc!$X$2:$X$1001,0)),"")</f>
        <v/>
      </c>
      <c r="C644" s="0" t="str">
        <f aca="false">IFERROR(INDEX(Calc!$N$2:$N$1001,MATCH(ROW()-1,Calc!$X$2:$X$1001,0)),"")</f>
        <v/>
      </c>
      <c r="D644" s="3" t="str">
        <f aca="false">IFERROR(INDEX(Calc!$O$2:$O$1001,MATCH(ROW()-1,Calc!$X$2:$X$1001,0)),"")</f>
        <v/>
      </c>
      <c r="E644" s="3" t="str">
        <f aca="false">IFERROR(INDEX(Calc!$P$2:$P$1001,MATCH(ROW()-1,Calc!$X$2:$X$1001,0)),"")</f>
        <v/>
      </c>
      <c r="F644" s="3" t="str">
        <f aca="false">IF(G644="","",E644-D644)</f>
        <v/>
      </c>
      <c r="G644" s="0" t="str">
        <f aca="false">IFERROR(INDEX(Calc!$S$2:$S$1001,MATCH(ROW()-1,Calc!$X$2:$X$1001,0)),"")</f>
        <v/>
      </c>
    </row>
    <row r="645" customFormat="false" ht="15" hidden="false" customHeight="false" outlineLevel="0" collapsed="false">
      <c r="A645" s="0" t="str">
        <f aca="false">IFERROR(INDEX(Calc!$L$2:$L$1001,MATCH(ROW()-1,Calc!$X$2:$X$1001,0)),"")</f>
        <v/>
      </c>
      <c r="B645" s="0" t="str">
        <f aca="false">IFERROR(INDEX(Calc!$M$2:$M$1001,MATCH(ROW()-1,Calc!$X$2:$X$1001,0)),"")</f>
        <v/>
      </c>
      <c r="C645" s="0" t="str">
        <f aca="false">IFERROR(INDEX(Calc!$N$2:$N$1001,MATCH(ROW()-1,Calc!$X$2:$X$1001,0)),"")</f>
        <v/>
      </c>
      <c r="D645" s="3" t="str">
        <f aca="false">IFERROR(INDEX(Calc!$O$2:$O$1001,MATCH(ROW()-1,Calc!$X$2:$X$1001,0)),"")</f>
        <v/>
      </c>
      <c r="E645" s="3" t="str">
        <f aca="false">IFERROR(INDEX(Calc!$P$2:$P$1001,MATCH(ROW()-1,Calc!$X$2:$X$1001,0)),"")</f>
        <v/>
      </c>
      <c r="F645" s="3" t="str">
        <f aca="false">IF(G645="","",E645-D645)</f>
        <v/>
      </c>
      <c r="G645" s="0" t="str">
        <f aca="false">IFERROR(INDEX(Calc!$S$2:$S$1001,MATCH(ROW()-1,Calc!$X$2:$X$1001,0)),"")</f>
        <v/>
      </c>
    </row>
    <row r="646" customFormat="false" ht="15" hidden="false" customHeight="false" outlineLevel="0" collapsed="false">
      <c r="A646" s="0" t="str">
        <f aca="false">IFERROR(INDEX(Calc!$L$2:$L$1001,MATCH(ROW()-1,Calc!$X$2:$X$1001,0)),"")</f>
        <v/>
      </c>
      <c r="B646" s="0" t="str">
        <f aca="false">IFERROR(INDEX(Calc!$M$2:$M$1001,MATCH(ROW()-1,Calc!$X$2:$X$1001,0)),"")</f>
        <v/>
      </c>
      <c r="C646" s="0" t="str">
        <f aca="false">IFERROR(INDEX(Calc!$N$2:$N$1001,MATCH(ROW()-1,Calc!$X$2:$X$1001,0)),"")</f>
        <v/>
      </c>
      <c r="D646" s="3" t="str">
        <f aca="false">IFERROR(INDEX(Calc!$O$2:$O$1001,MATCH(ROW()-1,Calc!$X$2:$X$1001,0)),"")</f>
        <v/>
      </c>
      <c r="E646" s="3" t="str">
        <f aca="false">IFERROR(INDEX(Calc!$P$2:$P$1001,MATCH(ROW()-1,Calc!$X$2:$X$1001,0)),"")</f>
        <v/>
      </c>
      <c r="F646" s="3" t="str">
        <f aca="false">IF(G646="","",E646-D646)</f>
        <v/>
      </c>
      <c r="G646" s="0" t="str">
        <f aca="false">IFERROR(INDEX(Calc!$S$2:$S$1001,MATCH(ROW()-1,Calc!$X$2:$X$1001,0)),"")</f>
        <v/>
      </c>
    </row>
    <row r="647" customFormat="false" ht="15" hidden="false" customHeight="false" outlineLevel="0" collapsed="false">
      <c r="A647" s="0" t="str">
        <f aca="false">IFERROR(INDEX(Calc!$L$2:$L$1001,MATCH(ROW()-1,Calc!$X$2:$X$1001,0)),"")</f>
        <v/>
      </c>
      <c r="B647" s="0" t="str">
        <f aca="false">IFERROR(INDEX(Calc!$M$2:$M$1001,MATCH(ROW()-1,Calc!$X$2:$X$1001,0)),"")</f>
        <v/>
      </c>
      <c r="C647" s="0" t="str">
        <f aca="false">IFERROR(INDEX(Calc!$N$2:$N$1001,MATCH(ROW()-1,Calc!$X$2:$X$1001,0)),"")</f>
        <v/>
      </c>
      <c r="D647" s="3" t="str">
        <f aca="false">IFERROR(INDEX(Calc!$O$2:$O$1001,MATCH(ROW()-1,Calc!$X$2:$X$1001,0)),"")</f>
        <v/>
      </c>
      <c r="E647" s="3" t="str">
        <f aca="false">IFERROR(INDEX(Calc!$P$2:$P$1001,MATCH(ROW()-1,Calc!$X$2:$X$1001,0)),"")</f>
        <v/>
      </c>
      <c r="F647" s="3" t="str">
        <f aca="false">IF(G647="","",E647-D647)</f>
        <v/>
      </c>
      <c r="G647" s="0" t="str">
        <f aca="false">IFERROR(INDEX(Calc!$S$2:$S$1001,MATCH(ROW()-1,Calc!$X$2:$X$1001,0)),"")</f>
        <v/>
      </c>
    </row>
    <row r="648" customFormat="false" ht="15" hidden="false" customHeight="false" outlineLevel="0" collapsed="false">
      <c r="A648" s="0" t="str">
        <f aca="false">IFERROR(INDEX(Calc!$L$2:$L$1001,MATCH(ROW()-1,Calc!$X$2:$X$1001,0)),"")</f>
        <v/>
      </c>
      <c r="B648" s="0" t="str">
        <f aca="false">IFERROR(INDEX(Calc!$M$2:$M$1001,MATCH(ROW()-1,Calc!$X$2:$X$1001,0)),"")</f>
        <v/>
      </c>
      <c r="C648" s="0" t="str">
        <f aca="false">IFERROR(INDEX(Calc!$N$2:$N$1001,MATCH(ROW()-1,Calc!$X$2:$X$1001,0)),"")</f>
        <v/>
      </c>
      <c r="D648" s="3" t="str">
        <f aca="false">IFERROR(INDEX(Calc!$O$2:$O$1001,MATCH(ROW()-1,Calc!$X$2:$X$1001,0)),"")</f>
        <v/>
      </c>
      <c r="E648" s="3" t="str">
        <f aca="false">IFERROR(INDEX(Calc!$P$2:$P$1001,MATCH(ROW()-1,Calc!$X$2:$X$1001,0)),"")</f>
        <v/>
      </c>
      <c r="F648" s="3" t="str">
        <f aca="false">IF(G648="","",E648-D648)</f>
        <v/>
      </c>
      <c r="G648" s="0" t="str">
        <f aca="false">IFERROR(INDEX(Calc!$S$2:$S$1001,MATCH(ROW()-1,Calc!$X$2:$X$1001,0)),"")</f>
        <v/>
      </c>
    </row>
    <row r="649" customFormat="false" ht="15" hidden="false" customHeight="false" outlineLevel="0" collapsed="false">
      <c r="A649" s="0" t="str">
        <f aca="false">IFERROR(INDEX(Calc!$L$2:$L$1001,MATCH(ROW()-1,Calc!$X$2:$X$1001,0)),"")</f>
        <v/>
      </c>
      <c r="B649" s="0" t="str">
        <f aca="false">IFERROR(INDEX(Calc!$M$2:$M$1001,MATCH(ROW()-1,Calc!$X$2:$X$1001,0)),"")</f>
        <v/>
      </c>
      <c r="C649" s="0" t="str">
        <f aca="false">IFERROR(INDEX(Calc!$N$2:$N$1001,MATCH(ROW()-1,Calc!$X$2:$X$1001,0)),"")</f>
        <v/>
      </c>
      <c r="D649" s="3" t="str">
        <f aca="false">IFERROR(INDEX(Calc!$O$2:$O$1001,MATCH(ROW()-1,Calc!$X$2:$X$1001,0)),"")</f>
        <v/>
      </c>
      <c r="E649" s="3" t="str">
        <f aca="false">IFERROR(INDEX(Calc!$P$2:$P$1001,MATCH(ROW()-1,Calc!$X$2:$X$1001,0)),"")</f>
        <v/>
      </c>
      <c r="F649" s="3" t="str">
        <f aca="false">IF(G649="","",E649-D649)</f>
        <v/>
      </c>
      <c r="G649" s="0" t="str">
        <f aca="false">IFERROR(INDEX(Calc!$S$2:$S$1001,MATCH(ROW()-1,Calc!$X$2:$X$1001,0)),"")</f>
        <v/>
      </c>
    </row>
    <row r="650" customFormat="false" ht="15" hidden="false" customHeight="false" outlineLevel="0" collapsed="false">
      <c r="A650" s="0" t="str">
        <f aca="false">IFERROR(INDEX(Calc!$L$2:$L$1001,MATCH(ROW()-1,Calc!$X$2:$X$1001,0)),"")</f>
        <v/>
      </c>
      <c r="B650" s="0" t="str">
        <f aca="false">IFERROR(INDEX(Calc!$M$2:$M$1001,MATCH(ROW()-1,Calc!$X$2:$X$1001,0)),"")</f>
        <v/>
      </c>
      <c r="C650" s="0" t="str">
        <f aca="false">IFERROR(INDEX(Calc!$N$2:$N$1001,MATCH(ROW()-1,Calc!$X$2:$X$1001,0)),"")</f>
        <v/>
      </c>
      <c r="D650" s="3" t="str">
        <f aca="false">IFERROR(INDEX(Calc!$O$2:$O$1001,MATCH(ROW()-1,Calc!$X$2:$X$1001,0)),"")</f>
        <v/>
      </c>
      <c r="E650" s="3" t="str">
        <f aca="false">IFERROR(INDEX(Calc!$P$2:$P$1001,MATCH(ROW()-1,Calc!$X$2:$X$1001,0)),"")</f>
        <v/>
      </c>
      <c r="F650" s="3" t="str">
        <f aca="false">IF(G650="","",E650-D650)</f>
        <v/>
      </c>
      <c r="G650" s="0" t="str">
        <f aca="false">IFERROR(INDEX(Calc!$S$2:$S$1001,MATCH(ROW()-1,Calc!$X$2:$X$1001,0)),"")</f>
        <v/>
      </c>
    </row>
    <row r="651" customFormat="false" ht="15" hidden="false" customHeight="false" outlineLevel="0" collapsed="false">
      <c r="A651" s="0" t="str">
        <f aca="false">IFERROR(INDEX(Calc!$L$2:$L$1001,MATCH(ROW()-1,Calc!$X$2:$X$1001,0)),"")</f>
        <v/>
      </c>
      <c r="B651" s="0" t="str">
        <f aca="false">IFERROR(INDEX(Calc!$M$2:$M$1001,MATCH(ROW()-1,Calc!$X$2:$X$1001,0)),"")</f>
        <v/>
      </c>
      <c r="C651" s="0" t="str">
        <f aca="false">IFERROR(INDEX(Calc!$N$2:$N$1001,MATCH(ROW()-1,Calc!$X$2:$X$1001,0)),"")</f>
        <v/>
      </c>
      <c r="D651" s="3" t="str">
        <f aca="false">IFERROR(INDEX(Calc!$O$2:$O$1001,MATCH(ROW()-1,Calc!$X$2:$X$1001,0)),"")</f>
        <v/>
      </c>
      <c r="E651" s="3" t="str">
        <f aca="false">IFERROR(INDEX(Calc!$P$2:$P$1001,MATCH(ROW()-1,Calc!$X$2:$X$1001,0)),"")</f>
        <v/>
      </c>
      <c r="F651" s="3" t="str">
        <f aca="false">IF(G651="","",E651-D651)</f>
        <v/>
      </c>
      <c r="G651" s="0" t="str">
        <f aca="false">IFERROR(INDEX(Calc!$S$2:$S$1001,MATCH(ROW()-1,Calc!$X$2:$X$1001,0)),"")</f>
        <v/>
      </c>
    </row>
    <row r="652" customFormat="false" ht="15" hidden="false" customHeight="false" outlineLevel="0" collapsed="false">
      <c r="A652" s="0" t="str">
        <f aca="false">IFERROR(INDEX(Calc!$L$2:$L$1001,MATCH(ROW()-1,Calc!$X$2:$X$1001,0)),"")</f>
        <v/>
      </c>
      <c r="B652" s="0" t="str">
        <f aca="false">IFERROR(INDEX(Calc!$M$2:$M$1001,MATCH(ROW()-1,Calc!$X$2:$X$1001,0)),"")</f>
        <v/>
      </c>
      <c r="C652" s="0" t="str">
        <f aca="false">IFERROR(INDEX(Calc!$N$2:$N$1001,MATCH(ROW()-1,Calc!$X$2:$X$1001,0)),"")</f>
        <v/>
      </c>
      <c r="D652" s="3" t="str">
        <f aca="false">IFERROR(INDEX(Calc!$O$2:$O$1001,MATCH(ROW()-1,Calc!$X$2:$X$1001,0)),"")</f>
        <v/>
      </c>
      <c r="E652" s="3" t="str">
        <f aca="false">IFERROR(INDEX(Calc!$P$2:$P$1001,MATCH(ROW()-1,Calc!$X$2:$X$1001,0)),"")</f>
        <v/>
      </c>
      <c r="F652" s="3" t="str">
        <f aca="false">IF(G652="","",E652-D652)</f>
        <v/>
      </c>
      <c r="G652" s="0" t="str">
        <f aca="false">IFERROR(INDEX(Calc!$S$2:$S$1001,MATCH(ROW()-1,Calc!$X$2:$X$1001,0)),"")</f>
        <v/>
      </c>
    </row>
    <row r="653" customFormat="false" ht="15" hidden="false" customHeight="false" outlineLevel="0" collapsed="false">
      <c r="A653" s="0" t="str">
        <f aca="false">IFERROR(INDEX(Calc!$L$2:$L$1001,MATCH(ROW()-1,Calc!$X$2:$X$1001,0)),"")</f>
        <v/>
      </c>
      <c r="B653" s="0" t="str">
        <f aca="false">IFERROR(INDEX(Calc!$M$2:$M$1001,MATCH(ROW()-1,Calc!$X$2:$X$1001,0)),"")</f>
        <v/>
      </c>
      <c r="C653" s="0" t="str">
        <f aca="false">IFERROR(INDEX(Calc!$N$2:$N$1001,MATCH(ROW()-1,Calc!$X$2:$X$1001,0)),"")</f>
        <v/>
      </c>
      <c r="D653" s="3" t="str">
        <f aca="false">IFERROR(INDEX(Calc!$O$2:$O$1001,MATCH(ROW()-1,Calc!$X$2:$X$1001,0)),"")</f>
        <v/>
      </c>
      <c r="E653" s="3" t="str">
        <f aca="false">IFERROR(INDEX(Calc!$P$2:$P$1001,MATCH(ROW()-1,Calc!$X$2:$X$1001,0)),"")</f>
        <v/>
      </c>
      <c r="F653" s="3" t="str">
        <f aca="false">IF(G653="","",E653-D653)</f>
        <v/>
      </c>
      <c r="G653" s="0" t="str">
        <f aca="false">IFERROR(INDEX(Calc!$S$2:$S$1001,MATCH(ROW()-1,Calc!$X$2:$X$1001,0)),"")</f>
        <v/>
      </c>
    </row>
    <row r="654" customFormat="false" ht="15" hidden="false" customHeight="false" outlineLevel="0" collapsed="false">
      <c r="A654" s="0" t="str">
        <f aca="false">IFERROR(INDEX(Calc!$L$2:$L$1001,MATCH(ROW()-1,Calc!$X$2:$X$1001,0)),"")</f>
        <v/>
      </c>
      <c r="B654" s="0" t="str">
        <f aca="false">IFERROR(INDEX(Calc!$M$2:$M$1001,MATCH(ROW()-1,Calc!$X$2:$X$1001,0)),"")</f>
        <v/>
      </c>
      <c r="C654" s="0" t="str">
        <f aca="false">IFERROR(INDEX(Calc!$N$2:$N$1001,MATCH(ROW()-1,Calc!$X$2:$X$1001,0)),"")</f>
        <v/>
      </c>
      <c r="D654" s="3" t="str">
        <f aca="false">IFERROR(INDEX(Calc!$O$2:$O$1001,MATCH(ROW()-1,Calc!$X$2:$X$1001,0)),"")</f>
        <v/>
      </c>
      <c r="E654" s="3" t="str">
        <f aca="false">IFERROR(INDEX(Calc!$P$2:$P$1001,MATCH(ROW()-1,Calc!$X$2:$X$1001,0)),"")</f>
        <v/>
      </c>
      <c r="F654" s="3" t="str">
        <f aca="false">IF(G654="","",E654-D654)</f>
        <v/>
      </c>
      <c r="G654" s="0" t="str">
        <f aca="false">IFERROR(INDEX(Calc!$S$2:$S$1001,MATCH(ROW()-1,Calc!$X$2:$X$1001,0)),"")</f>
        <v/>
      </c>
    </row>
    <row r="655" customFormat="false" ht="15" hidden="false" customHeight="false" outlineLevel="0" collapsed="false">
      <c r="A655" s="0" t="str">
        <f aca="false">IFERROR(INDEX(Calc!$L$2:$L$1001,MATCH(ROW()-1,Calc!$X$2:$X$1001,0)),"")</f>
        <v/>
      </c>
      <c r="B655" s="0" t="str">
        <f aca="false">IFERROR(INDEX(Calc!$M$2:$M$1001,MATCH(ROW()-1,Calc!$X$2:$X$1001,0)),"")</f>
        <v/>
      </c>
      <c r="C655" s="0" t="str">
        <f aca="false">IFERROR(INDEX(Calc!$N$2:$N$1001,MATCH(ROW()-1,Calc!$X$2:$X$1001,0)),"")</f>
        <v/>
      </c>
      <c r="D655" s="3" t="str">
        <f aca="false">IFERROR(INDEX(Calc!$O$2:$O$1001,MATCH(ROW()-1,Calc!$X$2:$X$1001,0)),"")</f>
        <v/>
      </c>
      <c r="E655" s="3" t="str">
        <f aca="false">IFERROR(INDEX(Calc!$P$2:$P$1001,MATCH(ROW()-1,Calc!$X$2:$X$1001,0)),"")</f>
        <v/>
      </c>
      <c r="F655" s="3" t="str">
        <f aca="false">IF(G655="","",E655-D655)</f>
        <v/>
      </c>
      <c r="G655" s="0" t="str">
        <f aca="false">IFERROR(INDEX(Calc!$S$2:$S$1001,MATCH(ROW()-1,Calc!$X$2:$X$1001,0)),"")</f>
        <v/>
      </c>
    </row>
    <row r="656" customFormat="false" ht="15" hidden="false" customHeight="false" outlineLevel="0" collapsed="false">
      <c r="A656" s="0" t="str">
        <f aca="false">IFERROR(INDEX(Calc!$L$2:$L$1001,MATCH(ROW()-1,Calc!$X$2:$X$1001,0)),"")</f>
        <v/>
      </c>
      <c r="B656" s="0" t="str">
        <f aca="false">IFERROR(INDEX(Calc!$M$2:$M$1001,MATCH(ROW()-1,Calc!$X$2:$X$1001,0)),"")</f>
        <v/>
      </c>
      <c r="C656" s="0" t="str">
        <f aca="false">IFERROR(INDEX(Calc!$N$2:$N$1001,MATCH(ROW()-1,Calc!$X$2:$X$1001,0)),"")</f>
        <v/>
      </c>
      <c r="D656" s="3" t="str">
        <f aca="false">IFERROR(INDEX(Calc!$O$2:$O$1001,MATCH(ROW()-1,Calc!$X$2:$X$1001,0)),"")</f>
        <v/>
      </c>
      <c r="E656" s="3" t="str">
        <f aca="false">IFERROR(INDEX(Calc!$P$2:$P$1001,MATCH(ROW()-1,Calc!$X$2:$X$1001,0)),"")</f>
        <v/>
      </c>
      <c r="F656" s="3" t="str">
        <f aca="false">IF(G656="","",E656-D656)</f>
        <v/>
      </c>
      <c r="G656" s="0" t="str">
        <f aca="false">IFERROR(INDEX(Calc!$S$2:$S$1001,MATCH(ROW()-1,Calc!$X$2:$X$1001,0)),"")</f>
        <v/>
      </c>
    </row>
    <row r="657" customFormat="false" ht="15" hidden="false" customHeight="false" outlineLevel="0" collapsed="false">
      <c r="A657" s="0" t="str">
        <f aca="false">IFERROR(INDEX(Calc!$L$2:$L$1001,MATCH(ROW()-1,Calc!$X$2:$X$1001,0)),"")</f>
        <v/>
      </c>
      <c r="B657" s="0" t="str">
        <f aca="false">IFERROR(INDEX(Calc!$M$2:$M$1001,MATCH(ROW()-1,Calc!$X$2:$X$1001,0)),"")</f>
        <v/>
      </c>
      <c r="C657" s="0" t="str">
        <f aca="false">IFERROR(INDEX(Calc!$N$2:$N$1001,MATCH(ROW()-1,Calc!$X$2:$X$1001,0)),"")</f>
        <v/>
      </c>
      <c r="D657" s="3" t="str">
        <f aca="false">IFERROR(INDEX(Calc!$O$2:$O$1001,MATCH(ROW()-1,Calc!$X$2:$X$1001,0)),"")</f>
        <v/>
      </c>
      <c r="E657" s="3" t="str">
        <f aca="false">IFERROR(INDEX(Calc!$P$2:$P$1001,MATCH(ROW()-1,Calc!$X$2:$X$1001,0)),"")</f>
        <v/>
      </c>
      <c r="F657" s="3" t="str">
        <f aca="false">IF(G657="","",E657-D657)</f>
        <v/>
      </c>
      <c r="G657" s="0" t="str">
        <f aca="false">IFERROR(INDEX(Calc!$S$2:$S$1001,MATCH(ROW()-1,Calc!$X$2:$X$1001,0)),"")</f>
        <v/>
      </c>
    </row>
    <row r="658" customFormat="false" ht="15" hidden="false" customHeight="false" outlineLevel="0" collapsed="false">
      <c r="A658" s="0" t="str">
        <f aca="false">IFERROR(INDEX(Calc!$L$2:$L$1001,MATCH(ROW()-1,Calc!$X$2:$X$1001,0)),"")</f>
        <v/>
      </c>
      <c r="B658" s="0" t="str">
        <f aca="false">IFERROR(INDEX(Calc!$M$2:$M$1001,MATCH(ROW()-1,Calc!$X$2:$X$1001,0)),"")</f>
        <v/>
      </c>
      <c r="C658" s="0" t="str">
        <f aca="false">IFERROR(INDEX(Calc!$N$2:$N$1001,MATCH(ROW()-1,Calc!$X$2:$X$1001,0)),"")</f>
        <v/>
      </c>
      <c r="D658" s="3" t="str">
        <f aca="false">IFERROR(INDEX(Calc!$O$2:$O$1001,MATCH(ROW()-1,Calc!$X$2:$X$1001,0)),"")</f>
        <v/>
      </c>
      <c r="E658" s="3" t="str">
        <f aca="false">IFERROR(INDEX(Calc!$P$2:$P$1001,MATCH(ROW()-1,Calc!$X$2:$X$1001,0)),"")</f>
        <v/>
      </c>
      <c r="F658" s="3" t="str">
        <f aca="false">IF(G658="","",E658-D658)</f>
        <v/>
      </c>
      <c r="G658" s="0" t="str">
        <f aca="false">IFERROR(INDEX(Calc!$S$2:$S$1001,MATCH(ROW()-1,Calc!$X$2:$X$1001,0)),"")</f>
        <v/>
      </c>
    </row>
    <row r="659" customFormat="false" ht="15" hidden="false" customHeight="false" outlineLevel="0" collapsed="false">
      <c r="A659" s="0" t="str">
        <f aca="false">IFERROR(INDEX(Calc!$L$2:$L$1001,MATCH(ROW()-1,Calc!$X$2:$X$1001,0)),"")</f>
        <v/>
      </c>
      <c r="B659" s="0" t="str">
        <f aca="false">IFERROR(INDEX(Calc!$M$2:$M$1001,MATCH(ROW()-1,Calc!$X$2:$X$1001,0)),"")</f>
        <v/>
      </c>
      <c r="C659" s="0" t="str">
        <f aca="false">IFERROR(INDEX(Calc!$N$2:$N$1001,MATCH(ROW()-1,Calc!$X$2:$X$1001,0)),"")</f>
        <v/>
      </c>
      <c r="D659" s="3" t="str">
        <f aca="false">IFERROR(INDEX(Calc!$O$2:$O$1001,MATCH(ROW()-1,Calc!$X$2:$X$1001,0)),"")</f>
        <v/>
      </c>
      <c r="E659" s="3" t="str">
        <f aca="false">IFERROR(INDEX(Calc!$P$2:$P$1001,MATCH(ROW()-1,Calc!$X$2:$X$1001,0)),"")</f>
        <v/>
      </c>
      <c r="F659" s="3" t="str">
        <f aca="false">IF(G659="","",E659-D659)</f>
        <v/>
      </c>
      <c r="G659" s="0" t="str">
        <f aca="false">IFERROR(INDEX(Calc!$S$2:$S$1001,MATCH(ROW()-1,Calc!$X$2:$X$1001,0)),"")</f>
        <v/>
      </c>
    </row>
    <row r="660" customFormat="false" ht="15" hidden="false" customHeight="false" outlineLevel="0" collapsed="false">
      <c r="A660" s="0" t="str">
        <f aca="false">IFERROR(INDEX(Calc!$L$2:$L$1001,MATCH(ROW()-1,Calc!$X$2:$X$1001,0)),"")</f>
        <v/>
      </c>
      <c r="B660" s="0" t="str">
        <f aca="false">IFERROR(INDEX(Calc!$M$2:$M$1001,MATCH(ROW()-1,Calc!$X$2:$X$1001,0)),"")</f>
        <v/>
      </c>
      <c r="C660" s="0" t="str">
        <f aca="false">IFERROR(INDEX(Calc!$N$2:$N$1001,MATCH(ROW()-1,Calc!$X$2:$X$1001,0)),"")</f>
        <v/>
      </c>
      <c r="D660" s="3" t="str">
        <f aca="false">IFERROR(INDEX(Calc!$O$2:$O$1001,MATCH(ROW()-1,Calc!$X$2:$X$1001,0)),"")</f>
        <v/>
      </c>
      <c r="E660" s="3" t="str">
        <f aca="false">IFERROR(INDEX(Calc!$P$2:$P$1001,MATCH(ROW()-1,Calc!$X$2:$X$1001,0)),"")</f>
        <v/>
      </c>
      <c r="F660" s="3" t="str">
        <f aca="false">IF(G660="","",E660-D660)</f>
        <v/>
      </c>
      <c r="G660" s="0" t="str">
        <f aca="false">IFERROR(INDEX(Calc!$S$2:$S$1001,MATCH(ROW()-1,Calc!$X$2:$X$1001,0)),"")</f>
        <v/>
      </c>
    </row>
    <row r="661" customFormat="false" ht="15" hidden="false" customHeight="false" outlineLevel="0" collapsed="false">
      <c r="A661" s="0" t="str">
        <f aca="false">IFERROR(INDEX(Calc!$L$2:$L$1001,MATCH(ROW()-1,Calc!$X$2:$X$1001,0)),"")</f>
        <v/>
      </c>
      <c r="B661" s="0" t="str">
        <f aca="false">IFERROR(INDEX(Calc!$M$2:$M$1001,MATCH(ROW()-1,Calc!$X$2:$X$1001,0)),"")</f>
        <v/>
      </c>
      <c r="C661" s="0" t="str">
        <f aca="false">IFERROR(INDEX(Calc!$N$2:$N$1001,MATCH(ROW()-1,Calc!$X$2:$X$1001,0)),"")</f>
        <v/>
      </c>
      <c r="D661" s="3" t="str">
        <f aca="false">IFERROR(INDEX(Calc!$O$2:$O$1001,MATCH(ROW()-1,Calc!$X$2:$X$1001,0)),"")</f>
        <v/>
      </c>
      <c r="E661" s="3" t="str">
        <f aca="false">IFERROR(INDEX(Calc!$P$2:$P$1001,MATCH(ROW()-1,Calc!$X$2:$X$1001,0)),"")</f>
        <v/>
      </c>
      <c r="F661" s="3" t="str">
        <f aca="false">IF(G661="","",E661-D661)</f>
        <v/>
      </c>
      <c r="G661" s="0" t="str">
        <f aca="false">IFERROR(INDEX(Calc!$S$2:$S$1001,MATCH(ROW()-1,Calc!$X$2:$X$1001,0)),"")</f>
        <v/>
      </c>
    </row>
    <row r="662" customFormat="false" ht="15" hidden="false" customHeight="false" outlineLevel="0" collapsed="false">
      <c r="A662" s="0" t="str">
        <f aca="false">IFERROR(INDEX(Calc!$L$2:$L$1001,MATCH(ROW()-1,Calc!$X$2:$X$1001,0)),"")</f>
        <v/>
      </c>
      <c r="B662" s="0" t="str">
        <f aca="false">IFERROR(INDEX(Calc!$M$2:$M$1001,MATCH(ROW()-1,Calc!$X$2:$X$1001,0)),"")</f>
        <v/>
      </c>
      <c r="C662" s="0" t="str">
        <f aca="false">IFERROR(INDEX(Calc!$N$2:$N$1001,MATCH(ROW()-1,Calc!$X$2:$X$1001,0)),"")</f>
        <v/>
      </c>
      <c r="D662" s="3" t="str">
        <f aca="false">IFERROR(INDEX(Calc!$O$2:$O$1001,MATCH(ROW()-1,Calc!$X$2:$X$1001,0)),"")</f>
        <v/>
      </c>
      <c r="E662" s="3" t="str">
        <f aca="false">IFERROR(INDEX(Calc!$P$2:$P$1001,MATCH(ROW()-1,Calc!$X$2:$X$1001,0)),"")</f>
        <v/>
      </c>
      <c r="F662" s="3" t="str">
        <f aca="false">IF(G662="","",E662-D662)</f>
        <v/>
      </c>
      <c r="G662" s="0" t="str">
        <f aca="false">IFERROR(INDEX(Calc!$S$2:$S$1001,MATCH(ROW()-1,Calc!$X$2:$X$1001,0)),"")</f>
        <v/>
      </c>
    </row>
    <row r="663" customFormat="false" ht="15" hidden="false" customHeight="false" outlineLevel="0" collapsed="false">
      <c r="A663" s="0" t="str">
        <f aca="false">IFERROR(INDEX(Calc!$L$2:$L$1001,MATCH(ROW()-1,Calc!$X$2:$X$1001,0)),"")</f>
        <v/>
      </c>
      <c r="B663" s="0" t="str">
        <f aca="false">IFERROR(INDEX(Calc!$M$2:$M$1001,MATCH(ROW()-1,Calc!$X$2:$X$1001,0)),"")</f>
        <v/>
      </c>
      <c r="C663" s="0" t="str">
        <f aca="false">IFERROR(INDEX(Calc!$N$2:$N$1001,MATCH(ROW()-1,Calc!$X$2:$X$1001,0)),"")</f>
        <v/>
      </c>
      <c r="D663" s="3" t="str">
        <f aca="false">IFERROR(INDEX(Calc!$O$2:$O$1001,MATCH(ROW()-1,Calc!$X$2:$X$1001,0)),"")</f>
        <v/>
      </c>
      <c r="E663" s="3" t="str">
        <f aca="false">IFERROR(INDEX(Calc!$P$2:$P$1001,MATCH(ROW()-1,Calc!$X$2:$X$1001,0)),"")</f>
        <v/>
      </c>
      <c r="F663" s="3" t="str">
        <f aca="false">IF(G663="","",E663-D663)</f>
        <v/>
      </c>
      <c r="G663" s="0" t="str">
        <f aca="false">IFERROR(INDEX(Calc!$S$2:$S$1001,MATCH(ROW()-1,Calc!$X$2:$X$1001,0)),"")</f>
        <v/>
      </c>
    </row>
    <row r="664" customFormat="false" ht="15" hidden="false" customHeight="false" outlineLevel="0" collapsed="false">
      <c r="A664" s="0" t="str">
        <f aca="false">IFERROR(INDEX(Calc!$L$2:$L$1001,MATCH(ROW()-1,Calc!$X$2:$X$1001,0)),"")</f>
        <v/>
      </c>
      <c r="B664" s="0" t="str">
        <f aca="false">IFERROR(INDEX(Calc!$M$2:$M$1001,MATCH(ROW()-1,Calc!$X$2:$X$1001,0)),"")</f>
        <v/>
      </c>
      <c r="C664" s="0" t="str">
        <f aca="false">IFERROR(INDEX(Calc!$N$2:$N$1001,MATCH(ROW()-1,Calc!$X$2:$X$1001,0)),"")</f>
        <v/>
      </c>
      <c r="D664" s="3" t="str">
        <f aca="false">IFERROR(INDEX(Calc!$O$2:$O$1001,MATCH(ROW()-1,Calc!$X$2:$X$1001,0)),"")</f>
        <v/>
      </c>
      <c r="E664" s="3" t="str">
        <f aca="false">IFERROR(INDEX(Calc!$P$2:$P$1001,MATCH(ROW()-1,Calc!$X$2:$X$1001,0)),"")</f>
        <v/>
      </c>
      <c r="F664" s="3" t="str">
        <f aca="false">IF(G664="","",E664-D664)</f>
        <v/>
      </c>
      <c r="G664" s="0" t="str">
        <f aca="false">IFERROR(INDEX(Calc!$S$2:$S$1001,MATCH(ROW()-1,Calc!$X$2:$X$1001,0)),"")</f>
        <v/>
      </c>
    </row>
    <row r="665" customFormat="false" ht="15" hidden="false" customHeight="false" outlineLevel="0" collapsed="false">
      <c r="A665" s="0" t="str">
        <f aca="false">IFERROR(INDEX(Calc!$L$2:$L$1001,MATCH(ROW()-1,Calc!$X$2:$X$1001,0)),"")</f>
        <v/>
      </c>
      <c r="B665" s="0" t="str">
        <f aca="false">IFERROR(INDEX(Calc!$M$2:$M$1001,MATCH(ROW()-1,Calc!$X$2:$X$1001,0)),"")</f>
        <v/>
      </c>
      <c r="C665" s="0" t="str">
        <f aca="false">IFERROR(INDEX(Calc!$N$2:$N$1001,MATCH(ROW()-1,Calc!$X$2:$X$1001,0)),"")</f>
        <v/>
      </c>
      <c r="D665" s="3" t="str">
        <f aca="false">IFERROR(INDEX(Calc!$O$2:$O$1001,MATCH(ROW()-1,Calc!$X$2:$X$1001,0)),"")</f>
        <v/>
      </c>
      <c r="E665" s="3" t="str">
        <f aca="false">IFERROR(INDEX(Calc!$P$2:$P$1001,MATCH(ROW()-1,Calc!$X$2:$X$1001,0)),"")</f>
        <v/>
      </c>
      <c r="F665" s="3" t="str">
        <f aca="false">IF(G665="","",E665-D665)</f>
        <v/>
      </c>
      <c r="G665" s="0" t="str">
        <f aca="false">IFERROR(INDEX(Calc!$S$2:$S$1001,MATCH(ROW()-1,Calc!$X$2:$X$1001,0)),"")</f>
        <v/>
      </c>
    </row>
    <row r="666" customFormat="false" ht="15" hidden="false" customHeight="false" outlineLevel="0" collapsed="false">
      <c r="A666" s="0" t="str">
        <f aca="false">IFERROR(INDEX(Calc!$L$2:$L$1001,MATCH(ROW()-1,Calc!$X$2:$X$1001,0)),"")</f>
        <v/>
      </c>
      <c r="B666" s="0" t="str">
        <f aca="false">IFERROR(INDEX(Calc!$M$2:$M$1001,MATCH(ROW()-1,Calc!$X$2:$X$1001,0)),"")</f>
        <v/>
      </c>
      <c r="C666" s="0" t="str">
        <f aca="false">IFERROR(INDEX(Calc!$N$2:$N$1001,MATCH(ROW()-1,Calc!$X$2:$X$1001,0)),"")</f>
        <v/>
      </c>
      <c r="D666" s="3" t="str">
        <f aca="false">IFERROR(INDEX(Calc!$O$2:$O$1001,MATCH(ROW()-1,Calc!$X$2:$X$1001,0)),"")</f>
        <v/>
      </c>
      <c r="E666" s="3" t="str">
        <f aca="false">IFERROR(INDEX(Calc!$P$2:$P$1001,MATCH(ROW()-1,Calc!$X$2:$X$1001,0)),"")</f>
        <v/>
      </c>
      <c r="F666" s="3" t="str">
        <f aca="false">IF(G666="","",E666-D666)</f>
        <v/>
      </c>
      <c r="G666" s="0" t="str">
        <f aca="false">IFERROR(INDEX(Calc!$S$2:$S$1001,MATCH(ROW()-1,Calc!$X$2:$X$1001,0)),"")</f>
        <v/>
      </c>
    </row>
    <row r="667" customFormat="false" ht="15" hidden="false" customHeight="false" outlineLevel="0" collapsed="false">
      <c r="A667" s="0" t="str">
        <f aca="false">IFERROR(INDEX(Calc!$L$2:$L$1001,MATCH(ROW()-1,Calc!$X$2:$X$1001,0)),"")</f>
        <v/>
      </c>
      <c r="B667" s="0" t="str">
        <f aca="false">IFERROR(INDEX(Calc!$M$2:$M$1001,MATCH(ROW()-1,Calc!$X$2:$X$1001,0)),"")</f>
        <v/>
      </c>
      <c r="C667" s="0" t="str">
        <f aca="false">IFERROR(INDEX(Calc!$N$2:$N$1001,MATCH(ROW()-1,Calc!$X$2:$X$1001,0)),"")</f>
        <v/>
      </c>
      <c r="D667" s="3" t="str">
        <f aca="false">IFERROR(INDEX(Calc!$O$2:$O$1001,MATCH(ROW()-1,Calc!$X$2:$X$1001,0)),"")</f>
        <v/>
      </c>
      <c r="E667" s="3" t="str">
        <f aca="false">IFERROR(INDEX(Calc!$P$2:$P$1001,MATCH(ROW()-1,Calc!$X$2:$X$1001,0)),"")</f>
        <v/>
      </c>
      <c r="F667" s="3" t="str">
        <f aca="false">IF(G667="","",E667-D667)</f>
        <v/>
      </c>
      <c r="G667" s="0" t="str">
        <f aca="false">IFERROR(INDEX(Calc!$S$2:$S$1001,MATCH(ROW()-1,Calc!$X$2:$X$1001,0)),"")</f>
        <v/>
      </c>
    </row>
    <row r="668" customFormat="false" ht="15" hidden="false" customHeight="false" outlineLevel="0" collapsed="false">
      <c r="A668" s="0" t="str">
        <f aca="false">IFERROR(INDEX(Calc!$L$2:$L$1001,MATCH(ROW()-1,Calc!$X$2:$X$1001,0)),"")</f>
        <v/>
      </c>
      <c r="B668" s="0" t="str">
        <f aca="false">IFERROR(INDEX(Calc!$M$2:$M$1001,MATCH(ROW()-1,Calc!$X$2:$X$1001,0)),"")</f>
        <v/>
      </c>
      <c r="C668" s="0" t="str">
        <f aca="false">IFERROR(INDEX(Calc!$N$2:$N$1001,MATCH(ROW()-1,Calc!$X$2:$X$1001,0)),"")</f>
        <v/>
      </c>
      <c r="D668" s="3" t="str">
        <f aca="false">IFERROR(INDEX(Calc!$O$2:$O$1001,MATCH(ROW()-1,Calc!$X$2:$X$1001,0)),"")</f>
        <v/>
      </c>
      <c r="E668" s="3" t="str">
        <f aca="false">IFERROR(INDEX(Calc!$P$2:$P$1001,MATCH(ROW()-1,Calc!$X$2:$X$1001,0)),"")</f>
        <v/>
      </c>
      <c r="F668" s="3" t="str">
        <f aca="false">IF(G668="","",E668-D668)</f>
        <v/>
      </c>
      <c r="G668" s="0" t="str">
        <f aca="false">IFERROR(INDEX(Calc!$S$2:$S$1001,MATCH(ROW()-1,Calc!$X$2:$X$1001,0)),"")</f>
        <v/>
      </c>
    </row>
    <row r="669" customFormat="false" ht="15" hidden="false" customHeight="false" outlineLevel="0" collapsed="false">
      <c r="A669" s="0" t="str">
        <f aca="false">IFERROR(INDEX(Calc!$L$2:$L$1001,MATCH(ROW()-1,Calc!$X$2:$X$1001,0)),"")</f>
        <v/>
      </c>
      <c r="B669" s="0" t="str">
        <f aca="false">IFERROR(INDEX(Calc!$M$2:$M$1001,MATCH(ROW()-1,Calc!$X$2:$X$1001,0)),"")</f>
        <v/>
      </c>
      <c r="C669" s="0" t="str">
        <f aca="false">IFERROR(INDEX(Calc!$N$2:$N$1001,MATCH(ROW()-1,Calc!$X$2:$X$1001,0)),"")</f>
        <v/>
      </c>
      <c r="D669" s="3" t="str">
        <f aca="false">IFERROR(INDEX(Calc!$O$2:$O$1001,MATCH(ROW()-1,Calc!$X$2:$X$1001,0)),"")</f>
        <v/>
      </c>
      <c r="E669" s="3" t="str">
        <f aca="false">IFERROR(INDEX(Calc!$P$2:$P$1001,MATCH(ROW()-1,Calc!$X$2:$X$1001,0)),"")</f>
        <v/>
      </c>
      <c r="F669" s="3" t="str">
        <f aca="false">IF(G669="","",E669-D669)</f>
        <v/>
      </c>
      <c r="G669" s="0" t="str">
        <f aca="false">IFERROR(INDEX(Calc!$S$2:$S$1001,MATCH(ROW()-1,Calc!$X$2:$X$1001,0)),"")</f>
        <v/>
      </c>
    </row>
    <row r="670" customFormat="false" ht="15" hidden="false" customHeight="false" outlineLevel="0" collapsed="false">
      <c r="A670" s="0" t="str">
        <f aca="false">IFERROR(INDEX(Calc!$L$2:$L$1001,MATCH(ROW()-1,Calc!$X$2:$X$1001,0)),"")</f>
        <v/>
      </c>
      <c r="B670" s="0" t="str">
        <f aca="false">IFERROR(INDEX(Calc!$M$2:$M$1001,MATCH(ROW()-1,Calc!$X$2:$X$1001,0)),"")</f>
        <v/>
      </c>
      <c r="C670" s="0" t="str">
        <f aca="false">IFERROR(INDEX(Calc!$N$2:$N$1001,MATCH(ROW()-1,Calc!$X$2:$X$1001,0)),"")</f>
        <v/>
      </c>
      <c r="D670" s="3" t="str">
        <f aca="false">IFERROR(INDEX(Calc!$O$2:$O$1001,MATCH(ROW()-1,Calc!$X$2:$X$1001,0)),"")</f>
        <v/>
      </c>
      <c r="E670" s="3" t="str">
        <f aca="false">IFERROR(INDEX(Calc!$P$2:$P$1001,MATCH(ROW()-1,Calc!$X$2:$X$1001,0)),"")</f>
        <v/>
      </c>
      <c r="F670" s="3" t="str">
        <f aca="false">IF(G670="","",E670-D670)</f>
        <v/>
      </c>
      <c r="G670" s="0" t="str">
        <f aca="false">IFERROR(INDEX(Calc!$S$2:$S$1001,MATCH(ROW()-1,Calc!$X$2:$X$1001,0)),"")</f>
        <v/>
      </c>
    </row>
    <row r="671" customFormat="false" ht="15" hidden="false" customHeight="false" outlineLevel="0" collapsed="false">
      <c r="A671" s="0" t="str">
        <f aca="false">IFERROR(INDEX(Calc!$L$2:$L$1001,MATCH(ROW()-1,Calc!$X$2:$X$1001,0)),"")</f>
        <v/>
      </c>
      <c r="B671" s="0" t="str">
        <f aca="false">IFERROR(INDEX(Calc!$M$2:$M$1001,MATCH(ROW()-1,Calc!$X$2:$X$1001,0)),"")</f>
        <v/>
      </c>
      <c r="C671" s="0" t="str">
        <f aca="false">IFERROR(INDEX(Calc!$N$2:$N$1001,MATCH(ROW()-1,Calc!$X$2:$X$1001,0)),"")</f>
        <v/>
      </c>
      <c r="D671" s="3" t="str">
        <f aca="false">IFERROR(INDEX(Calc!$O$2:$O$1001,MATCH(ROW()-1,Calc!$X$2:$X$1001,0)),"")</f>
        <v/>
      </c>
      <c r="E671" s="3" t="str">
        <f aca="false">IFERROR(INDEX(Calc!$P$2:$P$1001,MATCH(ROW()-1,Calc!$X$2:$X$1001,0)),"")</f>
        <v/>
      </c>
      <c r="F671" s="3" t="str">
        <f aca="false">IF(G671="","",E671-D671)</f>
        <v/>
      </c>
      <c r="G671" s="0" t="str">
        <f aca="false">IFERROR(INDEX(Calc!$S$2:$S$1001,MATCH(ROW()-1,Calc!$X$2:$X$1001,0)),"")</f>
        <v/>
      </c>
    </row>
    <row r="672" customFormat="false" ht="15" hidden="false" customHeight="false" outlineLevel="0" collapsed="false">
      <c r="A672" s="0" t="str">
        <f aca="false">IFERROR(INDEX(Calc!$L$2:$L$1001,MATCH(ROW()-1,Calc!$X$2:$X$1001,0)),"")</f>
        <v/>
      </c>
      <c r="B672" s="0" t="str">
        <f aca="false">IFERROR(INDEX(Calc!$M$2:$M$1001,MATCH(ROW()-1,Calc!$X$2:$X$1001,0)),"")</f>
        <v/>
      </c>
      <c r="C672" s="0" t="str">
        <f aca="false">IFERROR(INDEX(Calc!$N$2:$N$1001,MATCH(ROW()-1,Calc!$X$2:$X$1001,0)),"")</f>
        <v/>
      </c>
      <c r="D672" s="3" t="str">
        <f aca="false">IFERROR(INDEX(Calc!$O$2:$O$1001,MATCH(ROW()-1,Calc!$X$2:$X$1001,0)),"")</f>
        <v/>
      </c>
      <c r="E672" s="3" t="str">
        <f aca="false">IFERROR(INDEX(Calc!$P$2:$P$1001,MATCH(ROW()-1,Calc!$X$2:$X$1001,0)),"")</f>
        <v/>
      </c>
      <c r="F672" s="3" t="str">
        <f aca="false">IF(G672="","",E672-D672)</f>
        <v/>
      </c>
      <c r="G672" s="0" t="str">
        <f aca="false">IFERROR(INDEX(Calc!$S$2:$S$1001,MATCH(ROW()-1,Calc!$X$2:$X$1001,0)),"")</f>
        <v/>
      </c>
    </row>
    <row r="673" customFormat="false" ht="15" hidden="false" customHeight="false" outlineLevel="0" collapsed="false">
      <c r="A673" s="0" t="str">
        <f aca="false">IFERROR(INDEX(Calc!$L$2:$L$1001,MATCH(ROW()-1,Calc!$X$2:$X$1001,0)),"")</f>
        <v/>
      </c>
      <c r="B673" s="0" t="str">
        <f aca="false">IFERROR(INDEX(Calc!$M$2:$M$1001,MATCH(ROW()-1,Calc!$X$2:$X$1001,0)),"")</f>
        <v/>
      </c>
      <c r="C673" s="0" t="str">
        <f aca="false">IFERROR(INDEX(Calc!$N$2:$N$1001,MATCH(ROW()-1,Calc!$X$2:$X$1001,0)),"")</f>
        <v/>
      </c>
      <c r="D673" s="3" t="str">
        <f aca="false">IFERROR(INDEX(Calc!$O$2:$O$1001,MATCH(ROW()-1,Calc!$X$2:$X$1001,0)),"")</f>
        <v/>
      </c>
      <c r="E673" s="3" t="str">
        <f aca="false">IFERROR(INDEX(Calc!$P$2:$P$1001,MATCH(ROW()-1,Calc!$X$2:$X$1001,0)),"")</f>
        <v/>
      </c>
      <c r="F673" s="3" t="str">
        <f aca="false">IF(G673="","",E673-D673)</f>
        <v/>
      </c>
      <c r="G673" s="0" t="str">
        <f aca="false">IFERROR(INDEX(Calc!$S$2:$S$1001,MATCH(ROW()-1,Calc!$X$2:$X$1001,0)),"")</f>
        <v/>
      </c>
    </row>
    <row r="674" customFormat="false" ht="15" hidden="false" customHeight="false" outlineLevel="0" collapsed="false">
      <c r="A674" s="0" t="str">
        <f aca="false">IFERROR(INDEX(Calc!$L$2:$L$1001,MATCH(ROW()-1,Calc!$X$2:$X$1001,0)),"")</f>
        <v/>
      </c>
      <c r="B674" s="0" t="str">
        <f aca="false">IFERROR(INDEX(Calc!$M$2:$M$1001,MATCH(ROW()-1,Calc!$X$2:$X$1001,0)),"")</f>
        <v/>
      </c>
      <c r="C674" s="0" t="str">
        <f aca="false">IFERROR(INDEX(Calc!$N$2:$N$1001,MATCH(ROW()-1,Calc!$X$2:$X$1001,0)),"")</f>
        <v/>
      </c>
      <c r="D674" s="3" t="str">
        <f aca="false">IFERROR(INDEX(Calc!$O$2:$O$1001,MATCH(ROW()-1,Calc!$X$2:$X$1001,0)),"")</f>
        <v/>
      </c>
      <c r="E674" s="3" t="str">
        <f aca="false">IFERROR(INDEX(Calc!$P$2:$P$1001,MATCH(ROW()-1,Calc!$X$2:$X$1001,0)),"")</f>
        <v/>
      </c>
      <c r="F674" s="3" t="str">
        <f aca="false">IF(G674="","",E674-D674)</f>
        <v/>
      </c>
      <c r="G674" s="0" t="str">
        <f aca="false">IFERROR(INDEX(Calc!$S$2:$S$1001,MATCH(ROW()-1,Calc!$X$2:$X$1001,0)),"")</f>
        <v/>
      </c>
    </row>
    <row r="675" customFormat="false" ht="15" hidden="false" customHeight="false" outlineLevel="0" collapsed="false">
      <c r="A675" s="0" t="str">
        <f aca="false">IFERROR(INDEX(Calc!$L$2:$L$1001,MATCH(ROW()-1,Calc!$X$2:$X$1001,0)),"")</f>
        <v/>
      </c>
      <c r="B675" s="0" t="str">
        <f aca="false">IFERROR(INDEX(Calc!$M$2:$M$1001,MATCH(ROW()-1,Calc!$X$2:$X$1001,0)),"")</f>
        <v/>
      </c>
      <c r="C675" s="0" t="str">
        <f aca="false">IFERROR(INDEX(Calc!$N$2:$N$1001,MATCH(ROW()-1,Calc!$X$2:$X$1001,0)),"")</f>
        <v/>
      </c>
      <c r="D675" s="3" t="str">
        <f aca="false">IFERROR(INDEX(Calc!$O$2:$O$1001,MATCH(ROW()-1,Calc!$X$2:$X$1001,0)),"")</f>
        <v/>
      </c>
      <c r="E675" s="3" t="str">
        <f aca="false">IFERROR(INDEX(Calc!$P$2:$P$1001,MATCH(ROW()-1,Calc!$X$2:$X$1001,0)),"")</f>
        <v/>
      </c>
      <c r="F675" s="3" t="str">
        <f aca="false">IF(G675="","",E675-D675)</f>
        <v/>
      </c>
      <c r="G675" s="0" t="str">
        <f aca="false">IFERROR(INDEX(Calc!$S$2:$S$1001,MATCH(ROW()-1,Calc!$X$2:$X$1001,0)),"")</f>
        <v/>
      </c>
    </row>
    <row r="676" customFormat="false" ht="15" hidden="false" customHeight="false" outlineLevel="0" collapsed="false">
      <c r="A676" s="0" t="str">
        <f aca="false">IFERROR(INDEX(Calc!$L$2:$L$1001,MATCH(ROW()-1,Calc!$X$2:$X$1001,0)),"")</f>
        <v/>
      </c>
      <c r="B676" s="0" t="str">
        <f aca="false">IFERROR(INDEX(Calc!$M$2:$M$1001,MATCH(ROW()-1,Calc!$X$2:$X$1001,0)),"")</f>
        <v/>
      </c>
      <c r="C676" s="0" t="str">
        <f aca="false">IFERROR(INDEX(Calc!$N$2:$N$1001,MATCH(ROW()-1,Calc!$X$2:$X$1001,0)),"")</f>
        <v/>
      </c>
      <c r="D676" s="3" t="str">
        <f aca="false">IFERROR(INDEX(Calc!$O$2:$O$1001,MATCH(ROW()-1,Calc!$X$2:$X$1001,0)),"")</f>
        <v/>
      </c>
      <c r="E676" s="3" t="str">
        <f aca="false">IFERROR(INDEX(Calc!$P$2:$P$1001,MATCH(ROW()-1,Calc!$X$2:$X$1001,0)),"")</f>
        <v/>
      </c>
      <c r="F676" s="3" t="str">
        <f aca="false">IF(G676="","",E676-D676)</f>
        <v/>
      </c>
      <c r="G676" s="0" t="str">
        <f aca="false">IFERROR(INDEX(Calc!$S$2:$S$1001,MATCH(ROW()-1,Calc!$X$2:$X$1001,0)),"")</f>
        <v/>
      </c>
    </row>
    <row r="677" customFormat="false" ht="15" hidden="false" customHeight="false" outlineLevel="0" collapsed="false">
      <c r="A677" s="0" t="str">
        <f aca="false">IFERROR(INDEX(Calc!$L$2:$L$1001,MATCH(ROW()-1,Calc!$X$2:$X$1001,0)),"")</f>
        <v/>
      </c>
      <c r="B677" s="0" t="str">
        <f aca="false">IFERROR(INDEX(Calc!$M$2:$M$1001,MATCH(ROW()-1,Calc!$X$2:$X$1001,0)),"")</f>
        <v/>
      </c>
      <c r="C677" s="0" t="str">
        <f aca="false">IFERROR(INDEX(Calc!$N$2:$N$1001,MATCH(ROW()-1,Calc!$X$2:$X$1001,0)),"")</f>
        <v/>
      </c>
      <c r="D677" s="3" t="str">
        <f aca="false">IFERROR(INDEX(Calc!$O$2:$O$1001,MATCH(ROW()-1,Calc!$X$2:$X$1001,0)),"")</f>
        <v/>
      </c>
      <c r="E677" s="3" t="str">
        <f aca="false">IFERROR(INDEX(Calc!$P$2:$P$1001,MATCH(ROW()-1,Calc!$X$2:$X$1001,0)),"")</f>
        <v/>
      </c>
      <c r="F677" s="3" t="str">
        <f aca="false">IF(G677="","",E677-D677)</f>
        <v/>
      </c>
      <c r="G677" s="0" t="str">
        <f aca="false">IFERROR(INDEX(Calc!$S$2:$S$1001,MATCH(ROW()-1,Calc!$X$2:$X$1001,0)),"")</f>
        <v/>
      </c>
    </row>
    <row r="678" customFormat="false" ht="15" hidden="false" customHeight="false" outlineLevel="0" collapsed="false">
      <c r="A678" s="0" t="str">
        <f aca="false">IFERROR(INDEX(Calc!$L$2:$L$1001,MATCH(ROW()-1,Calc!$X$2:$X$1001,0)),"")</f>
        <v/>
      </c>
      <c r="B678" s="0" t="str">
        <f aca="false">IFERROR(INDEX(Calc!$M$2:$M$1001,MATCH(ROW()-1,Calc!$X$2:$X$1001,0)),"")</f>
        <v/>
      </c>
      <c r="C678" s="0" t="str">
        <f aca="false">IFERROR(INDEX(Calc!$N$2:$N$1001,MATCH(ROW()-1,Calc!$X$2:$X$1001,0)),"")</f>
        <v/>
      </c>
      <c r="D678" s="3" t="str">
        <f aca="false">IFERROR(INDEX(Calc!$O$2:$O$1001,MATCH(ROW()-1,Calc!$X$2:$X$1001,0)),"")</f>
        <v/>
      </c>
      <c r="E678" s="3" t="str">
        <f aca="false">IFERROR(INDEX(Calc!$P$2:$P$1001,MATCH(ROW()-1,Calc!$X$2:$X$1001,0)),"")</f>
        <v/>
      </c>
      <c r="F678" s="3" t="str">
        <f aca="false">IF(G678="","",E678-D678)</f>
        <v/>
      </c>
      <c r="G678" s="0" t="str">
        <f aca="false">IFERROR(INDEX(Calc!$S$2:$S$1001,MATCH(ROW()-1,Calc!$X$2:$X$1001,0)),"")</f>
        <v/>
      </c>
    </row>
    <row r="679" customFormat="false" ht="15" hidden="false" customHeight="false" outlineLevel="0" collapsed="false">
      <c r="A679" s="0" t="str">
        <f aca="false">IFERROR(INDEX(Calc!$L$2:$L$1001,MATCH(ROW()-1,Calc!$X$2:$X$1001,0)),"")</f>
        <v/>
      </c>
      <c r="B679" s="0" t="str">
        <f aca="false">IFERROR(INDEX(Calc!$M$2:$M$1001,MATCH(ROW()-1,Calc!$X$2:$X$1001,0)),"")</f>
        <v/>
      </c>
      <c r="C679" s="0" t="str">
        <f aca="false">IFERROR(INDEX(Calc!$N$2:$N$1001,MATCH(ROW()-1,Calc!$X$2:$X$1001,0)),"")</f>
        <v/>
      </c>
      <c r="D679" s="3" t="str">
        <f aca="false">IFERROR(INDEX(Calc!$O$2:$O$1001,MATCH(ROW()-1,Calc!$X$2:$X$1001,0)),"")</f>
        <v/>
      </c>
      <c r="E679" s="3" t="str">
        <f aca="false">IFERROR(INDEX(Calc!$P$2:$P$1001,MATCH(ROW()-1,Calc!$X$2:$X$1001,0)),"")</f>
        <v/>
      </c>
      <c r="F679" s="3" t="str">
        <f aca="false">IF(G679="","",E679-D679)</f>
        <v/>
      </c>
      <c r="G679" s="0" t="str">
        <f aca="false">IFERROR(INDEX(Calc!$S$2:$S$1001,MATCH(ROW()-1,Calc!$X$2:$X$1001,0)),"")</f>
        <v/>
      </c>
    </row>
    <row r="680" customFormat="false" ht="15" hidden="false" customHeight="false" outlineLevel="0" collapsed="false">
      <c r="A680" s="0" t="str">
        <f aca="false">IFERROR(INDEX(Calc!$L$2:$L$1001,MATCH(ROW()-1,Calc!$X$2:$X$1001,0)),"")</f>
        <v/>
      </c>
      <c r="B680" s="0" t="str">
        <f aca="false">IFERROR(INDEX(Calc!$M$2:$M$1001,MATCH(ROW()-1,Calc!$X$2:$X$1001,0)),"")</f>
        <v/>
      </c>
      <c r="C680" s="0" t="str">
        <f aca="false">IFERROR(INDEX(Calc!$N$2:$N$1001,MATCH(ROW()-1,Calc!$X$2:$X$1001,0)),"")</f>
        <v/>
      </c>
      <c r="D680" s="3" t="str">
        <f aca="false">IFERROR(INDEX(Calc!$O$2:$O$1001,MATCH(ROW()-1,Calc!$X$2:$X$1001,0)),"")</f>
        <v/>
      </c>
      <c r="E680" s="3" t="str">
        <f aca="false">IFERROR(INDEX(Calc!$P$2:$P$1001,MATCH(ROW()-1,Calc!$X$2:$X$1001,0)),"")</f>
        <v/>
      </c>
      <c r="F680" s="3" t="str">
        <f aca="false">IF(G680="","",E680-D680)</f>
        <v/>
      </c>
      <c r="G680" s="0" t="str">
        <f aca="false">IFERROR(INDEX(Calc!$S$2:$S$1001,MATCH(ROW()-1,Calc!$X$2:$X$1001,0)),"")</f>
        <v/>
      </c>
    </row>
    <row r="681" customFormat="false" ht="15" hidden="false" customHeight="false" outlineLevel="0" collapsed="false">
      <c r="A681" s="0" t="str">
        <f aca="false">IFERROR(INDEX(Calc!$L$2:$L$1001,MATCH(ROW()-1,Calc!$X$2:$X$1001,0)),"")</f>
        <v/>
      </c>
      <c r="B681" s="0" t="str">
        <f aca="false">IFERROR(INDEX(Calc!$M$2:$M$1001,MATCH(ROW()-1,Calc!$X$2:$X$1001,0)),"")</f>
        <v/>
      </c>
      <c r="C681" s="0" t="str">
        <f aca="false">IFERROR(INDEX(Calc!$N$2:$N$1001,MATCH(ROW()-1,Calc!$X$2:$X$1001,0)),"")</f>
        <v/>
      </c>
      <c r="D681" s="3" t="str">
        <f aca="false">IFERROR(INDEX(Calc!$O$2:$O$1001,MATCH(ROW()-1,Calc!$X$2:$X$1001,0)),"")</f>
        <v/>
      </c>
      <c r="E681" s="3" t="str">
        <f aca="false">IFERROR(INDEX(Calc!$P$2:$P$1001,MATCH(ROW()-1,Calc!$X$2:$X$1001,0)),"")</f>
        <v/>
      </c>
      <c r="F681" s="3" t="str">
        <f aca="false">IF(G681="","",E681-D681)</f>
        <v/>
      </c>
      <c r="G681" s="0" t="str">
        <f aca="false">IFERROR(INDEX(Calc!$S$2:$S$1001,MATCH(ROW()-1,Calc!$X$2:$X$1001,0)),"")</f>
        <v/>
      </c>
    </row>
    <row r="682" customFormat="false" ht="15" hidden="false" customHeight="false" outlineLevel="0" collapsed="false">
      <c r="A682" s="0" t="str">
        <f aca="false">IFERROR(INDEX(Calc!$L$2:$L$1001,MATCH(ROW()-1,Calc!$X$2:$X$1001,0)),"")</f>
        <v/>
      </c>
      <c r="B682" s="0" t="str">
        <f aca="false">IFERROR(INDEX(Calc!$M$2:$M$1001,MATCH(ROW()-1,Calc!$X$2:$X$1001,0)),"")</f>
        <v/>
      </c>
      <c r="C682" s="0" t="str">
        <f aca="false">IFERROR(INDEX(Calc!$N$2:$N$1001,MATCH(ROW()-1,Calc!$X$2:$X$1001,0)),"")</f>
        <v/>
      </c>
      <c r="D682" s="3" t="str">
        <f aca="false">IFERROR(INDEX(Calc!$O$2:$O$1001,MATCH(ROW()-1,Calc!$X$2:$X$1001,0)),"")</f>
        <v/>
      </c>
      <c r="E682" s="3" t="str">
        <f aca="false">IFERROR(INDEX(Calc!$P$2:$P$1001,MATCH(ROW()-1,Calc!$X$2:$X$1001,0)),"")</f>
        <v/>
      </c>
      <c r="F682" s="3" t="str">
        <f aca="false">IF(G682="","",E682-D682)</f>
        <v/>
      </c>
      <c r="G682" s="0" t="str">
        <f aca="false">IFERROR(INDEX(Calc!$S$2:$S$1001,MATCH(ROW()-1,Calc!$X$2:$X$1001,0)),"")</f>
        <v/>
      </c>
    </row>
    <row r="683" customFormat="false" ht="15" hidden="false" customHeight="false" outlineLevel="0" collapsed="false">
      <c r="A683" s="0" t="str">
        <f aca="false">IFERROR(INDEX(Calc!$L$2:$L$1001,MATCH(ROW()-1,Calc!$X$2:$X$1001,0)),"")</f>
        <v/>
      </c>
      <c r="B683" s="0" t="str">
        <f aca="false">IFERROR(INDEX(Calc!$M$2:$M$1001,MATCH(ROW()-1,Calc!$X$2:$X$1001,0)),"")</f>
        <v/>
      </c>
      <c r="C683" s="0" t="str">
        <f aca="false">IFERROR(INDEX(Calc!$N$2:$N$1001,MATCH(ROW()-1,Calc!$X$2:$X$1001,0)),"")</f>
        <v/>
      </c>
      <c r="D683" s="3" t="str">
        <f aca="false">IFERROR(INDEX(Calc!$O$2:$O$1001,MATCH(ROW()-1,Calc!$X$2:$X$1001,0)),"")</f>
        <v/>
      </c>
      <c r="E683" s="3" t="str">
        <f aca="false">IFERROR(INDEX(Calc!$P$2:$P$1001,MATCH(ROW()-1,Calc!$X$2:$X$1001,0)),"")</f>
        <v/>
      </c>
      <c r="F683" s="3" t="str">
        <f aca="false">IF(G683="","",E683-D683)</f>
        <v/>
      </c>
      <c r="G683" s="0" t="str">
        <f aca="false">IFERROR(INDEX(Calc!$S$2:$S$1001,MATCH(ROW()-1,Calc!$X$2:$X$1001,0)),"")</f>
        <v/>
      </c>
    </row>
    <row r="684" customFormat="false" ht="15" hidden="false" customHeight="false" outlineLevel="0" collapsed="false">
      <c r="A684" s="0" t="str">
        <f aca="false">IFERROR(INDEX(Calc!$L$2:$L$1001,MATCH(ROW()-1,Calc!$X$2:$X$1001,0)),"")</f>
        <v/>
      </c>
      <c r="B684" s="0" t="str">
        <f aca="false">IFERROR(INDEX(Calc!$M$2:$M$1001,MATCH(ROW()-1,Calc!$X$2:$X$1001,0)),"")</f>
        <v/>
      </c>
      <c r="C684" s="0" t="str">
        <f aca="false">IFERROR(INDEX(Calc!$N$2:$N$1001,MATCH(ROW()-1,Calc!$X$2:$X$1001,0)),"")</f>
        <v/>
      </c>
      <c r="D684" s="3" t="str">
        <f aca="false">IFERROR(INDEX(Calc!$O$2:$O$1001,MATCH(ROW()-1,Calc!$X$2:$X$1001,0)),"")</f>
        <v/>
      </c>
      <c r="E684" s="3" t="str">
        <f aca="false">IFERROR(INDEX(Calc!$P$2:$P$1001,MATCH(ROW()-1,Calc!$X$2:$X$1001,0)),"")</f>
        <v/>
      </c>
      <c r="F684" s="3" t="str">
        <f aca="false">IF(G684="","",E684-D684)</f>
        <v/>
      </c>
      <c r="G684" s="0" t="str">
        <f aca="false">IFERROR(INDEX(Calc!$S$2:$S$1001,MATCH(ROW()-1,Calc!$X$2:$X$1001,0)),"")</f>
        <v/>
      </c>
    </row>
    <row r="685" customFormat="false" ht="15" hidden="false" customHeight="false" outlineLevel="0" collapsed="false">
      <c r="A685" s="0" t="str">
        <f aca="false">IFERROR(INDEX(Calc!$L$2:$L$1001,MATCH(ROW()-1,Calc!$X$2:$X$1001,0)),"")</f>
        <v/>
      </c>
      <c r="B685" s="0" t="str">
        <f aca="false">IFERROR(INDEX(Calc!$M$2:$M$1001,MATCH(ROW()-1,Calc!$X$2:$X$1001,0)),"")</f>
        <v/>
      </c>
      <c r="C685" s="0" t="str">
        <f aca="false">IFERROR(INDEX(Calc!$N$2:$N$1001,MATCH(ROW()-1,Calc!$X$2:$X$1001,0)),"")</f>
        <v/>
      </c>
      <c r="D685" s="3" t="str">
        <f aca="false">IFERROR(INDEX(Calc!$O$2:$O$1001,MATCH(ROW()-1,Calc!$X$2:$X$1001,0)),"")</f>
        <v/>
      </c>
      <c r="E685" s="3" t="str">
        <f aca="false">IFERROR(INDEX(Calc!$P$2:$P$1001,MATCH(ROW()-1,Calc!$X$2:$X$1001,0)),"")</f>
        <v/>
      </c>
      <c r="F685" s="3" t="str">
        <f aca="false">IF(G685="","",E685-D685)</f>
        <v/>
      </c>
      <c r="G685" s="0" t="str">
        <f aca="false">IFERROR(INDEX(Calc!$S$2:$S$1001,MATCH(ROW()-1,Calc!$X$2:$X$1001,0)),"")</f>
        <v/>
      </c>
    </row>
    <row r="686" customFormat="false" ht="15" hidden="false" customHeight="false" outlineLevel="0" collapsed="false">
      <c r="A686" s="0" t="str">
        <f aca="false">IFERROR(INDEX(Calc!$L$2:$L$1001,MATCH(ROW()-1,Calc!$X$2:$X$1001,0)),"")</f>
        <v/>
      </c>
      <c r="B686" s="0" t="str">
        <f aca="false">IFERROR(INDEX(Calc!$M$2:$M$1001,MATCH(ROW()-1,Calc!$X$2:$X$1001,0)),"")</f>
        <v/>
      </c>
      <c r="C686" s="0" t="str">
        <f aca="false">IFERROR(INDEX(Calc!$N$2:$N$1001,MATCH(ROW()-1,Calc!$X$2:$X$1001,0)),"")</f>
        <v/>
      </c>
      <c r="D686" s="3" t="str">
        <f aca="false">IFERROR(INDEX(Calc!$O$2:$O$1001,MATCH(ROW()-1,Calc!$X$2:$X$1001,0)),"")</f>
        <v/>
      </c>
      <c r="E686" s="3" t="str">
        <f aca="false">IFERROR(INDEX(Calc!$P$2:$P$1001,MATCH(ROW()-1,Calc!$X$2:$X$1001,0)),"")</f>
        <v/>
      </c>
      <c r="F686" s="3" t="str">
        <f aca="false">IF(G686="","",E686-D686)</f>
        <v/>
      </c>
      <c r="G686" s="0" t="str">
        <f aca="false">IFERROR(INDEX(Calc!$S$2:$S$1001,MATCH(ROW()-1,Calc!$X$2:$X$1001,0)),"")</f>
        <v/>
      </c>
    </row>
    <row r="687" customFormat="false" ht="15" hidden="false" customHeight="false" outlineLevel="0" collapsed="false">
      <c r="A687" s="0" t="str">
        <f aca="false">IFERROR(INDEX(Calc!$L$2:$L$1001,MATCH(ROW()-1,Calc!$X$2:$X$1001,0)),"")</f>
        <v/>
      </c>
      <c r="B687" s="0" t="str">
        <f aca="false">IFERROR(INDEX(Calc!$M$2:$M$1001,MATCH(ROW()-1,Calc!$X$2:$X$1001,0)),"")</f>
        <v/>
      </c>
      <c r="C687" s="0" t="str">
        <f aca="false">IFERROR(INDEX(Calc!$N$2:$N$1001,MATCH(ROW()-1,Calc!$X$2:$X$1001,0)),"")</f>
        <v/>
      </c>
      <c r="D687" s="3" t="str">
        <f aca="false">IFERROR(INDEX(Calc!$O$2:$O$1001,MATCH(ROW()-1,Calc!$X$2:$X$1001,0)),"")</f>
        <v/>
      </c>
      <c r="E687" s="3" t="str">
        <f aca="false">IFERROR(INDEX(Calc!$P$2:$P$1001,MATCH(ROW()-1,Calc!$X$2:$X$1001,0)),"")</f>
        <v/>
      </c>
      <c r="F687" s="3" t="str">
        <f aca="false">IF(G687="","",E687-D687)</f>
        <v/>
      </c>
      <c r="G687" s="0" t="str">
        <f aca="false">IFERROR(INDEX(Calc!$S$2:$S$1001,MATCH(ROW()-1,Calc!$X$2:$X$1001,0)),"")</f>
        <v/>
      </c>
    </row>
    <row r="688" customFormat="false" ht="15" hidden="false" customHeight="false" outlineLevel="0" collapsed="false">
      <c r="A688" s="0" t="str">
        <f aca="false">IFERROR(INDEX(Calc!$L$2:$L$1001,MATCH(ROW()-1,Calc!$X$2:$X$1001,0)),"")</f>
        <v/>
      </c>
      <c r="B688" s="0" t="str">
        <f aca="false">IFERROR(INDEX(Calc!$M$2:$M$1001,MATCH(ROW()-1,Calc!$X$2:$X$1001,0)),"")</f>
        <v/>
      </c>
      <c r="C688" s="0" t="str">
        <f aca="false">IFERROR(INDEX(Calc!$N$2:$N$1001,MATCH(ROW()-1,Calc!$X$2:$X$1001,0)),"")</f>
        <v/>
      </c>
      <c r="D688" s="3" t="str">
        <f aca="false">IFERROR(INDEX(Calc!$O$2:$O$1001,MATCH(ROW()-1,Calc!$X$2:$X$1001,0)),"")</f>
        <v/>
      </c>
      <c r="E688" s="3" t="str">
        <f aca="false">IFERROR(INDEX(Calc!$P$2:$P$1001,MATCH(ROW()-1,Calc!$X$2:$X$1001,0)),"")</f>
        <v/>
      </c>
      <c r="F688" s="3" t="str">
        <f aca="false">IF(G688="","",E688-D688)</f>
        <v/>
      </c>
      <c r="G688" s="0" t="str">
        <f aca="false">IFERROR(INDEX(Calc!$S$2:$S$1001,MATCH(ROW()-1,Calc!$X$2:$X$1001,0)),"")</f>
        <v/>
      </c>
    </row>
    <row r="689" customFormat="false" ht="15" hidden="false" customHeight="false" outlineLevel="0" collapsed="false">
      <c r="A689" s="0" t="str">
        <f aca="false">IFERROR(INDEX(Calc!$L$2:$L$1001,MATCH(ROW()-1,Calc!$X$2:$X$1001,0)),"")</f>
        <v/>
      </c>
      <c r="B689" s="0" t="str">
        <f aca="false">IFERROR(INDEX(Calc!$M$2:$M$1001,MATCH(ROW()-1,Calc!$X$2:$X$1001,0)),"")</f>
        <v/>
      </c>
      <c r="C689" s="0" t="str">
        <f aca="false">IFERROR(INDEX(Calc!$N$2:$N$1001,MATCH(ROW()-1,Calc!$X$2:$X$1001,0)),"")</f>
        <v/>
      </c>
      <c r="D689" s="3" t="str">
        <f aca="false">IFERROR(INDEX(Calc!$O$2:$O$1001,MATCH(ROW()-1,Calc!$X$2:$X$1001,0)),"")</f>
        <v/>
      </c>
      <c r="E689" s="3" t="str">
        <f aca="false">IFERROR(INDEX(Calc!$P$2:$P$1001,MATCH(ROW()-1,Calc!$X$2:$X$1001,0)),"")</f>
        <v/>
      </c>
      <c r="F689" s="3" t="str">
        <f aca="false">IF(G689="","",E689-D689)</f>
        <v/>
      </c>
      <c r="G689" s="0" t="str">
        <f aca="false">IFERROR(INDEX(Calc!$S$2:$S$1001,MATCH(ROW()-1,Calc!$X$2:$X$1001,0)),"")</f>
        <v/>
      </c>
    </row>
    <row r="690" customFormat="false" ht="15" hidden="false" customHeight="false" outlineLevel="0" collapsed="false">
      <c r="A690" s="0" t="str">
        <f aca="false">IFERROR(INDEX(Calc!$L$2:$L$1001,MATCH(ROW()-1,Calc!$X$2:$X$1001,0)),"")</f>
        <v/>
      </c>
      <c r="B690" s="0" t="str">
        <f aca="false">IFERROR(INDEX(Calc!$M$2:$M$1001,MATCH(ROW()-1,Calc!$X$2:$X$1001,0)),"")</f>
        <v/>
      </c>
      <c r="C690" s="0" t="str">
        <f aca="false">IFERROR(INDEX(Calc!$N$2:$N$1001,MATCH(ROW()-1,Calc!$X$2:$X$1001,0)),"")</f>
        <v/>
      </c>
      <c r="D690" s="3" t="str">
        <f aca="false">IFERROR(INDEX(Calc!$O$2:$O$1001,MATCH(ROW()-1,Calc!$X$2:$X$1001,0)),"")</f>
        <v/>
      </c>
      <c r="E690" s="3" t="str">
        <f aca="false">IFERROR(INDEX(Calc!$P$2:$P$1001,MATCH(ROW()-1,Calc!$X$2:$X$1001,0)),"")</f>
        <v/>
      </c>
      <c r="F690" s="3" t="str">
        <f aca="false">IF(G690="","",E690-D690)</f>
        <v/>
      </c>
      <c r="G690" s="0" t="str">
        <f aca="false">IFERROR(INDEX(Calc!$S$2:$S$1001,MATCH(ROW()-1,Calc!$X$2:$X$1001,0)),"")</f>
        <v/>
      </c>
    </row>
    <row r="691" customFormat="false" ht="15" hidden="false" customHeight="false" outlineLevel="0" collapsed="false">
      <c r="A691" s="0" t="str">
        <f aca="false">IFERROR(INDEX(Calc!$L$2:$L$1001,MATCH(ROW()-1,Calc!$X$2:$X$1001,0)),"")</f>
        <v/>
      </c>
      <c r="B691" s="0" t="str">
        <f aca="false">IFERROR(INDEX(Calc!$M$2:$M$1001,MATCH(ROW()-1,Calc!$X$2:$X$1001,0)),"")</f>
        <v/>
      </c>
      <c r="C691" s="0" t="str">
        <f aca="false">IFERROR(INDEX(Calc!$N$2:$N$1001,MATCH(ROW()-1,Calc!$X$2:$X$1001,0)),"")</f>
        <v/>
      </c>
      <c r="D691" s="3" t="str">
        <f aca="false">IFERROR(INDEX(Calc!$O$2:$O$1001,MATCH(ROW()-1,Calc!$X$2:$X$1001,0)),"")</f>
        <v/>
      </c>
      <c r="E691" s="3" t="str">
        <f aca="false">IFERROR(INDEX(Calc!$P$2:$P$1001,MATCH(ROW()-1,Calc!$X$2:$X$1001,0)),"")</f>
        <v/>
      </c>
      <c r="F691" s="3" t="str">
        <f aca="false">IF(G691="","",E691-D691)</f>
        <v/>
      </c>
      <c r="G691" s="0" t="str">
        <f aca="false">IFERROR(INDEX(Calc!$S$2:$S$1001,MATCH(ROW()-1,Calc!$X$2:$X$1001,0)),"")</f>
        <v/>
      </c>
    </row>
    <row r="692" customFormat="false" ht="15" hidden="false" customHeight="false" outlineLevel="0" collapsed="false">
      <c r="A692" s="0" t="str">
        <f aca="false">IFERROR(INDEX(Calc!$L$2:$L$1001,MATCH(ROW()-1,Calc!$X$2:$X$1001,0)),"")</f>
        <v/>
      </c>
      <c r="B692" s="0" t="str">
        <f aca="false">IFERROR(INDEX(Calc!$M$2:$M$1001,MATCH(ROW()-1,Calc!$X$2:$X$1001,0)),"")</f>
        <v/>
      </c>
      <c r="C692" s="0" t="str">
        <f aca="false">IFERROR(INDEX(Calc!$N$2:$N$1001,MATCH(ROW()-1,Calc!$X$2:$X$1001,0)),"")</f>
        <v/>
      </c>
      <c r="D692" s="3" t="str">
        <f aca="false">IFERROR(INDEX(Calc!$O$2:$O$1001,MATCH(ROW()-1,Calc!$X$2:$X$1001,0)),"")</f>
        <v/>
      </c>
      <c r="E692" s="3" t="str">
        <f aca="false">IFERROR(INDEX(Calc!$P$2:$P$1001,MATCH(ROW()-1,Calc!$X$2:$X$1001,0)),"")</f>
        <v/>
      </c>
      <c r="F692" s="3" t="str">
        <f aca="false">IF(G692="","",E692-D692)</f>
        <v/>
      </c>
      <c r="G692" s="0" t="str">
        <f aca="false">IFERROR(INDEX(Calc!$S$2:$S$1001,MATCH(ROW()-1,Calc!$X$2:$X$1001,0)),"")</f>
        <v/>
      </c>
    </row>
    <row r="693" customFormat="false" ht="15" hidden="false" customHeight="false" outlineLevel="0" collapsed="false">
      <c r="A693" s="0" t="str">
        <f aca="false">IFERROR(INDEX(Calc!$L$2:$L$1001,MATCH(ROW()-1,Calc!$X$2:$X$1001,0)),"")</f>
        <v/>
      </c>
      <c r="B693" s="0" t="str">
        <f aca="false">IFERROR(INDEX(Calc!$M$2:$M$1001,MATCH(ROW()-1,Calc!$X$2:$X$1001,0)),"")</f>
        <v/>
      </c>
      <c r="C693" s="0" t="str">
        <f aca="false">IFERROR(INDEX(Calc!$N$2:$N$1001,MATCH(ROW()-1,Calc!$X$2:$X$1001,0)),"")</f>
        <v/>
      </c>
      <c r="D693" s="3" t="str">
        <f aca="false">IFERROR(INDEX(Calc!$O$2:$O$1001,MATCH(ROW()-1,Calc!$X$2:$X$1001,0)),"")</f>
        <v/>
      </c>
      <c r="E693" s="3" t="str">
        <f aca="false">IFERROR(INDEX(Calc!$P$2:$P$1001,MATCH(ROW()-1,Calc!$X$2:$X$1001,0)),"")</f>
        <v/>
      </c>
      <c r="F693" s="3" t="str">
        <f aca="false">IF(G693="","",E693-D693)</f>
        <v/>
      </c>
      <c r="G693" s="0" t="str">
        <f aca="false">IFERROR(INDEX(Calc!$S$2:$S$1001,MATCH(ROW()-1,Calc!$X$2:$X$1001,0)),"")</f>
        <v/>
      </c>
    </row>
    <row r="694" customFormat="false" ht="15" hidden="false" customHeight="false" outlineLevel="0" collapsed="false">
      <c r="A694" s="0" t="str">
        <f aca="false">IFERROR(INDEX(Calc!$L$2:$L$1001,MATCH(ROW()-1,Calc!$X$2:$X$1001,0)),"")</f>
        <v/>
      </c>
      <c r="B694" s="0" t="str">
        <f aca="false">IFERROR(INDEX(Calc!$M$2:$M$1001,MATCH(ROW()-1,Calc!$X$2:$X$1001,0)),"")</f>
        <v/>
      </c>
      <c r="C694" s="0" t="str">
        <f aca="false">IFERROR(INDEX(Calc!$N$2:$N$1001,MATCH(ROW()-1,Calc!$X$2:$X$1001,0)),"")</f>
        <v/>
      </c>
      <c r="D694" s="3" t="str">
        <f aca="false">IFERROR(INDEX(Calc!$O$2:$O$1001,MATCH(ROW()-1,Calc!$X$2:$X$1001,0)),"")</f>
        <v/>
      </c>
      <c r="E694" s="3" t="str">
        <f aca="false">IFERROR(INDEX(Calc!$P$2:$P$1001,MATCH(ROW()-1,Calc!$X$2:$X$1001,0)),"")</f>
        <v/>
      </c>
      <c r="F694" s="3" t="str">
        <f aca="false">IF(G694="","",E694-D694)</f>
        <v/>
      </c>
      <c r="G694" s="0" t="str">
        <f aca="false">IFERROR(INDEX(Calc!$S$2:$S$1001,MATCH(ROW()-1,Calc!$X$2:$X$1001,0)),"")</f>
        <v/>
      </c>
    </row>
    <row r="695" customFormat="false" ht="15" hidden="false" customHeight="false" outlineLevel="0" collapsed="false">
      <c r="A695" s="0" t="str">
        <f aca="false">IFERROR(INDEX(Calc!$L$2:$L$1001,MATCH(ROW()-1,Calc!$X$2:$X$1001,0)),"")</f>
        <v/>
      </c>
      <c r="B695" s="0" t="str">
        <f aca="false">IFERROR(INDEX(Calc!$M$2:$M$1001,MATCH(ROW()-1,Calc!$X$2:$X$1001,0)),"")</f>
        <v/>
      </c>
      <c r="C695" s="0" t="str">
        <f aca="false">IFERROR(INDEX(Calc!$N$2:$N$1001,MATCH(ROW()-1,Calc!$X$2:$X$1001,0)),"")</f>
        <v/>
      </c>
      <c r="D695" s="3" t="str">
        <f aca="false">IFERROR(INDEX(Calc!$O$2:$O$1001,MATCH(ROW()-1,Calc!$X$2:$X$1001,0)),"")</f>
        <v/>
      </c>
      <c r="E695" s="3" t="str">
        <f aca="false">IFERROR(INDEX(Calc!$P$2:$P$1001,MATCH(ROW()-1,Calc!$X$2:$X$1001,0)),"")</f>
        <v/>
      </c>
      <c r="F695" s="3" t="str">
        <f aca="false">IF(G695="","",E695-D695)</f>
        <v/>
      </c>
      <c r="G695" s="0" t="str">
        <f aca="false">IFERROR(INDEX(Calc!$S$2:$S$1001,MATCH(ROW()-1,Calc!$X$2:$X$1001,0)),"")</f>
        <v/>
      </c>
    </row>
    <row r="696" customFormat="false" ht="15" hidden="false" customHeight="false" outlineLevel="0" collapsed="false">
      <c r="A696" s="0" t="str">
        <f aca="false">IFERROR(INDEX(Calc!$L$2:$L$1001,MATCH(ROW()-1,Calc!$X$2:$X$1001,0)),"")</f>
        <v/>
      </c>
      <c r="B696" s="0" t="str">
        <f aca="false">IFERROR(INDEX(Calc!$M$2:$M$1001,MATCH(ROW()-1,Calc!$X$2:$X$1001,0)),"")</f>
        <v/>
      </c>
      <c r="C696" s="0" t="str">
        <f aca="false">IFERROR(INDEX(Calc!$N$2:$N$1001,MATCH(ROW()-1,Calc!$X$2:$X$1001,0)),"")</f>
        <v/>
      </c>
      <c r="D696" s="3" t="str">
        <f aca="false">IFERROR(INDEX(Calc!$O$2:$O$1001,MATCH(ROW()-1,Calc!$X$2:$X$1001,0)),"")</f>
        <v/>
      </c>
      <c r="E696" s="3" t="str">
        <f aca="false">IFERROR(INDEX(Calc!$P$2:$P$1001,MATCH(ROW()-1,Calc!$X$2:$X$1001,0)),"")</f>
        <v/>
      </c>
      <c r="F696" s="3" t="str">
        <f aca="false">IF(G696="","",E696-D696)</f>
        <v/>
      </c>
      <c r="G696" s="0" t="str">
        <f aca="false">IFERROR(INDEX(Calc!$S$2:$S$1001,MATCH(ROW()-1,Calc!$X$2:$X$1001,0)),"")</f>
        <v/>
      </c>
    </row>
    <row r="697" customFormat="false" ht="15" hidden="false" customHeight="false" outlineLevel="0" collapsed="false">
      <c r="A697" s="0" t="str">
        <f aca="false">IFERROR(INDEX(Calc!$L$2:$L$1001,MATCH(ROW()-1,Calc!$X$2:$X$1001,0)),"")</f>
        <v/>
      </c>
      <c r="B697" s="0" t="str">
        <f aca="false">IFERROR(INDEX(Calc!$M$2:$M$1001,MATCH(ROW()-1,Calc!$X$2:$X$1001,0)),"")</f>
        <v/>
      </c>
      <c r="C697" s="0" t="str">
        <f aca="false">IFERROR(INDEX(Calc!$N$2:$N$1001,MATCH(ROW()-1,Calc!$X$2:$X$1001,0)),"")</f>
        <v/>
      </c>
      <c r="D697" s="3" t="str">
        <f aca="false">IFERROR(INDEX(Calc!$O$2:$O$1001,MATCH(ROW()-1,Calc!$X$2:$X$1001,0)),"")</f>
        <v/>
      </c>
      <c r="E697" s="3" t="str">
        <f aca="false">IFERROR(INDEX(Calc!$P$2:$P$1001,MATCH(ROW()-1,Calc!$X$2:$X$1001,0)),"")</f>
        <v/>
      </c>
      <c r="F697" s="3" t="str">
        <f aca="false">IF(G697="","",E697-D697)</f>
        <v/>
      </c>
      <c r="G697" s="0" t="str">
        <f aca="false">IFERROR(INDEX(Calc!$S$2:$S$1001,MATCH(ROW()-1,Calc!$X$2:$X$1001,0)),"")</f>
        <v/>
      </c>
    </row>
    <row r="698" customFormat="false" ht="15" hidden="false" customHeight="false" outlineLevel="0" collapsed="false">
      <c r="A698" s="0" t="str">
        <f aca="false">IFERROR(INDEX(Calc!$L$2:$L$1001,MATCH(ROW()-1,Calc!$X$2:$X$1001,0)),"")</f>
        <v/>
      </c>
      <c r="B698" s="0" t="str">
        <f aca="false">IFERROR(INDEX(Calc!$M$2:$M$1001,MATCH(ROW()-1,Calc!$X$2:$X$1001,0)),"")</f>
        <v/>
      </c>
      <c r="C698" s="0" t="str">
        <f aca="false">IFERROR(INDEX(Calc!$N$2:$N$1001,MATCH(ROW()-1,Calc!$X$2:$X$1001,0)),"")</f>
        <v/>
      </c>
      <c r="D698" s="3" t="str">
        <f aca="false">IFERROR(INDEX(Calc!$O$2:$O$1001,MATCH(ROW()-1,Calc!$X$2:$X$1001,0)),"")</f>
        <v/>
      </c>
      <c r="E698" s="3" t="str">
        <f aca="false">IFERROR(INDEX(Calc!$P$2:$P$1001,MATCH(ROW()-1,Calc!$X$2:$X$1001,0)),"")</f>
        <v/>
      </c>
      <c r="F698" s="3" t="str">
        <f aca="false">IF(G698="","",E698-D698)</f>
        <v/>
      </c>
      <c r="G698" s="0" t="str">
        <f aca="false">IFERROR(INDEX(Calc!$S$2:$S$1001,MATCH(ROW()-1,Calc!$X$2:$X$1001,0)),"")</f>
        <v/>
      </c>
    </row>
    <row r="699" customFormat="false" ht="15" hidden="false" customHeight="false" outlineLevel="0" collapsed="false">
      <c r="A699" s="0" t="str">
        <f aca="false">IFERROR(INDEX(Calc!$L$2:$L$1001,MATCH(ROW()-1,Calc!$X$2:$X$1001,0)),"")</f>
        <v/>
      </c>
      <c r="B699" s="0" t="str">
        <f aca="false">IFERROR(INDEX(Calc!$M$2:$M$1001,MATCH(ROW()-1,Calc!$X$2:$X$1001,0)),"")</f>
        <v/>
      </c>
      <c r="C699" s="0" t="str">
        <f aca="false">IFERROR(INDEX(Calc!$N$2:$N$1001,MATCH(ROW()-1,Calc!$X$2:$X$1001,0)),"")</f>
        <v/>
      </c>
      <c r="D699" s="3" t="str">
        <f aca="false">IFERROR(INDEX(Calc!$O$2:$O$1001,MATCH(ROW()-1,Calc!$X$2:$X$1001,0)),"")</f>
        <v/>
      </c>
      <c r="E699" s="3" t="str">
        <f aca="false">IFERROR(INDEX(Calc!$P$2:$P$1001,MATCH(ROW()-1,Calc!$X$2:$X$1001,0)),"")</f>
        <v/>
      </c>
      <c r="F699" s="3" t="str">
        <f aca="false">IF(G699="","",E699-D699)</f>
        <v/>
      </c>
      <c r="G699" s="0" t="str">
        <f aca="false">IFERROR(INDEX(Calc!$S$2:$S$1001,MATCH(ROW()-1,Calc!$X$2:$X$1001,0)),"")</f>
        <v/>
      </c>
    </row>
    <row r="700" customFormat="false" ht="15" hidden="false" customHeight="false" outlineLevel="0" collapsed="false">
      <c r="A700" s="0" t="str">
        <f aca="false">IFERROR(INDEX(Calc!$L$2:$L$1001,MATCH(ROW()-1,Calc!$X$2:$X$1001,0)),"")</f>
        <v/>
      </c>
      <c r="B700" s="0" t="str">
        <f aca="false">IFERROR(INDEX(Calc!$M$2:$M$1001,MATCH(ROW()-1,Calc!$X$2:$X$1001,0)),"")</f>
        <v/>
      </c>
      <c r="C700" s="0" t="str">
        <f aca="false">IFERROR(INDEX(Calc!$N$2:$N$1001,MATCH(ROW()-1,Calc!$X$2:$X$1001,0)),"")</f>
        <v/>
      </c>
      <c r="D700" s="3" t="str">
        <f aca="false">IFERROR(INDEX(Calc!$O$2:$O$1001,MATCH(ROW()-1,Calc!$X$2:$X$1001,0)),"")</f>
        <v/>
      </c>
      <c r="E700" s="3" t="str">
        <f aca="false">IFERROR(INDEX(Calc!$P$2:$P$1001,MATCH(ROW()-1,Calc!$X$2:$X$1001,0)),"")</f>
        <v/>
      </c>
      <c r="F700" s="3" t="str">
        <f aca="false">IF(G700="","",E700-D700)</f>
        <v/>
      </c>
      <c r="G700" s="0" t="str">
        <f aca="false">IFERROR(INDEX(Calc!$S$2:$S$1001,MATCH(ROW()-1,Calc!$X$2:$X$1001,0)),"")</f>
        <v/>
      </c>
    </row>
    <row r="701" customFormat="false" ht="15" hidden="false" customHeight="false" outlineLevel="0" collapsed="false">
      <c r="A701" s="0" t="str">
        <f aca="false">IFERROR(INDEX(Calc!$L$2:$L$1001,MATCH(ROW()-1,Calc!$X$2:$X$1001,0)),"")</f>
        <v/>
      </c>
      <c r="B701" s="0" t="str">
        <f aca="false">IFERROR(INDEX(Calc!$M$2:$M$1001,MATCH(ROW()-1,Calc!$X$2:$X$1001,0)),"")</f>
        <v/>
      </c>
      <c r="C701" s="0" t="str">
        <f aca="false">IFERROR(INDEX(Calc!$N$2:$N$1001,MATCH(ROW()-1,Calc!$X$2:$X$1001,0)),"")</f>
        <v/>
      </c>
      <c r="D701" s="3" t="str">
        <f aca="false">IFERROR(INDEX(Calc!$O$2:$O$1001,MATCH(ROW()-1,Calc!$X$2:$X$1001,0)),"")</f>
        <v/>
      </c>
      <c r="E701" s="3" t="str">
        <f aca="false">IFERROR(INDEX(Calc!$P$2:$P$1001,MATCH(ROW()-1,Calc!$X$2:$X$1001,0)),"")</f>
        <v/>
      </c>
      <c r="F701" s="3" t="str">
        <f aca="false">IF(G701="","",E701-D701)</f>
        <v/>
      </c>
      <c r="G701" s="0" t="str">
        <f aca="false">IFERROR(INDEX(Calc!$S$2:$S$1001,MATCH(ROW()-1,Calc!$X$2:$X$1001,0)),"")</f>
        <v/>
      </c>
    </row>
    <row r="702" customFormat="false" ht="15" hidden="false" customHeight="false" outlineLevel="0" collapsed="false">
      <c r="A702" s="0" t="str">
        <f aca="false">IFERROR(INDEX(Calc!$L$2:$L$1001,MATCH(ROW()-1,Calc!$X$2:$X$1001,0)),"")</f>
        <v/>
      </c>
      <c r="B702" s="0" t="str">
        <f aca="false">IFERROR(INDEX(Calc!$M$2:$M$1001,MATCH(ROW()-1,Calc!$X$2:$X$1001,0)),"")</f>
        <v/>
      </c>
      <c r="C702" s="0" t="str">
        <f aca="false">IFERROR(INDEX(Calc!$N$2:$N$1001,MATCH(ROW()-1,Calc!$X$2:$X$1001,0)),"")</f>
        <v/>
      </c>
      <c r="D702" s="3" t="str">
        <f aca="false">IFERROR(INDEX(Calc!$O$2:$O$1001,MATCH(ROW()-1,Calc!$X$2:$X$1001,0)),"")</f>
        <v/>
      </c>
      <c r="E702" s="3" t="str">
        <f aca="false">IFERROR(INDEX(Calc!$P$2:$P$1001,MATCH(ROW()-1,Calc!$X$2:$X$1001,0)),"")</f>
        <v/>
      </c>
      <c r="F702" s="3" t="str">
        <f aca="false">IF(G702="","",E702-D702)</f>
        <v/>
      </c>
      <c r="G702" s="0" t="str">
        <f aca="false">IFERROR(INDEX(Calc!$S$2:$S$1001,MATCH(ROW()-1,Calc!$X$2:$X$1001,0)),"")</f>
        <v/>
      </c>
    </row>
    <row r="703" customFormat="false" ht="15" hidden="false" customHeight="false" outlineLevel="0" collapsed="false">
      <c r="A703" s="0" t="str">
        <f aca="false">IFERROR(INDEX(Calc!$L$2:$L$1001,MATCH(ROW()-1,Calc!$X$2:$X$1001,0)),"")</f>
        <v/>
      </c>
      <c r="B703" s="0" t="str">
        <f aca="false">IFERROR(INDEX(Calc!$M$2:$M$1001,MATCH(ROW()-1,Calc!$X$2:$X$1001,0)),"")</f>
        <v/>
      </c>
      <c r="C703" s="0" t="str">
        <f aca="false">IFERROR(INDEX(Calc!$N$2:$N$1001,MATCH(ROW()-1,Calc!$X$2:$X$1001,0)),"")</f>
        <v/>
      </c>
      <c r="D703" s="3" t="str">
        <f aca="false">IFERROR(INDEX(Calc!$O$2:$O$1001,MATCH(ROW()-1,Calc!$X$2:$X$1001,0)),"")</f>
        <v/>
      </c>
      <c r="E703" s="3" t="str">
        <f aca="false">IFERROR(INDEX(Calc!$P$2:$P$1001,MATCH(ROW()-1,Calc!$X$2:$X$1001,0)),"")</f>
        <v/>
      </c>
      <c r="F703" s="3" t="str">
        <f aca="false">IF(G703="","",E703-D703)</f>
        <v/>
      </c>
      <c r="G703" s="0" t="str">
        <f aca="false">IFERROR(INDEX(Calc!$S$2:$S$1001,MATCH(ROW()-1,Calc!$X$2:$X$1001,0)),"")</f>
        <v/>
      </c>
    </row>
    <row r="704" customFormat="false" ht="15" hidden="false" customHeight="false" outlineLevel="0" collapsed="false">
      <c r="A704" s="0" t="str">
        <f aca="false">IFERROR(INDEX(Calc!$L$2:$L$1001,MATCH(ROW()-1,Calc!$X$2:$X$1001,0)),"")</f>
        <v/>
      </c>
      <c r="B704" s="0" t="str">
        <f aca="false">IFERROR(INDEX(Calc!$M$2:$M$1001,MATCH(ROW()-1,Calc!$X$2:$X$1001,0)),"")</f>
        <v/>
      </c>
      <c r="C704" s="0" t="str">
        <f aca="false">IFERROR(INDEX(Calc!$N$2:$N$1001,MATCH(ROW()-1,Calc!$X$2:$X$1001,0)),"")</f>
        <v/>
      </c>
      <c r="D704" s="3" t="str">
        <f aca="false">IFERROR(INDEX(Calc!$O$2:$O$1001,MATCH(ROW()-1,Calc!$X$2:$X$1001,0)),"")</f>
        <v/>
      </c>
      <c r="E704" s="3" t="str">
        <f aca="false">IFERROR(INDEX(Calc!$P$2:$P$1001,MATCH(ROW()-1,Calc!$X$2:$X$1001,0)),"")</f>
        <v/>
      </c>
      <c r="F704" s="3" t="str">
        <f aca="false">IF(G704="","",E704-D704)</f>
        <v/>
      </c>
      <c r="G704" s="0" t="str">
        <f aca="false">IFERROR(INDEX(Calc!$S$2:$S$1001,MATCH(ROW()-1,Calc!$X$2:$X$1001,0)),"")</f>
        <v/>
      </c>
    </row>
    <row r="705" customFormat="false" ht="15" hidden="false" customHeight="false" outlineLevel="0" collapsed="false">
      <c r="A705" s="0" t="str">
        <f aca="false">IFERROR(INDEX(Calc!$L$2:$L$1001,MATCH(ROW()-1,Calc!$X$2:$X$1001,0)),"")</f>
        <v/>
      </c>
      <c r="B705" s="0" t="str">
        <f aca="false">IFERROR(INDEX(Calc!$M$2:$M$1001,MATCH(ROW()-1,Calc!$X$2:$X$1001,0)),"")</f>
        <v/>
      </c>
      <c r="C705" s="0" t="str">
        <f aca="false">IFERROR(INDEX(Calc!$N$2:$N$1001,MATCH(ROW()-1,Calc!$X$2:$X$1001,0)),"")</f>
        <v/>
      </c>
      <c r="D705" s="3" t="str">
        <f aca="false">IFERROR(INDEX(Calc!$O$2:$O$1001,MATCH(ROW()-1,Calc!$X$2:$X$1001,0)),"")</f>
        <v/>
      </c>
      <c r="E705" s="3" t="str">
        <f aca="false">IFERROR(INDEX(Calc!$P$2:$P$1001,MATCH(ROW()-1,Calc!$X$2:$X$1001,0)),"")</f>
        <v/>
      </c>
      <c r="F705" s="3" t="str">
        <f aca="false">IF(G705="","",E705-D705)</f>
        <v/>
      </c>
      <c r="G705" s="0" t="str">
        <f aca="false">IFERROR(INDEX(Calc!$S$2:$S$1001,MATCH(ROW()-1,Calc!$X$2:$X$1001,0)),"")</f>
        <v/>
      </c>
    </row>
    <row r="706" customFormat="false" ht="15" hidden="false" customHeight="false" outlineLevel="0" collapsed="false">
      <c r="A706" s="0" t="str">
        <f aca="false">IFERROR(INDEX(Calc!$L$2:$L$1001,MATCH(ROW()-1,Calc!$X$2:$X$1001,0)),"")</f>
        <v/>
      </c>
      <c r="B706" s="0" t="str">
        <f aca="false">IFERROR(INDEX(Calc!$M$2:$M$1001,MATCH(ROW()-1,Calc!$X$2:$X$1001,0)),"")</f>
        <v/>
      </c>
      <c r="C706" s="0" t="str">
        <f aca="false">IFERROR(INDEX(Calc!$N$2:$N$1001,MATCH(ROW()-1,Calc!$X$2:$X$1001,0)),"")</f>
        <v/>
      </c>
      <c r="D706" s="3" t="str">
        <f aca="false">IFERROR(INDEX(Calc!$O$2:$O$1001,MATCH(ROW()-1,Calc!$X$2:$X$1001,0)),"")</f>
        <v/>
      </c>
      <c r="E706" s="3" t="str">
        <f aca="false">IFERROR(INDEX(Calc!$P$2:$P$1001,MATCH(ROW()-1,Calc!$X$2:$X$1001,0)),"")</f>
        <v/>
      </c>
      <c r="F706" s="3" t="str">
        <f aca="false">IF(G706="","",E706-D706)</f>
        <v/>
      </c>
      <c r="G706" s="0" t="str">
        <f aca="false">IFERROR(INDEX(Calc!$S$2:$S$1001,MATCH(ROW()-1,Calc!$X$2:$X$1001,0)),"")</f>
        <v/>
      </c>
    </row>
    <row r="707" customFormat="false" ht="15" hidden="false" customHeight="false" outlineLevel="0" collapsed="false">
      <c r="A707" s="0" t="str">
        <f aca="false">IFERROR(INDEX(Calc!$L$2:$L$1001,MATCH(ROW()-1,Calc!$X$2:$X$1001,0)),"")</f>
        <v/>
      </c>
      <c r="B707" s="0" t="str">
        <f aca="false">IFERROR(INDEX(Calc!$M$2:$M$1001,MATCH(ROW()-1,Calc!$X$2:$X$1001,0)),"")</f>
        <v/>
      </c>
      <c r="C707" s="0" t="str">
        <f aca="false">IFERROR(INDEX(Calc!$N$2:$N$1001,MATCH(ROW()-1,Calc!$X$2:$X$1001,0)),"")</f>
        <v/>
      </c>
      <c r="D707" s="3" t="str">
        <f aca="false">IFERROR(INDEX(Calc!$O$2:$O$1001,MATCH(ROW()-1,Calc!$X$2:$X$1001,0)),"")</f>
        <v/>
      </c>
      <c r="E707" s="3" t="str">
        <f aca="false">IFERROR(INDEX(Calc!$P$2:$P$1001,MATCH(ROW()-1,Calc!$X$2:$X$1001,0)),"")</f>
        <v/>
      </c>
      <c r="F707" s="3" t="str">
        <f aca="false">IF(G707="","",E707-D707)</f>
        <v/>
      </c>
      <c r="G707" s="0" t="str">
        <f aca="false">IFERROR(INDEX(Calc!$S$2:$S$1001,MATCH(ROW()-1,Calc!$X$2:$X$1001,0)),"")</f>
        <v/>
      </c>
    </row>
    <row r="708" customFormat="false" ht="15" hidden="false" customHeight="false" outlineLevel="0" collapsed="false">
      <c r="A708" s="0" t="str">
        <f aca="false">IFERROR(INDEX(Calc!$L$2:$L$1001,MATCH(ROW()-1,Calc!$X$2:$X$1001,0)),"")</f>
        <v/>
      </c>
      <c r="B708" s="0" t="str">
        <f aca="false">IFERROR(INDEX(Calc!$M$2:$M$1001,MATCH(ROW()-1,Calc!$X$2:$X$1001,0)),"")</f>
        <v/>
      </c>
      <c r="C708" s="0" t="str">
        <f aca="false">IFERROR(INDEX(Calc!$N$2:$N$1001,MATCH(ROW()-1,Calc!$X$2:$X$1001,0)),"")</f>
        <v/>
      </c>
      <c r="D708" s="3" t="str">
        <f aca="false">IFERROR(INDEX(Calc!$O$2:$O$1001,MATCH(ROW()-1,Calc!$X$2:$X$1001,0)),"")</f>
        <v/>
      </c>
      <c r="E708" s="3" t="str">
        <f aca="false">IFERROR(INDEX(Calc!$P$2:$P$1001,MATCH(ROW()-1,Calc!$X$2:$X$1001,0)),"")</f>
        <v/>
      </c>
      <c r="F708" s="3" t="str">
        <f aca="false">IF(G708="","",E708-D708)</f>
        <v/>
      </c>
      <c r="G708" s="0" t="str">
        <f aca="false">IFERROR(INDEX(Calc!$S$2:$S$1001,MATCH(ROW()-1,Calc!$X$2:$X$1001,0)),"")</f>
        <v/>
      </c>
    </row>
    <row r="709" customFormat="false" ht="15" hidden="false" customHeight="false" outlineLevel="0" collapsed="false">
      <c r="A709" s="0" t="str">
        <f aca="false">IFERROR(INDEX(Calc!$L$2:$L$1001,MATCH(ROW()-1,Calc!$X$2:$X$1001,0)),"")</f>
        <v/>
      </c>
      <c r="B709" s="0" t="str">
        <f aca="false">IFERROR(INDEX(Calc!$M$2:$M$1001,MATCH(ROW()-1,Calc!$X$2:$X$1001,0)),"")</f>
        <v/>
      </c>
      <c r="C709" s="0" t="str">
        <f aca="false">IFERROR(INDEX(Calc!$N$2:$N$1001,MATCH(ROW()-1,Calc!$X$2:$X$1001,0)),"")</f>
        <v/>
      </c>
      <c r="D709" s="3" t="str">
        <f aca="false">IFERROR(INDEX(Calc!$O$2:$O$1001,MATCH(ROW()-1,Calc!$X$2:$X$1001,0)),"")</f>
        <v/>
      </c>
      <c r="E709" s="3" t="str">
        <f aca="false">IFERROR(INDEX(Calc!$P$2:$P$1001,MATCH(ROW()-1,Calc!$X$2:$X$1001,0)),"")</f>
        <v/>
      </c>
      <c r="F709" s="3" t="str">
        <f aca="false">IF(G709="","",E709-D709)</f>
        <v/>
      </c>
      <c r="G709" s="0" t="str">
        <f aca="false">IFERROR(INDEX(Calc!$S$2:$S$1001,MATCH(ROW()-1,Calc!$X$2:$X$1001,0)),"")</f>
        <v/>
      </c>
    </row>
    <row r="710" customFormat="false" ht="15" hidden="false" customHeight="false" outlineLevel="0" collapsed="false">
      <c r="A710" s="0" t="str">
        <f aca="false">IFERROR(INDEX(Calc!$L$2:$L$1001,MATCH(ROW()-1,Calc!$X$2:$X$1001,0)),"")</f>
        <v/>
      </c>
      <c r="B710" s="0" t="str">
        <f aca="false">IFERROR(INDEX(Calc!$M$2:$M$1001,MATCH(ROW()-1,Calc!$X$2:$X$1001,0)),"")</f>
        <v/>
      </c>
      <c r="C710" s="0" t="str">
        <f aca="false">IFERROR(INDEX(Calc!$N$2:$N$1001,MATCH(ROW()-1,Calc!$X$2:$X$1001,0)),"")</f>
        <v/>
      </c>
      <c r="D710" s="3" t="str">
        <f aca="false">IFERROR(INDEX(Calc!$O$2:$O$1001,MATCH(ROW()-1,Calc!$X$2:$X$1001,0)),"")</f>
        <v/>
      </c>
      <c r="E710" s="3" t="str">
        <f aca="false">IFERROR(INDEX(Calc!$P$2:$P$1001,MATCH(ROW()-1,Calc!$X$2:$X$1001,0)),"")</f>
        <v/>
      </c>
      <c r="F710" s="3" t="str">
        <f aca="false">IF(G710="","",E710-D710)</f>
        <v/>
      </c>
      <c r="G710" s="0" t="str">
        <f aca="false">IFERROR(INDEX(Calc!$S$2:$S$1001,MATCH(ROW()-1,Calc!$X$2:$X$1001,0)),"")</f>
        <v/>
      </c>
    </row>
    <row r="711" customFormat="false" ht="15" hidden="false" customHeight="false" outlineLevel="0" collapsed="false">
      <c r="A711" s="0" t="str">
        <f aca="false">IFERROR(INDEX(Calc!$L$2:$L$1001,MATCH(ROW()-1,Calc!$X$2:$X$1001,0)),"")</f>
        <v/>
      </c>
      <c r="B711" s="0" t="str">
        <f aca="false">IFERROR(INDEX(Calc!$M$2:$M$1001,MATCH(ROW()-1,Calc!$X$2:$X$1001,0)),"")</f>
        <v/>
      </c>
      <c r="C711" s="0" t="str">
        <f aca="false">IFERROR(INDEX(Calc!$N$2:$N$1001,MATCH(ROW()-1,Calc!$X$2:$X$1001,0)),"")</f>
        <v/>
      </c>
      <c r="D711" s="3" t="str">
        <f aca="false">IFERROR(INDEX(Calc!$O$2:$O$1001,MATCH(ROW()-1,Calc!$X$2:$X$1001,0)),"")</f>
        <v/>
      </c>
      <c r="E711" s="3" t="str">
        <f aca="false">IFERROR(INDEX(Calc!$P$2:$P$1001,MATCH(ROW()-1,Calc!$X$2:$X$1001,0)),"")</f>
        <v/>
      </c>
      <c r="F711" s="3" t="str">
        <f aca="false">IF(G711="","",E711-D711)</f>
        <v/>
      </c>
      <c r="G711" s="0" t="str">
        <f aca="false">IFERROR(INDEX(Calc!$S$2:$S$1001,MATCH(ROW()-1,Calc!$X$2:$X$1001,0)),"")</f>
        <v/>
      </c>
    </row>
    <row r="712" customFormat="false" ht="15" hidden="false" customHeight="false" outlineLevel="0" collapsed="false">
      <c r="A712" s="0" t="str">
        <f aca="false">IFERROR(INDEX(Calc!$L$2:$L$1001,MATCH(ROW()-1,Calc!$X$2:$X$1001,0)),"")</f>
        <v/>
      </c>
      <c r="B712" s="0" t="str">
        <f aca="false">IFERROR(INDEX(Calc!$M$2:$M$1001,MATCH(ROW()-1,Calc!$X$2:$X$1001,0)),"")</f>
        <v/>
      </c>
      <c r="C712" s="0" t="str">
        <f aca="false">IFERROR(INDEX(Calc!$N$2:$N$1001,MATCH(ROW()-1,Calc!$X$2:$X$1001,0)),"")</f>
        <v/>
      </c>
      <c r="D712" s="3" t="str">
        <f aca="false">IFERROR(INDEX(Calc!$O$2:$O$1001,MATCH(ROW()-1,Calc!$X$2:$X$1001,0)),"")</f>
        <v/>
      </c>
      <c r="E712" s="3" t="str">
        <f aca="false">IFERROR(INDEX(Calc!$P$2:$P$1001,MATCH(ROW()-1,Calc!$X$2:$X$1001,0)),"")</f>
        <v/>
      </c>
      <c r="F712" s="3" t="str">
        <f aca="false">IF(G712="","",E712-D712)</f>
        <v/>
      </c>
      <c r="G712" s="0" t="str">
        <f aca="false">IFERROR(INDEX(Calc!$S$2:$S$1001,MATCH(ROW()-1,Calc!$X$2:$X$1001,0)),"")</f>
        <v/>
      </c>
    </row>
    <row r="713" customFormat="false" ht="15" hidden="false" customHeight="false" outlineLevel="0" collapsed="false">
      <c r="A713" s="0" t="str">
        <f aca="false">IFERROR(INDEX(Calc!$L$2:$L$1001,MATCH(ROW()-1,Calc!$X$2:$X$1001,0)),"")</f>
        <v/>
      </c>
      <c r="B713" s="0" t="str">
        <f aca="false">IFERROR(INDEX(Calc!$M$2:$M$1001,MATCH(ROW()-1,Calc!$X$2:$X$1001,0)),"")</f>
        <v/>
      </c>
      <c r="C713" s="0" t="str">
        <f aca="false">IFERROR(INDEX(Calc!$N$2:$N$1001,MATCH(ROW()-1,Calc!$X$2:$X$1001,0)),"")</f>
        <v/>
      </c>
      <c r="D713" s="3" t="str">
        <f aca="false">IFERROR(INDEX(Calc!$O$2:$O$1001,MATCH(ROW()-1,Calc!$X$2:$X$1001,0)),"")</f>
        <v/>
      </c>
      <c r="E713" s="3" t="str">
        <f aca="false">IFERROR(INDEX(Calc!$P$2:$P$1001,MATCH(ROW()-1,Calc!$X$2:$X$1001,0)),"")</f>
        <v/>
      </c>
      <c r="F713" s="3" t="str">
        <f aca="false">IF(G713="","",E713-D713)</f>
        <v/>
      </c>
      <c r="G713" s="0" t="str">
        <f aca="false">IFERROR(INDEX(Calc!$S$2:$S$1001,MATCH(ROW()-1,Calc!$X$2:$X$1001,0)),"")</f>
        <v/>
      </c>
    </row>
    <row r="714" customFormat="false" ht="15" hidden="false" customHeight="false" outlineLevel="0" collapsed="false">
      <c r="A714" s="0" t="str">
        <f aca="false">IFERROR(INDEX(Calc!$L$2:$L$1001,MATCH(ROW()-1,Calc!$X$2:$X$1001,0)),"")</f>
        <v/>
      </c>
      <c r="B714" s="0" t="str">
        <f aca="false">IFERROR(INDEX(Calc!$M$2:$M$1001,MATCH(ROW()-1,Calc!$X$2:$X$1001,0)),"")</f>
        <v/>
      </c>
      <c r="C714" s="0" t="str">
        <f aca="false">IFERROR(INDEX(Calc!$N$2:$N$1001,MATCH(ROW()-1,Calc!$X$2:$X$1001,0)),"")</f>
        <v/>
      </c>
      <c r="D714" s="3" t="str">
        <f aca="false">IFERROR(INDEX(Calc!$O$2:$O$1001,MATCH(ROW()-1,Calc!$X$2:$X$1001,0)),"")</f>
        <v/>
      </c>
      <c r="E714" s="3" t="str">
        <f aca="false">IFERROR(INDEX(Calc!$P$2:$P$1001,MATCH(ROW()-1,Calc!$X$2:$X$1001,0)),"")</f>
        <v/>
      </c>
      <c r="F714" s="3" t="str">
        <f aca="false">IF(G714="","",E714-D714)</f>
        <v/>
      </c>
      <c r="G714" s="0" t="str">
        <f aca="false">IFERROR(INDEX(Calc!$S$2:$S$1001,MATCH(ROW()-1,Calc!$X$2:$X$1001,0)),"")</f>
        <v/>
      </c>
    </row>
    <row r="715" customFormat="false" ht="15" hidden="false" customHeight="false" outlineLevel="0" collapsed="false">
      <c r="A715" s="0" t="str">
        <f aca="false">IFERROR(INDEX(Calc!$L$2:$L$1001,MATCH(ROW()-1,Calc!$X$2:$X$1001,0)),"")</f>
        <v/>
      </c>
      <c r="B715" s="0" t="str">
        <f aca="false">IFERROR(INDEX(Calc!$M$2:$M$1001,MATCH(ROW()-1,Calc!$X$2:$X$1001,0)),"")</f>
        <v/>
      </c>
      <c r="C715" s="0" t="str">
        <f aca="false">IFERROR(INDEX(Calc!$N$2:$N$1001,MATCH(ROW()-1,Calc!$X$2:$X$1001,0)),"")</f>
        <v/>
      </c>
      <c r="D715" s="3" t="str">
        <f aca="false">IFERROR(INDEX(Calc!$O$2:$O$1001,MATCH(ROW()-1,Calc!$X$2:$X$1001,0)),"")</f>
        <v/>
      </c>
      <c r="E715" s="3" t="str">
        <f aca="false">IFERROR(INDEX(Calc!$P$2:$P$1001,MATCH(ROW()-1,Calc!$X$2:$X$1001,0)),"")</f>
        <v/>
      </c>
      <c r="F715" s="3" t="str">
        <f aca="false">IF(G715="","",E715-D715)</f>
        <v/>
      </c>
      <c r="G715" s="0" t="str">
        <f aca="false">IFERROR(INDEX(Calc!$S$2:$S$1001,MATCH(ROW()-1,Calc!$X$2:$X$1001,0)),"")</f>
        <v/>
      </c>
    </row>
    <row r="716" customFormat="false" ht="15" hidden="false" customHeight="false" outlineLevel="0" collapsed="false">
      <c r="A716" s="0" t="str">
        <f aca="false">IFERROR(INDEX(Calc!$L$2:$L$1001,MATCH(ROW()-1,Calc!$X$2:$X$1001,0)),"")</f>
        <v/>
      </c>
      <c r="B716" s="0" t="str">
        <f aca="false">IFERROR(INDEX(Calc!$M$2:$M$1001,MATCH(ROW()-1,Calc!$X$2:$X$1001,0)),"")</f>
        <v/>
      </c>
      <c r="C716" s="0" t="str">
        <f aca="false">IFERROR(INDEX(Calc!$N$2:$N$1001,MATCH(ROW()-1,Calc!$X$2:$X$1001,0)),"")</f>
        <v/>
      </c>
      <c r="D716" s="3" t="str">
        <f aca="false">IFERROR(INDEX(Calc!$O$2:$O$1001,MATCH(ROW()-1,Calc!$X$2:$X$1001,0)),"")</f>
        <v/>
      </c>
      <c r="E716" s="3" t="str">
        <f aca="false">IFERROR(INDEX(Calc!$P$2:$P$1001,MATCH(ROW()-1,Calc!$X$2:$X$1001,0)),"")</f>
        <v/>
      </c>
      <c r="F716" s="3" t="str">
        <f aca="false">IF(G716="","",E716-D716)</f>
        <v/>
      </c>
      <c r="G716" s="0" t="str">
        <f aca="false">IFERROR(INDEX(Calc!$S$2:$S$1001,MATCH(ROW()-1,Calc!$X$2:$X$1001,0)),"")</f>
        <v/>
      </c>
    </row>
    <row r="717" customFormat="false" ht="15" hidden="false" customHeight="false" outlineLevel="0" collapsed="false">
      <c r="A717" s="0" t="str">
        <f aca="false">IFERROR(INDEX(Calc!$L$2:$L$1001,MATCH(ROW()-1,Calc!$X$2:$X$1001,0)),"")</f>
        <v/>
      </c>
      <c r="B717" s="0" t="str">
        <f aca="false">IFERROR(INDEX(Calc!$M$2:$M$1001,MATCH(ROW()-1,Calc!$X$2:$X$1001,0)),"")</f>
        <v/>
      </c>
      <c r="C717" s="0" t="str">
        <f aca="false">IFERROR(INDEX(Calc!$N$2:$N$1001,MATCH(ROW()-1,Calc!$X$2:$X$1001,0)),"")</f>
        <v/>
      </c>
      <c r="D717" s="3" t="str">
        <f aca="false">IFERROR(INDEX(Calc!$O$2:$O$1001,MATCH(ROW()-1,Calc!$X$2:$X$1001,0)),"")</f>
        <v/>
      </c>
      <c r="E717" s="3" t="str">
        <f aca="false">IFERROR(INDEX(Calc!$P$2:$P$1001,MATCH(ROW()-1,Calc!$X$2:$X$1001,0)),"")</f>
        <v/>
      </c>
      <c r="F717" s="3" t="str">
        <f aca="false">IF(G717="","",E717-D717)</f>
        <v/>
      </c>
      <c r="G717" s="0" t="str">
        <f aca="false">IFERROR(INDEX(Calc!$S$2:$S$1001,MATCH(ROW()-1,Calc!$X$2:$X$1001,0)),"")</f>
        <v/>
      </c>
    </row>
    <row r="718" customFormat="false" ht="15" hidden="false" customHeight="false" outlineLevel="0" collapsed="false">
      <c r="A718" s="0" t="str">
        <f aca="false">IFERROR(INDEX(Calc!$L$2:$L$1001,MATCH(ROW()-1,Calc!$X$2:$X$1001,0)),"")</f>
        <v/>
      </c>
      <c r="B718" s="0" t="str">
        <f aca="false">IFERROR(INDEX(Calc!$M$2:$M$1001,MATCH(ROW()-1,Calc!$X$2:$X$1001,0)),"")</f>
        <v/>
      </c>
      <c r="C718" s="0" t="str">
        <f aca="false">IFERROR(INDEX(Calc!$N$2:$N$1001,MATCH(ROW()-1,Calc!$X$2:$X$1001,0)),"")</f>
        <v/>
      </c>
      <c r="D718" s="3" t="str">
        <f aca="false">IFERROR(INDEX(Calc!$O$2:$O$1001,MATCH(ROW()-1,Calc!$X$2:$X$1001,0)),"")</f>
        <v/>
      </c>
      <c r="E718" s="3" t="str">
        <f aca="false">IFERROR(INDEX(Calc!$P$2:$P$1001,MATCH(ROW()-1,Calc!$X$2:$X$1001,0)),"")</f>
        <v/>
      </c>
      <c r="F718" s="3" t="str">
        <f aca="false">IF(G718="","",E718-D718)</f>
        <v/>
      </c>
      <c r="G718" s="0" t="str">
        <f aca="false">IFERROR(INDEX(Calc!$S$2:$S$1001,MATCH(ROW()-1,Calc!$X$2:$X$1001,0)),"")</f>
        <v/>
      </c>
    </row>
    <row r="719" customFormat="false" ht="15" hidden="false" customHeight="false" outlineLevel="0" collapsed="false">
      <c r="A719" s="0" t="str">
        <f aca="false">IFERROR(INDEX(Calc!$L$2:$L$1001,MATCH(ROW()-1,Calc!$X$2:$X$1001,0)),"")</f>
        <v/>
      </c>
      <c r="B719" s="0" t="str">
        <f aca="false">IFERROR(INDEX(Calc!$M$2:$M$1001,MATCH(ROW()-1,Calc!$X$2:$X$1001,0)),"")</f>
        <v/>
      </c>
      <c r="C719" s="0" t="str">
        <f aca="false">IFERROR(INDEX(Calc!$N$2:$N$1001,MATCH(ROW()-1,Calc!$X$2:$X$1001,0)),"")</f>
        <v/>
      </c>
      <c r="D719" s="3" t="str">
        <f aca="false">IFERROR(INDEX(Calc!$O$2:$O$1001,MATCH(ROW()-1,Calc!$X$2:$X$1001,0)),"")</f>
        <v/>
      </c>
      <c r="E719" s="3" t="str">
        <f aca="false">IFERROR(INDEX(Calc!$P$2:$P$1001,MATCH(ROW()-1,Calc!$X$2:$X$1001,0)),"")</f>
        <v/>
      </c>
      <c r="F719" s="3" t="str">
        <f aca="false">IF(G719="","",E719-D719)</f>
        <v/>
      </c>
      <c r="G719" s="0" t="str">
        <f aca="false">IFERROR(INDEX(Calc!$S$2:$S$1001,MATCH(ROW()-1,Calc!$X$2:$X$1001,0)),"")</f>
        <v/>
      </c>
    </row>
    <row r="720" customFormat="false" ht="15" hidden="false" customHeight="false" outlineLevel="0" collapsed="false">
      <c r="A720" s="0" t="str">
        <f aca="false">IFERROR(INDEX(Calc!$L$2:$L$1001,MATCH(ROW()-1,Calc!$X$2:$X$1001,0)),"")</f>
        <v/>
      </c>
      <c r="B720" s="0" t="str">
        <f aca="false">IFERROR(INDEX(Calc!$M$2:$M$1001,MATCH(ROW()-1,Calc!$X$2:$X$1001,0)),"")</f>
        <v/>
      </c>
      <c r="C720" s="0" t="str">
        <f aca="false">IFERROR(INDEX(Calc!$N$2:$N$1001,MATCH(ROW()-1,Calc!$X$2:$X$1001,0)),"")</f>
        <v/>
      </c>
      <c r="D720" s="3" t="str">
        <f aca="false">IFERROR(INDEX(Calc!$O$2:$O$1001,MATCH(ROW()-1,Calc!$X$2:$X$1001,0)),"")</f>
        <v/>
      </c>
      <c r="E720" s="3" t="str">
        <f aca="false">IFERROR(INDEX(Calc!$P$2:$P$1001,MATCH(ROW()-1,Calc!$X$2:$X$1001,0)),"")</f>
        <v/>
      </c>
      <c r="F720" s="3" t="str">
        <f aca="false">IF(G720="","",E720-D720)</f>
        <v/>
      </c>
      <c r="G720" s="0" t="str">
        <f aca="false">IFERROR(INDEX(Calc!$S$2:$S$1001,MATCH(ROW()-1,Calc!$X$2:$X$1001,0)),"")</f>
        <v/>
      </c>
    </row>
    <row r="721" customFormat="false" ht="15" hidden="false" customHeight="false" outlineLevel="0" collapsed="false">
      <c r="A721" s="0" t="str">
        <f aca="false">IFERROR(INDEX(Calc!$L$2:$L$1001,MATCH(ROW()-1,Calc!$X$2:$X$1001,0)),"")</f>
        <v/>
      </c>
      <c r="B721" s="0" t="str">
        <f aca="false">IFERROR(INDEX(Calc!$M$2:$M$1001,MATCH(ROW()-1,Calc!$X$2:$X$1001,0)),"")</f>
        <v/>
      </c>
      <c r="C721" s="0" t="str">
        <f aca="false">IFERROR(INDEX(Calc!$N$2:$N$1001,MATCH(ROW()-1,Calc!$X$2:$X$1001,0)),"")</f>
        <v/>
      </c>
      <c r="D721" s="3" t="str">
        <f aca="false">IFERROR(INDEX(Calc!$O$2:$O$1001,MATCH(ROW()-1,Calc!$X$2:$X$1001,0)),"")</f>
        <v/>
      </c>
      <c r="E721" s="3" t="str">
        <f aca="false">IFERROR(INDEX(Calc!$P$2:$P$1001,MATCH(ROW()-1,Calc!$X$2:$X$1001,0)),"")</f>
        <v/>
      </c>
      <c r="F721" s="3" t="str">
        <f aca="false">IF(G721="","",E721-D721)</f>
        <v/>
      </c>
      <c r="G721" s="0" t="str">
        <f aca="false">IFERROR(INDEX(Calc!$S$2:$S$1001,MATCH(ROW()-1,Calc!$X$2:$X$1001,0)),"")</f>
        <v/>
      </c>
    </row>
    <row r="722" customFormat="false" ht="15" hidden="false" customHeight="false" outlineLevel="0" collapsed="false">
      <c r="A722" s="0" t="str">
        <f aca="false">IFERROR(INDEX(Calc!$L$2:$L$1001,MATCH(ROW()-1,Calc!$X$2:$X$1001,0)),"")</f>
        <v/>
      </c>
      <c r="B722" s="0" t="str">
        <f aca="false">IFERROR(INDEX(Calc!$M$2:$M$1001,MATCH(ROW()-1,Calc!$X$2:$X$1001,0)),"")</f>
        <v/>
      </c>
      <c r="C722" s="0" t="str">
        <f aca="false">IFERROR(INDEX(Calc!$N$2:$N$1001,MATCH(ROW()-1,Calc!$X$2:$X$1001,0)),"")</f>
        <v/>
      </c>
      <c r="D722" s="3" t="str">
        <f aca="false">IFERROR(INDEX(Calc!$O$2:$O$1001,MATCH(ROW()-1,Calc!$X$2:$X$1001,0)),"")</f>
        <v/>
      </c>
      <c r="E722" s="3" t="str">
        <f aca="false">IFERROR(INDEX(Calc!$P$2:$P$1001,MATCH(ROW()-1,Calc!$X$2:$X$1001,0)),"")</f>
        <v/>
      </c>
      <c r="F722" s="3" t="str">
        <f aca="false">IF(G722="","",E722-D722)</f>
        <v/>
      </c>
      <c r="G722" s="0" t="str">
        <f aca="false">IFERROR(INDEX(Calc!$S$2:$S$1001,MATCH(ROW()-1,Calc!$X$2:$X$1001,0)),"")</f>
        <v/>
      </c>
    </row>
    <row r="723" customFormat="false" ht="15" hidden="false" customHeight="false" outlineLevel="0" collapsed="false">
      <c r="A723" s="0" t="str">
        <f aca="false">IFERROR(INDEX(Calc!$L$2:$L$1001,MATCH(ROW()-1,Calc!$X$2:$X$1001,0)),"")</f>
        <v/>
      </c>
      <c r="B723" s="0" t="str">
        <f aca="false">IFERROR(INDEX(Calc!$M$2:$M$1001,MATCH(ROW()-1,Calc!$X$2:$X$1001,0)),"")</f>
        <v/>
      </c>
      <c r="C723" s="0" t="str">
        <f aca="false">IFERROR(INDEX(Calc!$N$2:$N$1001,MATCH(ROW()-1,Calc!$X$2:$X$1001,0)),"")</f>
        <v/>
      </c>
      <c r="D723" s="3" t="str">
        <f aca="false">IFERROR(INDEX(Calc!$O$2:$O$1001,MATCH(ROW()-1,Calc!$X$2:$X$1001,0)),"")</f>
        <v/>
      </c>
      <c r="E723" s="3" t="str">
        <f aca="false">IFERROR(INDEX(Calc!$P$2:$P$1001,MATCH(ROW()-1,Calc!$X$2:$X$1001,0)),"")</f>
        <v/>
      </c>
      <c r="F723" s="3" t="str">
        <f aca="false">IF(G723="","",E723-D723)</f>
        <v/>
      </c>
      <c r="G723" s="0" t="str">
        <f aca="false">IFERROR(INDEX(Calc!$S$2:$S$1001,MATCH(ROW()-1,Calc!$X$2:$X$1001,0)),"")</f>
        <v/>
      </c>
    </row>
    <row r="724" customFormat="false" ht="15" hidden="false" customHeight="false" outlineLevel="0" collapsed="false">
      <c r="A724" s="0" t="str">
        <f aca="false">IFERROR(INDEX(Calc!$L$2:$L$1001,MATCH(ROW()-1,Calc!$X$2:$X$1001,0)),"")</f>
        <v/>
      </c>
      <c r="B724" s="0" t="str">
        <f aca="false">IFERROR(INDEX(Calc!$M$2:$M$1001,MATCH(ROW()-1,Calc!$X$2:$X$1001,0)),"")</f>
        <v/>
      </c>
      <c r="C724" s="0" t="str">
        <f aca="false">IFERROR(INDEX(Calc!$N$2:$N$1001,MATCH(ROW()-1,Calc!$X$2:$X$1001,0)),"")</f>
        <v/>
      </c>
      <c r="D724" s="3" t="str">
        <f aca="false">IFERROR(INDEX(Calc!$O$2:$O$1001,MATCH(ROW()-1,Calc!$X$2:$X$1001,0)),"")</f>
        <v/>
      </c>
      <c r="E724" s="3" t="str">
        <f aca="false">IFERROR(INDEX(Calc!$P$2:$P$1001,MATCH(ROW()-1,Calc!$X$2:$X$1001,0)),"")</f>
        <v/>
      </c>
      <c r="F724" s="3" t="str">
        <f aca="false">IF(G724="","",E724-D724)</f>
        <v/>
      </c>
      <c r="G724" s="0" t="str">
        <f aca="false">IFERROR(INDEX(Calc!$S$2:$S$1001,MATCH(ROW()-1,Calc!$X$2:$X$1001,0)),"")</f>
        <v/>
      </c>
    </row>
    <row r="725" customFormat="false" ht="15" hidden="false" customHeight="false" outlineLevel="0" collapsed="false">
      <c r="A725" s="0" t="str">
        <f aca="false">IFERROR(INDEX(Calc!$L$2:$L$1001,MATCH(ROW()-1,Calc!$X$2:$X$1001,0)),"")</f>
        <v/>
      </c>
      <c r="B725" s="0" t="str">
        <f aca="false">IFERROR(INDEX(Calc!$M$2:$M$1001,MATCH(ROW()-1,Calc!$X$2:$X$1001,0)),"")</f>
        <v/>
      </c>
      <c r="C725" s="0" t="str">
        <f aca="false">IFERROR(INDEX(Calc!$N$2:$N$1001,MATCH(ROW()-1,Calc!$X$2:$X$1001,0)),"")</f>
        <v/>
      </c>
      <c r="D725" s="3" t="str">
        <f aca="false">IFERROR(INDEX(Calc!$O$2:$O$1001,MATCH(ROW()-1,Calc!$X$2:$X$1001,0)),"")</f>
        <v/>
      </c>
      <c r="E725" s="3" t="str">
        <f aca="false">IFERROR(INDEX(Calc!$P$2:$P$1001,MATCH(ROW()-1,Calc!$X$2:$X$1001,0)),"")</f>
        <v/>
      </c>
      <c r="F725" s="3" t="str">
        <f aca="false">IF(G725="","",E725-D725)</f>
        <v/>
      </c>
      <c r="G725" s="0" t="str">
        <f aca="false">IFERROR(INDEX(Calc!$S$2:$S$1001,MATCH(ROW()-1,Calc!$X$2:$X$1001,0)),"")</f>
        <v/>
      </c>
    </row>
    <row r="726" customFormat="false" ht="15" hidden="false" customHeight="false" outlineLevel="0" collapsed="false">
      <c r="A726" s="0" t="str">
        <f aca="false">IFERROR(INDEX(Calc!$L$2:$L$1001,MATCH(ROW()-1,Calc!$X$2:$X$1001,0)),"")</f>
        <v/>
      </c>
      <c r="B726" s="0" t="str">
        <f aca="false">IFERROR(INDEX(Calc!$M$2:$M$1001,MATCH(ROW()-1,Calc!$X$2:$X$1001,0)),"")</f>
        <v/>
      </c>
      <c r="C726" s="0" t="str">
        <f aca="false">IFERROR(INDEX(Calc!$N$2:$N$1001,MATCH(ROW()-1,Calc!$X$2:$X$1001,0)),"")</f>
        <v/>
      </c>
      <c r="D726" s="3" t="str">
        <f aca="false">IFERROR(INDEX(Calc!$O$2:$O$1001,MATCH(ROW()-1,Calc!$X$2:$X$1001,0)),"")</f>
        <v/>
      </c>
      <c r="E726" s="3" t="str">
        <f aca="false">IFERROR(INDEX(Calc!$P$2:$P$1001,MATCH(ROW()-1,Calc!$X$2:$X$1001,0)),"")</f>
        <v/>
      </c>
      <c r="F726" s="3" t="str">
        <f aca="false">IF(G726="","",E726-D726)</f>
        <v/>
      </c>
      <c r="G726" s="0" t="str">
        <f aca="false">IFERROR(INDEX(Calc!$S$2:$S$1001,MATCH(ROW()-1,Calc!$X$2:$X$1001,0)),"")</f>
        <v/>
      </c>
    </row>
    <row r="727" customFormat="false" ht="15" hidden="false" customHeight="false" outlineLevel="0" collapsed="false">
      <c r="A727" s="0" t="str">
        <f aca="false">IFERROR(INDEX(Calc!$L$2:$L$1001,MATCH(ROW()-1,Calc!$X$2:$X$1001,0)),"")</f>
        <v/>
      </c>
      <c r="B727" s="0" t="str">
        <f aca="false">IFERROR(INDEX(Calc!$M$2:$M$1001,MATCH(ROW()-1,Calc!$X$2:$X$1001,0)),"")</f>
        <v/>
      </c>
      <c r="C727" s="0" t="str">
        <f aca="false">IFERROR(INDEX(Calc!$N$2:$N$1001,MATCH(ROW()-1,Calc!$X$2:$X$1001,0)),"")</f>
        <v/>
      </c>
      <c r="D727" s="3" t="str">
        <f aca="false">IFERROR(INDEX(Calc!$O$2:$O$1001,MATCH(ROW()-1,Calc!$X$2:$X$1001,0)),"")</f>
        <v/>
      </c>
      <c r="E727" s="3" t="str">
        <f aca="false">IFERROR(INDEX(Calc!$P$2:$P$1001,MATCH(ROW()-1,Calc!$X$2:$X$1001,0)),"")</f>
        <v/>
      </c>
      <c r="F727" s="3" t="str">
        <f aca="false">IF(G727="","",E727-D727)</f>
        <v/>
      </c>
      <c r="G727" s="0" t="str">
        <f aca="false">IFERROR(INDEX(Calc!$S$2:$S$1001,MATCH(ROW()-1,Calc!$X$2:$X$1001,0)),"")</f>
        <v/>
      </c>
    </row>
    <row r="728" customFormat="false" ht="15" hidden="false" customHeight="false" outlineLevel="0" collapsed="false">
      <c r="A728" s="0" t="str">
        <f aca="false">IFERROR(INDEX(Calc!$L$2:$L$1001,MATCH(ROW()-1,Calc!$X$2:$X$1001,0)),"")</f>
        <v/>
      </c>
      <c r="B728" s="0" t="str">
        <f aca="false">IFERROR(INDEX(Calc!$M$2:$M$1001,MATCH(ROW()-1,Calc!$X$2:$X$1001,0)),"")</f>
        <v/>
      </c>
      <c r="C728" s="0" t="str">
        <f aca="false">IFERROR(INDEX(Calc!$N$2:$N$1001,MATCH(ROW()-1,Calc!$X$2:$X$1001,0)),"")</f>
        <v/>
      </c>
      <c r="D728" s="3" t="str">
        <f aca="false">IFERROR(INDEX(Calc!$O$2:$O$1001,MATCH(ROW()-1,Calc!$X$2:$X$1001,0)),"")</f>
        <v/>
      </c>
      <c r="E728" s="3" t="str">
        <f aca="false">IFERROR(INDEX(Calc!$P$2:$P$1001,MATCH(ROW()-1,Calc!$X$2:$X$1001,0)),"")</f>
        <v/>
      </c>
      <c r="F728" s="3" t="str">
        <f aca="false">IF(G728="","",E728-D728)</f>
        <v/>
      </c>
      <c r="G728" s="0" t="str">
        <f aca="false">IFERROR(INDEX(Calc!$S$2:$S$1001,MATCH(ROW()-1,Calc!$X$2:$X$1001,0)),"")</f>
        <v/>
      </c>
    </row>
    <row r="729" customFormat="false" ht="15" hidden="false" customHeight="false" outlineLevel="0" collapsed="false">
      <c r="A729" s="0" t="str">
        <f aca="false">IFERROR(INDEX(Calc!$L$2:$L$1001,MATCH(ROW()-1,Calc!$X$2:$X$1001,0)),"")</f>
        <v/>
      </c>
      <c r="B729" s="0" t="str">
        <f aca="false">IFERROR(INDEX(Calc!$M$2:$M$1001,MATCH(ROW()-1,Calc!$X$2:$X$1001,0)),"")</f>
        <v/>
      </c>
      <c r="C729" s="0" t="str">
        <f aca="false">IFERROR(INDEX(Calc!$N$2:$N$1001,MATCH(ROW()-1,Calc!$X$2:$X$1001,0)),"")</f>
        <v/>
      </c>
      <c r="D729" s="3" t="str">
        <f aca="false">IFERROR(INDEX(Calc!$O$2:$O$1001,MATCH(ROW()-1,Calc!$X$2:$X$1001,0)),"")</f>
        <v/>
      </c>
      <c r="E729" s="3" t="str">
        <f aca="false">IFERROR(INDEX(Calc!$P$2:$P$1001,MATCH(ROW()-1,Calc!$X$2:$X$1001,0)),"")</f>
        <v/>
      </c>
      <c r="F729" s="3" t="str">
        <f aca="false">IF(G729="","",E729-D729)</f>
        <v/>
      </c>
      <c r="G729" s="0" t="str">
        <f aca="false">IFERROR(INDEX(Calc!$S$2:$S$1001,MATCH(ROW()-1,Calc!$X$2:$X$1001,0)),"")</f>
        <v/>
      </c>
    </row>
    <row r="730" customFormat="false" ht="15" hidden="false" customHeight="false" outlineLevel="0" collapsed="false">
      <c r="A730" s="0" t="str">
        <f aca="false">IFERROR(INDEX(Calc!$L$2:$L$1001,MATCH(ROW()-1,Calc!$X$2:$X$1001,0)),"")</f>
        <v/>
      </c>
      <c r="B730" s="0" t="str">
        <f aca="false">IFERROR(INDEX(Calc!$M$2:$M$1001,MATCH(ROW()-1,Calc!$X$2:$X$1001,0)),"")</f>
        <v/>
      </c>
      <c r="C730" s="0" t="str">
        <f aca="false">IFERROR(INDEX(Calc!$N$2:$N$1001,MATCH(ROW()-1,Calc!$X$2:$X$1001,0)),"")</f>
        <v/>
      </c>
      <c r="D730" s="3" t="str">
        <f aca="false">IFERROR(INDEX(Calc!$O$2:$O$1001,MATCH(ROW()-1,Calc!$X$2:$X$1001,0)),"")</f>
        <v/>
      </c>
      <c r="E730" s="3" t="str">
        <f aca="false">IFERROR(INDEX(Calc!$P$2:$P$1001,MATCH(ROW()-1,Calc!$X$2:$X$1001,0)),"")</f>
        <v/>
      </c>
      <c r="F730" s="3" t="str">
        <f aca="false">IF(G730="","",E730-D730)</f>
        <v/>
      </c>
      <c r="G730" s="0" t="str">
        <f aca="false">IFERROR(INDEX(Calc!$S$2:$S$1001,MATCH(ROW()-1,Calc!$X$2:$X$1001,0)),"")</f>
        <v/>
      </c>
    </row>
    <row r="731" customFormat="false" ht="15" hidden="false" customHeight="false" outlineLevel="0" collapsed="false">
      <c r="A731" s="0" t="str">
        <f aca="false">IFERROR(INDEX(Calc!$L$2:$L$1001,MATCH(ROW()-1,Calc!$X$2:$X$1001,0)),"")</f>
        <v/>
      </c>
      <c r="B731" s="0" t="str">
        <f aca="false">IFERROR(INDEX(Calc!$M$2:$M$1001,MATCH(ROW()-1,Calc!$X$2:$X$1001,0)),"")</f>
        <v/>
      </c>
      <c r="C731" s="0" t="str">
        <f aca="false">IFERROR(INDEX(Calc!$N$2:$N$1001,MATCH(ROW()-1,Calc!$X$2:$X$1001,0)),"")</f>
        <v/>
      </c>
      <c r="D731" s="3" t="str">
        <f aca="false">IFERROR(INDEX(Calc!$O$2:$O$1001,MATCH(ROW()-1,Calc!$X$2:$X$1001,0)),"")</f>
        <v/>
      </c>
      <c r="E731" s="3" t="str">
        <f aca="false">IFERROR(INDEX(Calc!$P$2:$P$1001,MATCH(ROW()-1,Calc!$X$2:$X$1001,0)),"")</f>
        <v/>
      </c>
      <c r="F731" s="3" t="str">
        <f aca="false">IF(G731="","",E731-D731)</f>
        <v/>
      </c>
      <c r="G731" s="0" t="str">
        <f aca="false">IFERROR(INDEX(Calc!$S$2:$S$1001,MATCH(ROW()-1,Calc!$X$2:$X$1001,0)),"")</f>
        <v/>
      </c>
    </row>
    <row r="732" customFormat="false" ht="15" hidden="false" customHeight="false" outlineLevel="0" collapsed="false">
      <c r="A732" s="0" t="str">
        <f aca="false">IFERROR(INDEX(Calc!$L$2:$L$1001,MATCH(ROW()-1,Calc!$X$2:$X$1001,0)),"")</f>
        <v/>
      </c>
      <c r="B732" s="0" t="str">
        <f aca="false">IFERROR(INDEX(Calc!$M$2:$M$1001,MATCH(ROW()-1,Calc!$X$2:$X$1001,0)),"")</f>
        <v/>
      </c>
      <c r="C732" s="0" t="str">
        <f aca="false">IFERROR(INDEX(Calc!$N$2:$N$1001,MATCH(ROW()-1,Calc!$X$2:$X$1001,0)),"")</f>
        <v/>
      </c>
      <c r="D732" s="3" t="str">
        <f aca="false">IFERROR(INDEX(Calc!$O$2:$O$1001,MATCH(ROW()-1,Calc!$X$2:$X$1001,0)),"")</f>
        <v/>
      </c>
      <c r="E732" s="3" t="str">
        <f aca="false">IFERROR(INDEX(Calc!$P$2:$P$1001,MATCH(ROW()-1,Calc!$X$2:$X$1001,0)),"")</f>
        <v/>
      </c>
      <c r="F732" s="3" t="str">
        <f aca="false">IF(G732="","",E732-D732)</f>
        <v/>
      </c>
      <c r="G732" s="0" t="str">
        <f aca="false">IFERROR(INDEX(Calc!$S$2:$S$1001,MATCH(ROW()-1,Calc!$X$2:$X$1001,0)),"")</f>
        <v/>
      </c>
    </row>
    <row r="733" customFormat="false" ht="15" hidden="false" customHeight="false" outlineLevel="0" collapsed="false">
      <c r="A733" s="0" t="str">
        <f aca="false">IFERROR(INDEX(Calc!$L$2:$L$1001,MATCH(ROW()-1,Calc!$X$2:$X$1001,0)),"")</f>
        <v/>
      </c>
      <c r="B733" s="0" t="str">
        <f aca="false">IFERROR(INDEX(Calc!$M$2:$M$1001,MATCH(ROW()-1,Calc!$X$2:$X$1001,0)),"")</f>
        <v/>
      </c>
      <c r="C733" s="0" t="str">
        <f aca="false">IFERROR(INDEX(Calc!$N$2:$N$1001,MATCH(ROW()-1,Calc!$X$2:$X$1001,0)),"")</f>
        <v/>
      </c>
      <c r="D733" s="3" t="str">
        <f aca="false">IFERROR(INDEX(Calc!$O$2:$O$1001,MATCH(ROW()-1,Calc!$X$2:$X$1001,0)),"")</f>
        <v/>
      </c>
      <c r="E733" s="3" t="str">
        <f aca="false">IFERROR(INDEX(Calc!$P$2:$P$1001,MATCH(ROW()-1,Calc!$X$2:$X$1001,0)),"")</f>
        <v/>
      </c>
      <c r="F733" s="3" t="str">
        <f aca="false">IF(G733="","",E733-D733)</f>
        <v/>
      </c>
      <c r="G733" s="0" t="str">
        <f aca="false">IFERROR(INDEX(Calc!$S$2:$S$1001,MATCH(ROW()-1,Calc!$X$2:$X$1001,0)),"")</f>
        <v/>
      </c>
    </row>
    <row r="734" customFormat="false" ht="15" hidden="false" customHeight="false" outlineLevel="0" collapsed="false">
      <c r="A734" s="0" t="str">
        <f aca="false">IFERROR(INDEX(Calc!$L$2:$L$1001,MATCH(ROW()-1,Calc!$X$2:$X$1001,0)),"")</f>
        <v/>
      </c>
      <c r="B734" s="0" t="str">
        <f aca="false">IFERROR(INDEX(Calc!$M$2:$M$1001,MATCH(ROW()-1,Calc!$X$2:$X$1001,0)),"")</f>
        <v/>
      </c>
      <c r="C734" s="0" t="str">
        <f aca="false">IFERROR(INDEX(Calc!$N$2:$N$1001,MATCH(ROW()-1,Calc!$X$2:$X$1001,0)),"")</f>
        <v/>
      </c>
      <c r="D734" s="3" t="str">
        <f aca="false">IFERROR(INDEX(Calc!$O$2:$O$1001,MATCH(ROW()-1,Calc!$X$2:$X$1001,0)),"")</f>
        <v/>
      </c>
      <c r="E734" s="3" t="str">
        <f aca="false">IFERROR(INDEX(Calc!$P$2:$P$1001,MATCH(ROW()-1,Calc!$X$2:$X$1001,0)),"")</f>
        <v/>
      </c>
      <c r="F734" s="3" t="str">
        <f aca="false">IF(G734="","",E734-D734)</f>
        <v/>
      </c>
      <c r="G734" s="0" t="str">
        <f aca="false">IFERROR(INDEX(Calc!$S$2:$S$1001,MATCH(ROW()-1,Calc!$X$2:$X$1001,0)),"")</f>
        <v/>
      </c>
    </row>
    <row r="735" customFormat="false" ht="15" hidden="false" customHeight="false" outlineLevel="0" collapsed="false">
      <c r="A735" s="0" t="str">
        <f aca="false">IFERROR(INDEX(Calc!$L$2:$L$1001,MATCH(ROW()-1,Calc!$X$2:$X$1001,0)),"")</f>
        <v/>
      </c>
      <c r="B735" s="0" t="str">
        <f aca="false">IFERROR(INDEX(Calc!$M$2:$M$1001,MATCH(ROW()-1,Calc!$X$2:$X$1001,0)),"")</f>
        <v/>
      </c>
      <c r="C735" s="0" t="str">
        <f aca="false">IFERROR(INDEX(Calc!$N$2:$N$1001,MATCH(ROW()-1,Calc!$X$2:$X$1001,0)),"")</f>
        <v/>
      </c>
      <c r="D735" s="3" t="str">
        <f aca="false">IFERROR(INDEX(Calc!$O$2:$O$1001,MATCH(ROW()-1,Calc!$X$2:$X$1001,0)),"")</f>
        <v/>
      </c>
      <c r="E735" s="3" t="str">
        <f aca="false">IFERROR(INDEX(Calc!$P$2:$P$1001,MATCH(ROW()-1,Calc!$X$2:$X$1001,0)),"")</f>
        <v/>
      </c>
      <c r="F735" s="3" t="str">
        <f aca="false">IF(G735="","",E735-D735)</f>
        <v/>
      </c>
      <c r="G735" s="0" t="str">
        <f aca="false">IFERROR(INDEX(Calc!$S$2:$S$1001,MATCH(ROW()-1,Calc!$X$2:$X$1001,0)),"")</f>
        <v/>
      </c>
    </row>
    <row r="736" customFormat="false" ht="15" hidden="false" customHeight="false" outlineLevel="0" collapsed="false">
      <c r="A736" s="0" t="str">
        <f aca="false">IFERROR(INDEX(Calc!$L$2:$L$1001,MATCH(ROW()-1,Calc!$X$2:$X$1001,0)),"")</f>
        <v/>
      </c>
      <c r="B736" s="0" t="str">
        <f aca="false">IFERROR(INDEX(Calc!$M$2:$M$1001,MATCH(ROW()-1,Calc!$X$2:$X$1001,0)),"")</f>
        <v/>
      </c>
      <c r="C736" s="0" t="str">
        <f aca="false">IFERROR(INDEX(Calc!$N$2:$N$1001,MATCH(ROW()-1,Calc!$X$2:$X$1001,0)),"")</f>
        <v/>
      </c>
      <c r="D736" s="3" t="str">
        <f aca="false">IFERROR(INDEX(Calc!$O$2:$O$1001,MATCH(ROW()-1,Calc!$X$2:$X$1001,0)),"")</f>
        <v/>
      </c>
      <c r="E736" s="3" t="str">
        <f aca="false">IFERROR(INDEX(Calc!$P$2:$P$1001,MATCH(ROW()-1,Calc!$X$2:$X$1001,0)),"")</f>
        <v/>
      </c>
      <c r="F736" s="3" t="str">
        <f aca="false">IF(G736="","",E736-D736)</f>
        <v/>
      </c>
      <c r="G736" s="0" t="str">
        <f aca="false">IFERROR(INDEX(Calc!$S$2:$S$1001,MATCH(ROW()-1,Calc!$X$2:$X$1001,0)),"")</f>
        <v/>
      </c>
    </row>
    <row r="737" customFormat="false" ht="15" hidden="false" customHeight="false" outlineLevel="0" collapsed="false">
      <c r="A737" s="0" t="str">
        <f aca="false">IFERROR(INDEX(Calc!$L$2:$L$1001,MATCH(ROW()-1,Calc!$X$2:$X$1001,0)),"")</f>
        <v/>
      </c>
      <c r="B737" s="0" t="str">
        <f aca="false">IFERROR(INDEX(Calc!$M$2:$M$1001,MATCH(ROW()-1,Calc!$X$2:$X$1001,0)),"")</f>
        <v/>
      </c>
      <c r="C737" s="0" t="str">
        <f aca="false">IFERROR(INDEX(Calc!$N$2:$N$1001,MATCH(ROW()-1,Calc!$X$2:$X$1001,0)),"")</f>
        <v/>
      </c>
      <c r="D737" s="3" t="str">
        <f aca="false">IFERROR(INDEX(Calc!$O$2:$O$1001,MATCH(ROW()-1,Calc!$X$2:$X$1001,0)),"")</f>
        <v/>
      </c>
      <c r="E737" s="3" t="str">
        <f aca="false">IFERROR(INDEX(Calc!$P$2:$P$1001,MATCH(ROW()-1,Calc!$X$2:$X$1001,0)),"")</f>
        <v/>
      </c>
      <c r="F737" s="3" t="str">
        <f aca="false">IF(G737="","",E737-D737)</f>
        <v/>
      </c>
      <c r="G737" s="0" t="str">
        <f aca="false">IFERROR(INDEX(Calc!$S$2:$S$1001,MATCH(ROW()-1,Calc!$X$2:$X$1001,0)),"")</f>
        <v/>
      </c>
    </row>
    <row r="738" customFormat="false" ht="15" hidden="false" customHeight="false" outlineLevel="0" collapsed="false">
      <c r="A738" s="0" t="str">
        <f aca="false">IFERROR(INDEX(Calc!$L$2:$L$1001,MATCH(ROW()-1,Calc!$X$2:$X$1001,0)),"")</f>
        <v/>
      </c>
      <c r="B738" s="0" t="str">
        <f aca="false">IFERROR(INDEX(Calc!$M$2:$M$1001,MATCH(ROW()-1,Calc!$X$2:$X$1001,0)),"")</f>
        <v/>
      </c>
      <c r="C738" s="0" t="str">
        <f aca="false">IFERROR(INDEX(Calc!$N$2:$N$1001,MATCH(ROW()-1,Calc!$X$2:$X$1001,0)),"")</f>
        <v/>
      </c>
      <c r="D738" s="3" t="str">
        <f aca="false">IFERROR(INDEX(Calc!$O$2:$O$1001,MATCH(ROW()-1,Calc!$X$2:$X$1001,0)),"")</f>
        <v/>
      </c>
      <c r="E738" s="3" t="str">
        <f aca="false">IFERROR(INDEX(Calc!$P$2:$P$1001,MATCH(ROW()-1,Calc!$X$2:$X$1001,0)),"")</f>
        <v/>
      </c>
      <c r="F738" s="3" t="str">
        <f aca="false">IF(G738="","",E738-D738)</f>
        <v/>
      </c>
      <c r="G738" s="0" t="str">
        <f aca="false">IFERROR(INDEX(Calc!$S$2:$S$1001,MATCH(ROW()-1,Calc!$X$2:$X$1001,0)),"")</f>
        <v/>
      </c>
    </row>
    <row r="739" customFormat="false" ht="15" hidden="false" customHeight="false" outlineLevel="0" collapsed="false">
      <c r="A739" s="0" t="str">
        <f aca="false">IFERROR(INDEX(Calc!$L$2:$L$1001,MATCH(ROW()-1,Calc!$X$2:$X$1001,0)),"")</f>
        <v/>
      </c>
      <c r="B739" s="0" t="str">
        <f aca="false">IFERROR(INDEX(Calc!$M$2:$M$1001,MATCH(ROW()-1,Calc!$X$2:$X$1001,0)),"")</f>
        <v/>
      </c>
      <c r="C739" s="0" t="str">
        <f aca="false">IFERROR(INDEX(Calc!$N$2:$N$1001,MATCH(ROW()-1,Calc!$X$2:$X$1001,0)),"")</f>
        <v/>
      </c>
      <c r="D739" s="3" t="str">
        <f aca="false">IFERROR(INDEX(Calc!$O$2:$O$1001,MATCH(ROW()-1,Calc!$X$2:$X$1001,0)),"")</f>
        <v/>
      </c>
      <c r="E739" s="3" t="str">
        <f aca="false">IFERROR(INDEX(Calc!$P$2:$P$1001,MATCH(ROW()-1,Calc!$X$2:$X$1001,0)),"")</f>
        <v/>
      </c>
      <c r="F739" s="3" t="str">
        <f aca="false">IF(G739="","",E739-D739)</f>
        <v/>
      </c>
      <c r="G739" s="0" t="str">
        <f aca="false">IFERROR(INDEX(Calc!$S$2:$S$1001,MATCH(ROW()-1,Calc!$X$2:$X$1001,0)),"")</f>
        <v/>
      </c>
    </row>
    <row r="740" customFormat="false" ht="15" hidden="false" customHeight="false" outlineLevel="0" collapsed="false">
      <c r="A740" s="0" t="str">
        <f aca="false">IFERROR(INDEX(Calc!$L$2:$L$1001,MATCH(ROW()-1,Calc!$X$2:$X$1001,0)),"")</f>
        <v/>
      </c>
      <c r="B740" s="0" t="str">
        <f aca="false">IFERROR(INDEX(Calc!$M$2:$M$1001,MATCH(ROW()-1,Calc!$X$2:$X$1001,0)),"")</f>
        <v/>
      </c>
      <c r="C740" s="0" t="str">
        <f aca="false">IFERROR(INDEX(Calc!$N$2:$N$1001,MATCH(ROW()-1,Calc!$X$2:$X$1001,0)),"")</f>
        <v/>
      </c>
      <c r="D740" s="3" t="str">
        <f aca="false">IFERROR(INDEX(Calc!$O$2:$O$1001,MATCH(ROW()-1,Calc!$X$2:$X$1001,0)),"")</f>
        <v/>
      </c>
      <c r="E740" s="3" t="str">
        <f aca="false">IFERROR(INDEX(Calc!$P$2:$P$1001,MATCH(ROW()-1,Calc!$X$2:$X$1001,0)),"")</f>
        <v/>
      </c>
      <c r="F740" s="3" t="str">
        <f aca="false">IF(G740="","",E740-D740)</f>
        <v/>
      </c>
      <c r="G740" s="0" t="str">
        <f aca="false">IFERROR(INDEX(Calc!$S$2:$S$1001,MATCH(ROW()-1,Calc!$X$2:$X$1001,0)),"")</f>
        <v/>
      </c>
    </row>
    <row r="741" customFormat="false" ht="15" hidden="false" customHeight="false" outlineLevel="0" collapsed="false">
      <c r="A741" s="0" t="str">
        <f aca="false">IFERROR(INDEX(Calc!$L$2:$L$1001,MATCH(ROW()-1,Calc!$X$2:$X$1001,0)),"")</f>
        <v/>
      </c>
      <c r="B741" s="0" t="str">
        <f aca="false">IFERROR(INDEX(Calc!$M$2:$M$1001,MATCH(ROW()-1,Calc!$X$2:$X$1001,0)),"")</f>
        <v/>
      </c>
      <c r="C741" s="0" t="str">
        <f aca="false">IFERROR(INDEX(Calc!$N$2:$N$1001,MATCH(ROW()-1,Calc!$X$2:$X$1001,0)),"")</f>
        <v/>
      </c>
      <c r="D741" s="3" t="str">
        <f aca="false">IFERROR(INDEX(Calc!$O$2:$O$1001,MATCH(ROW()-1,Calc!$X$2:$X$1001,0)),"")</f>
        <v/>
      </c>
      <c r="E741" s="3" t="str">
        <f aca="false">IFERROR(INDEX(Calc!$P$2:$P$1001,MATCH(ROW()-1,Calc!$X$2:$X$1001,0)),"")</f>
        <v/>
      </c>
      <c r="F741" s="3" t="str">
        <f aca="false">IF(G741="","",E741-D741)</f>
        <v/>
      </c>
      <c r="G741" s="0" t="str">
        <f aca="false">IFERROR(INDEX(Calc!$S$2:$S$1001,MATCH(ROW()-1,Calc!$X$2:$X$1001,0)),"")</f>
        <v/>
      </c>
    </row>
    <row r="742" customFormat="false" ht="15" hidden="false" customHeight="false" outlineLevel="0" collapsed="false">
      <c r="A742" s="0" t="str">
        <f aca="false">IFERROR(INDEX(Calc!$L$2:$L$1001,MATCH(ROW()-1,Calc!$X$2:$X$1001,0)),"")</f>
        <v/>
      </c>
      <c r="B742" s="0" t="str">
        <f aca="false">IFERROR(INDEX(Calc!$M$2:$M$1001,MATCH(ROW()-1,Calc!$X$2:$X$1001,0)),"")</f>
        <v/>
      </c>
      <c r="C742" s="0" t="str">
        <f aca="false">IFERROR(INDEX(Calc!$N$2:$N$1001,MATCH(ROW()-1,Calc!$X$2:$X$1001,0)),"")</f>
        <v/>
      </c>
      <c r="D742" s="3" t="str">
        <f aca="false">IFERROR(INDEX(Calc!$O$2:$O$1001,MATCH(ROW()-1,Calc!$X$2:$X$1001,0)),"")</f>
        <v/>
      </c>
      <c r="E742" s="3" t="str">
        <f aca="false">IFERROR(INDEX(Calc!$P$2:$P$1001,MATCH(ROW()-1,Calc!$X$2:$X$1001,0)),"")</f>
        <v/>
      </c>
      <c r="F742" s="3" t="str">
        <f aca="false">IF(G742="","",E742-D742)</f>
        <v/>
      </c>
      <c r="G742" s="0" t="str">
        <f aca="false">IFERROR(INDEX(Calc!$S$2:$S$1001,MATCH(ROW()-1,Calc!$X$2:$X$1001,0)),"")</f>
        <v/>
      </c>
    </row>
    <row r="743" customFormat="false" ht="15" hidden="false" customHeight="false" outlineLevel="0" collapsed="false">
      <c r="A743" s="0" t="str">
        <f aca="false">IFERROR(INDEX(Calc!$L$2:$L$1001,MATCH(ROW()-1,Calc!$X$2:$X$1001,0)),"")</f>
        <v/>
      </c>
      <c r="B743" s="0" t="str">
        <f aca="false">IFERROR(INDEX(Calc!$M$2:$M$1001,MATCH(ROW()-1,Calc!$X$2:$X$1001,0)),"")</f>
        <v/>
      </c>
      <c r="C743" s="0" t="str">
        <f aca="false">IFERROR(INDEX(Calc!$N$2:$N$1001,MATCH(ROW()-1,Calc!$X$2:$X$1001,0)),"")</f>
        <v/>
      </c>
      <c r="D743" s="3" t="str">
        <f aca="false">IFERROR(INDEX(Calc!$O$2:$O$1001,MATCH(ROW()-1,Calc!$X$2:$X$1001,0)),"")</f>
        <v/>
      </c>
      <c r="E743" s="3" t="str">
        <f aca="false">IFERROR(INDEX(Calc!$P$2:$P$1001,MATCH(ROW()-1,Calc!$X$2:$X$1001,0)),"")</f>
        <v/>
      </c>
      <c r="F743" s="3" t="str">
        <f aca="false">IF(G743="","",E743-D743)</f>
        <v/>
      </c>
      <c r="G743" s="0" t="str">
        <f aca="false">IFERROR(INDEX(Calc!$S$2:$S$1001,MATCH(ROW()-1,Calc!$X$2:$X$1001,0)),"")</f>
        <v/>
      </c>
    </row>
    <row r="744" customFormat="false" ht="15" hidden="false" customHeight="false" outlineLevel="0" collapsed="false">
      <c r="A744" s="0" t="str">
        <f aca="false">IFERROR(INDEX(Calc!$L$2:$L$1001,MATCH(ROW()-1,Calc!$X$2:$X$1001,0)),"")</f>
        <v/>
      </c>
      <c r="B744" s="0" t="str">
        <f aca="false">IFERROR(INDEX(Calc!$M$2:$M$1001,MATCH(ROW()-1,Calc!$X$2:$X$1001,0)),"")</f>
        <v/>
      </c>
      <c r="C744" s="0" t="str">
        <f aca="false">IFERROR(INDEX(Calc!$N$2:$N$1001,MATCH(ROW()-1,Calc!$X$2:$X$1001,0)),"")</f>
        <v/>
      </c>
      <c r="D744" s="3" t="str">
        <f aca="false">IFERROR(INDEX(Calc!$O$2:$O$1001,MATCH(ROW()-1,Calc!$X$2:$X$1001,0)),"")</f>
        <v/>
      </c>
      <c r="E744" s="3" t="str">
        <f aca="false">IFERROR(INDEX(Calc!$P$2:$P$1001,MATCH(ROW()-1,Calc!$X$2:$X$1001,0)),"")</f>
        <v/>
      </c>
      <c r="F744" s="3" t="str">
        <f aca="false">IF(G744="","",E744-D744)</f>
        <v/>
      </c>
      <c r="G744" s="0" t="str">
        <f aca="false">IFERROR(INDEX(Calc!$S$2:$S$1001,MATCH(ROW()-1,Calc!$X$2:$X$1001,0)),"")</f>
        <v/>
      </c>
    </row>
    <row r="745" customFormat="false" ht="15" hidden="false" customHeight="false" outlineLevel="0" collapsed="false">
      <c r="A745" s="0" t="str">
        <f aca="false">IFERROR(INDEX(Calc!$L$2:$L$1001,MATCH(ROW()-1,Calc!$X$2:$X$1001,0)),"")</f>
        <v/>
      </c>
      <c r="B745" s="0" t="str">
        <f aca="false">IFERROR(INDEX(Calc!$M$2:$M$1001,MATCH(ROW()-1,Calc!$X$2:$X$1001,0)),"")</f>
        <v/>
      </c>
      <c r="C745" s="0" t="str">
        <f aca="false">IFERROR(INDEX(Calc!$N$2:$N$1001,MATCH(ROW()-1,Calc!$X$2:$X$1001,0)),"")</f>
        <v/>
      </c>
      <c r="D745" s="3" t="str">
        <f aca="false">IFERROR(INDEX(Calc!$O$2:$O$1001,MATCH(ROW()-1,Calc!$X$2:$X$1001,0)),"")</f>
        <v/>
      </c>
      <c r="E745" s="3" t="str">
        <f aca="false">IFERROR(INDEX(Calc!$P$2:$P$1001,MATCH(ROW()-1,Calc!$X$2:$X$1001,0)),"")</f>
        <v/>
      </c>
      <c r="F745" s="3" t="str">
        <f aca="false">IF(G745="","",E745-D745)</f>
        <v/>
      </c>
      <c r="G745" s="0" t="str">
        <f aca="false">IFERROR(INDEX(Calc!$S$2:$S$1001,MATCH(ROW()-1,Calc!$X$2:$X$1001,0)),"")</f>
        <v/>
      </c>
    </row>
    <row r="746" customFormat="false" ht="15" hidden="false" customHeight="false" outlineLevel="0" collapsed="false">
      <c r="A746" s="0" t="str">
        <f aca="false">IFERROR(INDEX(Calc!$L$2:$L$1001,MATCH(ROW()-1,Calc!$X$2:$X$1001,0)),"")</f>
        <v/>
      </c>
      <c r="B746" s="0" t="str">
        <f aca="false">IFERROR(INDEX(Calc!$M$2:$M$1001,MATCH(ROW()-1,Calc!$X$2:$X$1001,0)),"")</f>
        <v/>
      </c>
      <c r="C746" s="0" t="str">
        <f aca="false">IFERROR(INDEX(Calc!$N$2:$N$1001,MATCH(ROW()-1,Calc!$X$2:$X$1001,0)),"")</f>
        <v/>
      </c>
      <c r="D746" s="3" t="str">
        <f aca="false">IFERROR(INDEX(Calc!$O$2:$O$1001,MATCH(ROW()-1,Calc!$X$2:$X$1001,0)),"")</f>
        <v/>
      </c>
      <c r="E746" s="3" t="str">
        <f aca="false">IFERROR(INDEX(Calc!$P$2:$P$1001,MATCH(ROW()-1,Calc!$X$2:$X$1001,0)),"")</f>
        <v/>
      </c>
      <c r="F746" s="3" t="str">
        <f aca="false">IF(G746="","",E746-D746)</f>
        <v/>
      </c>
      <c r="G746" s="0" t="str">
        <f aca="false">IFERROR(INDEX(Calc!$S$2:$S$1001,MATCH(ROW()-1,Calc!$X$2:$X$1001,0)),"")</f>
        <v/>
      </c>
    </row>
    <row r="747" customFormat="false" ht="15" hidden="false" customHeight="false" outlineLevel="0" collapsed="false">
      <c r="A747" s="0" t="str">
        <f aca="false">IFERROR(INDEX(Calc!$L$2:$L$1001,MATCH(ROW()-1,Calc!$X$2:$X$1001,0)),"")</f>
        <v/>
      </c>
      <c r="B747" s="0" t="str">
        <f aca="false">IFERROR(INDEX(Calc!$M$2:$M$1001,MATCH(ROW()-1,Calc!$X$2:$X$1001,0)),"")</f>
        <v/>
      </c>
      <c r="C747" s="0" t="str">
        <f aca="false">IFERROR(INDEX(Calc!$N$2:$N$1001,MATCH(ROW()-1,Calc!$X$2:$X$1001,0)),"")</f>
        <v/>
      </c>
      <c r="D747" s="3" t="str">
        <f aca="false">IFERROR(INDEX(Calc!$O$2:$O$1001,MATCH(ROW()-1,Calc!$X$2:$X$1001,0)),"")</f>
        <v/>
      </c>
      <c r="E747" s="3" t="str">
        <f aca="false">IFERROR(INDEX(Calc!$P$2:$P$1001,MATCH(ROW()-1,Calc!$X$2:$X$1001,0)),"")</f>
        <v/>
      </c>
      <c r="F747" s="3" t="str">
        <f aca="false">IF(G747="","",E747-D747)</f>
        <v/>
      </c>
      <c r="G747" s="0" t="str">
        <f aca="false">IFERROR(INDEX(Calc!$S$2:$S$1001,MATCH(ROW()-1,Calc!$X$2:$X$1001,0)),"")</f>
        <v/>
      </c>
    </row>
    <row r="748" customFormat="false" ht="15" hidden="false" customHeight="false" outlineLevel="0" collapsed="false">
      <c r="A748" s="0" t="str">
        <f aca="false">IFERROR(INDEX(Calc!$L$2:$L$1001,MATCH(ROW()-1,Calc!$X$2:$X$1001,0)),"")</f>
        <v/>
      </c>
      <c r="B748" s="0" t="str">
        <f aca="false">IFERROR(INDEX(Calc!$M$2:$M$1001,MATCH(ROW()-1,Calc!$X$2:$X$1001,0)),"")</f>
        <v/>
      </c>
      <c r="C748" s="0" t="str">
        <f aca="false">IFERROR(INDEX(Calc!$N$2:$N$1001,MATCH(ROW()-1,Calc!$X$2:$X$1001,0)),"")</f>
        <v/>
      </c>
      <c r="D748" s="3" t="str">
        <f aca="false">IFERROR(INDEX(Calc!$O$2:$O$1001,MATCH(ROW()-1,Calc!$X$2:$X$1001,0)),"")</f>
        <v/>
      </c>
      <c r="E748" s="3" t="str">
        <f aca="false">IFERROR(INDEX(Calc!$P$2:$P$1001,MATCH(ROW()-1,Calc!$X$2:$X$1001,0)),"")</f>
        <v/>
      </c>
      <c r="F748" s="3" t="str">
        <f aca="false">IF(G748="","",E748-D748)</f>
        <v/>
      </c>
      <c r="G748" s="0" t="str">
        <f aca="false">IFERROR(INDEX(Calc!$S$2:$S$1001,MATCH(ROW()-1,Calc!$X$2:$X$1001,0)),"")</f>
        <v/>
      </c>
    </row>
    <row r="749" customFormat="false" ht="15" hidden="false" customHeight="false" outlineLevel="0" collapsed="false">
      <c r="A749" s="0" t="str">
        <f aca="false">IFERROR(INDEX(Calc!$L$2:$L$1001,MATCH(ROW()-1,Calc!$X$2:$X$1001,0)),"")</f>
        <v/>
      </c>
      <c r="B749" s="0" t="str">
        <f aca="false">IFERROR(INDEX(Calc!$M$2:$M$1001,MATCH(ROW()-1,Calc!$X$2:$X$1001,0)),"")</f>
        <v/>
      </c>
      <c r="C749" s="0" t="str">
        <f aca="false">IFERROR(INDEX(Calc!$N$2:$N$1001,MATCH(ROW()-1,Calc!$X$2:$X$1001,0)),"")</f>
        <v/>
      </c>
      <c r="D749" s="3" t="str">
        <f aca="false">IFERROR(INDEX(Calc!$O$2:$O$1001,MATCH(ROW()-1,Calc!$X$2:$X$1001,0)),"")</f>
        <v/>
      </c>
      <c r="E749" s="3" t="str">
        <f aca="false">IFERROR(INDEX(Calc!$P$2:$P$1001,MATCH(ROW()-1,Calc!$X$2:$X$1001,0)),"")</f>
        <v/>
      </c>
      <c r="F749" s="3" t="str">
        <f aca="false">IF(G749="","",E749-D749)</f>
        <v/>
      </c>
      <c r="G749" s="0" t="str">
        <f aca="false">IFERROR(INDEX(Calc!$S$2:$S$1001,MATCH(ROW()-1,Calc!$X$2:$X$1001,0)),"")</f>
        <v/>
      </c>
    </row>
    <row r="750" customFormat="false" ht="15" hidden="false" customHeight="false" outlineLevel="0" collapsed="false">
      <c r="A750" s="0" t="str">
        <f aca="false">IFERROR(INDEX(Calc!$L$2:$L$1001,MATCH(ROW()-1,Calc!$X$2:$X$1001,0)),"")</f>
        <v/>
      </c>
      <c r="B750" s="0" t="str">
        <f aca="false">IFERROR(INDEX(Calc!$M$2:$M$1001,MATCH(ROW()-1,Calc!$X$2:$X$1001,0)),"")</f>
        <v/>
      </c>
      <c r="C750" s="0" t="str">
        <f aca="false">IFERROR(INDEX(Calc!$N$2:$N$1001,MATCH(ROW()-1,Calc!$X$2:$X$1001,0)),"")</f>
        <v/>
      </c>
      <c r="D750" s="3" t="str">
        <f aca="false">IFERROR(INDEX(Calc!$O$2:$O$1001,MATCH(ROW()-1,Calc!$X$2:$X$1001,0)),"")</f>
        <v/>
      </c>
      <c r="E750" s="3" t="str">
        <f aca="false">IFERROR(INDEX(Calc!$P$2:$P$1001,MATCH(ROW()-1,Calc!$X$2:$X$1001,0)),"")</f>
        <v/>
      </c>
      <c r="F750" s="3" t="str">
        <f aca="false">IF(G750="","",E750-D750)</f>
        <v/>
      </c>
      <c r="G750" s="0" t="str">
        <f aca="false">IFERROR(INDEX(Calc!$S$2:$S$1001,MATCH(ROW()-1,Calc!$X$2:$X$1001,0)),"")</f>
        <v/>
      </c>
    </row>
    <row r="751" customFormat="false" ht="15" hidden="false" customHeight="false" outlineLevel="0" collapsed="false">
      <c r="A751" s="0" t="str">
        <f aca="false">IFERROR(INDEX(Calc!$L$2:$L$1001,MATCH(ROW()-1,Calc!$X$2:$X$1001,0)),"")</f>
        <v/>
      </c>
      <c r="B751" s="0" t="str">
        <f aca="false">IFERROR(INDEX(Calc!$M$2:$M$1001,MATCH(ROW()-1,Calc!$X$2:$X$1001,0)),"")</f>
        <v/>
      </c>
      <c r="C751" s="0" t="str">
        <f aca="false">IFERROR(INDEX(Calc!$N$2:$N$1001,MATCH(ROW()-1,Calc!$X$2:$X$1001,0)),"")</f>
        <v/>
      </c>
      <c r="D751" s="3" t="str">
        <f aca="false">IFERROR(INDEX(Calc!$O$2:$O$1001,MATCH(ROW()-1,Calc!$X$2:$X$1001,0)),"")</f>
        <v/>
      </c>
      <c r="E751" s="3" t="str">
        <f aca="false">IFERROR(INDEX(Calc!$P$2:$P$1001,MATCH(ROW()-1,Calc!$X$2:$X$1001,0)),"")</f>
        <v/>
      </c>
      <c r="F751" s="3" t="str">
        <f aca="false">IF(G751="","",E751-D751)</f>
        <v/>
      </c>
      <c r="G751" s="0" t="str">
        <f aca="false">IFERROR(INDEX(Calc!$S$2:$S$1001,MATCH(ROW()-1,Calc!$X$2:$X$1001,0)),"")</f>
        <v/>
      </c>
    </row>
    <row r="752" customFormat="false" ht="15" hidden="false" customHeight="false" outlineLevel="0" collapsed="false">
      <c r="A752" s="0" t="str">
        <f aca="false">IFERROR(INDEX(Calc!$L$2:$L$1001,MATCH(ROW()-1,Calc!$X$2:$X$1001,0)),"")</f>
        <v/>
      </c>
      <c r="B752" s="0" t="str">
        <f aca="false">IFERROR(INDEX(Calc!$M$2:$M$1001,MATCH(ROW()-1,Calc!$X$2:$X$1001,0)),"")</f>
        <v/>
      </c>
      <c r="C752" s="0" t="str">
        <f aca="false">IFERROR(INDEX(Calc!$N$2:$N$1001,MATCH(ROW()-1,Calc!$X$2:$X$1001,0)),"")</f>
        <v/>
      </c>
      <c r="D752" s="3" t="str">
        <f aca="false">IFERROR(INDEX(Calc!$O$2:$O$1001,MATCH(ROW()-1,Calc!$X$2:$X$1001,0)),"")</f>
        <v/>
      </c>
      <c r="E752" s="3" t="str">
        <f aca="false">IFERROR(INDEX(Calc!$P$2:$P$1001,MATCH(ROW()-1,Calc!$X$2:$X$1001,0)),"")</f>
        <v/>
      </c>
      <c r="F752" s="3" t="str">
        <f aca="false">IF(G752="","",E752-D752)</f>
        <v/>
      </c>
      <c r="G752" s="0" t="str">
        <f aca="false">IFERROR(INDEX(Calc!$S$2:$S$1001,MATCH(ROW()-1,Calc!$X$2:$X$1001,0)),"")</f>
        <v/>
      </c>
    </row>
    <row r="753" customFormat="false" ht="15" hidden="false" customHeight="false" outlineLevel="0" collapsed="false">
      <c r="A753" s="0" t="str">
        <f aca="false">IFERROR(INDEX(Calc!$L$2:$L$1001,MATCH(ROW()-1,Calc!$X$2:$X$1001,0)),"")</f>
        <v/>
      </c>
      <c r="B753" s="0" t="str">
        <f aca="false">IFERROR(INDEX(Calc!$M$2:$M$1001,MATCH(ROW()-1,Calc!$X$2:$X$1001,0)),"")</f>
        <v/>
      </c>
      <c r="C753" s="0" t="str">
        <f aca="false">IFERROR(INDEX(Calc!$N$2:$N$1001,MATCH(ROW()-1,Calc!$X$2:$X$1001,0)),"")</f>
        <v/>
      </c>
      <c r="D753" s="3" t="str">
        <f aca="false">IFERROR(INDEX(Calc!$O$2:$O$1001,MATCH(ROW()-1,Calc!$X$2:$X$1001,0)),"")</f>
        <v/>
      </c>
      <c r="E753" s="3" t="str">
        <f aca="false">IFERROR(INDEX(Calc!$P$2:$P$1001,MATCH(ROW()-1,Calc!$X$2:$X$1001,0)),"")</f>
        <v/>
      </c>
      <c r="F753" s="3" t="str">
        <f aca="false">IF(G753="","",E753-D753)</f>
        <v/>
      </c>
      <c r="G753" s="0" t="str">
        <f aca="false">IFERROR(INDEX(Calc!$S$2:$S$1001,MATCH(ROW()-1,Calc!$X$2:$X$1001,0)),"")</f>
        <v/>
      </c>
    </row>
    <row r="754" customFormat="false" ht="15" hidden="false" customHeight="false" outlineLevel="0" collapsed="false">
      <c r="A754" s="0" t="str">
        <f aca="false">IFERROR(INDEX(Calc!$L$2:$L$1001,MATCH(ROW()-1,Calc!$X$2:$X$1001,0)),"")</f>
        <v/>
      </c>
      <c r="B754" s="0" t="str">
        <f aca="false">IFERROR(INDEX(Calc!$M$2:$M$1001,MATCH(ROW()-1,Calc!$X$2:$X$1001,0)),"")</f>
        <v/>
      </c>
      <c r="C754" s="0" t="str">
        <f aca="false">IFERROR(INDEX(Calc!$N$2:$N$1001,MATCH(ROW()-1,Calc!$X$2:$X$1001,0)),"")</f>
        <v/>
      </c>
      <c r="D754" s="3" t="str">
        <f aca="false">IFERROR(INDEX(Calc!$O$2:$O$1001,MATCH(ROW()-1,Calc!$X$2:$X$1001,0)),"")</f>
        <v/>
      </c>
      <c r="E754" s="3" t="str">
        <f aca="false">IFERROR(INDEX(Calc!$P$2:$P$1001,MATCH(ROW()-1,Calc!$X$2:$X$1001,0)),"")</f>
        <v/>
      </c>
      <c r="F754" s="3" t="str">
        <f aca="false">IF(G754="","",E754-D754)</f>
        <v/>
      </c>
      <c r="G754" s="0" t="str">
        <f aca="false">IFERROR(INDEX(Calc!$S$2:$S$1001,MATCH(ROW()-1,Calc!$X$2:$X$1001,0)),"")</f>
        <v/>
      </c>
    </row>
    <row r="755" customFormat="false" ht="15" hidden="false" customHeight="false" outlineLevel="0" collapsed="false">
      <c r="A755" s="0" t="str">
        <f aca="false">IFERROR(INDEX(Calc!$L$2:$L$1001,MATCH(ROW()-1,Calc!$X$2:$X$1001,0)),"")</f>
        <v/>
      </c>
      <c r="B755" s="0" t="str">
        <f aca="false">IFERROR(INDEX(Calc!$M$2:$M$1001,MATCH(ROW()-1,Calc!$X$2:$X$1001,0)),"")</f>
        <v/>
      </c>
      <c r="C755" s="0" t="str">
        <f aca="false">IFERROR(INDEX(Calc!$N$2:$N$1001,MATCH(ROW()-1,Calc!$X$2:$X$1001,0)),"")</f>
        <v/>
      </c>
      <c r="D755" s="3" t="str">
        <f aca="false">IFERROR(INDEX(Calc!$O$2:$O$1001,MATCH(ROW()-1,Calc!$X$2:$X$1001,0)),"")</f>
        <v/>
      </c>
      <c r="E755" s="3" t="str">
        <f aca="false">IFERROR(INDEX(Calc!$P$2:$P$1001,MATCH(ROW()-1,Calc!$X$2:$X$1001,0)),"")</f>
        <v/>
      </c>
      <c r="F755" s="3" t="str">
        <f aca="false">IF(G755="","",E755-D755)</f>
        <v/>
      </c>
      <c r="G755" s="0" t="str">
        <f aca="false">IFERROR(INDEX(Calc!$S$2:$S$1001,MATCH(ROW()-1,Calc!$X$2:$X$1001,0)),"")</f>
        <v/>
      </c>
    </row>
    <row r="756" customFormat="false" ht="15" hidden="false" customHeight="false" outlineLevel="0" collapsed="false">
      <c r="A756" s="0" t="str">
        <f aca="false">IFERROR(INDEX(Calc!$L$2:$L$1001,MATCH(ROW()-1,Calc!$X$2:$X$1001,0)),"")</f>
        <v/>
      </c>
      <c r="B756" s="0" t="str">
        <f aca="false">IFERROR(INDEX(Calc!$M$2:$M$1001,MATCH(ROW()-1,Calc!$X$2:$X$1001,0)),"")</f>
        <v/>
      </c>
      <c r="C756" s="0" t="str">
        <f aca="false">IFERROR(INDEX(Calc!$N$2:$N$1001,MATCH(ROW()-1,Calc!$X$2:$X$1001,0)),"")</f>
        <v/>
      </c>
      <c r="D756" s="3" t="str">
        <f aca="false">IFERROR(INDEX(Calc!$O$2:$O$1001,MATCH(ROW()-1,Calc!$X$2:$X$1001,0)),"")</f>
        <v/>
      </c>
      <c r="E756" s="3" t="str">
        <f aca="false">IFERROR(INDEX(Calc!$P$2:$P$1001,MATCH(ROW()-1,Calc!$X$2:$X$1001,0)),"")</f>
        <v/>
      </c>
      <c r="F756" s="3" t="str">
        <f aca="false">IF(G756="","",E756-D756)</f>
        <v/>
      </c>
      <c r="G756" s="0" t="str">
        <f aca="false">IFERROR(INDEX(Calc!$S$2:$S$1001,MATCH(ROW()-1,Calc!$X$2:$X$1001,0)),"")</f>
        <v/>
      </c>
    </row>
    <row r="757" customFormat="false" ht="15" hidden="false" customHeight="false" outlineLevel="0" collapsed="false">
      <c r="A757" s="0" t="str">
        <f aca="false">IFERROR(INDEX(Calc!$L$2:$L$1001,MATCH(ROW()-1,Calc!$X$2:$X$1001,0)),"")</f>
        <v/>
      </c>
      <c r="B757" s="0" t="str">
        <f aca="false">IFERROR(INDEX(Calc!$M$2:$M$1001,MATCH(ROW()-1,Calc!$X$2:$X$1001,0)),"")</f>
        <v/>
      </c>
      <c r="C757" s="0" t="str">
        <f aca="false">IFERROR(INDEX(Calc!$N$2:$N$1001,MATCH(ROW()-1,Calc!$X$2:$X$1001,0)),"")</f>
        <v/>
      </c>
      <c r="D757" s="3" t="str">
        <f aca="false">IFERROR(INDEX(Calc!$O$2:$O$1001,MATCH(ROW()-1,Calc!$X$2:$X$1001,0)),"")</f>
        <v/>
      </c>
      <c r="E757" s="3" t="str">
        <f aca="false">IFERROR(INDEX(Calc!$P$2:$P$1001,MATCH(ROW()-1,Calc!$X$2:$X$1001,0)),"")</f>
        <v/>
      </c>
      <c r="F757" s="3" t="str">
        <f aca="false">IF(G757="","",E757-D757)</f>
        <v/>
      </c>
      <c r="G757" s="0" t="str">
        <f aca="false">IFERROR(INDEX(Calc!$S$2:$S$1001,MATCH(ROW()-1,Calc!$X$2:$X$1001,0)),"")</f>
        <v/>
      </c>
    </row>
    <row r="758" customFormat="false" ht="15" hidden="false" customHeight="false" outlineLevel="0" collapsed="false">
      <c r="A758" s="0" t="str">
        <f aca="false">IFERROR(INDEX(Calc!$L$2:$L$1001,MATCH(ROW()-1,Calc!$X$2:$X$1001,0)),"")</f>
        <v/>
      </c>
      <c r="B758" s="0" t="str">
        <f aca="false">IFERROR(INDEX(Calc!$M$2:$M$1001,MATCH(ROW()-1,Calc!$X$2:$X$1001,0)),"")</f>
        <v/>
      </c>
      <c r="C758" s="0" t="str">
        <f aca="false">IFERROR(INDEX(Calc!$N$2:$N$1001,MATCH(ROW()-1,Calc!$X$2:$X$1001,0)),"")</f>
        <v/>
      </c>
      <c r="D758" s="3" t="str">
        <f aca="false">IFERROR(INDEX(Calc!$O$2:$O$1001,MATCH(ROW()-1,Calc!$X$2:$X$1001,0)),"")</f>
        <v/>
      </c>
      <c r="E758" s="3" t="str">
        <f aca="false">IFERROR(INDEX(Calc!$P$2:$P$1001,MATCH(ROW()-1,Calc!$X$2:$X$1001,0)),"")</f>
        <v/>
      </c>
      <c r="F758" s="3" t="str">
        <f aca="false">IF(G758="","",E758-D758)</f>
        <v/>
      </c>
      <c r="G758" s="0" t="str">
        <f aca="false">IFERROR(INDEX(Calc!$S$2:$S$1001,MATCH(ROW()-1,Calc!$X$2:$X$1001,0)),"")</f>
        <v/>
      </c>
    </row>
    <row r="759" customFormat="false" ht="15" hidden="false" customHeight="false" outlineLevel="0" collapsed="false">
      <c r="A759" s="0" t="str">
        <f aca="false">IFERROR(INDEX(Calc!$L$2:$L$1001,MATCH(ROW()-1,Calc!$X$2:$X$1001,0)),"")</f>
        <v/>
      </c>
      <c r="B759" s="0" t="str">
        <f aca="false">IFERROR(INDEX(Calc!$M$2:$M$1001,MATCH(ROW()-1,Calc!$X$2:$X$1001,0)),"")</f>
        <v/>
      </c>
      <c r="C759" s="0" t="str">
        <f aca="false">IFERROR(INDEX(Calc!$N$2:$N$1001,MATCH(ROW()-1,Calc!$X$2:$X$1001,0)),"")</f>
        <v/>
      </c>
      <c r="D759" s="3" t="str">
        <f aca="false">IFERROR(INDEX(Calc!$O$2:$O$1001,MATCH(ROW()-1,Calc!$X$2:$X$1001,0)),"")</f>
        <v/>
      </c>
      <c r="E759" s="3" t="str">
        <f aca="false">IFERROR(INDEX(Calc!$P$2:$P$1001,MATCH(ROW()-1,Calc!$X$2:$X$1001,0)),"")</f>
        <v/>
      </c>
      <c r="F759" s="3" t="str">
        <f aca="false">IF(G759="","",E759-D759)</f>
        <v/>
      </c>
      <c r="G759" s="0" t="str">
        <f aca="false">IFERROR(INDEX(Calc!$S$2:$S$1001,MATCH(ROW()-1,Calc!$X$2:$X$1001,0)),"")</f>
        <v/>
      </c>
    </row>
    <row r="760" customFormat="false" ht="15" hidden="false" customHeight="false" outlineLevel="0" collapsed="false">
      <c r="A760" s="0" t="str">
        <f aca="false">IFERROR(INDEX(Calc!$L$2:$L$1001,MATCH(ROW()-1,Calc!$X$2:$X$1001,0)),"")</f>
        <v/>
      </c>
      <c r="B760" s="0" t="str">
        <f aca="false">IFERROR(INDEX(Calc!$M$2:$M$1001,MATCH(ROW()-1,Calc!$X$2:$X$1001,0)),"")</f>
        <v/>
      </c>
      <c r="C760" s="0" t="str">
        <f aca="false">IFERROR(INDEX(Calc!$N$2:$N$1001,MATCH(ROW()-1,Calc!$X$2:$X$1001,0)),"")</f>
        <v/>
      </c>
      <c r="D760" s="3" t="str">
        <f aca="false">IFERROR(INDEX(Calc!$O$2:$O$1001,MATCH(ROW()-1,Calc!$X$2:$X$1001,0)),"")</f>
        <v/>
      </c>
      <c r="E760" s="3" t="str">
        <f aca="false">IFERROR(INDEX(Calc!$P$2:$P$1001,MATCH(ROW()-1,Calc!$X$2:$X$1001,0)),"")</f>
        <v/>
      </c>
      <c r="F760" s="3" t="str">
        <f aca="false">IF(G760="","",E760-D760)</f>
        <v/>
      </c>
      <c r="G760" s="0" t="str">
        <f aca="false">IFERROR(INDEX(Calc!$S$2:$S$1001,MATCH(ROW()-1,Calc!$X$2:$X$1001,0)),"")</f>
        <v/>
      </c>
    </row>
    <row r="761" customFormat="false" ht="15" hidden="false" customHeight="false" outlineLevel="0" collapsed="false">
      <c r="A761" s="0" t="str">
        <f aca="false">IFERROR(INDEX(Calc!$L$2:$L$1001,MATCH(ROW()-1,Calc!$X$2:$X$1001,0)),"")</f>
        <v/>
      </c>
      <c r="B761" s="0" t="str">
        <f aca="false">IFERROR(INDEX(Calc!$M$2:$M$1001,MATCH(ROW()-1,Calc!$X$2:$X$1001,0)),"")</f>
        <v/>
      </c>
      <c r="C761" s="0" t="str">
        <f aca="false">IFERROR(INDEX(Calc!$N$2:$N$1001,MATCH(ROW()-1,Calc!$X$2:$X$1001,0)),"")</f>
        <v/>
      </c>
      <c r="D761" s="3" t="str">
        <f aca="false">IFERROR(INDEX(Calc!$O$2:$O$1001,MATCH(ROW()-1,Calc!$X$2:$X$1001,0)),"")</f>
        <v/>
      </c>
      <c r="E761" s="3" t="str">
        <f aca="false">IFERROR(INDEX(Calc!$P$2:$P$1001,MATCH(ROW()-1,Calc!$X$2:$X$1001,0)),"")</f>
        <v/>
      </c>
      <c r="F761" s="3" t="str">
        <f aca="false">IF(G761="","",E761-D761)</f>
        <v/>
      </c>
      <c r="G761" s="0" t="str">
        <f aca="false">IFERROR(INDEX(Calc!$S$2:$S$1001,MATCH(ROW()-1,Calc!$X$2:$X$1001,0)),"")</f>
        <v/>
      </c>
    </row>
    <row r="762" customFormat="false" ht="15" hidden="false" customHeight="false" outlineLevel="0" collapsed="false">
      <c r="A762" s="0" t="str">
        <f aca="false">IFERROR(INDEX(Calc!$L$2:$L$1001,MATCH(ROW()-1,Calc!$X$2:$X$1001,0)),"")</f>
        <v/>
      </c>
      <c r="B762" s="0" t="str">
        <f aca="false">IFERROR(INDEX(Calc!$M$2:$M$1001,MATCH(ROW()-1,Calc!$X$2:$X$1001,0)),"")</f>
        <v/>
      </c>
      <c r="C762" s="0" t="str">
        <f aca="false">IFERROR(INDEX(Calc!$N$2:$N$1001,MATCH(ROW()-1,Calc!$X$2:$X$1001,0)),"")</f>
        <v/>
      </c>
      <c r="D762" s="3" t="str">
        <f aca="false">IFERROR(INDEX(Calc!$O$2:$O$1001,MATCH(ROW()-1,Calc!$X$2:$X$1001,0)),"")</f>
        <v/>
      </c>
      <c r="E762" s="3" t="str">
        <f aca="false">IFERROR(INDEX(Calc!$P$2:$P$1001,MATCH(ROW()-1,Calc!$X$2:$X$1001,0)),"")</f>
        <v/>
      </c>
      <c r="F762" s="3" t="str">
        <f aca="false">IF(G762="","",E762-D762)</f>
        <v/>
      </c>
      <c r="G762" s="0" t="str">
        <f aca="false">IFERROR(INDEX(Calc!$S$2:$S$1001,MATCH(ROW()-1,Calc!$X$2:$X$1001,0)),"")</f>
        <v/>
      </c>
    </row>
    <row r="763" customFormat="false" ht="15" hidden="false" customHeight="false" outlineLevel="0" collapsed="false">
      <c r="A763" s="0" t="str">
        <f aca="false">IFERROR(INDEX(Calc!$L$2:$L$1001,MATCH(ROW()-1,Calc!$X$2:$X$1001,0)),"")</f>
        <v/>
      </c>
      <c r="B763" s="0" t="str">
        <f aca="false">IFERROR(INDEX(Calc!$M$2:$M$1001,MATCH(ROW()-1,Calc!$X$2:$X$1001,0)),"")</f>
        <v/>
      </c>
      <c r="C763" s="0" t="str">
        <f aca="false">IFERROR(INDEX(Calc!$N$2:$N$1001,MATCH(ROW()-1,Calc!$X$2:$X$1001,0)),"")</f>
        <v/>
      </c>
      <c r="D763" s="3" t="str">
        <f aca="false">IFERROR(INDEX(Calc!$O$2:$O$1001,MATCH(ROW()-1,Calc!$X$2:$X$1001,0)),"")</f>
        <v/>
      </c>
      <c r="E763" s="3" t="str">
        <f aca="false">IFERROR(INDEX(Calc!$P$2:$P$1001,MATCH(ROW()-1,Calc!$X$2:$X$1001,0)),"")</f>
        <v/>
      </c>
      <c r="F763" s="3" t="str">
        <f aca="false">IF(G763="","",E763-D763)</f>
        <v/>
      </c>
      <c r="G763" s="0" t="str">
        <f aca="false">IFERROR(INDEX(Calc!$S$2:$S$1001,MATCH(ROW()-1,Calc!$X$2:$X$1001,0)),"")</f>
        <v/>
      </c>
    </row>
    <row r="764" customFormat="false" ht="15" hidden="false" customHeight="false" outlineLevel="0" collapsed="false">
      <c r="A764" s="0" t="str">
        <f aca="false">IFERROR(INDEX(Calc!$L$2:$L$1001,MATCH(ROW()-1,Calc!$X$2:$X$1001,0)),"")</f>
        <v/>
      </c>
      <c r="B764" s="0" t="str">
        <f aca="false">IFERROR(INDEX(Calc!$M$2:$M$1001,MATCH(ROW()-1,Calc!$X$2:$X$1001,0)),"")</f>
        <v/>
      </c>
      <c r="C764" s="0" t="str">
        <f aca="false">IFERROR(INDEX(Calc!$N$2:$N$1001,MATCH(ROW()-1,Calc!$X$2:$X$1001,0)),"")</f>
        <v/>
      </c>
      <c r="D764" s="3" t="str">
        <f aca="false">IFERROR(INDEX(Calc!$O$2:$O$1001,MATCH(ROW()-1,Calc!$X$2:$X$1001,0)),"")</f>
        <v/>
      </c>
      <c r="E764" s="3" t="str">
        <f aca="false">IFERROR(INDEX(Calc!$P$2:$P$1001,MATCH(ROW()-1,Calc!$X$2:$X$1001,0)),"")</f>
        <v/>
      </c>
      <c r="F764" s="3" t="str">
        <f aca="false">IF(G764="","",E764-D764)</f>
        <v/>
      </c>
      <c r="G764" s="0" t="str">
        <f aca="false">IFERROR(INDEX(Calc!$S$2:$S$1001,MATCH(ROW()-1,Calc!$X$2:$X$1001,0)),"")</f>
        <v/>
      </c>
    </row>
    <row r="765" customFormat="false" ht="15" hidden="false" customHeight="false" outlineLevel="0" collapsed="false">
      <c r="A765" s="0" t="str">
        <f aca="false">IFERROR(INDEX(Calc!$L$2:$L$1001,MATCH(ROW()-1,Calc!$X$2:$X$1001,0)),"")</f>
        <v/>
      </c>
      <c r="B765" s="0" t="str">
        <f aca="false">IFERROR(INDEX(Calc!$M$2:$M$1001,MATCH(ROW()-1,Calc!$X$2:$X$1001,0)),"")</f>
        <v/>
      </c>
      <c r="C765" s="0" t="str">
        <f aca="false">IFERROR(INDEX(Calc!$N$2:$N$1001,MATCH(ROW()-1,Calc!$X$2:$X$1001,0)),"")</f>
        <v/>
      </c>
      <c r="D765" s="3" t="str">
        <f aca="false">IFERROR(INDEX(Calc!$O$2:$O$1001,MATCH(ROW()-1,Calc!$X$2:$X$1001,0)),"")</f>
        <v/>
      </c>
      <c r="E765" s="3" t="str">
        <f aca="false">IFERROR(INDEX(Calc!$P$2:$P$1001,MATCH(ROW()-1,Calc!$X$2:$X$1001,0)),"")</f>
        <v/>
      </c>
      <c r="F765" s="3" t="str">
        <f aca="false">IF(G765="","",E765-D765)</f>
        <v/>
      </c>
      <c r="G765" s="0" t="str">
        <f aca="false">IFERROR(INDEX(Calc!$S$2:$S$1001,MATCH(ROW()-1,Calc!$X$2:$X$1001,0)),"")</f>
        <v/>
      </c>
    </row>
    <row r="766" customFormat="false" ht="15" hidden="false" customHeight="false" outlineLevel="0" collapsed="false">
      <c r="A766" s="0" t="str">
        <f aca="false">IFERROR(INDEX(Calc!$L$2:$L$1001,MATCH(ROW()-1,Calc!$X$2:$X$1001,0)),"")</f>
        <v/>
      </c>
      <c r="B766" s="0" t="str">
        <f aca="false">IFERROR(INDEX(Calc!$M$2:$M$1001,MATCH(ROW()-1,Calc!$X$2:$X$1001,0)),"")</f>
        <v/>
      </c>
      <c r="C766" s="0" t="str">
        <f aca="false">IFERROR(INDEX(Calc!$N$2:$N$1001,MATCH(ROW()-1,Calc!$X$2:$X$1001,0)),"")</f>
        <v/>
      </c>
      <c r="D766" s="3" t="str">
        <f aca="false">IFERROR(INDEX(Calc!$O$2:$O$1001,MATCH(ROW()-1,Calc!$X$2:$X$1001,0)),"")</f>
        <v/>
      </c>
      <c r="E766" s="3" t="str">
        <f aca="false">IFERROR(INDEX(Calc!$P$2:$P$1001,MATCH(ROW()-1,Calc!$X$2:$X$1001,0)),"")</f>
        <v/>
      </c>
      <c r="F766" s="3" t="str">
        <f aca="false">IF(G766="","",E766-D766)</f>
        <v/>
      </c>
      <c r="G766" s="0" t="str">
        <f aca="false">IFERROR(INDEX(Calc!$S$2:$S$1001,MATCH(ROW()-1,Calc!$X$2:$X$1001,0)),"")</f>
        <v/>
      </c>
    </row>
    <row r="767" customFormat="false" ht="15" hidden="false" customHeight="false" outlineLevel="0" collapsed="false">
      <c r="A767" s="0" t="str">
        <f aca="false">IFERROR(INDEX(Calc!$L$2:$L$1001,MATCH(ROW()-1,Calc!$X$2:$X$1001,0)),"")</f>
        <v/>
      </c>
      <c r="B767" s="0" t="str">
        <f aca="false">IFERROR(INDEX(Calc!$M$2:$M$1001,MATCH(ROW()-1,Calc!$X$2:$X$1001,0)),"")</f>
        <v/>
      </c>
      <c r="C767" s="0" t="str">
        <f aca="false">IFERROR(INDEX(Calc!$N$2:$N$1001,MATCH(ROW()-1,Calc!$X$2:$X$1001,0)),"")</f>
        <v/>
      </c>
      <c r="D767" s="3" t="str">
        <f aca="false">IFERROR(INDEX(Calc!$O$2:$O$1001,MATCH(ROW()-1,Calc!$X$2:$X$1001,0)),"")</f>
        <v/>
      </c>
      <c r="E767" s="3" t="str">
        <f aca="false">IFERROR(INDEX(Calc!$P$2:$P$1001,MATCH(ROW()-1,Calc!$X$2:$X$1001,0)),"")</f>
        <v/>
      </c>
      <c r="F767" s="3" t="str">
        <f aca="false">IF(G767="","",E767-D767)</f>
        <v/>
      </c>
      <c r="G767" s="0" t="str">
        <f aca="false">IFERROR(INDEX(Calc!$S$2:$S$1001,MATCH(ROW()-1,Calc!$X$2:$X$1001,0)),"")</f>
        <v/>
      </c>
    </row>
    <row r="768" customFormat="false" ht="15" hidden="false" customHeight="false" outlineLevel="0" collapsed="false">
      <c r="A768" s="0" t="str">
        <f aca="false">IFERROR(INDEX(Calc!$L$2:$L$1001,MATCH(ROW()-1,Calc!$X$2:$X$1001,0)),"")</f>
        <v/>
      </c>
      <c r="B768" s="0" t="str">
        <f aca="false">IFERROR(INDEX(Calc!$M$2:$M$1001,MATCH(ROW()-1,Calc!$X$2:$X$1001,0)),"")</f>
        <v/>
      </c>
      <c r="C768" s="0" t="str">
        <f aca="false">IFERROR(INDEX(Calc!$N$2:$N$1001,MATCH(ROW()-1,Calc!$X$2:$X$1001,0)),"")</f>
        <v/>
      </c>
      <c r="D768" s="3" t="str">
        <f aca="false">IFERROR(INDEX(Calc!$O$2:$O$1001,MATCH(ROW()-1,Calc!$X$2:$X$1001,0)),"")</f>
        <v/>
      </c>
      <c r="E768" s="3" t="str">
        <f aca="false">IFERROR(INDEX(Calc!$P$2:$P$1001,MATCH(ROW()-1,Calc!$X$2:$X$1001,0)),"")</f>
        <v/>
      </c>
      <c r="F768" s="3" t="str">
        <f aca="false">IF(G768="","",E768-D768)</f>
        <v/>
      </c>
      <c r="G768" s="0" t="str">
        <f aca="false">IFERROR(INDEX(Calc!$S$2:$S$1001,MATCH(ROW()-1,Calc!$X$2:$X$1001,0)),"")</f>
        <v/>
      </c>
    </row>
    <row r="769" customFormat="false" ht="15" hidden="false" customHeight="false" outlineLevel="0" collapsed="false">
      <c r="A769" s="0" t="str">
        <f aca="false">IFERROR(INDEX(Calc!$L$2:$L$1001,MATCH(ROW()-1,Calc!$X$2:$X$1001,0)),"")</f>
        <v/>
      </c>
      <c r="B769" s="0" t="str">
        <f aca="false">IFERROR(INDEX(Calc!$M$2:$M$1001,MATCH(ROW()-1,Calc!$X$2:$X$1001,0)),"")</f>
        <v/>
      </c>
      <c r="C769" s="0" t="str">
        <f aca="false">IFERROR(INDEX(Calc!$N$2:$N$1001,MATCH(ROW()-1,Calc!$X$2:$X$1001,0)),"")</f>
        <v/>
      </c>
      <c r="D769" s="3" t="str">
        <f aca="false">IFERROR(INDEX(Calc!$O$2:$O$1001,MATCH(ROW()-1,Calc!$X$2:$X$1001,0)),"")</f>
        <v/>
      </c>
      <c r="E769" s="3" t="str">
        <f aca="false">IFERROR(INDEX(Calc!$P$2:$P$1001,MATCH(ROW()-1,Calc!$X$2:$X$1001,0)),"")</f>
        <v/>
      </c>
      <c r="F769" s="3" t="str">
        <f aca="false">IF(G769="","",E769-D769)</f>
        <v/>
      </c>
      <c r="G769" s="0" t="str">
        <f aca="false">IFERROR(INDEX(Calc!$S$2:$S$1001,MATCH(ROW()-1,Calc!$X$2:$X$1001,0)),"")</f>
        <v/>
      </c>
    </row>
    <row r="770" customFormat="false" ht="15" hidden="false" customHeight="false" outlineLevel="0" collapsed="false">
      <c r="A770" s="0" t="str">
        <f aca="false">IFERROR(INDEX(Calc!$L$2:$L$1001,MATCH(ROW()-1,Calc!$X$2:$X$1001,0)),"")</f>
        <v/>
      </c>
      <c r="B770" s="0" t="str">
        <f aca="false">IFERROR(INDEX(Calc!$M$2:$M$1001,MATCH(ROW()-1,Calc!$X$2:$X$1001,0)),"")</f>
        <v/>
      </c>
      <c r="C770" s="0" t="str">
        <f aca="false">IFERROR(INDEX(Calc!$N$2:$N$1001,MATCH(ROW()-1,Calc!$X$2:$X$1001,0)),"")</f>
        <v/>
      </c>
      <c r="D770" s="3" t="str">
        <f aca="false">IFERROR(INDEX(Calc!$O$2:$O$1001,MATCH(ROW()-1,Calc!$X$2:$X$1001,0)),"")</f>
        <v/>
      </c>
      <c r="E770" s="3" t="str">
        <f aca="false">IFERROR(INDEX(Calc!$P$2:$P$1001,MATCH(ROW()-1,Calc!$X$2:$X$1001,0)),"")</f>
        <v/>
      </c>
      <c r="F770" s="3" t="str">
        <f aca="false">IF(G770="","",E770-D770)</f>
        <v/>
      </c>
      <c r="G770" s="0" t="str">
        <f aca="false">IFERROR(INDEX(Calc!$S$2:$S$1001,MATCH(ROW()-1,Calc!$X$2:$X$1001,0)),"")</f>
        <v/>
      </c>
    </row>
    <row r="771" customFormat="false" ht="15" hidden="false" customHeight="false" outlineLevel="0" collapsed="false">
      <c r="A771" s="0" t="str">
        <f aca="false">IFERROR(INDEX(Calc!$L$2:$L$1001,MATCH(ROW()-1,Calc!$X$2:$X$1001,0)),"")</f>
        <v/>
      </c>
      <c r="B771" s="0" t="str">
        <f aca="false">IFERROR(INDEX(Calc!$M$2:$M$1001,MATCH(ROW()-1,Calc!$X$2:$X$1001,0)),"")</f>
        <v/>
      </c>
      <c r="C771" s="0" t="str">
        <f aca="false">IFERROR(INDEX(Calc!$N$2:$N$1001,MATCH(ROW()-1,Calc!$X$2:$X$1001,0)),"")</f>
        <v/>
      </c>
      <c r="D771" s="3" t="str">
        <f aca="false">IFERROR(INDEX(Calc!$O$2:$O$1001,MATCH(ROW()-1,Calc!$X$2:$X$1001,0)),"")</f>
        <v/>
      </c>
      <c r="E771" s="3" t="str">
        <f aca="false">IFERROR(INDEX(Calc!$P$2:$P$1001,MATCH(ROW()-1,Calc!$X$2:$X$1001,0)),"")</f>
        <v/>
      </c>
      <c r="F771" s="3" t="str">
        <f aca="false">IF(G771="","",E771-D771)</f>
        <v/>
      </c>
      <c r="G771" s="0" t="str">
        <f aca="false">IFERROR(INDEX(Calc!$S$2:$S$1001,MATCH(ROW()-1,Calc!$X$2:$X$1001,0)),"")</f>
        <v/>
      </c>
    </row>
    <row r="772" customFormat="false" ht="15" hidden="false" customHeight="false" outlineLevel="0" collapsed="false">
      <c r="A772" s="0" t="str">
        <f aca="false">IFERROR(INDEX(Calc!$L$2:$L$1001,MATCH(ROW()-1,Calc!$X$2:$X$1001,0)),"")</f>
        <v/>
      </c>
      <c r="B772" s="0" t="str">
        <f aca="false">IFERROR(INDEX(Calc!$M$2:$M$1001,MATCH(ROW()-1,Calc!$X$2:$X$1001,0)),"")</f>
        <v/>
      </c>
      <c r="C772" s="0" t="str">
        <f aca="false">IFERROR(INDEX(Calc!$N$2:$N$1001,MATCH(ROW()-1,Calc!$X$2:$X$1001,0)),"")</f>
        <v/>
      </c>
      <c r="D772" s="3" t="str">
        <f aca="false">IFERROR(INDEX(Calc!$O$2:$O$1001,MATCH(ROW()-1,Calc!$X$2:$X$1001,0)),"")</f>
        <v/>
      </c>
      <c r="E772" s="3" t="str">
        <f aca="false">IFERROR(INDEX(Calc!$P$2:$P$1001,MATCH(ROW()-1,Calc!$X$2:$X$1001,0)),"")</f>
        <v/>
      </c>
      <c r="F772" s="3" t="str">
        <f aca="false">IF(G772="","",E772-D772)</f>
        <v/>
      </c>
      <c r="G772" s="0" t="str">
        <f aca="false">IFERROR(INDEX(Calc!$S$2:$S$1001,MATCH(ROW()-1,Calc!$X$2:$X$1001,0)),"")</f>
        <v/>
      </c>
    </row>
    <row r="773" customFormat="false" ht="15" hidden="false" customHeight="false" outlineLevel="0" collapsed="false">
      <c r="A773" s="0" t="str">
        <f aca="false">IFERROR(INDEX(Calc!$L$2:$L$1001,MATCH(ROW()-1,Calc!$X$2:$X$1001,0)),"")</f>
        <v/>
      </c>
      <c r="B773" s="0" t="str">
        <f aca="false">IFERROR(INDEX(Calc!$M$2:$M$1001,MATCH(ROW()-1,Calc!$X$2:$X$1001,0)),"")</f>
        <v/>
      </c>
      <c r="C773" s="0" t="str">
        <f aca="false">IFERROR(INDEX(Calc!$N$2:$N$1001,MATCH(ROW()-1,Calc!$X$2:$X$1001,0)),"")</f>
        <v/>
      </c>
      <c r="D773" s="3" t="str">
        <f aca="false">IFERROR(INDEX(Calc!$O$2:$O$1001,MATCH(ROW()-1,Calc!$X$2:$X$1001,0)),"")</f>
        <v/>
      </c>
      <c r="E773" s="3" t="str">
        <f aca="false">IFERROR(INDEX(Calc!$P$2:$P$1001,MATCH(ROW()-1,Calc!$X$2:$X$1001,0)),"")</f>
        <v/>
      </c>
      <c r="F773" s="3" t="str">
        <f aca="false">IF(G773="","",E773-D773)</f>
        <v/>
      </c>
      <c r="G773" s="0" t="str">
        <f aca="false">IFERROR(INDEX(Calc!$S$2:$S$1001,MATCH(ROW()-1,Calc!$X$2:$X$1001,0)),"")</f>
        <v/>
      </c>
    </row>
    <row r="774" customFormat="false" ht="15" hidden="false" customHeight="false" outlineLevel="0" collapsed="false">
      <c r="A774" s="0" t="str">
        <f aca="false">IFERROR(INDEX(Calc!$L$2:$L$1001,MATCH(ROW()-1,Calc!$X$2:$X$1001,0)),"")</f>
        <v/>
      </c>
      <c r="B774" s="0" t="str">
        <f aca="false">IFERROR(INDEX(Calc!$M$2:$M$1001,MATCH(ROW()-1,Calc!$X$2:$X$1001,0)),"")</f>
        <v/>
      </c>
      <c r="C774" s="0" t="str">
        <f aca="false">IFERROR(INDEX(Calc!$N$2:$N$1001,MATCH(ROW()-1,Calc!$X$2:$X$1001,0)),"")</f>
        <v/>
      </c>
      <c r="D774" s="3" t="str">
        <f aca="false">IFERROR(INDEX(Calc!$O$2:$O$1001,MATCH(ROW()-1,Calc!$X$2:$X$1001,0)),"")</f>
        <v/>
      </c>
      <c r="E774" s="3" t="str">
        <f aca="false">IFERROR(INDEX(Calc!$P$2:$P$1001,MATCH(ROW()-1,Calc!$X$2:$X$1001,0)),"")</f>
        <v/>
      </c>
      <c r="F774" s="3" t="str">
        <f aca="false">IF(G774="","",E774-D774)</f>
        <v/>
      </c>
      <c r="G774" s="0" t="str">
        <f aca="false">IFERROR(INDEX(Calc!$S$2:$S$1001,MATCH(ROW()-1,Calc!$X$2:$X$1001,0)),"")</f>
        <v/>
      </c>
    </row>
    <row r="775" customFormat="false" ht="15" hidden="false" customHeight="false" outlineLevel="0" collapsed="false">
      <c r="A775" s="0" t="str">
        <f aca="false">IFERROR(INDEX(Calc!$L$2:$L$1001,MATCH(ROW()-1,Calc!$X$2:$X$1001,0)),"")</f>
        <v/>
      </c>
      <c r="B775" s="0" t="str">
        <f aca="false">IFERROR(INDEX(Calc!$M$2:$M$1001,MATCH(ROW()-1,Calc!$X$2:$X$1001,0)),"")</f>
        <v/>
      </c>
      <c r="C775" s="0" t="str">
        <f aca="false">IFERROR(INDEX(Calc!$N$2:$N$1001,MATCH(ROW()-1,Calc!$X$2:$X$1001,0)),"")</f>
        <v/>
      </c>
      <c r="D775" s="3" t="str">
        <f aca="false">IFERROR(INDEX(Calc!$O$2:$O$1001,MATCH(ROW()-1,Calc!$X$2:$X$1001,0)),"")</f>
        <v/>
      </c>
      <c r="E775" s="3" t="str">
        <f aca="false">IFERROR(INDEX(Calc!$P$2:$P$1001,MATCH(ROW()-1,Calc!$X$2:$X$1001,0)),"")</f>
        <v/>
      </c>
      <c r="F775" s="3" t="str">
        <f aca="false">IF(G775="","",E775-D775)</f>
        <v/>
      </c>
      <c r="G775" s="0" t="str">
        <f aca="false">IFERROR(INDEX(Calc!$S$2:$S$1001,MATCH(ROW()-1,Calc!$X$2:$X$1001,0)),"")</f>
        <v/>
      </c>
    </row>
    <row r="776" customFormat="false" ht="15" hidden="false" customHeight="false" outlineLevel="0" collapsed="false">
      <c r="A776" s="0" t="str">
        <f aca="false">IFERROR(INDEX(Calc!$L$2:$L$1001,MATCH(ROW()-1,Calc!$X$2:$X$1001,0)),"")</f>
        <v/>
      </c>
      <c r="B776" s="0" t="str">
        <f aca="false">IFERROR(INDEX(Calc!$M$2:$M$1001,MATCH(ROW()-1,Calc!$X$2:$X$1001,0)),"")</f>
        <v/>
      </c>
      <c r="C776" s="0" t="str">
        <f aca="false">IFERROR(INDEX(Calc!$N$2:$N$1001,MATCH(ROW()-1,Calc!$X$2:$X$1001,0)),"")</f>
        <v/>
      </c>
      <c r="D776" s="3" t="str">
        <f aca="false">IFERROR(INDEX(Calc!$O$2:$O$1001,MATCH(ROW()-1,Calc!$X$2:$X$1001,0)),"")</f>
        <v/>
      </c>
      <c r="E776" s="3" t="str">
        <f aca="false">IFERROR(INDEX(Calc!$P$2:$P$1001,MATCH(ROW()-1,Calc!$X$2:$X$1001,0)),"")</f>
        <v/>
      </c>
      <c r="F776" s="3" t="str">
        <f aca="false">IF(G776="","",E776-D776)</f>
        <v/>
      </c>
      <c r="G776" s="0" t="str">
        <f aca="false">IFERROR(INDEX(Calc!$S$2:$S$1001,MATCH(ROW()-1,Calc!$X$2:$X$1001,0)),"")</f>
        <v/>
      </c>
    </row>
    <row r="777" customFormat="false" ht="15" hidden="false" customHeight="false" outlineLevel="0" collapsed="false">
      <c r="A777" s="0" t="str">
        <f aca="false">IFERROR(INDEX(Calc!$L$2:$L$1001,MATCH(ROW()-1,Calc!$X$2:$X$1001,0)),"")</f>
        <v/>
      </c>
      <c r="B777" s="0" t="str">
        <f aca="false">IFERROR(INDEX(Calc!$M$2:$M$1001,MATCH(ROW()-1,Calc!$X$2:$X$1001,0)),"")</f>
        <v/>
      </c>
      <c r="C777" s="0" t="str">
        <f aca="false">IFERROR(INDEX(Calc!$N$2:$N$1001,MATCH(ROW()-1,Calc!$X$2:$X$1001,0)),"")</f>
        <v/>
      </c>
      <c r="D777" s="3" t="str">
        <f aca="false">IFERROR(INDEX(Calc!$O$2:$O$1001,MATCH(ROW()-1,Calc!$X$2:$X$1001,0)),"")</f>
        <v/>
      </c>
      <c r="E777" s="3" t="str">
        <f aca="false">IFERROR(INDEX(Calc!$P$2:$P$1001,MATCH(ROW()-1,Calc!$X$2:$X$1001,0)),"")</f>
        <v/>
      </c>
      <c r="F777" s="3" t="str">
        <f aca="false">IF(G777="","",E777-D777)</f>
        <v/>
      </c>
      <c r="G777" s="0" t="str">
        <f aca="false">IFERROR(INDEX(Calc!$S$2:$S$1001,MATCH(ROW()-1,Calc!$X$2:$X$1001,0)),"")</f>
        <v/>
      </c>
    </row>
    <row r="778" customFormat="false" ht="15" hidden="false" customHeight="false" outlineLevel="0" collapsed="false">
      <c r="A778" s="0" t="str">
        <f aca="false">IFERROR(INDEX(Calc!$L$2:$L$1001,MATCH(ROW()-1,Calc!$X$2:$X$1001,0)),"")</f>
        <v/>
      </c>
      <c r="B778" s="0" t="str">
        <f aca="false">IFERROR(INDEX(Calc!$M$2:$M$1001,MATCH(ROW()-1,Calc!$X$2:$X$1001,0)),"")</f>
        <v/>
      </c>
      <c r="C778" s="0" t="str">
        <f aca="false">IFERROR(INDEX(Calc!$N$2:$N$1001,MATCH(ROW()-1,Calc!$X$2:$X$1001,0)),"")</f>
        <v/>
      </c>
      <c r="D778" s="3" t="str">
        <f aca="false">IFERROR(INDEX(Calc!$O$2:$O$1001,MATCH(ROW()-1,Calc!$X$2:$X$1001,0)),"")</f>
        <v/>
      </c>
      <c r="E778" s="3" t="str">
        <f aca="false">IFERROR(INDEX(Calc!$P$2:$P$1001,MATCH(ROW()-1,Calc!$X$2:$X$1001,0)),"")</f>
        <v/>
      </c>
      <c r="F778" s="3" t="str">
        <f aca="false">IF(G778="","",E778-D778)</f>
        <v/>
      </c>
      <c r="G778" s="0" t="str">
        <f aca="false">IFERROR(INDEX(Calc!$S$2:$S$1001,MATCH(ROW()-1,Calc!$X$2:$X$1001,0)),"")</f>
        <v/>
      </c>
    </row>
    <row r="779" customFormat="false" ht="15" hidden="false" customHeight="false" outlineLevel="0" collapsed="false">
      <c r="A779" s="0" t="str">
        <f aca="false">IFERROR(INDEX(Calc!$L$2:$L$1001,MATCH(ROW()-1,Calc!$X$2:$X$1001,0)),"")</f>
        <v/>
      </c>
      <c r="B779" s="0" t="str">
        <f aca="false">IFERROR(INDEX(Calc!$M$2:$M$1001,MATCH(ROW()-1,Calc!$X$2:$X$1001,0)),"")</f>
        <v/>
      </c>
      <c r="C779" s="0" t="str">
        <f aca="false">IFERROR(INDEX(Calc!$N$2:$N$1001,MATCH(ROW()-1,Calc!$X$2:$X$1001,0)),"")</f>
        <v/>
      </c>
      <c r="D779" s="3" t="str">
        <f aca="false">IFERROR(INDEX(Calc!$O$2:$O$1001,MATCH(ROW()-1,Calc!$X$2:$X$1001,0)),"")</f>
        <v/>
      </c>
      <c r="E779" s="3" t="str">
        <f aca="false">IFERROR(INDEX(Calc!$P$2:$P$1001,MATCH(ROW()-1,Calc!$X$2:$X$1001,0)),"")</f>
        <v/>
      </c>
      <c r="F779" s="3" t="str">
        <f aca="false">IF(G779="","",E779-D779)</f>
        <v/>
      </c>
      <c r="G779" s="0" t="str">
        <f aca="false">IFERROR(INDEX(Calc!$S$2:$S$1001,MATCH(ROW()-1,Calc!$X$2:$X$1001,0)),"")</f>
        <v/>
      </c>
    </row>
    <row r="780" customFormat="false" ht="15" hidden="false" customHeight="false" outlineLevel="0" collapsed="false">
      <c r="A780" s="0" t="str">
        <f aca="false">IFERROR(INDEX(Calc!$L$2:$L$1001,MATCH(ROW()-1,Calc!$X$2:$X$1001,0)),"")</f>
        <v/>
      </c>
      <c r="B780" s="0" t="str">
        <f aca="false">IFERROR(INDEX(Calc!$M$2:$M$1001,MATCH(ROW()-1,Calc!$X$2:$X$1001,0)),"")</f>
        <v/>
      </c>
      <c r="C780" s="0" t="str">
        <f aca="false">IFERROR(INDEX(Calc!$N$2:$N$1001,MATCH(ROW()-1,Calc!$X$2:$X$1001,0)),"")</f>
        <v/>
      </c>
      <c r="D780" s="3" t="str">
        <f aca="false">IFERROR(INDEX(Calc!$O$2:$O$1001,MATCH(ROW()-1,Calc!$X$2:$X$1001,0)),"")</f>
        <v/>
      </c>
      <c r="E780" s="3" t="str">
        <f aca="false">IFERROR(INDEX(Calc!$P$2:$P$1001,MATCH(ROW()-1,Calc!$X$2:$X$1001,0)),"")</f>
        <v/>
      </c>
      <c r="F780" s="3" t="str">
        <f aca="false">IF(G780="","",E780-D780)</f>
        <v/>
      </c>
      <c r="G780" s="0" t="str">
        <f aca="false">IFERROR(INDEX(Calc!$S$2:$S$1001,MATCH(ROW()-1,Calc!$X$2:$X$1001,0)),"")</f>
        <v/>
      </c>
    </row>
    <row r="781" customFormat="false" ht="15" hidden="false" customHeight="false" outlineLevel="0" collapsed="false">
      <c r="A781" s="0" t="str">
        <f aca="false">IFERROR(INDEX(Calc!$L$2:$L$1001,MATCH(ROW()-1,Calc!$X$2:$X$1001,0)),"")</f>
        <v/>
      </c>
      <c r="B781" s="0" t="str">
        <f aca="false">IFERROR(INDEX(Calc!$M$2:$M$1001,MATCH(ROW()-1,Calc!$X$2:$X$1001,0)),"")</f>
        <v/>
      </c>
      <c r="C781" s="0" t="str">
        <f aca="false">IFERROR(INDEX(Calc!$N$2:$N$1001,MATCH(ROW()-1,Calc!$X$2:$X$1001,0)),"")</f>
        <v/>
      </c>
      <c r="D781" s="3" t="str">
        <f aca="false">IFERROR(INDEX(Calc!$O$2:$O$1001,MATCH(ROW()-1,Calc!$X$2:$X$1001,0)),"")</f>
        <v/>
      </c>
      <c r="E781" s="3" t="str">
        <f aca="false">IFERROR(INDEX(Calc!$P$2:$P$1001,MATCH(ROW()-1,Calc!$X$2:$X$1001,0)),"")</f>
        <v/>
      </c>
      <c r="F781" s="3" t="str">
        <f aca="false">IF(G781="","",E781-D781)</f>
        <v/>
      </c>
      <c r="G781" s="0" t="str">
        <f aca="false">IFERROR(INDEX(Calc!$S$2:$S$1001,MATCH(ROW()-1,Calc!$X$2:$X$1001,0)),"")</f>
        <v/>
      </c>
    </row>
    <row r="782" customFormat="false" ht="15" hidden="false" customHeight="false" outlineLevel="0" collapsed="false">
      <c r="A782" s="0" t="str">
        <f aca="false">IFERROR(INDEX(Calc!$L$2:$L$1001,MATCH(ROW()-1,Calc!$X$2:$X$1001,0)),"")</f>
        <v/>
      </c>
      <c r="B782" s="0" t="str">
        <f aca="false">IFERROR(INDEX(Calc!$M$2:$M$1001,MATCH(ROW()-1,Calc!$X$2:$X$1001,0)),"")</f>
        <v/>
      </c>
      <c r="C782" s="0" t="str">
        <f aca="false">IFERROR(INDEX(Calc!$N$2:$N$1001,MATCH(ROW()-1,Calc!$X$2:$X$1001,0)),"")</f>
        <v/>
      </c>
      <c r="D782" s="3" t="str">
        <f aca="false">IFERROR(INDEX(Calc!$O$2:$O$1001,MATCH(ROW()-1,Calc!$X$2:$X$1001,0)),"")</f>
        <v/>
      </c>
      <c r="E782" s="3" t="str">
        <f aca="false">IFERROR(INDEX(Calc!$P$2:$P$1001,MATCH(ROW()-1,Calc!$X$2:$X$1001,0)),"")</f>
        <v/>
      </c>
      <c r="F782" s="3" t="str">
        <f aca="false">IF(G782="","",E782-D782)</f>
        <v/>
      </c>
      <c r="G782" s="0" t="str">
        <f aca="false">IFERROR(INDEX(Calc!$S$2:$S$1001,MATCH(ROW()-1,Calc!$X$2:$X$1001,0)),"")</f>
        <v/>
      </c>
    </row>
    <row r="783" customFormat="false" ht="15" hidden="false" customHeight="false" outlineLevel="0" collapsed="false">
      <c r="A783" s="0" t="str">
        <f aca="false">IFERROR(INDEX(Calc!$L$2:$L$1001,MATCH(ROW()-1,Calc!$X$2:$X$1001,0)),"")</f>
        <v/>
      </c>
      <c r="B783" s="0" t="str">
        <f aca="false">IFERROR(INDEX(Calc!$M$2:$M$1001,MATCH(ROW()-1,Calc!$X$2:$X$1001,0)),"")</f>
        <v/>
      </c>
      <c r="C783" s="0" t="str">
        <f aca="false">IFERROR(INDEX(Calc!$N$2:$N$1001,MATCH(ROW()-1,Calc!$X$2:$X$1001,0)),"")</f>
        <v/>
      </c>
      <c r="D783" s="3" t="str">
        <f aca="false">IFERROR(INDEX(Calc!$O$2:$O$1001,MATCH(ROW()-1,Calc!$X$2:$X$1001,0)),"")</f>
        <v/>
      </c>
      <c r="E783" s="3" t="str">
        <f aca="false">IFERROR(INDEX(Calc!$P$2:$P$1001,MATCH(ROW()-1,Calc!$X$2:$X$1001,0)),"")</f>
        <v/>
      </c>
      <c r="F783" s="3" t="str">
        <f aca="false">IF(G783="","",E783-D783)</f>
        <v/>
      </c>
      <c r="G783" s="0" t="str">
        <f aca="false">IFERROR(INDEX(Calc!$S$2:$S$1001,MATCH(ROW()-1,Calc!$X$2:$X$1001,0)),"")</f>
        <v/>
      </c>
    </row>
    <row r="784" customFormat="false" ht="15" hidden="false" customHeight="false" outlineLevel="0" collapsed="false">
      <c r="A784" s="0" t="str">
        <f aca="false">IFERROR(INDEX(Calc!$L$2:$L$1001,MATCH(ROW()-1,Calc!$X$2:$X$1001,0)),"")</f>
        <v/>
      </c>
      <c r="B784" s="0" t="str">
        <f aca="false">IFERROR(INDEX(Calc!$M$2:$M$1001,MATCH(ROW()-1,Calc!$X$2:$X$1001,0)),"")</f>
        <v/>
      </c>
      <c r="C784" s="0" t="str">
        <f aca="false">IFERROR(INDEX(Calc!$N$2:$N$1001,MATCH(ROW()-1,Calc!$X$2:$X$1001,0)),"")</f>
        <v/>
      </c>
      <c r="D784" s="3" t="str">
        <f aca="false">IFERROR(INDEX(Calc!$O$2:$O$1001,MATCH(ROW()-1,Calc!$X$2:$X$1001,0)),"")</f>
        <v/>
      </c>
      <c r="E784" s="3" t="str">
        <f aca="false">IFERROR(INDEX(Calc!$P$2:$P$1001,MATCH(ROW()-1,Calc!$X$2:$X$1001,0)),"")</f>
        <v/>
      </c>
      <c r="F784" s="3" t="str">
        <f aca="false">IF(G784="","",E784-D784)</f>
        <v/>
      </c>
      <c r="G784" s="0" t="str">
        <f aca="false">IFERROR(INDEX(Calc!$S$2:$S$1001,MATCH(ROW()-1,Calc!$X$2:$X$1001,0)),"")</f>
        <v/>
      </c>
    </row>
    <row r="785" customFormat="false" ht="15" hidden="false" customHeight="false" outlineLevel="0" collapsed="false">
      <c r="A785" s="0" t="str">
        <f aca="false">IFERROR(INDEX(Calc!$L$2:$L$1001,MATCH(ROW()-1,Calc!$X$2:$X$1001,0)),"")</f>
        <v/>
      </c>
      <c r="B785" s="0" t="str">
        <f aca="false">IFERROR(INDEX(Calc!$M$2:$M$1001,MATCH(ROW()-1,Calc!$X$2:$X$1001,0)),"")</f>
        <v/>
      </c>
      <c r="C785" s="0" t="str">
        <f aca="false">IFERROR(INDEX(Calc!$N$2:$N$1001,MATCH(ROW()-1,Calc!$X$2:$X$1001,0)),"")</f>
        <v/>
      </c>
      <c r="D785" s="3" t="str">
        <f aca="false">IFERROR(INDEX(Calc!$O$2:$O$1001,MATCH(ROW()-1,Calc!$X$2:$X$1001,0)),"")</f>
        <v/>
      </c>
      <c r="E785" s="3" t="str">
        <f aca="false">IFERROR(INDEX(Calc!$P$2:$P$1001,MATCH(ROW()-1,Calc!$X$2:$X$1001,0)),"")</f>
        <v/>
      </c>
      <c r="F785" s="3" t="str">
        <f aca="false">IF(G785="","",E785-D785)</f>
        <v/>
      </c>
      <c r="G785" s="0" t="str">
        <f aca="false">IFERROR(INDEX(Calc!$S$2:$S$1001,MATCH(ROW()-1,Calc!$X$2:$X$1001,0)),"")</f>
        <v/>
      </c>
    </row>
    <row r="786" customFormat="false" ht="15" hidden="false" customHeight="false" outlineLevel="0" collapsed="false">
      <c r="A786" s="0" t="str">
        <f aca="false">IFERROR(INDEX(Calc!$L$2:$L$1001,MATCH(ROW()-1,Calc!$X$2:$X$1001,0)),"")</f>
        <v/>
      </c>
      <c r="B786" s="0" t="str">
        <f aca="false">IFERROR(INDEX(Calc!$M$2:$M$1001,MATCH(ROW()-1,Calc!$X$2:$X$1001,0)),"")</f>
        <v/>
      </c>
      <c r="C786" s="0" t="str">
        <f aca="false">IFERROR(INDEX(Calc!$N$2:$N$1001,MATCH(ROW()-1,Calc!$X$2:$X$1001,0)),"")</f>
        <v/>
      </c>
      <c r="D786" s="3" t="str">
        <f aca="false">IFERROR(INDEX(Calc!$O$2:$O$1001,MATCH(ROW()-1,Calc!$X$2:$X$1001,0)),"")</f>
        <v/>
      </c>
      <c r="E786" s="3" t="str">
        <f aca="false">IFERROR(INDEX(Calc!$P$2:$P$1001,MATCH(ROW()-1,Calc!$X$2:$X$1001,0)),"")</f>
        <v/>
      </c>
      <c r="F786" s="3" t="str">
        <f aca="false">IF(G786="","",E786-D786)</f>
        <v/>
      </c>
      <c r="G786" s="0" t="str">
        <f aca="false">IFERROR(INDEX(Calc!$S$2:$S$1001,MATCH(ROW()-1,Calc!$X$2:$X$1001,0)),"")</f>
        <v/>
      </c>
    </row>
    <row r="787" customFormat="false" ht="15" hidden="false" customHeight="false" outlineLevel="0" collapsed="false">
      <c r="A787" s="0" t="str">
        <f aca="false">IFERROR(INDEX(Calc!$L$2:$L$1001,MATCH(ROW()-1,Calc!$X$2:$X$1001,0)),"")</f>
        <v/>
      </c>
      <c r="B787" s="0" t="str">
        <f aca="false">IFERROR(INDEX(Calc!$M$2:$M$1001,MATCH(ROW()-1,Calc!$X$2:$X$1001,0)),"")</f>
        <v/>
      </c>
      <c r="C787" s="0" t="str">
        <f aca="false">IFERROR(INDEX(Calc!$N$2:$N$1001,MATCH(ROW()-1,Calc!$X$2:$X$1001,0)),"")</f>
        <v/>
      </c>
      <c r="D787" s="3" t="str">
        <f aca="false">IFERROR(INDEX(Calc!$O$2:$O$1001,MATCH(ROW()-1,Calc!$X$2:$X$1001,0)),"")</f>
        <v/>
      </c>
      <c r="E787" s="3" t="str">
        <f aca="false">IFERROR(INDEX(Calc!$P$2:$P$1001,MATCH(ROW()-1,Calc!$X$2:$X$1001,0)),"")</f>
        <v/>
      </c>
      <c r="F787" s="3" t="str">
        <f aca="false">IF(G787="","",E787-D787)</f>
        <v/>
      </c>
      <c r="G787" s="0" t="str">
        <f aca="false">IFERROR(INDEX(Calc!$S$2:$S$1001,MATCH(ROW()-1,Calc!$X$2:$X$1001,0)),"")</f>
        <v/>
      </c>
    </row>
    <row r="788" customFormat="false" ht="15" hidden="false" customHeight="false" outlineLevel="0" collapsed="false">
      <c r="A788" s="0" t="str">
        <f aca="false">IFERROR(INDEX(Calc!$L$2:$L$1001,MATCH(ROW()-1,Calc!$X$2:$X$1001,0)),"")</f>
        <v/>
      </c>
      <c r="B788" s="0" t="str">
        <f aca="false">IFERROR(INDEX(Calc!$M$2:$M$1001,MATCH(ROW()-1,Calc!$X$2:$X$1001,0)),"")</f>
        <v/>
      </c>
      <c r="C788" s="0" t="str">
        <f aca="false">IFERROR(INDEX(Calc!$N$2:$N$1001,MATCH(ROW()-1,Calc!$X$2:$X$1001,0)),"")</f>
        <v/>
      </c>
      <c r="D788" s="3" t="str">
        <f aca="false">IFERROR(INDEX(Calc!$O$2:$O$1001,MATCH(ROW()-1,Calc!$X$2:$X$1001,0)),"")</f>
        <v/>
      </c>
      <c r="E788" s="3" t="str">
        <f aca="false">IFERROR(INDEX(Calc!$P$2:$P$1001,MATCH(ROW()-1,Calc!$X$2:$X$1001,0)),"")</f>
        <v/>
      </c>
      <c r="F788" s="3" t="str">
        <f aca="false">IF(G788="","",E788-D788)</f>
        <v/>
      </c>
      <c r="G788" s="0" t="str">
        <f aca="false">IFERROR(INDEX(Calc!$S$2:$S$1001,MATCH(ROW()-1,Calc!$X$2:$X$1001,0)),"")</f>
        <v/>
      </c>
    </row>
    <row r="789" customFormat="false" ht="15" hidden="false" customHeight="false" outlineLevel="0" collapsed="false">
      <c r="A789" s="0" t="str">
        <f aca="false">IFERROR(INDEX(Calc!$L$2:$L$1001,MATCH(ROW()-1,Calc!$X$2:$X$1001,0)),"")</f>
        <v/>
      </c>
      <c r="B789" s="0" t="str">
        <f aca="false">IFERROR(INDEX(Calc!$M$2:$M$1001,MATCH(ROW()-1,Calc!$X$2:$X$1001,0)),"")</f>
        <v/>
      </c>
      <c r="C789" s="0" t="str">
        <f aca="false">IFERROR(INDEX(Calc!$N$2:$N$1001,MATCH(ROW()-1,Calc!$X$2:$X$1001,0)),"")</f>
        <v/>
      </c>
      <c r="D789" s="3" t="str">
        <f aca="false">IFERROR(INDEX(Calc!$O$2:$O$1001,MATCH(ROW()-1,Calc!$X$2:$X$1001,0)),"")</f>
        <v/>
      </c>
      <c r="E789" s="3" t="str">
        <f aca="false">IFERROR(INDEX(Calc!$P$2:$P$1001,MATCH(ROW()-1,Calc!$X$2:$X$1001,0)),"")</f>
        <v/>
      </c>
      <c r="F789" s="3" t="str">
        <f aca="false">IF(G789="","",E789-D789)</f>
        <v/>
      </c>
      <c r="G789" s="0" t="str">
        <f aca="false">IFERROR(INDEX(Calc!$S$2:$S$1001,MATCH(ROW()-1,Calc!$X$2:$X$1001,0)),"")</f>
        <v/>
      </c>
    </row>
    <row r="790" customFormat="false" ht="15" hidden="false" customHeight="false" outlineLevel="0" collapsed="false">
      <c r="A790" s="0" t="str">
        <f aca="false">IFERROR(INDEX(Calc!$L$2:$L$1001,MATCH(ROW()-1,Calc!$X$2:$X$1001,0)),"")</f>
        <v/>
      </c>
      <c r="B790" s="0" t="str">
        <f aca="false">IFERROR(INDEX(Calc!$M$2:$M$1001,MATCH(ROW()-1,Calc!$X$2:$X$1001,0)),"")</f>
        <v/>
      </c>
      <c r="C790" s="0" t="str">
        <f aca="false">IFERROR(INDEX(Calc!$N$2:$N$1001,MATCH(ROW()-1,Calc!$X$2:$X$1001,0)),"")</f>
        <v/>
      </c>
      <c r="D790" s="3" t="str">
        <f aca="false">IFERROR(INDEX(Calc!$O$2:$O$1001,MATCH(ROW()-1,Calc!$X$2:$X$1001,0)),"")</f>
        <v/>
      </c>
      <c r="E790" s="3" t="str">
        <f aca="false">IFERROR(INDEX(Calc!$P$2:$P$1001,MATCH(ROW()-1,Calc!$X$2:$X$1001,0)),"")</f>
        <v/>
      </c>
      <c r="F790" s="3" t="str">
        <f aca="false">IF(G790="","",E790-D790)</f>
        <v/>
      </c>
      <c r="G790" s="0" t="str">
        <f aca="false">IFERROR(INDEX(Calc!$S$2:$S$1001,MATCH(ROW()-1,Calc!$X$2:$X$1001,0)),"")</f>
        <v/>
      </c>
    </row>
    <row r="791" customFormat="false" ht="15" hidden="false" customHeight="false" outlineLevel="0" collapsed="false">
      <c r="A791" s="0" t="str">
        <f aca="false">IFERROR(INDEX(Calc!$L$2:$L$1001,MATCH(ROW()-1,Calc!$X$2:$X$1001,0)),"")</f>
        <v/>
      </c>
      <c r="B791" s="0" t="str">
        <f aca="false">IFERROR(INDEX(Calc!$M$2:$M$1001,MATCH(ROW()-1,Calc!$X$2:$X$1001,0)),"")</f>
        <v/>
      </c>
      <c r="C791" s="0" t="str">
        <f aca="false">IFERROR(INDEX(Calc!$N$2:$N$1001,MATCH(ROW()-1,Calc!$X$2:$X$1001,0)),"")</f>
        <v/>
      </c>
      <c r="D791" s="3" t="str">
        <f aca="false">IFERROR(INDEX(Calc!$O$2:$O$1001,MATCH(ROW()-1,Calc!$X$2:$X$1001,0)),"")</f>
        <v/>
      </c>
      <c r="E791" s="3" t="str">
        <f aca="false">IFERROR(INDEX(Calc!$P$2:$P$1001,MATCH(ROW()-1,Calc!$X$2:$X$1001,0)),"")</f>
        <v/>
      </c>
      <c r="F791" s="3" t="str">
        <f aca="false">IF(G791="","",E791-D791)</f>
        <v/>
      </c>
      <c r="G791" s="0" t="str">
        <f aca="false">IFERROR(INDEX(Calc!$S$2:$S$1001,MATCH(ROW()-1,Calc!$X$2:$X$1001,0)),"")</f>
        <v/>
      </c>
    </row>
    <row r="792" customFormat="false" ht="15" hidden="false" customHeight="false" outlineLevel="0" collapsed="false">
      <c r="A792" s="0" t="str">
        <f aca="false">IFERROR(INDEX(Calc!$L$2:$L$1001,MATCH(ROW()-1,Calc!$X$2:$X$1001,0)),"")</f>
        <v/>
      </c>
      <c r="B792" s="0" t="str">
        <f aca="false">IFERROR(INDEX(Calc!$M$2:$M$1001,MATCH(ROW()-1,Calc!$X$2:$X$1001,0)),"")</f>
        <v/>
      </c>
      <c r="C792" s="0" t="str">
        <f aca="false">IFERROR(INDEX(Calc!$N$2:$N$1001,MATCH(ROW()-1,Calc!$X$2:$X$1001,0)),"")</f>
        <v/>
      </c>
      <c r="D792" s="3" t="str">
        <f aca="false">IFERROR(INDEX(Calc!$O$2:$O$1001,MATCH(ROW()-1,Calc!$X$2:$X$1001,0)),"")</f>
        <v/>
      </c>
      <c r="E792" s="3" t="str">
        <f aca="false">IFERROR(INDEX(Calc!$P$2:$P$1001,MATCH(ROW()-1,Calc!$X$2:$X$1001,0)),"")</f>
        <v/>
      </c>
      <c r="F792" s="3" t="str">
        <f aca="false">IF(G792="","",E792-D792)</f>
        <v/>
      </c>
      <c r="G792" s="0" t="str">
        <f aca="false">IFERROR(INDEX(Calc!$S$2:$S$1001,MATCH(ROW()-1,Calc!$X$2:$X$1001,0)),"")</f>
        <v/>
      </c>
    </row>
    <row r="793" customFormat="false" ht="15" hidden="false" customHeight="false" outlineLevel="0" collapsed="false">
      <c r="A793" s="0" t="str">
        <f aca="false">IFERROR(INDEX(Calc!$L$2:$L$1001,MATCH(ROW()-1,Calc!$X$2:$X$1001,0)),"")</f>
        <v/>
      </c>
      <c r="B793" s="0" t="str">
        <f aca="false">IFERROR(INDEX(Calc!$M$2:$M$1001,MATCH(ROW()-1,Calc!$X$2:$X$1001,0)),"")</f>
        <v/>
      </c>
      <c r="C793" s="0" t="str">
        <f aca="false">IFERROR(INDEX(Calc!$N$2:$N$1001,MATCH(ROW()-1,Calc!$X$2:$X$1001,0)),"")</f>
        <v/>
      </c>
      <c r="D793" s="3" t="str">
        <f aca="false">IFERROR(INDEX(Calc!$O$2:$O$1001,MATCH(ROW()-1,Calc!$X$2:$X$1001,0)),"")</f>
        <v/>
      </c>
      <c r="E793" s="3" t="str">
        <f aca="false">IFERROR(INDEX(Calc!$P$2:$P$1001,MATCH(ROW()-1,Calc!$X$2:$X$1001,0)),"")</f>
        <v/>
      </c>
      <c r="F793" s="3" t="str">
        <f aca="false">IF(G793="","",E793-D793)</f>
        <v/>
      </c>
      <c r="G793" s="0" t="str">
        <f aca="false">IFERROR(INDEX(Calc!$S$2:$S$1001,MATCH(ROW()-1,Calc!$X$2:$X$1001,0)),"")</f>
        <v/>
      </c>
    </row>
    <row r="794" customFormat="false" ht="15" hidden="false" customHeight="false" outlineLevel="0" collapsed="false">
      <c r="A794" s="0" t="str">
        <f aca="false">IFERROR(INDEX(Calc!$L$2:$L$1001,MATCH(ROW()-1,Calc!$X$2:$X$1001,0)),"")</f>
        <v/>
      </c>
      <c r="B794" s="0" t="str">
        <f aca="false">IFERROR(INDEX(Calc!$M$2:$M$1001,MATCH(ROW()-1,Calc!$X$2:$X$1001,0)),"")</f>
        <v/>
      </c>
      <c r="C794" s="0" t="str">
        <f aca="false">IFERROR(INDEX(Calc!$N$2:$N$1001,MATCH(ROW()-1,Calc!$X$2:$X$1001,0)),"")</f>
        <v/>
      </c>
      <c r="D794" s="3" t="str">
        <f aca="false">IFERROR(INDEX(Calc!$O$2:$O$1001,MATCH(ROW()-1,Calc!$X$2:$X$1001,0)),"")</f>
        <v/>
      </c>
      <c r="E794" s="3" t="str">
        <f aca="false">IFERROR(INDEX(Calc!$P$2:$P$1001,MATCH(ROW()-1,Calc!$X$2:$X$1001,0)),"")</f>
        <v/>
      </c>
      <c r="F794" s="3" t="str">
        <f aca="false">IF(G794="","",E794-D794)</f>
        <v/>
      </c>
      <c r="G794" s="0" t="str">
        <f aca="false">IFERROR(INDEX(Calc!$S$2:$S$1001,MATCH(ROW()-1,Calc!$X$2:$X$1001,0)),"")</f>
        <v/>
      </c>
    </row>
    <row r="795" customFormat="false" ht="15" hidden="false" customHeight="false" outlineLevel="0" collapsed="false">
      <c r="A795" s="0" t="str">
        <f aca="false">IFERROR(INDEX(Calc!$L$2:$L$1001,MATCH(ROW()-1,Calc!$X$2:$X$1001,0)),"")</f>
        <v/>
      </c>
      <c r="B795" s="0" t="str">
        <f aca="false">IFERROR(INDEX(Calc!$M$2:$M$1001,MATCH(ROW()-1,Calc!$X$2:$X$1001,0)),"")</f>
        <v/>
      </c>
      <c r="C795" s="0" t="str">
        <f aca="false">IFERROR(INDEX(Calc!$N$2:$N$1001,MATCH(ROW()-1,Calc!$X$2:$X$1001,0)),"")</f>
        <v/>
      </c>
      <c r="D795" s="3" t="str">
        <f aca="false">IFERROR(INDEX(Calc!$O$2:$O$1001,MATCH(ROW()-1,Calc!$X$2:$X$1001,0)),"")</f>
        <v/>
      </c>
      <c r="E795" s="3" t="str">
        <f aca="false">IFERROR(INDEX(Calc!$P$2:$P$1001,MATCH(ROW()-1,Calc!$X$2:$X$1001,0)),"")</f>
        <v/>
      </c>
      <c r="F795" s="3" t="str">
        <f aca="false">IF(G795="","",E795-D795)</f>
        <v/>
      </c>
      <c r="G795" s="0" t="str">
        <f aca="false">IFERROR(INDEX(Calc!$S$2:$S$1001,MATCH(ROW()-1,Calc!$X$2:$X$1001,0)),"")</f>
        <v/>
      </c>
    </row>
    <row r="796" customFormat="false" ht="15" hidden="false" customHeight="false" outlineLevel="0" collapsed="false">
      <c r="A796" s="0" t="str">
        <f aca="false">IFERROR(INDEX(Calc!$L$2:$L$1001,MATCH(ROW()-1,Calc!$X$2:$X$1001,0)),"")</f>
        <v/>
      </c>
      <c r="B796" s="0" t="str">
        <f aca="false">IFERROR(INDEX(Calc!$M$2:$M$1001,MATCH(ROW()-1,Calc!$X$2:$X$1001,0)),"")</f>
        <v/>
      </c>
      <c r="C796" s="0" t="str">
        <f aca="false">IFERROR(INDEX(Calc!$N$2:$N$1001,MATCH(ROW()-1,Calc!$X$2:$X$1001,0)),"")</f>
        <v/>
      </c>
      <c r="D796" s="3" t="str">
        <f aca="false">IFERROR(INDEX(Calc!$O$2:$O$1001,MATCH(ROW()-1,Calc!$X$2:$X$1001,0)),"")</f>
        <v/>
      </c>
      <c r="E796" s="3" t="str">
        <f aca="false">IFERROR(INDEX(Calc!$P$2:$P$1001,MATCH(ROW()-1,Calc!$X$2:$X$1001,0)),"")</f>
        <v/>
      </c>
      <c r="F796" s="3" t="str">
        <f aca="false">IF(G796="","",E796-D796)</f>
        <v/>
      </c>
      <c r="G796" s="0" t="str">
        <f aca="false">IFERROR(INDEX(Calc!$S$2:$S$1001,MATCH(ROW()-1,Calc!$X$2:$X$1001,0)),"")</f>
        <v/>
      </c>
    </row>
    <row r="797" customFormat="false" ht="15" hidden="false" customHeight="false" outlineLevel="0" collapsed="false">
      <c r="A797" s="0" t="str">
        <f aca="false">IFERROR(INDEX(Calc!$L$2:$L$1001,MATCH(ROW()-1,Calc!$X$2:$X$1001,0)),"")</f>
        <v/>
      </c>
      <c r="B797" s="0" t="str">
        <f aca="false">IFERROR(INDEX(Calc!$M$2:$M$1001,MATCH(ROW()-1,Calc!$X$2:$X$1001,0)),"")</f>
        <v/>
      </c>
      <c r="C797" s="0" t="str">
        <f aca="false">IFERROR(INDEX(Calc!$N$2:$N$1001,MATCH(ROW()-1,Calc!$X$2:$X$1001,0)),"")</f>
        <v/>
      </c>
      <c r="D797" s="3" t="str">
        <f aca="false">IFERROR(INDEX(Calc!$O$2:$O$1001,MATCH(ROW()-1,Calc!$X$2:$X$1001,0)),"")</f>
        <v/>
      </c>
      <c r="E797" s="3" t="str">
        <f aca="false">IFERROR(INDEX(Calc!$P$2:$P$1001,MATCH(ROW()-1,Calc!$X$2:$X$1001,0)),"")</f>
        <v/>
      </c>
      <c r="F797" s="3" t="str">
        <f aca="false">IF(G797="","",E797-D797)</f>
        <v/>
      </c>
      <c r="G797" s="0" t="str">
        <f aca="false">IFERROR(INDEX(Calc!$S$2:$S$1001,MATCH(ROW()-1,Calc!$X$2:$X$1001,0)),"")</f>
        <v/>
      </c>
    </row>
    <row r="798" customFormat="false" ht="15" hidden="false" customHeight="false" outlineLevel="0" collapsed="false">
      <c r="A798" s="0" t="str">
        <f aca="false">IFERROR(INDEX(Calc!$L$2:$L$1001,MATCH(ROW()-1,Calc!$X$2:$X$1001,0)),"")</f>
        <v/>
      </c>
      <c r="B798" s="0" t="str">
        <f aca="false">IFERROR(INDEX(Calc!$M$2:$M$1001,MATCH(ROW()-1,Calc!$X$2:$X$1001,0)),"")</f>
        <v/>
      </c>
      <c r="C798" s="0" t="str">
        <f aca="false">IFERROR(INDEX(Calc!$N$2:$N$1001,MATCH(ROW()-1,Calc!$X$2:$X$1001,0)),"")</f>
        <v/>
      </c>
      <c r="D798" s="3" t="str">
        <f aca="false">IFERROR(INDEX(Calc!$O$2:$O$1001,MATCH(ROW()-1,Calc!$X$2:$X$1001,0)),"")</f>
        <v/>
      </c>
      <c r="E798" s="3" t="str">
        <f aca="false">IFERROR(INDEX(Calc!$P$2:$P$1001,MATCH(ROW()-1,Calc!$X$2:$X$1001,0)),"")</f>
        <v/>
      </c>
      <c r="F798" s="3" t="str">
        <f aca="false">IF(G798="","",E798-D798)</f>
        <v/>
      </c>
      <c r="G798" s="0" t="str">
        <f aca="false">IFERROR(INDEX(Calc!$S$2:$S$1001,MATCH(ROW()-1,Calc!$X$2:$X$1001,0)),"")</f>
        <v/>
      </c>
    </row>
    <row r="799" customFormat="false" ht="15" hidden="false" customHeight="false" outlineLevel="0" collapsed="false">
      <c r="A799" s="0" t="str">
        <f aca="false">IFERROR(INDEX(Calc!$L$2:$L$1001,MATCH(ROW()-1,Calc!$X$2:$X$1001,0)),"")</f>
        <v/>
      </c>
      <c r="B799" s="0" t="str">
        <f aca="false">IFERROR(INDEX(Calc!$M$2:$M$1001,MATCH(ROW()-1,Calc!$X$2:$X$1001,0)),"")</f>
        <v/>
      </c>
      <c r="C799" s="0" t="str">
        <f aca="false">IFERROR(INDEX(Calc!$N$2:$N$1001,MATCH(ROW()-1,Calc!$X$2:$X$1001,0)),"")</f>
        <v/>
      </c>
      <c r="D799" s="3" t="str">
        <f aca="false">IFERROR(INDEX(Calc!$O$2:$O$1001,MATCH(ROW()-1,Calc!$X$2:$X$1001,0)),"")</f>
        <v/>
      </c>
      <c r="E799" s="3" t="str">
        <f aca="false">IFERROR(INDEX(Calc!$P$2:$P$1001,MATCH(ROW()-1,Calc!$X$2:$X$1001,0)),"")</f>
        <v/>
      </c>
      <c r="F799" s="3" t="str">
        <f aca="false">IF(G799="","",E799-D799)</f>
        <v/>
      </c>
      <c r="G799" s="0" t="str">
        <f aca="false">IFERROR(INDEX(Calc!$S$2:$S$1001,MATCH(ROW()-1,Calc!$X$2:$X$1001,0)),"")</f>
        <v/>
      </c>
    </row>
    <row r="800" customFormat="false" ht="15" hidden="false" customHeight="false" outlineLevel="0" collapsed="false">
      <c r="A800" s="0" t="str">
        <f aca="false">IFERROR(INDEX(Calc!$L$2:$L$1001,MATCH(ROW()-1,Calc!$X$2:$X$1001,0)),"")</f>
        <v/>
      </c>
      <c r="B800" s="0" t="str">
        <f aca="false">IFERROR(INDEX(Calc!$M$2:$M$1001,MATCH(ROW()-1,Calc!$X$2:$X$1001,0)),"")</f>
        <v/>
      </c>
      <c r="C800" s="0" t="str">
        <f aca="false">IFERROR(INDEX(Calc!$N$2:$N$1001,MATCH(ROW()-1,Calc!$X$2:$X$1001,0)),"")</f>
        <v/>
      </c>
      <c r="D800" s="3" t="str">
        <f aca="false">IFERROR(INDEX(Calc!$O$2:$O$1001,MATCH(ROW()-1,Calc!$X$2:$X$1001,0)),"")</f>
        <v/>
      </c>
      <c r="E800" s="3" t="str">
        <f aca="false">IFERROR(INDEX(Calc!$P$2:$P$1001,MATCH(ROW()-1,Calc!$X$2:$X$1001,0)),"")</f>
        <v/>
      </c>
      <c r="F800" s="3" t="str">
        <f aca="false">IF(G800="","",E800-D800)</f>
        <v/>
      </c>
      <c r="G800" s="0" t="str">
        <f aca="false">IFERROR(INDEX(Calc!$S$2:$S$1001,MATCH(ROW()-1,Calc!$X$2:$X$1001,0)),"")</f>
        <v/>
      </c>
    </row>
    <row r="801" customFormat="false" ht="15" hidden="false" customHeight="false" outlineLevel="0" collapsed="false">
      <c r="A801" s="0" t="str">
        <f aca="false">IFERROR(INDEX(Calc!$L$2:$L$1001,MATCH(ROW()-1,Calc!$X$2:$X$1001,0)),"")</f>
        <v/>
      </c>
      <c r="B801" s="0" t="str">
        <f aca="false">IFERROR(INDEX(Calc!$M$2:$M$1001,MATCH(ROW()-1,Calc!$X$2:$X$1001,0)),"")</f>
        <v/>
      </c>
      <c r="C801" s="0" t="str">
        <f aca="false">IFERROR(INDEX(Calc!$N$2:$N$1001,MATCH(ROW()-1,Calc!$X$2:$X$1001,0)),"")</f>
        <v/>
      </c>
      <c r="D801" s="3" t="str">
        <f aca="false">IFERROR(INDEX(Calc!$O$2:$O$1001,MATCH(ROW()-1,Calc!$X$2:$X$1001,0)),"")</f>
        <v/>
      </c>
      <c r="E801" s="3" t="str">
        <f aca="false">IFERROR(INDEX(Calc!$P$2:$P$1001,MATCH(ROW()-1,Calc!$X$2:$X$1001,0)),"")</f>
        <v/>
      </c>
      <c r="F801" s="3" t="str">
        <f aca="false">IF(G801="","",E801-D801)</f>
        <v/>
      </c>
      <c r="G801" s="0" t="str">
        <f aca="false">IFERROR(INDEX(Calc!$S$2:$S$1001,MATCH(ROW()-1,Calc!$X$2:$X$1001,0)),"")</f>
        <v/>
      </c>
    </row>
    <row r="802" customFormat="false" ht="15" hidden="false" customHeight="false" outlineLevel="0" collapsed="false">
      <c r="A802" s="0" t="str">
        <f aca="false">IFERROR(INDEX(Calc!$L$2:$L$1001,MATCH(ROW()-1,Calc!$X$2:$X$1001,0)),"")</f>
        <v/>
      </c>
      <c r="B802" s="0" t="str">
        <f aca="false">IFERROR(INDEX(Calc!$M$2:$M$1001,MATCH(ROW()-1,Calc!$X$2:$X$1001,0)),"")</f>
        <v/>
      </c>
      <c r="C802" s="0" t="str">
        <f aca="false">IFERROR(INDEX(Calc!$N$2:$N$1001,MATCH(ROW()-1,Calc!$X$2:$X$1001,0)),"")</f>
        <v/>
      </c>
      <c r="D802" s="3" t="str">
        <f aca="false">IFERROR(INDEX(Calc!$O$2:$O$1001,MATCH(ROW()-1,Calc!$X$2:$X$1001,0)),"")</f>
        <v/>
      </c>
      <c r="E802" s="3" t="str">
        <f aca="false">IFERROR(INDEX(Calc!$P$2:$P$1001,MATCH(ROW()-1,Calc!$X$2:$X$1001,0)),"")</f>
        <v/>
      </c>
      <c r="F802" s="3" t="str">
        <f aca="false">IF(G802="","",E802-D802)</f>
        <v/>
      </c>
      <c r="G802" s="0" t="str">
        <f aca="false">IFERROR(INDEX(Calc!$S$2:$S$1001,MATCH(ROW()-1,Calc!$X$2:$X$1001,0)),"")</f>
        <v/>
      </c>
    </row>
    <row r="803" customFormat="false" ht="15" hidden="false" customHeight="false" outlineLevel="0" collapsed="false">
      <c r="A803" s="0" t="str">
        <f aca="false">IFERROR(INDEX(Calc!$L$2:$L$1001,MATCH(ROW()-1,Calc!$X$2:$X$1001,0)),"")</f>
        <v/>
      </c>
      <c r="B803" s="0" t="str">
        <f aca="false">IFERROR(INDEX(Calc!$M$2:$M$1001,MATCH(ROW()-1,Calc!$X$2:$X$1001,0)),"")</f>
        <v/>
      </c>
      <c r="C803" s="0" t="str">
        <f aca="false">IFERROR(INDEX(Calc!$N$2:$N$1001,MATCH(ROW()-1,Calc!$X$2:$X$1001,0)),"")</f>
        <v/>
      </c>
      <c r="D803" s="3" t="str">
        <f aca="false">IFERROR(INDEX(Calc!$O$2:$O$1001,MATCH(ROW()-1,Calc!$X$2:$X$1001,0)),"")</f>
        <v/>
      </c>
      <c r="E803" s="3" t="str">
        <f aca="false">IFERROR(INDEX(Calc!$P$2:$P$1001,MATCH(ROW()-1,Calc!$X$2:$X$1001,0)),"")</f>
        <v/>
      </c>
      <c r="F803" s="3" t="str">
        <f aca="false">IF(G803="","",E803-D803)</f>
        <v/>
      </c>
      <c r="G803" s="0" t="str">
        <f aca="false">IFERROR(INDEX(Calc!$S$2:$S$1001,MATCH(ROW()-1,Calc!$X$2:$X$1001,0)),"")</f>
        <v/>
      </c>
    </row>
    <row r="804" customFormat="false" ht="15" hidden="false" customHeight="false" outlineLevel="0" collapsed="false">
      <c r="A804" s="0" t="str">
        <f aca="false">IFERROR(INDEX(Calc!$L$2:$L$1001,MATCH(ROW()-1,Calc!$X$2:$X$1001,0)),"")</f>
        <v/>
      </c>
      <c r="B804" s="0" t="str">
        <f aca="false">IFERROR(INDEX(Calc!$M$2:$M$1001,MATCH(ROW()-1,Calc!$X$2:$X$1001,0)),"")</f>
        <v/>
      </c>
      <c r="C804" s="0" t="str">
        <f aca="false">IFERROR(INDEX(Calc!$N$2:$N$1001,MATCH(ROW()-1,Calc!$X$2:$X$1001,0)),"")</f>
        <v/>
      </c>
      <c r="D804" s="3" t="str">
        <f aca="false">IFERROR(INDEX(Calc!$O$2:$O$1001,MATCH(ROW()-1,Calc!$X$2:$X$1001,0)),"")</f>
        <v/>
      </c>
      <c r="E804" s="3" t="str">
        <f aca="false">IFERROR(INDEX(Calc!$P$2:$P$1001,MATCH(ROW()-1,Calc!$X$2:$X$1001,0)),"")</f>
        <v/>
      </c>
      <c r="F804" s="3" t="str">
        <f aca="false">IF(G804="","",E804-D804)</f>
        <v/>
      </c>
      <c r="G804" s="0" t="str">
        <f aca="false">IFERROR(INDEX(Calc!$S$2:$S$1001,MATCH(ROW()-1,Calc!$X$2:$X$1001,0)),"")</f>
        <v/>
      </c>
    </row>
    <row r="805" customFormat="false" ht="15" hidden="false" customHeight="false" outlineLevel="0" collapsed="false">
      <c r="A805" s="0" t="str">
        <f aca="false">IFERROR(INDEX(Calc!$L$2:$L$1001,MATCH(ROW()-1,Calc!$X$2:$X$1001,0)),"")</f>
        <v/>
      </c>
      <c r="B805" s="0" t="str">
        <f aca="false">IFERROR(INDEX(Calc!$M$2:$M$1001,MATCH(ROW()-1,Calc!$X$2:$X$1001,0)),"")</f>
        <v/>
      </c>
      <c r="C805" s="0" t="str">
        <f aca="false">IFERROR(INDEX(Calc!$N$2:$N$1001,MATCH(ROW()-1,Calc!$X$2:$X$1001,0)),"")</f>
        <v/>
      </c>
      <c r="D805" s="3" t="str">
        <f aca="false">IFERROR(INDEX(Calc!$O$2:$O$1001,MATCH(ROW()-1,Calc!$X$2:$X$1001,0)),"")</f>
        <v/>
      </c>
      <c r="E805" s="3" t="str">
        <f aca="false">IFERROR(INDEX(Calc!$P$2:$P$1001,MATCH(ROW()-1,Calc!$X$2:$X$1001,0)),"")</f>
        <v/>
      </c>
      <c r="F805" s="3" t="str">
        <f aca="false">IF(G805="","",E805-D805)</f>
        <v/>
      </c>
      <c r="G805" s="0" t="str">
        <f aca="false">IFERROR(INDEX(Calc!$S$2:$S$1001,MATCH(ROW()-1,Calc!$X$2:$X$1001,0)),"")</f>
        <v/>
      </c>
    </row>
    <row r="806" customFormat="false" ht="15" hidden="false" customHeight="false" outlineLevel="0" collapsed="false">
      <c r="A806" s="0" t="str">
        <f aca="false">IFERROR(INDEX(Calc!$L$2:$L$1001,MATCH(ROW()-1,Calc!$X$2:$X$1001,0)),"")</f>
        <v/>
      </c>
      <c r="B806" s="0" t="str">
        <f aca="false">IFERROR(INDEX(Calc!$M$2:$M$1001,MATCH(ROW()-1,Calc!$X$2:$X$1001,0)),"")</f>
        <v/>
      </c>
      <c r="C806" s="0" t="str">
        <f aca="false">IFERROR(INDEX(Calc!$N$2:$N$1001,MATCH(ROW()-1,Calc!$X$2:$X$1001,0)),"")</f>
        <v/>
      </c>
      <c r="D806" s="3" t="str">
        <f aca="false">IFERROR(INDEX(Calc!$O$2:$O$1001,MATCH(ROW()-1,Calc!$X$2:$X$1001,0)),"")</f>
        <v/>
      </c>
      <c r="E806" s="3" t="str">
        <f aca="false">IFERROR(INDEX(Calc!$P$2:$P$1001,MATCH(ROW()-1,Calc!$X$2:$X$1001,0)),"")</f>
        <v/>
      </c>
      <c r="F806" s="3" t="str">
        <f aca="false">IF(G806="","",E806-D806)</f>
        <v/>
      </c>
      <c r="G806" s="0" t="str">
        <f aca="false">IFERROR(INDEX(Calc!$S$2:$S$1001,MATCH(ROW()-1,Calc!$X$2:$X$1001,0)),"")</f>
        <v/>
      </c>
    </row>
    <row r="807" customFormat="false" ht="15" hidden="false" customHeight="false" outlineLevel="0" collapsed="false">
      <c r="A807" s="0" t="str">
        <f aca="false">IFERROR(INDEX(Calc!$L$2:$L$1001,MATCH(ROW()-1,Calc!$X$2:$X$1001,0)),"")</f>
        <v/>
      </c>
      <c r="B807" s="0" t="str">
        <f aca="false">IFERROR(INDEX(Calc!$M$2:$M$1001,MATCH(ROW()-1,Calc!$X$2:$X$1001,0)),"")</f>
        <v/>
      </c>
      <c r="C807" s="0" t="str">
        <f aca="false">IFERROR(INDEX(Calc!$N$2:$N$1001,MATCH(ROW()-1,Calc!$X$2:$X$1001,0)),"")</f>
        <v/>
      </c>
      <c r="D807" s="3" t="str">
        <f aca="false">IFERROR(INDEX(Calc!$O$2:$O$1001,MATCH(ROW()-1,Calc!$X$2:$X$1001,0)),"")</f>
        <v/>
      </c>
      <c r="E807" s="3" t="str">
        <f aca="false">IFERROR(INDEX(Calc!$P$2:$P$1001,MATCH(ROW()-1,Calc!$X$2:$X$1001,0)),"")</f>
        <v/>
      </c>
      <c r="F807" s="3" t="str">
        <f aca="false">IF(G807="","",E807-D807)</f>
        <v/>
      </c>
      <c r="G807" s="0" t="str">
        <f aca="false">IFERROR(INDEX(Calc!$S$2:$S$1001,MATCH(ROW()-1,Calc!$X$2:$X$1001,0)),"")</f>
        <v/>
      </c>
    </row>
    <row r="808" customFormat="false" ht="15" hidden="false" customHeight="false" outlineLevel="0" collapsed="false">
      <c r="A808" s="0" t="str">
        <f aca="false">IFERROR(INDEX(Calc!$L$2:$L$1001,MATCH(ROW()-1,Calc!$X$2:$X$1001,0)),"")</f>
        <v/>
      </c>
      <c r="B808" s="0" t="str">
        <f aca="false">IFERROR(INDEX(Calc!$M$2:$M$1001,MATCH(ROW()-1,Calc!$X$2:$X$1001,0)),"")</f>
        <v/>
      </c>
      <c r="C808" s="0" t="str">
        <f aca="false">IFERROR(INDEX(Calc!$N$2:$N$1001,MATCH(ROW()-1,Calc!$X$2:$X$1001,0)),"")</f>
        <v/>
      </c>
      <c r="D808" s="3" t="str">
        <f aca="false">IFERROR(INDEX(Calc!$O$2:$O$1001,MATCH(ROW()-1,Calc!$X$2:$X$1001,0)),"")</f>
        <v/>
      </c>
      <c r="E808" s="3" t="str">
        <f aca="false">IFERROR(INDEX(Calc!$P$2:$P$1001,MATCH(ROW()-1,Calc!$X$2:$X$1001,0)),"")</f>
        <v/>
      </c>
      <c r="F808" s="3" t="str">
        <f aca="false">IF(G808="","",E808-D808)</f>
        <v/>
      </c>
      <c r="G808" s="0" t="str">
        <f aca="false">IFERROR(INDEX(Calc!$S$2:$S$1001,MATCH(ROW()-1,Calc!$X$2:$X$1001,0)),"")</f>
        <v/>
      </c>
    </row>
    <row r="809" customFormat="false" ht="15" hidden="false" customHeight="false" outlineLevel="0" collapsed="false">
      <c r="A809" s="0" t="str">
        <f aca="false">IFERROR(INDEX(Calc!$L$2:$L$1001,MATCH(ROW()-1,Calc!$X$2:$X$1001,0)),"")</f>
        <v/>
      </c>
      <c r="B809" s="0" t="str">
        <f aca="false">IFERROR(INDEX(Calc!$M$2:$M$1001,MATCH(ROW()-1,Calc!$X$2:$X$1001,0)),"")</f>
        <v/>
      </c>
      <c r="C809" s="0" t="str">
        <f aca="false">IFERROR(INDEX(Calc!$N$2:$N$1001,MATCH(ROW()-1,Calc!$X$2:$X$1001,0)),"")</f>
        <v/>
      </c>
      <c r="D809" s="3" t="str">
        <f aca="false">IFERROR(INDEX(Calc!$O$2:$O$1001,MATCH(ROW()-1,Calc!$X$2:$X$1001,0)),"")</f>
        <v/>
      </c>
      <c r="E809" s="3" t="str">
        <f aca="false">IFERROR(INDEX(Calc!$P$2:$P$1001,MATCH(ROW()-1,Calc!$X$2:$X$1001,0)),"")</f>
        <v/>
      </c>
      <c r="F809" s="3" t="str">
        <f aca="false">IF(G809="","",E809-D809)</f>
        <v/>
      </c>
      <c r="G809" s="0" t="str">
        <f aca="false">IFERROR(INDEX(Calc!$S$2:$S$1001,MATCH(ROW()-1,Calc!$X$2:$X$1001,0)),"")</f>
        <v/>
      </c>
    </row>
    <row r="810" customFormat="false" ht="15" hidden="false" customHeight="false" outlineLevel="0" collapsed="false">
      <c r="A810" s="0" t="str">
        <f aca="false">IFERROR(INDEX(Calc!$L$2:$L$1001,MATCH(ROW()-1,Calc!$X$2:$X$1001,0)),"")</f>
        <v/>
      </c>
      <c r="B810" s="0" t="str">
        <f aca="false">IFERROR(INDEX(Calc!$M$2:$M$1001,MATCH(ROW()-1,Calc!$X$2:$X$1001,0)),"")</f>
        <v/>
      </c>
      <c r="C810" s="0" t="str">
        <f aca="false">IFERROR(INDEX(Calc!$N$2:$N$1001,MATCH(ROW()-1,Calc!$X$2:$X$1001,0)),"")</f>
        <v/>
      </c>
      <c r="D810" s="3" t="str">
        <f aca="false">IFERROR(INDEX(Calc!$O$2:$O$1001,MATCH(ROW()-1,Calc!$X$2:$X$1001,0)),"")</f>
        <v/>
      </c>
      <c r="E810" s="3" t="str">
        <f aca="false">IFERROR(INDEX(Calc!$P$2:$P$1001,MATCH(ROW()-1,Calc!$X$2:$X$1001,0)),"")</f>
        <v/>
      </c>
      <c r="F810" s="3" t="str">
        <f aca="false">IF(G810="","",E810-D810)</f>
        <v/>
      </c>
      <c r="G810" s="0" t="str">
        <f aca="false">IFERROR(INDEX(Calc!$S$2:$S$1001,MATCH(ROW()-1,Calc!$X$2:$X$1001,0)),"")</f>
        <v/>
      </c>
    </row>
    <row r="811" customFormat="false" ht="15" hidden="false" customHeight="false" outlineLevel="0" collapsed="false">
      <c r="A811" s="0" t="str">
        <f aca="false">IFERROR(INDEX(Calc!$L$2:$L$1001,MATCH(ROW()-1,Calc!$X$2:$X$1001,0)),"")</f>
        <v/>
      </c>
      <c r="B811" s="0" t="str">
        <f aca="false">IFERROR(INDEX(Calc!$M$2:$M$1001,MATCH(ROW()-1,Calc!$X$2:$X$1001,0)),"")</f>
        <v/>
      </c>
      <c r="C811" s="0" t="str">
        <f aca="false">IFERROR(INDEX(Calc!$N$2:$N$1001,MATCH(ROW()-1,Calc!$X$2:$X$1001,0)),"")</f>
        <v/>
      </c>
      <c r="D811" s="3" t="str">
        <f aca="false">IFERROR(INDEX(Calc!$O$2:$O$1001,MATCH(ROW()-1,Calc!$X$2:$X$1001,0)),"")</f>
        <v/>
      </c>
      <c r="E811" s="3" t="str">
        <f aca="false">IFERROR(INDEX(Calc!$P$2:$P$1001,MATCH(ROW()-1,Calc!$X$2:$X$1001,0)),"")</f>
        <v/>
      </c>
      <c r="F811" s="3" t="str">
        <f aca="false">IF(G811="","",E811-D811)</f>
        <v/>
      </c>
      <c r="G811" s="0" t="str">
        <f aca="false">IFERROR(INDEX(Calc!$S$2:$S$1001,MATCH(ROW()-1,Calc!$X$2:$X$1001,0)),"")</f>
        <v/>
      </c>
    </row>
    <row r="812" customFormat="false" ht="15" hidden="false" customHeight="false" outlineLevel="0" collapsed="false">
      <c r="A812" s="0" t="str">
        <f aca="false">IFERROR(INDEX(Calc!$L$2:$L$1001,MATCH(ROW()-1,Calc!$X$2:$X$1001,0)),"")</f>
        <v/>
      </c>
      <c r="B812" s="0" t="str">
        <f aca="false">IFERROR(INDEX(Calc!$M$2:$M$1001,MATCH(ROW()-1,Calc!$X$2:$X$1001,0)),"")</f>
        <v/>
      </c>
      <c r="C812" s="0" t="str">
        <f aca="false">IFERROR(INDEX(Calc!$N$2:$N$1001,MATCH(ROW()-1,Calc!$X$2:$X$1001,0)),"")</f>
        <v/>
      </c>
      <c r="D812" s="3" t="str">
        <f aca="false">IFERROR(INDEX(Calc!$O$2:$O$1001,MATCH(ROW()-1,Calc!$X$2:$X$1001,0)),"")</f>
        <v/>
      </c>
      <c r="E812" s="3" t="str">
        <f aca="false">IFERROR(INDEX(Calc!$P$2:$P$1001,MATCH(ROW()-1,Calc!$X$2:$X$1001,0)),"")</f>
        <v/>
      </c>
      <c r="F812" s="3" t="str">
        <f aca="false">IF(G812="","",E812-D812)</f>
        <v/>
      </c>
      <c r="G812" s="0" t="str">
        <f aca="false">IFERROR(INDEX(Calc!$S$2:$S$1001,MATCH(ROW()-1,Calc!$X$2:$X$1001,0)),"")</f>
        <v/>
      </c>
    </row>
    <row r="813" customFormat="false" ht="15" hidden="false" customHeight="false" outlineLevel="0" collapsed="false">
      <c r="A813" s="0" t="str">
        <f aca="false">IFERROR(INDEX(Calc!$L$2:$L$1001,MATCH(ROW()-1,Calc!$X$2:$X$1001,0)),"")</f>
        <v/>
      </c>
      <c r="B813" s="0" t="str">
        <f aca="false">IFERROR(INDEX(Calc!$M$2:$M$1001,MATCH(ROW()-1,Calc!$X$2:$X$1001,0)),"")</f>
        <v/>
      </c>
      <c r="C813" s="0" t="str">
        <f aca="false">IFERROR(INDEX(Calc!$N$2:$N$1001,MATCH(ROW()-1,Calc!$X$2:$X$1001,0)),"")</f>
        <v/>
      </c>
      <c r="D813" s="3" t="str">
        <f aca="false">IFERROR(INDEX(Calc!$O$2:$O$1001,MATCH(ROW()-1,Calc!$X$2:$X$1001,0)),"")</f>
        <v/>
      </c>
      <c r="E813" s="3" t="str">
        <f aca="false">IFERROR(INDEX(Calc!$P$2:$P$1001,MATCH(ROW()-1,Calc!$X$2:$X$1001,0)),"")</f>
        <v/>
      </c>
      <c r="F813" s="3" t="str">
        <f aca="false">IF(G813="","",E813-D813)</f>
        <v/>
      </c>
      <c r="G813" s="0" t="str">
        <f aca="false">IFERROR(INDEX(Calc!$S$2:$S$1001,MATCH(ROW()-1,Calc!$X$2:$X$1001,0)),"")</f>
        <v/>
      </c>
    </row>
    <row r="814" customFormat="false" ht="15" hidden="false" customHeight="false" outlineLevel="0" collapsed="false">
      <c r="A814" s="0" t="str">
        <f aca="false">IFERROR(INDEX(Calc!$L$2:$L$1001,MATCH(ROW()-1,Calc!$X$2:$X$1001,0)),"")</f>
        <v/>
      </c>
      <c r="B814" s="0" t="str">
        <f aca="false">IFERROR(INDEX(Calc!$M$2:$M$1001,MATCH(ROW()-1,Calc!$X$2:$X$1001,0)),"")</f>
        <v/>
      </c>
      <c r="C814" s="0" t="str">
        <f aca="false">IFERROR(INDEX(Calc!$N$2:$N$1001,MATCH(ROW()-1,Calc!$X$2:$X$1001,0)),"")</f>
        <v/>
      </c>
      <c r="D814" s="3" t="str">
        <f aca="false">IFERROR(INDEX(Calc!$O$2:$O$1001,MATCH(ROW()-1,Calc!$X$2:$X$1001,0)),"")</f>
        <v/>
      </c>
      <c r="E814" s="3" t="str">
        <f aca="false">IFERROR(INDEX(Calc!$P$2:$P$1001,MATCH(ROW()-1,Calc!$X$2:$X$1001,0)),"")</f>
        <v/>
      </c>
      <c r="F814" s="3" t="str">
        <f aca="false">IF(G814="","",E814-D814)</f>
        <v/>
      </c>
      <c r="G814" s="0" t="str">
        <f aca="false">IFERROR(INDEX(Calc!$S$2:$S$1001,MATCH(ROW()-1,Calc!$X$2:$X$1001,0)),"")</f>
        <v/>
      </c>
    </row>
    <row r="815" customFormat="false" ht="15" hidden="false" customHeight="false" outlineLevel="0" collapsed="false">
      <c r="A815" s="0" t="str">
        <f aca="false">IFERROR(INDEX(Calc!$L$2:$L$1001,MATCH(ROW()-1,Calc!$X$2:$X$1001,0)),"")</f>
        <v/>
      </c>
      <c r="B815" s="0" t="str">
        <f aca="false">IFERROR(INDEX(Calc!$M$2:$M$1001,MATCH(ROW()-1,Calc!$X$2:$X$1001,0)),"")</f>
        <v/>
      </c>
      <c r="C815" s="0" t="str">
        <f aca="false">IFERROR(INDEX(Calc!$N$2:$N$1001,MATCH(ROW()-1,Calc!$X$2:$X$1001,0)),"")</f>
        <v/>
      </c>
      <c r="D815" s="3" t="str">
        <f aca="false">IFERROR(INDEX(Calc!$O$2:$O$1001,MATCH(ROW()-1,Calc!$X$2:$X$1001,0)),"")</f>
        <v/>
      </c>
      <c r="E815" s="3" t="str">
        <f aca="false">IFERROR(INDEX(Calc!$P$2:$P$1001,MATCH(ROW()-1,Calc!$X$2:$X$1001,0)),"")</f>
        <v/>
      </c>
      <c r="F815" s="3" t="str">
        <f aca="false">IF(G815="","",E815-D815)</f>
        <v/>
      </c>
      <c r="G815" s="0" t="str">
        <f aca="false">IFERROR(INDEX(Calc!$S$2:$S$1001,MATCH(ROW()-1,Calc!$X$2:$X$1001,0)),"")</f>
        <v/>
      </c>
    </row>
    <row r="816" customFormat="false" ht="15" hidden="false" customHeight="false" outlineLevel="0" collapsed="false">
      <c r="A816" s="0" t="str">
        <f aca="false">IFERROR(INDEX(Calc!$L$2:$L$1001,MATCH(ROW()-1,Calc!$X$2:$X$1001,0)),"")</f>
        <v/>
      </c>
      <c r="B816" s="0" t="str">
        <f aca="false">IFERROR(INDEX(Calc!$M$2:$M$1001,MATCH(ROW()-1,Calc!$X$2:$X$1001,0)),"")</f>
        <v/>
      </c>
      <c r="C816" s="0" t="str">
        <f aca="false">IFERROR(INDEX(Calc!$N$2:$N$1001,MATCH(ROW()-1,Calc!$X$2:$X$1001,0)),"")</f>
        <v/>
      </c>
      <c r="D816" s="3" t="str">
        <f aca="false">IFERROR(INDEX(Calc!$O$2:$O$1001,MATCH(ROW()-1,Calc!$X$2:$X$1001,0)),"")</f>
        <v/>
      </c>
      <c r="E816" s="3" t="str">
        <f aca="false">IFERROR(INDEX(Calc!$P$2:$P$1001,MATCH(ROW()-1,Calc!$X$2:$X$1001,0)),"")</f>
        <v/>
      </c>
      <c r="F816" s="3" t="str">
        <f aca="false">IF(G816="","",E816-D816)</f>
        <v/>
      </c>
      <c r="G816" s="0" t="str">
        <f aca="false">IFERROR(INDEX(Calc!$S$2:$S$1001,MATCH(ROW()-1,Calc!$X$2:$X$1001,0)),"")</f>
        <v/>
      </c>
    </row>
    <row r="817" customFormat="false" ht="15" hidden="false" customHeight="false" outlineLevel="0" collapsed="false">
      <c r="A817" s="0" t="str">
        <f aca="false">IFERROR(INDEX(Calc!$L$2:$L$1001,MATCH(ROW()-1,Calc!$X$2:$X$1001,0)),"")</f>
        <v/>
      </c>
      <c r="B817" s="0" t="str">
        <f aca="false">IFERROR(INDEX(Calc!$M$2:$M$1001,MATCH(ROW()-1,Calc!$X$2:$X$1001,0)),"")</f>
        <v/>
      </c>
      <c r="C817" s="0" t="str">
        <f aca="false">IFERROR(INDEX(Calc!$N$2:$N$1001,MATCH(ROW()-1,Calc!$X$2:$X$1001,0)),"")</f>
        <v/>
      </c>
      <c r="D817" s="3" t="str">
        <f aca="false">IFERROR(INDEX(Calc!$O$2:$O$1001,MATCH(ROW()-1,Calc!$X$2:$X$1001,0)),"")</f>
        <v/>
      </c>
      <c r="E817" s="3" t="str">
        <f aca="false">IFERROR(INDEX(Calc!$P$2:$P$1001,MATCH(ROW()-1,Calc!$X$2:$X$1001,0)),"")</f>
        <v/>
      </c>
      <c r="F817" s="3" t="str">
        <f aca="false">IF(G817="","",E817-D817)</f>
        <v/>
      </c>
      <c r="G817" s="0" t="str">
        <f aca="false">IFERROR(INDEX(Calc!$S$2:$S$1001,MATCH(ROW()-1,Calc!$X$2:$X$1001,0)),"")</f>
        <v/>
      </c>
    </row>
    <row r="818" customFormat="false" ht="15" hidden="false" customHeight="false" outlineLevel="0" collapsed="false">
      <c r="A818" s="0" t="str">
        <f aca="false">IFERROR(INDEX(Calc!$L$2:$L$1001,MATCH(ROW()-1,Calc!$X$2:$X$1001,0)),"")</f>
        <v/>
      </c>
      <c r="B818" s="0" t="str">
        <f aca="false">IFERROR(INDEX(Calc!$M$2:$M$1001,MATCH(ROW()-1,Calc!$X$2:$X$1001,0)),"")</f>
        <v/>
      </c>
      <c r="C818" s="0" t="str">
        <f aca="false">IFERROR(INDEX(Calc!$N$2:$N$1001,MATCH(ROW()-1,Calc!$X$2:$X$1001,0)),"")</f>
        <v/>
      </c>
      <c r="D818" s="3" t="str">
        <f aca="false">IFERROR(INDEX(Calc!$O$2:$O$1001,MATCH(ROW()-1,Calc!$X$2:$X$1001,0)),"")</f>
        <v/>
      </c>
      <c r="E818" s="3" t="str">
        <f aca="false">IFERROR(INDEX(Calc!$P$2:$P$1001,MATCH(ROW()-1,Calc!$X$2:$X$1001,0)),"")</f>
        <v/>
      </c>
      <c r="F818" s="3" t="str">
        <f aca="false">IF(G818="","",E818-D818)</f>
        <v/>
      </c>
      <c r="G818" s="0" t="str">
        <f aca="false">IFERROR(INDEX(Calc!$S$2:$S$1001,MATCH(ROW()-1,Calc!$X$2:$X$1001,0)),"")</f>
        <v/>
      </c>
    </row>
    <row r="819" customFormat="false" ht="15" hidden="false" customHeight="false" outlineLevel="0" collapsed="false">
      <c r="A819" s="0" t="str">
        <f aca="false">IFERROR(INDEX(Calc!$L$2:$L$1001,MATCH(ROW()-1,Calc!$X$2:$X$1001,0)),"")</f>
        <v/>
      </c>
      <c r="B819" s="0" t="str">
        <f aca="false">IFERROR(INDEX(Calc!$M$2:$M$1001,MATCH(ROW()-1,Calc!$X$2:$X$1001,0)),"")</f>
        <v/>
      </c>
      <c r="C819" s="0" t="str">
        <f aca="false">IFERROR(INDEX(Calc!$N$2:$N$1001,MATCH(ROW()-1,Calc!$X$2:$X$1001,0)),"")</f>
        <v/>
      </c>
      <c r="D819" s="3" t="str">
        <f aca="false">IFERROR(INDEX(Calc!$O$2:$O$1001,MATCH(ROW()-1,Calc!$X$2:$X$1001,0)),"")</f>
        <v/>
      </c>
      <c r="E819" s="3" t="str">
        <f aca="false">IFERROR(INDEX(Calc!$P$2:$P$1001,MATCH(ROW()-1,Calc!$X$2:$X$1001,0)),"")</f>
        <v/>
      </c>
      <c r="F819" s="3" t="str">
        <f aca="false">IF(G819="","",E819-D819)</f>
        <v/>
      </c>
      <c r="G819" s="0" t="str">
        <f aca="false">IFERROR(INDEX(Calc!$S$2:$S$1001,MATCH(ROW()-1,Calc!$X$2:$X$1001,0)),"")</f>
        <v/>
      </c>
    </row>
    <row r="820" customFormat="false" ht="15" hidden="false" customHeight="false" outlineLevel="0" collapsed="false">
      <c r="A820" s="0" t="str">
        <f aca="false">IFERROR(INDEX(Calc!$L$2:$L$1001,MATCH(ROW()-1,Calc!$X$2:$X$1001,0)),"")</f>
        <v/>
      </c>
      <c r="B820" s="0" t="str">
        <f aca="false">IFERROR(INDEX(Calc!$M$2:$M$1001,MATCH(ROW()-1,Calc!$X$2:$X$1001,0)),"")</f>
        <v/>
      </c>
      <c r="C820" s="0" t="str">
        <f aca="false">IFERROR(INDEX(Calc!$N$2:$N$1001,MATCH(ROW()-1,Calc!$X$2:$X$1001,0)),"")</f>
        <v/>
      </c>
      <c r="D820" s="3" t="str">
        <f aca="false">IFERROR(INDEX(Calc!$O$2:$O$1001,MATCH(ROW()-1,Calc!$X$2:$X$1001,0)),"")</f>
        <v/>
      </c>
      <c r="E820" s="3" t="str">
        <f aca="false">IFERROR(INDEX(Calc!$P$2:$P$1001,MATCH(ROW()-1,Calc!$X$2:$X$1001,0)),"")</f>
        <v/>
      </c>
      <c r="F820" s="3" t="str">
        <f aca="false">IF(G820="","",E820-D820)</f>
        <v/>
      </c>
      <c r="G820" s="0" t="str">
        <f aca="false">IFERROR(INDEX(Calc!$S$2:$S$1001,MATCH(ROW()-1,Calc!$X$2:$X$1001,0)),"")</f>
        <v/>
      </c>
    </row>
    <row r="821" customFormat="false" ht="15" hidden="false" customHeight="false" outlineLevel="0" collapsed="false">
      <c r="A821" s="0" t="str">
        <f aca="false">IFERROR(INDEX(Calc!$L$2:$L$1001,MATCH(ROW()-1,Calc!$X$2:$X$1001,0)),"")</f>
        <v/>
      </c>
      <c r="B821" s="0" t="str">
        <f aca="false">IFERROR(INDEX(Calc!$M$2:$M$1001,MATCH(ROW()-1,Calc!$X$2:$X$1001,0)),"")</f>
        <v/>
      </c>
      <c r="C821" s="0" t="str">
        <f aca="false">IFERROR(INDEX(Calc!$N$2:$N$1001,MATCH(ROW()-1,Calc!$X$2:$X$1001,0)),"")</f>
        <v/>
      </c>
      <c r="D821" s="3" t="str">
        <f aca="false">IFERROR(INDEX(Calc!$O$2:$O$1001,MATCH(ROW()-1,Calc!$X$2:$X$1001,0)),"")</f>
        <v/>
      </c>
      <c r="E821" s="3" t="str">
        <f aca="false">IFERROR(INDEX(Calc!$P$2:$P$1001,MATCH(ROW()-1,Calc!$X$2:$X$1001,0)),"")</f>
        <v/>
      </c>
      <c r="F821" s="3" t="str">
        <f aca="false">IF(G821="","",E821-D821)</f>
        <v/>
      </c>
      <c r="G821" s="0" t="str">
        <f aca="false">IFERROR(INDEX(Calc!$S$2:$S$1001,MATCH(ROW()-1,Calc!$X$2:$X$1001,0)),"")</f>
        <v/>
      </c>
    </row>
    <row r="822" customFormat="false" ht="15" hidden="false" customHeight="false" outlineLevel="0" collapsed="false">
      <c r="A822" s="0" t="str">
        <f aca="false">IFERROR(INDEX(Calc!$L$2:$L$1001,MATCH(ROW()-1,Calc!$X$2:$X$1001,0)),"")</f>
        <v/>
      </c>
      <c r="B822" s="0" t="str">
        <f aca="false">IFERROR(INDEX(Calc!$M$2:$M$1001,MATCH(ROW()-1,Calc!$X$2:$X$1001,0)),"")</f>
        <v/>
      </c>
      <c r="C822" s="0" t="str">
        <f aca="false">IFERROR(INDEX(Calc!$N$2:$N$1001,MATCH(ROW()-1,Calc!$X$2:$X$1001,0)),"")</f>
        <v/>
      </c>
      <c r="D822" s="3" t="str">
        <f aca="false">IFERROR(INDEX(Calc!$O$2:$O$1001,MATCH(ROW()-1,Calc!$X$2:$X$1001,0)),"")</f>
        <v/>
      </c>
      <c r="E822" s="3" t="str">
        <f aca="false">IFERROR(INDEX(Calc!$P$2:$P$1001,MATCH(ROW()-1,Calc!$X$2:$X$1001,0)),"")</f>
        <v/>
      </c>
      <c r="F822" s="3" t="str">
        <f aca="false">IF(G822="","",E822-D822)</f>
        <v/>
      </c>
      <c r="G822" s="0" t="str">
        <f aca="false">IFERROR(INDEX(Calc!$S$2:$S$1001,MATCH(ROW()-1,Calc!$X$2:$X$1001,0)),"")</f>
        <v/>
      </c>
    </row>
    <row r="823" customFormat="false" ht="15" hidden="false" customHeight="false" outlineLevel="0" collapsed="false">
      <c r="A823" s="0" t="str">
        <f aca="false">IFERROR(INDEX(Calc!$L$2:$L$1001,MATCH(ROW()-1,Calc!$X$2:$X$1001,0)),"")</f>
        <v/>
      </c>
      <c r="B823" s="0" t="str">
        <f aca="false">IFERROR(INDEX(Calc!$M$2:$M$1001,MATCH(ROW()-1,Calc!$X$2:$X$1001,0)),"")</f>
        <v/>
      </c>
      <c r="C823" s="0" t="str">
        <f aca="false">IFERROR(INDEX(Calc!$N$2:$N$1001,MATCH(ROW()-1,Calc!$X$2:$X$1001,0)),"")</f>
        <v/>
      </c>
      <c r="D823" s="3" t="str">
        <f aca="false">IFERROR(INDEX(Calc!$O$2:$O$1001,MATCH(ROW()-1,Calc!$X$2:$X$1001,0)),"")</f>
        <v/>
      </c>
      <c r="E823" s="3" t="str">
        <f aca="false">IFERROR(INDEX(Calc!$P$2:$P$1001,MATCH(ROW()-1,Calc!$X$2:$X$1001,0)),"")</f>
        <v/>
      </c>
      <c r="F823" s="3" t="str">
        <f aca="false">IF(G823="","",E823-D823)</f>
        <v/>
      </c>
      <c r="G823" s="0" t="str">
        <f aca="false">IFERROR(INDEX(Calc!$S$2:$S$1001,MATCH(ROW()-1,Calc!$X$2:$X$1001,0)),"")</f>
        <v/>
      </c>
    </row>
    <row r="824" customFormat="false" ht="15" hidden="false" customHeight="false" outlineLevel="0" collapsed="false">
      <c r="A824" s="0" t="str">
        <f aca="false">IFERROR(INDEX(Calc!$L$2:$L$1001,MATCH(ROW()-1,Calc!$X$2:$X$1001,0)),"")</f>
        <v/>
      </c>
      <c r="B824" s="0" t="str">
        <f aca="false">IFERROR(INDEX(Calc!$M$2:$M$1001,MATCH(ROW()-1,Calc!$X$2:$X$1001,0)),"")</f>
        <v/>
      </c>
      <c r="C824" s="0" t="str">
        <f aca="false">IFERROR(INDEX(Calc!$N$2:$N$1001,MATCH(ROW()-1,Calc!$X$2:$X$1001,0)),"")</f>
        <v/>
      </c>
      <c r="D824" s="3" t="str">
        <f aca="false">IFERROR(INDEX(Calc!$O$2:$O$1001,MATCH(ROW()-1,Calc!$X$2:$X$1001,0)),"")</f>
        <v/>
      </c>
      <c r="E824" s="3" t="str">
        <f aca="false">IFERROR(INDEX(Calc!$P$2:$P$1001,MATCH(ROW()-1,Calc!$X$2:$X$1001,0)),"")</f>
        <v/>
      </c>
      <c r="F824" s="3" t="str">
        <f aca="false">IF(G824="","",E824-D824)</f>
        <v/>
      </c>
      <c r="G824" s="0" t="str">
        <f aca="false">IFERROR(INDEX(Calc!$S$2:$S$1001,MATCH(ROW()-1,Calc!$X$2:$X$1001,0)),"")</f>
        <v/>
      </c>
    </row>
    <row r="825" customFormat="false" ht="15" hidden="false" customHeight="false" outlineLevel="0" collapsed="false">
      <c r="A825" s="0" t="str">
        <f aca="false">IFERROR(INDEX(Calc!$L$2:$L$1001,MATCH(ROW()-1,Calc!$X$2:$X$1001,0)),"")</f>
        <v/>
      </c>
      <c r="B825" s="0" t="str">
        <f aca="false">IFERROR(INDEX(Calc!$M$2:$M$1001,MATCH(ROW()-1,Calc!$X$2:$X$1001,0)),"")</f>
        <v/>
      </c>
      <c r="C825" s="0" t="str">
        <f aca="false">IFERROR(INDEX(Calc!$N$2:$N$1001,MATCH(ROW()-1,Calc!$X$2:$X$1001,0)),"")</f>
        <v/>
      </c>
      <c r="D825" s="3" t="str">
        <f aca="false">IFERROR(INDEX(Calc!$O$2:$O$1001,MATCH(ROW()-1,Calc!$X$2:$X$1001,0)),"")</f>
        <v/>
      </c>
      <c r="E825" s="3" t="str">
        <f aca="false">IFERROR(INDEX(Calc!$P$2:$P$1001,MATCH(ROW()-1,Calc!$X$2:$X$1001,0)),"")</f>
        <v/>
      </c>
      <c r="F825" s="3" t="str">
        <f aca="false">IF(G825="","",E825-D825)</f>
        <v/>
      </c>
      <c r="G825" s="0" t="str">
        <f aca="false">IFERROR(INDEX(Calc!$S$2:$S$1001,MATCH(ROW()-1,Calc!$X$2:$X$1001,0)),"")</f>
        <v/>
      </c>
    </row>
    <row r="826" customFormat="false" ht="15" hidden="false" customHeight="false" outlineLevel="0" collapsed="false">
      <c r="A826" s="0" t="str">
        <f aca="false">IFERROR(INDEX(Calc!$L$2:$L$1001,MATCH(ROW()-1,Calc!$X$2:$X$1001,0)),"")</f>
        <v/>
      </c>
      <c r="B826" s="0" t="str">
        <f aca="false">IFERROR(INDEX(Calc!$M$2:$M$1001,MATCH(ROW()-1,Calc!$X$2:$X$1001,0)),"")</f>
        <v/>
      </c>
      <c r="C826" s="0" t="str">
        <f aca="false">IFERROR(INDEX(Calc!$N$2:$N$1001,MATCH(ROW()-1,Calc!$X$2:$X$1001,0)),"")</f>
        <v/>
      </c>
      <c r="D826" s="3" t="str">
        <f aca="false">IFERROR(INDEX(Calc!$O$2:$O$1001,MATCH(ROW()-1,Calc!$X$2:$X$1001,0)),"")</f>
        <v/>
      </c>
      <c r="E826" s="3" t="str">
        <f aca="false">IFERROR(INDEX(Calc!$P$2:$P$1001,MATCH(ROW()-1,Calc!$X$2:$X$1001,0)),"")</f>
        <v/>
      </c>
      <c r="F826" s="3" t="str">
        <f aca="false">IF(G826="","",E826-D826)</f>
        <v/>
      </c>
      <c r="G826" s="0" t="str">
        <f aca="false">IFERROR(INDEX(Calc!$S$2:$S$1001,MATCH(ROW()-1,Calc!$X$2:$X$1001,0)),"")</f>
        <v/>
      </c>
    </row>
    <row r="827" customFormat="false" ht="15" hidden="false" customHeight="false" outlineLevel="0" collapsed="false">
      <c r="A827" s="0" t="str">
        <f aca="false">IFERROR(INDEX(Calc!$L$2:$L$1001,MATCH(ROW()-1,Calc!$X$2:$X$1001,0)),"")</f>
        <v/>
      </c>
      <c r="B827" s="0" t="str">
        <f aca="false">IFERROR(INDEX(Calc!$M$2:$M$1001,MATCH(ROW()-1,Calc!$X$2:$X$1001,0)),"")</f>
        <v/>
      </c>
      <c r="C827" s="0" t="str">
        <f aca="false">IFERROR(INDEX(Calc!$N$2:$N$1001,MATCH(ROW()-1,Calc!$X$2:$X$1001,0)),"")</f>
        <v/>
      </c>
      <c r="D827" s="3" t="str">
        <f aca="false">IFERROR(INDEX(Calc!$O$2:$O$1001,MATCH(ROW()-1,Calc!$X$2:$X$1001,0)),"")</f>
        <v/>
      </c>
      <c r="E827" s="3" t="str">
        <f aca="false">IFERROR(INDEX(Calc!$P$2:$P$1001,MATCH(ROW()-1,Calc!$X$2:$X$1001,0)),"")</f>
        <v/>
      </c>
      <c r="F827" s="3" t="str">
        <f aca="false">IF(G827="","",E827-D827)</f>
        <v/>
      </c>
      <c r="G827" s="0" t="str">
        <f aca="false">IFERROR(INDEX(Calc!$S$2:$S$1001,MATCH(ROW()-1,Calc!$X$2:$X$1001,0)),"")</f>
        <v/>
      </c>
    </row>
    <row r="828" customFormat="false" ht="15" hidden="false" customHeight="false" outlineLevel="0" collapsed="false">
      <c r="A828" s="0" t="str">
        <f aca="false">IFERROR(INDEX(Calc!$L$2:$L$1001,MATCH(ROW()-1,Calc!$X$2:$X$1001,0)),"")</f>
        <v/>
      </c>
      <c r="B828" s="0" t="str">
        <f aca="false">IFERROR(INDEX(Calc!$M$2:$M$1001,MATCH(ROW()-1,Calc!$X$2:$X$1001,0)),"")</f>
        <v/>
      </c>
      <c r="C828" s="0" t="str">
        <f aca="false">IFERROR(INDEX(Calc!$N$2:$N$1001,MATCH(ROW()-1,Calc!$X$2:$X$1001,0)),"")</f>
        <v/>
      </c>
      <c r="D828" s="3" t="str">
        <f aca="false">IFERROR(INDEX(Calc!$O$2:$O$1001,MATCH(ROW()-1,Calc!$X$2:$X$1001,0)),"")</f>
        <v/>
      </c>
      <c r="E828" s="3" t="str">
        <f aca="false">IFERROR(INDEX(Calc!$P$2:$P$1001,MATCH(ROW()-1,Calc!$X$2:$X$1001,0)),"")</f>
        <v/>
      </c>
      <c r="F828" s="3" t="str">
        <f aca="false">IF(G828="","",E828-D828)</f>
        <v/>
      </c>
      <c r="G828" s="0" t="str">
        <f aca="false">IFERROR(INDEX(Calc!$S$2:$S$1001,MATCH(ROW()-1,Calc!$X$2:$X$1001,0)),"")</f>
        <v/>
      </c>
    </row>
    <row r="829" customFormat="false" ht="15" hidden="false" customHeight="false" outlineLevel="0" collapsed="false">
      <c r="A829" s="0" t="str">
        <f aca="false">IFERROR(INDEX(Calc!$L$2:$L$1001,MATCH(ROW()-1,Calc!$X$2:$X$1001,0)),"")</f>
        <v/>
      </c>
      <c r="B829" s="0" t="str">
        <f aca="false">IFERROR(INDEX(Calc!$M$2:$M$1001,MATCH(ROW()-1,Calc!$X$2:$X$1001,0)),"")</f>
        <v/>
      </c>
      <c r="C829" s="0" t="str">
        <f aca="false">IFERROR(INDEX(Calc!$N$2:$N$1001,MATCH(ROW()-1,Calc!$X$2:$X$1001,0)),"")</f>
        <v/>
      </c>
      <c r="D829" s="3" t="str">
        <f aca="false">IFERROR(INDEX(Calc!$O$2:$O$1001,MATCH(ROW()-1,Calc!$X$2:$X$1001,0)),"")</f>
        <v/>
      </c>
      <c r="E829" s="3" t="str">
        <f aca="false">IFERROR(INDEX(Calc!$P$2:$P$1001,MATCH(ROW()-1,Calc!$X$2:$X$1001,0)),"")</f>
        <v/>
      </c>
      <c r="F829" s="3" t="str">
        <f aca="false">IF(G829="","",E829-D829)</f>
        <v/>
      </c>
      <c r="G829" s="0" t="str">
        <f aca="false">IFERROR(INDEX(Calc!$S$2:$S$1001,MATCH(ROW()-1,Calc!$X$2:$X$1001,0)),"")</f>
        <v/>
      </c>
    </row>
    <row r="830" customFormat="false" ht="15" hidden="false" customHeight="false" outlineLevel="0" collapsed="false">
      <c r="A830" s="0" t="str">
        <f aca="false">IFERROR(INDEX(Calc!$L$2:$L$1001,MATCH(ROW()-1,Calc!$X$2:$X$1001,0)),"")</f>
        <v/>
      </c>
      <c r="B830" s="0" t="str">
        <f aca="false">IFERROR(INDEX(Calc!$M$2:$M$1001,MATCH(ROW()-1,Calc!$X$2:$X$1001,0)),"")</f>
        <v/>
      </c>
      <c r="C830" s="0" t="str">
        <f aca="false">IFERROR(INDEX(Calc!$N$2:$N$1001,MATCH(ROW()-1,Calc!$X$2:$X$1001,0)),"")</f>
        <v/>
      </c>
      <c r="D830" s="3" t="str">
        <f aca="false">IFERROR(INDEX(Calc!$O$2:$O$1001,MATCH(ROW()-1,Calc!$X$2:$X$1001,0)),"")</f>
        <v/>
      </c>
      <c r="E830" s="3" t="str">
        <f aca="false">IFERROR(INDEX(Calc!$P$2:$P$1001,MATCH(ROW()-1,Calc!$X$2:$X$1001,0)),"")</f>
        <v/>
      </c>
      <c r="F830" s="3" t="str">
        <f aca="false">IF(G830="","",E830-D830)</f>
        <v/>
      </c>
      <c r="G830" s="0" t="str">
        <f aca="false">IFERROR(INDEX(Calc!$S$2:$S$1001,MATCH(ROW()-1,Calc!$X$2:$X$1001,0)),"")</f>
        <v/>
      </c>
    </row>
    <row r="831" customFormat="false" ht="15" hidden="false" customHeight="false" outlineLevel="0" collapsed="false">
      <c r="A831" s="0" t="str">
        <f aca="false">IFERROR(INDEX(Calc!$L$2:$L$1001,MATCH(ROW()-1,Calc!$X$2:$X$1001,0)),"")</f>
        <v/>
      </c>
      <c r="B831" s="0" t="str">
        <f aca="false">IFERROR(INDEX(Calc!$M$2:$M$1001,MATCH(ROW()-1,Calc!$X$2:$X$1001,0)),"")</f>
        <v/>
      </c>
      <c r="C831" s="0" t="str">
        <f aca="false">IFERROR(INDEX(Calc!$N$2:$N$1001,MATCH(ROW()-1,Calc!$X$2:$X$1001,0)),"")</f>
        <v/>
      </c>
      <c r="D831" s="3" t="str">
        <f aca="false">IFERROR(INDEX(Calc!$O$2:$O$1001,MATCH(ROW()-1,Calc!$X$2:$X$1001,0)),"")</f>
        <v/>
      </c>
      <c r="E831" s="3" t="str">
        <f aca="false">IFERROR(INDEX(Calc!$P$2:$P$1001,MATCH(ROW()-1,Calc!$X$2:$X$1001,0)),"")</f>
        <v/>
      </c>
      <c r="F831" s="3" t="str">
        <f aca="false">IF(G831="","",E831-D831)</f>
        <v/>
      </c>
      <c r="G831" s="0" t="str">
        <f aca="false">IFERROR(INDEX(Calc!$S$2:$S$1001,MATCH(ROW()-1,Calc!$X$2:$X$1001,0)),"")</f>
        <v/>
      </c>
    </row>
    <row r="832" customFormat="false" ht="15" hidden="false" customHeight="false" outlineLevel="0" collapsed="false">
      <c r="A832" s="0" t="str">
        <f aca="false">IFERROR(INDEX(Calc!$L$2:$L$1001,MATCH(ROW()-1,Calc!$X$2:$X$1001,0)),"")</f>
        <v/>
      </c>
      <c r="B832" s="0" t="str">
        <f aca="false">IFERROR(INDEX(Calc!$M$2:$M$1001,MATCH(ROW()-1,Calc!$X$2:$X$1001,0)),"")</f>
        <v/>
      </c>
      <c r="C832" s="0" t="str">
        <f aca="false">IFERROR(INDEX(Calc!$N$2:$N$1001,MATCH(ROW()-1,Calc!$X$2:$X$1001,0)),"")</f>
        <v/>
      </c>
      <c r="D832" s="3" t="str">
        <f aca="false">IFERROR(INDEX(Calc!$O$2:$O$1001,MATCH(ROW()-1,Calc!$X$2:$X$1001,0)),"")</f>
        <v/>
      </c>
      <c r="E832" s="3" t="str">
        <f aca="false">IFERROR(INDEX(Calc!$P$2:$P$1001,MATCH(ROW()-1,Calc!$X$2:$X$1001,0)),"")</f>
        <v/>
      </c>
      <c r="F832" s="3" t="str">
        <f aca="false">IF(G832="","",E832-D832)</f>
        <v/>
      </c>
      <c r="G832" s="0" t="str">
        <f aca="false">IFERROR(INDEX(Calc!$S$2:$S$1001,MATCH(ROW()-1,Calc!$X$2:$X$1001,0)),"")</f>
        <v/>
      </c>
    </row>
    <row r="833" customFormat="false" ht="15" hidden="false" customHeight="false" outlineLevel="0" collapsed="false">
      <c r="A833" s="0" t="str">
        <f aca="false">IFERROR(INDEX(Calc!$L$2:$L$1001,MATCH(ROW()-1,Calc!$X$2:$X$1001,0)),"")</f>
        <v/>
      </c>
      <c r="B833" s="0" t="str">
        <f aca="false">IFERROR(INDEX(Calc!$M$2:$M$1001,MATCH(ROW()-1,Calc!$X$2:$X$1001,0)),"")</f>
        <v/>
      </c>
      <c r="C833" s="0" t="str">
        <f aca="false">IFERROR(INDEX(Calc!$N$2:$N$1001,MATCH(ROW()-1,Calc!$X$2:$X$1001,0)),"")</f>
        <v/>
      </c>
      <c r="D833" s="3" t="str">
        <f aca="false">IFERROR(INDEX(Calc!$O$2:$O$1001,MATCH(ROW()-1,Calc!$X$2:$X$1001,0)),"")</f>
        <v/>
      </c>
      <c r="E833" s="3" t="str">
        <f aca="false">IFERROR(INDEX(Calc!$P$2:$P$1001,MATCH(ROW()-1,Calc!$X$2:$X$1001,0)),"")</f>
        <v/>
      </c>
      <c r="F833" s="3" t="str">
        <f aca="false">IF(G833="","",E833-D833)</f>
        <v/>
      </c>
      <c r="G833" s="0" t="str">
        <f aca="false">IFERROR(INDEX(Calc!$S$2:$S$1001,MATCH(ROW()-1,Calc!$X$2:$X$1001,0)),"")</f>
        <v/>
      </c>
    </row>
    <row r="834" customFormat="false" ht="15" hidden="false" customHeight="false" outlineLevel="0" collapsed="false">
      <c r="A834" s="0" t="str">
        <f aca="false">IFERROR(INDEX(Calc!$L$2:$L$1001,MATCH(ROW()-1,Calc!$X$2:$X$1001,0)),"")</f>
        <v/>
      </c>
      <c r="B834" s="0" t="str">
        <f aca="false">IFERROR(INDEX(Calc!$M$2:$M$1001,MATCH(ROW()-1,Calc!$X$2:$X$1001,0)),"")</f>
        <v/>
      </c>
      <c r="C834" s="0" t="str">
        <f aca="false">IFERROR(INDEX(Calc!$N$2:$N$1001,MATCH(ROW()-1,Calc!$X$2:$X$1001,0)),"")</f>
        <v/>
      </c>
      <c r="D834" s="3" t="str">
        <f aca="false">IFERROR(INDEX(Calc!$O$2:$O$1001,MATCH(ROW()-1,Calc!$X$2:$X$1001,0)),"")</f>
        <v/>
      </c>
      <c r="E834" s="3" t="str">
        <f aca="false">IFERROR(INDEX(Calc!$P$2:$P$1001,MATCH(ROW()-1,Calc!$X$2:$X$1001,0)),"")</f>
        <v/>
      </c>
      <c r="F834" s="3" t="str">
        <f aca="false">IF(G834="","",E834-D834)</f>
        <v/>
      </c>
      <c r="G834" s="0" t="str">
        <f aca="false">IFERROR(INDEX(Calc!$S$2:$S$1001,MATCH(ROW()-1,Calc!$X$2:$X$1001,0)),"")</f>
        <v/>
      </c>
    </row>
    <row r="835" customFormat="false" ht="15" hidden="false" customHeight="false" outlineLevel="0" collapsed="false">
      <c r="A835" s="0" t="str">
        <f aca="false">IFERROR(INDEX(Calc!$L$2:$L$1001,MATCH(ROW()-1,Calc!$X$2:$X$1001,0)),"")</f>
        <v/>
      </c>
      <c r="B835" s="0" t="str">
        <f aca="false">IFERROR(INDEX(Calc!$M$2:$M$1001,MATCH(ROW()-1,Calc!$X$2:$X$1001,0)),"")</f>
        <v/>
      </c>
      <c r="C835" s="0" t="str">
        <f aca="false">IFERROR(INDEX(Calc!$N$2:$N$1001,MATCH(ROW()-1,Calc!$X$2:$X$1001,0)),"")</f>
        <v/>
      </c>
      <c r="D835" s="3" t="str">
        <f aca="false">IFERROR(INDEX(Calc!$O$2:$O$1001,MATCH(ROW()-1,Calc!$X$2:$X$1001,0)),"")</f>
        <v/>
      </c>
      <c r="E835" s="3" t="str">
        <f aca="false">IFERROR(INDEX(Calc!$P$2:$P$1001,MATCH(ROW()-1,Calc!$X$2:$X$1001,0)),"")</f>
        <v/>
      </c>
      <c r="F835" s="3" t="str">
        <f aca="false">IF(G835="","",E835-D835)</f>
        <v/>
      </c>
      <c r="G835" s="0" t="str">
        <f aca="false">IFERROR(INDEX(Calc!$S$2:$S$1001,MATCH(ROW()-1,Calc!$X$2:$X$1001,0)),"")</f>
        <v/>
      </c>
    </row>
    <row r="836" customFormat="false" ht="15" hidden="false" customHeight="false" outlineLevel="0" collapsed="false">
      <c r="A836" s="0" t="str">
        <f aca="false">IFERROR(INDEX(Calc!$L$2:$L$1001,MATCH(ROW()-1,Calc!$X$2:$X$1001,0)),"")</f>
        <v/>
      </c>
      <c r="B836" s="0" t="str">
        <f aca="false">IFERROR(INDEX(Calc!$M$2:$M$1001,MATCH(ROW()-1,Calc!$X$2:$X$1001,0)),"")</f>
        <v/>
      </c>
      <c r="C836" s="0" t="str">
        <f aca="false">IFERROR(INDEX(Calc!$N$2:$N$1001,MATCH(ROW()-1,Calc!$X$2:$X$1001,0)),"")</f>
        <v/>
      </c>
      <c r="D836" s="3" t="str">
        <f aca="false">IFERROR(INDEX(Calc!$O$2:$O$1001,MATCH(ROW()-1,Calc!$X$2:$X$1001,0)),"")</f>
        <v/>
      </c>
      <c r="E836" s="3" t="str">
        <f aca="false">IFERROR(INDEX(Calc!$P$2:$P$1001,MATCH(ROW()-1,Calc!$X$2:$X$1001,0)),"")</f>
        <v/>
      </c>
      <c r="F836" s="3" t="str">
        <f aca="false">IF(G836="","",E836-D836)</f>
        <v/>
      </c>
      <c r="G836" s="0" t="str">
        <f aca="false">IFERROR(INDEX(Calc!$S$2:$S$1001,MATCH(ROW()-1,Calc!$X$2:$X$1001,0)),"")</f>
        <v/>
      </c>
    </row>
    <row r="837" customFormat="false" ht="15" hidden="false" customHeight="false" outlineLevel="0" collapsed="false">
      <c r="A837" s="0" t="str">
        <f aca="false">IFERROR(INDEX(Calc!$L$2:$L$1001,MATCH(ROW()-1,Calc!$X$2:$X$1001,0)),"")</f>
        <v/>
      </c>
      <c r="B837" s="0" t="str">
        <f aca="false">IFERROR(INDEX(Calc!$M$2:$M$1001,MATCH(ROW()-1,Calc!$X$2:$X$1001,0)),"")</f>
        <v/>
      </c>
      <c r="C837" s="0" t="str">
        <f aca="false">IFERROR(INDEX(Calc!$N$2:$N$1001,MATCH(ROW()-1,Calc!$X$2:$X$1001,0)),"")</f>
        <v/>
      </c>
      <c r="D837" s="3" t="str">
        <f aca="false">IFERROR(INDEX(Calc!$O$2:$O$1001,MATCH(ROW()-1,Calc!$X$2:$X$1001,0)),"")</f>
        <v/>
      </c>
      <c r="E837" s="3" t="str">
        <f aca="false">IFERROR(INDEX(Calc!$P$2:$P$1001,MATCH(ROW()-1,Calc!$X$2:$X$1001,0)),"")</f>
        <v/>
      </c>
      <c r="F837" s="3" t="str">
        <f aca="false">IF(G837="","",E837-D837)</f>
        <v/>
      </c>
      <c r="G837" s="0" t="str">
        <f aca="false">IFERROR(INDEX(Calc!$S$2:$S$1001,MATCH(ROW()-1,Calc!$X$2:$X$1001,0)),"")</f>
        <v/>
      </c>
    </row>
    <row r="838" customFormat="false" ht="15" hidden="false" customHeight="false" outlineLevel="0" collapsed="false">
      <c r="A838" s="0" t="str">
        <f aca="false">IFERROR(INDEX(Calc!$L$2:$L$1001,MATCH(ROW()-1,Calc!$X$2:$X$1001,0)),"")</f>
        <v/>
      </c>
      <c r="B838" s="0" t="str">
        <f aca="false">IFERROR(INDEX(Calc!$M$2:$M$1001,MATCH(ROW()-1,Calc!$X$2:$X$1001,0)),"")</f>
        <v/>
      </c>
      <c r="C838" s="0" t="str">
        <f aca="false">IFERROR(INDEX(Calc!$N$2:$N$1001,MATCH(ROW()-1,Calc!$X$2:$X$1001,0)),"")</f>
        <v/>
      </c>
      <c r="D838" s="3" t="str">
        <f aca="false">IFERROR(INDEX(Calc!$O$2:$O$1001,MATCH(ROW()-1,Calc!$X$2:$X$1001,0)),"")</f>
        <v/>
      </c>
      <c r="E838" s="3" t="str">
        <f aca="false">IFERROR(INDEX(Calc!$P$2:$P$1001,MATCH(ROW()-1,Calc!$X$2:$X$1001,0)),"")</f>
        <v/>
      </c>
      <c r="F838" s="3" t="str">
        <f aca="false">IF(G838="","",E838-D838)</f>
        <v/>
      </c>
      <c r="G838" s="0" t="str">
        <f aca="false">IFERROR(INDEX(Calc!$S$2:$S$1001,MATCH(ROW()-1,Calc!$X$2:$X$1001,0)),"")</f>
        <v/>
      </c>
    </row>
    <row r="839" customFormat="false" ht="15" hidden="false" customHeight="false" outlineLevel="0" collapsed="false">
      <c r="A839" s="0" t="str">
        <f aca="false">IFERROR(INDEX(Calc!$L$2:$L$1001,MATCH(ROW()-1,Calc!$X$2:$X$1001,0)),"")</f>
        <v/>
      </c>
      <c r="B839" s="0" t="str">
        <f aca="false">IFERROR(INDEX(Calc!$M$2:$M$1001,MATCH(ROW()-1,Calc!$X$2:$X$1001,0)),"")</f>
        <v/>
      </c>
      <c r="C839" s="0" t="str">
        <f aca="false">IFERROR(INDEX(Calc!$N$2:$N$1001,MATCH(ROW()-1,Calc!$X$2:$X$1001,0)),"")</f>
        <v/>
      </c>
      <c r="D839" s="3" t="str">
        <f aca="false">IFERROR(INDEX(Calc!$O$2:$O$1001,MATCH(ROW()-1,Calc!$X$2:$X$1001,0)),"")</f>
        <v/>
      </c>
      <c r="E839" s="3" t="str">
        <f aca="false">IFERROR(INDEX(Calc!$P$2:$P$1001,MATCH(ROW()-1,Calc!$X$2:$X$1001,0)),"")</f>
        <v/>
      </c>
      <c r="F839" s="3" t="str">
        <f aca="false">IF(G839="","",E839-D839)</f>
        <v/>
      </c>
      <c r="G839" s="0" t="str">
        <f aca="false">IFERROR(INDEX(Calc!$S$2:$S$1001,MATCH(ROW()-1,Calc!$X$2:$X$1001,0)),"")</f>
        <v/>
      </c>
    </row>
    <row r="840" customFormat="false" ht="15" hidden="false" customHeight="false" outlineLevel="0" collapsed="false">
      <c r="A840" s="0" t="str">
        <f aca="false">IFERROR(INDEX(Calc!$L$2:$L$1001,MATCH(ROW()-1,Calc!$X$2:$X$1001,0)),"")</f>
        <v/>
      </c>
      <c r="B840" s="0" t="str">
        <f aca="false">IFERROR(INDEX(Calc!$M$2:$M$1001,MATCH(ROW()-1,Calc!$X$2:$X$1001,0)),"")</f>
        <v/>
      </c>
      <c r="C840" s="0" t="str">
        <f aca="false">IFERROR(INDEX(Calc!$N$2:$N$1001,MATCH(ROW()-1,Calc!$X$2:$X$1001,0)),"")</f>
        <v/>
      </c>
      <c r="D840" s="3" t="str">
        <f aca="false">IFERROR(INDEX(Calc!$O$2:$O$1001,MATCH(ROW()-1,Calc!$X$2:$X$1001,0)),"")</f>
        <v/>
      </c>
      <c r="E840" s="3" t="str">
        <f aca="false">IFERROR(INDEX(Calc!$P$2:$P$1001,MATCH(ROW()-1,Calc!$X$2:$X$1001,0)),"")</f>
        <v/>
      </c>
      <c r="F840" s="3" t="str">
        <f aca="false">IF(G840="","",E840-D840)</f>
        <v/>
      </c>
      <c r="G840" s="0" t="str">
        <f aca="false">IFERROR(INDEX(Calc!$S$2:$S$1001,MATCH(ROW()-1,Calc!$X$2:$X$1001,0)),"")</f>
        <v/>
      </c>
    </row>
    <row r="841" customFormat="false" ht="15" hidden="false" customHeight="false" outlineLevel="0" collapsed="false">
      <c r="A841" s="0" t="str">
        <f aca="false">IFERROR(INDEX(Calc!$L$2:$L$1001,MATCH(ROW()-1,Calc!$X$2:$X$1001,0)),"")</f>
        <v/>
      </c>
      <c r="B841" s="0" t="str">
        <f aca="false">IFERROR(INDEX(Calc!$M$2:$M$1001,MATCH(ROW()-1,Calc!$X$2:$X$1001,0)),"")</f>
        <v/>
      </c>
      <c r="C841" s="0" t="str">
        <f aca="false">IFERROR(INDEX(Calc!$N$2:$N$1001,MATCH(ROW()-1,Calc!$X$2:$X$1001,0)),"")</f>
        <v/>
      </c>
      <c r="D841" s="3" t="str">
        <f aca="false">IFERROR(INDEX(Calc!$O$2:$O$1001,MATCH(ROW()-1,Calc!$X$2:$X$1001,0)),"")</f>
        <v/>
      </c>
      <c r="E841" s="3" t="str">
        <f aca="false">IFERROR(INDEX(Calc!$P$2:$P$1001,MATCH(ROW()-1,Calc!$X$2:$X$1001,0)),"")</f>
        <v/>
      </c>
      <c r="F841" s="3" t="str">
        <f aca="false">IF(G841="","",E841-D841)</f>
        <v/>
      </c>
      <c r="G841" s="0" t="str">
        <f aca="false">IFERROR(INDEX(Calc!$S$2:$S$1001,MATCH(ROW()-1,Calc!$X$2:$X$1001,0)),"")</f>
        <v/>
      </c>
    </row>
    <row r="842" customFormat="false" ht="15" hidden="false" customHeight="false" outlineLevel="0" collapsed="false">
      <c r="A842" s="0" t="str">
        <f aca="false">IFERROR(INDEX(Calc!$L$2:$L$1001,MATCH(ROW()-1,Calc!$X$2:$X$1001,0)),"")</f>
        <v/>
      </c>
      <c r="B842" s="0" t="str">
        <f aca="false">IFERROR(INDEX(Calc!$M$2:$M$1001,MATCH(ROW()-1,Calc!$X$2:$X$1001,0)),"")</f>
        <v/>
      </c>
      <c r="C842" s="0" t="str">
        <f aca="false">IFERROR(INDEX(Calc!$N$2:$N$1001,MATCH(ROW()-1,Calc!$X$2:$X$1001,0)),"")</f>
        <v/>
      </c>
      <c r="D842" s="3" t="str">
        <f aca="false">IFERROR(INDEX(Calc!$O$2:$O$1001,MATCH(ROW()-1,Calc!$X$2:$X$1001,0)),"")</f>
        <v/>
      </c>
      <c r="E842" s="3" t="str">
        <f aca="false">IFERROR(INDEX(Calc!$P$2:$P$1001,MATCH(ROW()-1,Calc!$X$2:$X$1001,0)),"")</f>
        <v/>
      </c>
      <c r="F842" s="3" t="str">
        <f aca="false">IF(G842="","",E842-D842)</f>
        <v/>
      </c>
      <c r="G842" s="0" t="str">
        <f aca="false">IFERROR(INDEX(Calc!$S$2:$S$1001,MATCH(ROW()-1,Calc!$X$2:$X$1001,0)),"")</f>
        <v/>
      </c>
    </row>
    <row r="843" customFormat="false" ht="15" hidden="false" customHeight="false" outlineLevel="0" collapsed="false">
      <c r="A843" s="0" t="str">
        <f aca="false">IFERROR(INDEX(Calc!$L$2:$L$1001,MATCH(ROW()-1,Calc!$X$2:$X$1001,0)),"")</f>
        <v/>
      </c>
      <c r="B843" s="0" t="str">
        <f aca="false">IFERROR(INDEX(Calc!$M$2:$M$1001,MATCH(ROW()-1,Calc!$X$2:$X$1001,0)),"")</f>
        <v/>
      </c>
      <c r="C843" s="0" t="str">
        <f aca="false">IFERROR(INDEX(Calc!$N$2:$N$1001,MATCH(ROW()-1,Calc!$X$2:$X$1001,0)),"")</f>
        <v/>
      </c>
      <c r="D843" s="3" t="str">
        <f aca="false">IFERROR(INDEX(Calc!$O$2:$O$1001,MATCH(ROW()-1,Calc!$X$2:$X$1001,0)),"")</f>
        <v/>
      </c>
      <c r="E843" s="3" t="str">
        <f aca="false">IFERROR(INDEX(Calc!$P$2:$P$1001,MATCH(ROW()-1,Calc!$X$2:$X$1001,0)),"")</f>
        <v/>
      </c>
      <c r="F843" s="3" t="str">
        <f aca="false">IF(G843="","",E843-D843)</f>
        <v/>
      </c>
      <c r="G843" s="0" t="str">
        <f aca="false">IFERROR(INDEX(Calc!$S$2:$S$1001,MATCH(ROW()-1,Calc!$X$2:$X$1001,0)),"")</f>
        <v/>
      </c>
    </row>
    <row r="844" customFormat="false" ht="15" hidden="false" customHeight="false" outlineLevel="0" collapsed="false">
      <c r="A844" s="0" t="str">
        <f aca="false">IFERROR(INDEX(Calc!$L$2:$L$1001,MATCH(ROW()-1,Calc!$X$2:$X$1001,0)),"")</f>
        <v/>
      </c>
      <c r="B844" s="0" t="str">
        <f aca="false">IFERROR(INDEX(Calc!$M$2:$M$1001,MATCH(ROW()-1,Calc!$X$2:$X$1001,0)),"")</f>
        <v/>
      </c>
      <c r="C844" s="0" t="str">
        <f aca="false">IFERROR(INDEX(Calc!$N$2:$N$1001,MATCH(ROW()-1,Calc!$X$2:$X$1001,0)),"")</f>
        <v/>
      </c>
      <c r="D844" s="3" t="str">
        <f aca="false">IFERROR(INDEX(Calc!$O$2:$O$1001,MATCH(ROW()-1,Calc!$X$2:$X$1001,0)),"")</f>
        <v/>
      </c>
      <c r="E844" s="3" t="str">
        <f aca="false">IFERROR(INDEX(Calc!$P$2:$P$1001,MATCH(ROW()-1,Calc!$X$2:$X$1001,0)),"")</f>
        <v/>
      </c>
      <c r="F844" s="3" t="str">
        <f aca="false">IF(G844="","",E844-D844)</f>
        <v/>
      </c>
      <c r="G844" s="0" t="str">
        <f aca="false">IFERROR(INDEX(Calc!$S$2:$S$1001,MATCH(ROW()-1,Calc!$X$2:$X$1001,0)),"")</f>
        <v/>
      </c>
    </row>
    <row r="845" customFormat="false" ht="15" hidden="false" customHeight="false" outlineLevel="0" collapsed="false">
      <c r="A845" s="0" t="str">
        <f aca="false">IFERROR(INDEX(Calc!$L$2:$L$1001,MATCH(ROW()-1,Calc!$X$2:$X$1001,0)),"")</f>
        <v/>
      </c>
      <c r="B845" s="0" t="str">
        <f aca="false">IFERROR(INDEX(Calc!$M$2:$M$1001,MATCH(ROW()-1,Calc!$X$2:$X$1001,0)),"")</f>
        <v/>
      </c>
      <c r="C845" s="0" t="str">
        <f aca="false">IFERROR(INDEX(Calc!$N$2:$N$1001,MATCH(ROW()-1,Calc!$X$2:$X$1001,0)),"")</f>
        <v/>
      </c>
      <c r="D845" s="3" t="str">
        <f aca="false">IFERROR(INDEX(Calc!$O$2:$O$1001,MATCH(ROW()-1,Calc!$X$2:$X$1001,0)),"")</f>
        <v/>
      </c>
      <c r="E845" s="3" t="str">
        <f aca="false">IFERROR(INDEX(Calc!$P$2:$P$1001,MATCH(ROW()-1,Calc!$X$2:$X$1001,0)),"")</f>
        <v/>
      </c>
      <c r="F845" s="3" t="str">
        <f aca="false">IF(G845="","",E845-D845)</f>
        <v/>
      </c>
      <c r="G845" s="0" t="str">
        <f aca="false">IFERROR(INDEX(Calc!$S$2:$S$1001,MATCH(ROW()-1,Calc!$X$2:$X$1001,0)),"")</f>
        <v/>
      </c>
    </row>
    <row r="846" customFormat="false" ht="15" hidden="false" customHeight="false" outlineLevel="0" collapsed="false">
      <c r="A846" s="0" t="str">
        <f aca="false">IFERROR(INDEX(Calc!$L$2:$L$1001,MATCH(ROW()-1,Calc!$X$2:$X$1001,0)),"")</f>
        <v/>
      </c>
      <c r="B846" s="0" t="str">
        <f aca="false">IFERROR(INDEX(Calc!$M$2:$M$1001,MATCH(ROW()-1,Calc!$X$2:$X$1001,0)),"")</f>
        <v/>
      </c>
      <c r="C846" s="0" t="str">
        <f aca="false">IFERROR(INDEX(Calc!$N$2:$N$1001,MATCH(ROW()-1,Calc!$X$2:$X$1001,0)),"")</f>
        <v/>
      </c>
      <c r="D846" s="3" t="str">
        <f aca="false">IFERROR(INDEX(Calc!$O$2:$O$1001,MATCH(ROW()-1,Calc!$X$2:$X$1001,0)),"")</f>
        <v/>
      </c>
      <c r="E846" s="3" t="str">
        <f aca="false">IFERROR(INDEX(Calc!$P$2:$P$1001,MATCH(ROW()-1,Calc!$X$2:$X$1001,0)),"")</f>
        <v/>
      </c>
      <c r="F846" s="3" t="str">
        <f aca="false">IF(G846="","",E846-D846)</f>
        <v/>
      </c>
      <c r="G846" s="0" t="str">
        <f aca="false">IFERROR(INDEX(Calc!$S$2:$S$1001,MATCH(ROW()-1,Calc!$X$2:$X$1001,0)),"")</f>
        <v/>
      </c>
    </row>
    <row r="847" customFormat="false" ht="15" hidden="false" customHeight="false" outlineLevel="0" collapsed="false">
      <c r="A847" s="0" t="str">
        <f aca="false">IFERROR(INDEX(Calc!$L$2:$L$1001,MATCH(ROW()-1,Calc!$X$2:$X$1001,0)),"")</f>
        <v/>
      </c>
      <c r="B847" s="0" t="str">
        <f aca="false">IFERROR(INDEX(Calc!$M$2:$M$1001,MATCH(ROW()-1,Calc!$X$2:$X$1001,0)),"")</f>
        <v/>
      </c>
      <c r="C847" s="0" t="str">
        <f aca="false">IFERROR(INDEX(Calc!$N$2:$N$1001,MATCH(ROW()-1,Calc!$X$2:$X$1001,0)),"")</f>
        <v/>
      </c>
      <c r="D847" s="3" t="str">
        <f aca="false">IFERROR(INDEX(Calc!$O$2:$O$1001,MATCH(ROW()-1,Calc!$X$2:$X$1001,0)),"")</f>
        <v/>
      </c>
      <c r="E847" s="3" t="str">
        <f aca="false">IFERROR(INDEX(Calc!$P$2:$P$1001,MATCH(ROW()-1,Calc!$X$2:$X$1001,0)),"")</f>
        <v/>
      </c>
      <c r="F847" s="3" t="str">
        <f aca="false">IF(G847="","",E847-D847)</f>
        <v/>
      </c>
      <c r="G847" s="0" t="str">
        <f aca="false">IFERROR(INDEX(Calc!$S$2:$S$1001,MATCH(ROW()-1,Calc!$X$2:$X$1001,0)),"")</f>
        <v/>
      </c>
    </row>
    <row r="848" customFormat="false" ht="15" hidden="false" customHeight="false" outlineLevel="0" collapsed="false">
      <c r="A848" s="0" t="str">
        <f aca="false">IFERROR(INDEX(Calc!$L$2:$L$1001,MATCH(ROW()-1,Calc!$X$2:$X$1001,0)),"")</f>
        <v/>
      </c>
      <c r="B848" s="0" t="str">
        <f aca="false">IFERROR(INDEX(Calc!$M$2:$M$1001,MATCH(ROW()-1,Calc!$X$2:$X$1001,0)),"")</f>
        <v/>
      </c>
      <c r="C848" s="0" t="str">
        <f aca="false">IFERROR(INDEX(Calc!$N$2:$N$1001,MATCH(ROW()-1,Calc!$X$2:$X$1001,0)),"")</f>
        <v/>
      </c>
      <c r="D848" s="3" t="str">
        <f aca="false">IFERROR(INDEX(Calc!$O$2:$O$1001,MATCH(ROW()-1,Calc!$X$2:$X$1001,0)),"")</f>
        <v/>
      </c>
      <c r="E848" s="3" t="str">
        <f aca="false">IFERROR(INDEX(Calc!$P$2:$P$1001,MATCH(ROW()-1,Calc!$X$2:$X$1001,0)),"")</f>
        <v/>
      </c>
      <c r="F848" s="3" t="str">
        <f aca="false">IF(G848="","",E848-D848)</f>
        <v/>
      </c>
      <c r="G848" s="0" t="str">
        <f aca="false">IFERROR(INDEX(Calc!$S$2:$S$1001,MATCH(ROW()-1,Calc!$X$2:$X$1001,0)),"")</f>
        <v/>
      </c>
    </row>
    <row r="849" customFormat="false" ht="15" hidden="false" customHeight="false" outlineLevel="0" collapsed="false">
      <c r="A849" s="0" t="str">
        <f aca="false">IFERROR(INDEX(Calc!$L$2:$L$1001,MATCH(ROW()-1,Calc!$X$2:$X$1001,0)),"")</f>
        <v/>
      </c>
      <c r="B849" s="0" t="str">
        <f aca="false">IFERROR(INDEX(Calc!$M$2:$M$1001,MATCH(ROW()-1,Calc!$X$2:$X$1001,0)),"")</f>
        <v/>
      </c>
      <c r="C849" s="0" t="str">
        <f aca="false">IFERROR(INDEX(Calc!$N$2:$N$1001,MATCH(ROW()-1,Calc!$X$2:$X$1001,0)),"")</f>
        <v/>
      </c>
      <c r="D849" s="3" t="str">
        <f aca="false">IFERROR(INDEX(Calc!$O$2:$O$1001,MATCH(ROW()-1,Calc!$X$2:$X$1001,0)),"")</f>
        <v/>
      </c>
      <c r="E849" s="3" t="str">
        <f aca="false">IFERROR(INDEX(Calc!$P$2:$P$1001,MATCH(ROW()-1,Calc!$X$2:$X$1001,0)),"")</f>
        <v/>
      </c>
      <c r="F849" s="3" t="str">
        <f aca="false">IF(G849="","",E849-D849)</f>
        <v/>
      </c>
      <c r="G849" s="0" t="str">
        <f aca="false">IFERROR(INDEX(Calc!$S$2:$S$1001,MATCH(ROW()-1,Calc!$X$2:$X$1001,0)),"")</f>
        <v/>
      </c>
    </row>
    <row r="850" customFormat="false" ht="15" hidden="false" customHeight="false" outlineLevel="0" collapsed="false">
      <c r="A850" s="0" t="str">
        <f aca="false">IFERROR(INDEX(Calc!$L$2:$L$1001,MATCH(ROW()-1,Calc!$X$2:$X$1001,0)),"")</f>
        <v/>
      </c>
      <c r="B850" s="0" t="str">
        <f aca="false">IFERROR(INDEX(Calc!$M$2:$M$1001,MATCH(ROW()-1,Calc!$X$2:$X$1001,0)),"")</f>
        <v/>
      </c>
      <c r="C850" s="0" t="str">
        <f aca="false">IFERROR(INDEX(Calc!$N$2:$N$1001,MATCH(ROW()-1,Calc!$X$2:$X$1001,0)),"")</f>
        <v/>
      </c>
      <c r="D850" s="3" t="str">
        <f aca="false">IFERROR(INDEX(Calc!$O$2:$O$1001,MATCH(ROW()-1,Calc!$X$2:$X$1001,0)),"")</f>
        <v/>
      </c>
      <c r="E850" s="3" t="str">
        <f aca="false">IFERROR(INDEX(Calc!$P$2:$P$1001,MATCH(ROW()-1,Calc!$X$2:$X$1001,0)),"")</f>
        <v/>
      </c>
      <c r="F850" s="3" t="str">
        <f aca="false">IF(G850="","",E850-D850)</f>
        <v/>
      </c>
      <c r="G850" s="0" t="str">
        <f aca="false">IFERROR(INDEX(Calc!$S$2:$S$1001,MATCH(ROW()-1,Calc!$X$2:$X$1001,0)),"")</f>
        <v/>
      </c>
    </row>
    <row r="851" customFormat="false" ht="15" hidden="false" customHeight="false" outlineLevel="0" collapsed="false">
      <c r="A851" s="0" t="str">
        <f aca="false">IFERROR(INDEX(Calc!$L$2:$L$1001,MATCH(ROW()-1,Calc!$X$2:$X$1001,0)),"")</f>
        <v/>
      </c>
      <c r="B851" s="0" t="str">
        <f aca="false">IFERROR(INDEX(Calc!$M$2:$M$1001,MATCH(ROW()-1,Calc!$X$2:$X$1001,0)),"")</f>
        <v/>
      </c>
      <c r="C851" s="0" t="str">
        <f aca="false">IFERROR(INDEX(Calc!$N$2:$N$1001,MATCH(ROW()-1,Calc!$X$2:$X$1001,0)),"")</f>
        <v/>
      </c>
      <c r="D851" s="3" t="str">
        <f aca="false">IFERROR(INDEX(Calc!$O$2:$O$1001,MATCH(ROW()-1,Calc!$X$2:$X$1001,0)),"")</f>
        <v/>
      </c>
      <c r="E851" s="3" t="str">
        <f aca="false">IFERROR(INDEX(Calc!$P$2:$P$1001,MATCH(ROW()-1,Calc!$X$2:$X$1001,0)),"")</f>
        <v/>
      </c>
      <c r="F851" s="3" t="str">
        <f aca="false">IF(G851="","",E851-D851)</f>
        <v/>
      </c>
      <c r="G851" s="0" t="str">
        <f aca="false">IFERROR(INDEX(Calc!$S$2:$S$1001,MATCH(ROW()-1,Calc!$X$2:$X$1001,0)),"")</f>
        <v/>
      </c>
    </row>
    <row r="852" customFormat="false" ht="15" hidden="false" customHeight="false" outlineLevel="0" collapsed="false">
      <c r="A852" s="0" t="str">
        <f aca="false">IFERROR(INDEX(Calc!$L$2:$L$1001,MATCH(ROW()-1,Calc!$X$2:$X$1001,0)),"")</f>
        <v/>
      </c>
      <c r="B852" s="0" t="str">
        <f aca="false">IFERROR(INDEX(Calc!$M$2:$M$1001,MATCH(ROW()-1,Calc!$X$2:$X$1001,0)),"")</f>
        <v/>
      </c>
      <c r="C852" s="0" t="str">
        <f aca="false">IFERROR(INDEX(Calc!$N$2:$N$1001,MATCH(ROW()-1,Calc!$X$2:$X$1001,0)),"")</f>
        <v/>
      </c>
      <c r="D852" s="3" t="str">
        <f aca="false">IFERROR(INDEX(Calc!$O$2:$O$1001,MATCH(ROW()-1,Calc!$X$2:$X$1001,0)),"")</f>
        <v/>
      </c>
      <c r="E852" s="3" t="str">
        <f aca="false">IFERROR(INDEX(Calc!$P$2:$P$1001,MATCH(ROW()-1,Calc!$X$2:$X$1001,0)),"")</f>
        <v/>
      </c>
      <c r="F852" s="3" t="str">
        <f aca="false">IF(G852="","",E852-D852)</f>
        <v/>
      </c>
      <c r="G852" s="0" t="str">
        <f aca="false">IFERROR(INDEX(Calc!$S$2:$S$1001,MATCH(ROW()-1,Calc!$X$2:$X$1001,0)),"")</f>
        <v/>
      </c>
    </row>
    <row r="853" customFormat="false" ht="15" hidden="false" customHeight="false" outlineLevel="0" collapsed="false">
      <c r="A853" s="0" t="str">
        <f aca="false">IFERROR(INDEX(Calc!$L$2:$L$1001,MATCH(ROW()-1,Calc!$X$2:$X$1001,0)),"")</f>
        <v/>
      </c>
      <c r="B853" s="0" t="str">
        <f aca="false">IFERROR(INDEX(Calc!$M$2:$M$1001,MATCH(ROW()-1,Calc!$X$2:$X$1001,0)),"")</f>
        <v/>
      </c>
      <c r="C853" s="0" t="str">
        <f aca="false">IFERROR(INDEX(Calc!$N$2:$N$1001,MATCH(ROW()-1,Calc!$X$2:$X$1001,0)),"")</f>
        <v/>
      </c>
      <c r="D853" s="3" t="str">
        <f aca="false">IFERROR(INDEX(Calc!$O$2:$O$1001,MATCH(ROW()-1,Calc!$X$2:$X$1001,0)),"")</f>
        <v/>
      </c>
      <c r="E853" s="3" t="str">
        <f aca="false">IFERROR(INDEX(Calc!$P$2:$P$1001,MATCH(ROW()-1,Calc!$X$2:$X$1001,0)),"")</f>
        <v/>
      </c>
      <c r="F853" s="3" t="str">
        <f aca="false">IF(G853="","",E853-D853)</f>
        <v/>
      </c>
      <c r="G853" s="0" t="str">
        <f aca="false">IFERROR(INDEX(Calc!$S$2:$S$1001,MATCH(ROW()-1,Calc!$X$2:$X$1001,0)),"")</f>
        <v/>
      </c>
    </row>
    <row r="854" customFormat="false" ht="15" hidden="false" customHeight="false" outlineLevel="0" collapsed="false">
      <c r="A854" s="0" t="str">
        <f aca="false">IFERROR(INDEX(Calc!$L$2:$L$1001,MATCH(ROW()-1,Calc!$X$2:$X$1001,0)),"")</f>
        <v/>
      </c>
      <c r="B854" s="0" t="str">
        <f aca="false">IFERROR(INDEX(Calc!$M$2:$M$1001,MATCH(ROW()-1,Calc!$X$2:$X$1001,0)),"")</f>
        <v/>
      </c>
      <c r="C854" s="0" t="str">
        <f aca="false">IFERROR(INDEX(Calc!$N$2:$N$1001,MATCH(ROW()-1,Calc!$X$2:$X$1001,0)),"")</f>
        <v/>
      </c>
      <c r="D854" s="3" t="str">
        <f aca="false">IFERROR(INDEX(Calc!$O$2:$O$1001,MATCH(ROW()-1,Calc!$X$2:$X$1001,0)),"")</f>
        <v/>
      </c>
      <c r="E854" s="3" t="str">
        <f aca="false">IFERROR(INDEX(Calc!$P$2:$P$1001,MATCH(ROW()-1,Calc!$X$2:$X$1001,0)),"")</f>
        <v/>
      </c>
      <c r="F854" s="3" t="str">
        <f aca="false">IF(G854="","",E854-D854)</f>
        <v/>
      </c>
      <c r="G854" s="0" t="str">
        <f aca="false">IFERROR(INDEX(Calc!$S$2:$S$1001,MATCH(ROW()-1,Calc!$X$2:$X$1001,0)),"")</f>
        <v/>
      </c>
    </row>
    <row r="855" customFormat="false" ht="15" hidden="false" customHeight="false" outlineLevel="0" collapsed="false">
      <c r="A855" s="0" t="str">
        <f aca="false">IFERROR(INDEX(Calc!$L$2:$L$1001,MATCH(ROW()-1,Calc!$X$2:$X$1001,0)),"")</f>
        <v/>
      </c>
      <c r="B855" s="0" t="str">
        <f aca="false">IFERROR(INDEX(Calc!$M$2:$M$1001,MATCH(ROW()-1,Calc!$X$2:$X$1001,0)),"")</f>
        <v/>
      </c>
      <c r="C855" s="0" t="str">
        <f aca="false">IFERROR(INDEX(Calc!$N$2:$N$1001,MATCH(ROW()-1,Calc!$X$2:$X$1001,0)),"")</f>
        <v/>
      </c>
      <c r="D855" s="3" t="str">
        <f aca="false">IFERROR(INDEX(Calc!$O$2:$O$1001,MATCH(ROW()-1,Calc!$X$2:$X$1001,0)),"")</f>
        <v/>
      </c>
      <c r="E855" s="3" t="str">
        <f aca="false">IFERROR(INDEX(Calc!$P$2:$P$1001,MATCH(ROW()-1,Calc!$X$2:$X$1001,0)),"")</f>
        <v/>
      </c>
      <c r="F855" s="3" t="str">
        <f aca="false">IF(G855="","",E855-D855)</f>
        <v/>
      </c>
      <c r="G855" s="0" t="str">
        <f aca="false">IFERROR(INDEX(Calc!$S$2:$S$1001,MATCH(ROW()-1,Calc!$X$2:$X$1001,0)),"")</f>
        <v/>
      </c>
    </row>
    <row r="856" customFormat="false" ht="15" hidden="false" customHeight="false" outlineLevel="0" collapsed="false">
      <c r="A856" s="0" t="str">
        <f aca="false">IFERROR(INDEX(Calc!$L$2:$L$1001,MATCH(ROW()-1,Calc!$X$2:$X$1001,0)),"")</f>
        <v/>
      </c>
      <c r="B856" s="0" t="str">
        <f aca="false">IFERROR(INDEX(Calc!$M$2:$M$1001,MATCH(ROW()-1,Calc!$X$2:$X$1001,0)),"")</f>
        <v/>
      </c>
      <c r="C856" s="0" t="str">
        <f aca="false">IFERROR(INDEX(Calc!$N$2:$N$1001,MATCH(ROW()-1,Calc!$X$2:$X$1001,0)),"")</f>
        <v/>
      </c>
      <c r="D856" s="3" t="str">
        <f aca="false">IFERROR(INDEX(Calc!$O$2:$O$1001,MATCH(ROW()-1,Calc!$X$2:$X$1001,0)),"")</f>
        <v/>
      </c>
      <c r="E856" s="3" t="str">
        <f aca="false">IFERROR(INDEX(Calc!$P$2:$P$1001,MATCH(ROW()-1,Calc!$X$2:$X$1001,0)),"")</f>
        <v/>
      </c>
      <c r="F856" s="3" t="str">
        <f aca="false">IF(G856="","",E856-D856)</f>
        <v/>
      </c>
      <c r="G856" s="0" t="str">
        <f aca="false">IFERROR(INDEX(Calc!$S$2:$S$1001,MATCH(ROW()-1,Calc!$X$2:$X$1001,0)),"")</f>
        <v/>
      </c>
    </row>
    <row r="857" customFormat="false" ht="15" hidden="false" customHeight="false" outlineLevel="0" collapsed="false">
      <c r="A857" s="0" t="str">
        <f aca="false">IFERROR(INDEX(Calc!$L$2:$L$1001,MATCH(ROW()-1,Calc!$X$2:$X$1001,0)),"")</f>
        <v/>
      </c>
      <c r="B857" s="0" t="str">
        <f aca="false">IFERROR(INDEX(Calc!$M$2:$M$1001,MATCH(ROW()-1,Calc!$X$2:$X$1001,0)),"")</f>
        <v/>
      </c>
      <c r="C857" s="0" t="str">
        <f aca="false">IFERROR(INDEX(Calc!$N$2:$N$1001,MATCH(ROW()-1,Calc!$X$2:$X$1001,0)),"")</f>
        <v/>
      </c>
      <c r="D857" s="3" t="str">
        <f aca="false">IFERROR(INDEX(Calc!$O$2:$O$1001,MATCH(ROW()-1,Calc!$X$2:$X$1001,0)),"")</f>
        <v/>
      </c>
      <c r="E857" s="3" t="str">
        <f aca="false">IFERROR(INDEX(Calc!$P$2:$P$1001,MATCH(ROW()-1,Calc!$X$2:$X$1001,0)),"")</f>
        <v/>
      </c>
      <c r="F857" s="3" t="str">
        <f aca="false">IF(G857="","",E857-D857)</f>
        <v/>
      </c>
      <c r="G857" s="0" t="str">
        <f aca="false">IFERROR(INDEX(Calc!$S$2:$S$1001,MATCH(ROW()-1,Calc!$X$2:$X$1001,0)),"")</f>
        <v/>
      </c>
    </row>
    <row r="858" customFormat="false" ht="15" hidden="false" customHeight="false" outlineLevel="0" collapsed="false">
      <c r="A858" s="0" t="str">
        <f aca="false">IFERROR(INDEX(Calc!$L$2:$L$1001,MATCH(ROW()-1,Calc!$X$2:$X$1001,0)),"")</f>
        <v/>
      </c>
      <c r="B858" s="0" t="str">
        <f aca="false">IFERROR(INDEX(Calc!$M$2:$M$1001,MATCH(ROW()-1,Calc!$X$2:$X$1001,0)),"")</f>
        <v/>
      </c>
      <c r="C858" s="0" t="str">
        <f aca="false">IFERROR(INDEX(Calc!$N$2:$N$1001,MATCH(ROW()-1,Calc!$X$2:$X$1001,0)),"")</f>
        <v/>
      </c>
      <c r="D858" s="3" t="str">
        <f aca="false">IFERROR(INDEX(Calc!$O$2:$O$1001,MATCH(ROW()-1,Calc!$X$2:$X$1001,0)),"")</f>
        <v/>
      </c>
      <c r="E858" s="3" t="str">
        <f aca="false">IFERROR(INDEX(Calc!$P$2:$P$1001,MATCH(ROW()-1,Calc!$X$2:$X$1001,0)),"")</f>
        <v/>
      </c>
      <c r="F858" s="3" t="str">
        <f aca="false">IF(G858="","",E858-D858)</f>
        <v/>
      </c>
      <c r="G858" s="0" t="str">
        <f aca="false">IFERROR(INDEX(Calc!$S$2:$S$1001,MATCH(ROW()-1,Calc!$X$2:$X$1001,0)),"")</f>
        <v/>
      </c>
    </row>
    <row r="859" customFormat="false" ht="15" hidden="false" customHeight="false" outlineLevel="0" collapsed="false">
      <c r="A859" s="0" t="str">
        <f aca="false">IFERROR(INDEX(Calc!$L$2:$L$1001,MATCH(ROW()-1,Calc!$X$2:$X$1001,0)),"")</f>
        <v/>
      </c>
      <c r="B859" s="0" t="str">
        <f aca="false">IFERROR(INDEX(Calc!$M$2:$M$1001,MATCH(ROW()-1,Calc!$X$2:$X$1001,0)),"")</f>
        <v/>
      </c>
      <c r="C859" s="0" t="str">
        <f aca="false">IFERROR(INDEX(Calc!$N$2:$N$1001,MATCH(ROW()-1,Calc!$X$2:$X$1001,0)),"")</f>
        <v/>
      </c>
      <c r="D859" s="3" t="str">
        <f aca="false">IFERROR(INDEX(Calc!$O$2:$O$1001,MATCH(ROW()-1,Calc!$X$2:$X$1001,0)),"")</f>
        <v/>
      </c>
      <c r="E859" s="3" t="str">
        <f aca="false">IFERROR(INDEX(Calc!$P$2:$P$1001,MATCH(ROW()-1,Calc!$X$2:$X$1001,0)),"")</f>
        <v/>
      </c>
      <c r="F859" s="3" t="str">
        <f aca="false">IF(G859="","",E859-D859)</f>
        <v/>
      </c>
      <c r="G859" s="0" t="str">
        <f aca="false">IFERROR(INDEX(Calc!$S$2:$S$1001,MATCH(ROW()-1,Calc!$X$2:$X$1001,0)),"")</f>
        <v/>
      </c>
    </row>
    <row r="860" customFormat="false" ht="15" hidden="false" customHeight="false" outlineLevel="0" collapsed="false">
      <c r="A860" s="0" t="str">
        <f aca="false">IFERROR(INDEX(Calc!$L$2:$L$1001,MATCH(ROW()-1,Calc!$X$2:$X$1001,0)),"")</f>
        <v/>
      </c>
      <c r="B860" s="0" t="str">
        <f aca="false">IFERROR(INDEX(Calc!$M$2:$M$1001,MATCH(ROW()-1,Calc!$X$2:$X$1001,0)),"")</f>
        <v/>
      </c>
      <c r="C860" s="0" t="str">
        <f aca="false">IFERROR(INDEX(Calc!$N$2:$N$1001,MATCH(ROW()-1,Calc!$X$2:$X$1001,0)),"")</f>
        <v/>
      </c>
      <c r="D860" s="3" t="str">
        <f aca="false">IFERROR(INDEX(Calc!$O$2:$O$1001,MATCH(ROW()-1,Calc!$X$2:$X$1001,0)),"")</f>
        <v/>
      </c>
      <c r="E860" s="3" t="str">
        <f aca="false">IFERROR(INDEX(Calc!$P$2:$P$1001,MATCH(ROW()-1,Calc!$X$2:$X$1001,0)),"")</f>
        <v/>
      </c>
      <c r="F860" s="3" t="str">
        <f aca="false">IF(G860="","",E860-D860)</f>
        <v/>
      </c>
      <c r="G860" s="0" t="str">
        <f aca="false">IFERROR(INDEX(Calc!$S$2:$S$1001,MATCH(ROW()-1,Calc!$X$2:$X$1001,0)),"")</f>
        <v/>
      </c>
    </row>
    <row r="861" customFormat="false" ht="15" hidden="false" customHeight="false" outlineLevel="0" collapsed="false">
      <c r="A861" s="0" t="str">
        <f aca="false">IFERROR(INDEX(Calc!$L$2:$L$1001,MATCH(ROW()-1,Calc!$X$2:$X$1001,0)),"")</f>
        <v/>
      </c>
      <c r="B861" s="0" t="str">
        <f aca="false">IFERROR(INDEX(Calc!$M$2:$M$1001,MATCH(ROW()-1,Calc!$X$2:$X$1001,0)),"")</f>
        <v/>
      </c>
      <c r="C861" s="0" t="str">
        <f aca="false">IFERROR(INDEX(Calc!$N$2:$N$1001,MATCH(ROW()-1,Calc!$X$2:$X$1001,0)),"")</f>
        <v/>
      </c>
      <c r="D861" s="3" t="str">
        <f aca="false">IFERROR(INDEX(Calc!$O$2:$O$1001,MATCH(ROW()-1,Calc!$X$2:$X$1001,0)),"")</f>
        <v/>
      </c>
      <c r="E861" s="3" t="str">
        <f aca="false">IFERROR(INDEX(Calc!$P$2:$P$1001,MATCH(ROW()-1,Calc!$X$2:$X$1001,0)),"")</f>
        <v/>
      </c>
      <c r="F861" s="3" t="str">
        <f aca="false">IF(G861="","",E861-D861)</f>
        <v/>
      </c>
      <c r="G861" s="0" t="str">
        <f aca="false">IFERROR(INDEX(Calc!$S$2:$S$1001,MATCH(ROW()-1,Calc!$X$2:$X$1001,0)),"")</f>
        <v/>
      </c>
    </row>
    <row r="862" customFormat="false" ht="15" hidden="false" customHeight="false" outlineLevel="0" collapsed="false">
      <c r="A862" s="0" t="str">
        <f aca="false">IFERROR(INDEX(Calc!$L$2:$L$1001,MATCH(ROW()-1,Calc!$X$2:$X$1001,0)),"")</f>
        <v/>
      </c>
      <c r="B862" s="0" t="str">
        <f aca="false">IFERROR(INDEX(Calc!$M$2:$M$1001,MATCH(ROW()-1,Calc!$X$2:$X$1001,0)),"")</f>
        <v/>
      </c>
      <c r="C862" s="0" t="str">
        <f aca="false">IFERROR(INDEX(Calc!$N$2:$N$1001,MATCH(ROW()-1,Calc!$X$2:$X$1001,0)),"")</f>
        <v/>
      </c>
      <c r="D862" s="3" t="str">
        <f aca="false">IFERROR(INDEX(Calc!$O$2:$O$1001,MATCH(ROW()-1,Calc!$X$2:$X$1001,0)),"")</f>
        <v/>
      </c>
      <c r="E862" s="3" t="str">
        <f aca="false">IFERROR(INDEX(Calc!$P$2:$P$1001,MATCH(ROW()-1,Calc!$X$2:$X$1001,0)),"")</f>
        <v/>
      </c>
      <c r="F862" s="3" t="str">
        <f aca="false">IF(G862="","",E862-D862)</f>
        <v/>
      </c>
      <c r="G862" s="0" t="str">
        <f aca="false">IFERROR(INDEX(Calc!$S$2:$S$1001,MATCH(ROW()-1,Calc!$X$2:$X$1001,0)),"")</f>
        <v/>
      </c>
    </row>
    <row r="863" customFormat="false" ht="15" hidden="false" customHeight="false" outlineLevel="0" collapsed="false">
      <c r="A863" s="0" t="str">
        <f aca="false">IFERROR(INDEX(Calc!$L$2:$L$1001,MATCH(ROW()-1,Calc!$X$2:$X$1001,0)),"")</f>
        <v/>
      </c>
      <c r="B863" s="0" t="str">
        <f aca="false">IFERROR(INDEX(Calc!$M$2:$M$1001,MATCH(ROW()-1,Calc!$X$2:$X$1001,0)),"")</f>
        <v/>
      </c>
      <c r="C863" s="0" t="str">
        <f aca="false">IFERROR(INDEX(Calc!$N$2:$N$1001,MATCH(ROW()-1,Calc!$X$2:$X$1001,0)),"")</f>
        <v/>
      </c>
      <c r="D863" s="3" t="str">
        <f aca="false">IFERROR(INDEX(Calc!$O$2:$O$1001,MATCH(ROW()-1,Calc!$X$2:$X$1001,0)),"")</f>
        <v/>
      </c>
      <c r="E863" s="3" t="str">
        <f aca="false">IFERROR(INDEX(Calc!$P$2:$P$1001,MATCH(ROW()-1,Calc!$X$2:$X$1001,0)),"")</f>
        <v/>
      </c>
      <c r="F863" s="3" t="str">
        <f aca="false">IF(G863="","",E863-D863)</f>
        <v/>
      </c>
      <c r="G863" s="0" t="str">
        <f aca="false">IFERROR(INDEX(Calc!$S$2:$S$1001,MATCH(ROW()-1,Calc!$X$2:$X$1001,0)),"")</f>
        <v/>
      </c>
    </row>
    <row r="864" customFormat="false" ht="15" hidden="false" customHeight="false" outlineLevel="0" collapsed="false">
      <c r="A864" s="0" t="str">
        <f aca="false">IFERROR(INDEX(Calc!$L$2:$L$1001,MATCH(ROW()-1,Calc!$X$2:$X$1001,0)),"")</f>
        <v/>
      </c>
      <c r="B864" s="0" t="str">
        <f aca="false">IFERROR(INDEX(Calc!$M$2:$M$1001,MATCH(ROW()-1,Calc!$X$2:$X$1001,0)),"")</f>
        <v/>
      </c>
      <c r="C864" s="0" t="str">
        <f aca="false">IFERROR(INDEX(Calc!$N$2:$N$1001,MATCH(ROW()-1,Calc!$X$2:$X$1001,0)),"")</f>
        <v/>
      </c>
      <c r="D864" s="3" t="str">
        <f aca="false">IFERROR(INDEX(Calc!$O$2:$O$1001,MATCH(ROW()-1,Calc!$X$2:$X$1001,0)),"")</f>
        <v/>
      </c>
      <c r="E864" s="3" t="str">
        <f aca="false">IFERROR(INDEX(Calc!$P$2:$P$1001,MATCH(ROW()-1,Calc!$X$2:$X$1001,0)),"")</f>
        <v/>
      </c>
      <c r="F864" s="3" t="str">
        <f aca="false">IF(G864="","",E864-D864)</f>
        <v/>
      </c>
      <c r="G864" s="0" t="str">
        <f aca="false">IFERROR(INDEX(Calc!$S$2:$S$1001,MATCH(ROW()-1,Calc!$X$2:$X$1001,0)),"")</f>
        <v/>
      </c>
    </row>
    <row r="865" customFormat="false" ht="15" hidden="false" customHeight="false" outlineLevel="0" collapsed="false">
      <c r="A865" s="0" t="str">
        <f aca="false">IFERROR(INDEX(Calc!$L$2:$L$1001,MATCH(ROW()-1,Calc!$X$2:$X$1001,0)),"")</f>
        <v/>
      </c>
      <c r="B865" s="0" t="str">
        <f aca="false">IFERROR(INDEX(Calc!$M$2:$M$1001,MATCH(ROW()-1,Calc!$X$2:$X$1001,0)),"")</f>
        <v/>
      </c>
      <c r="C865" s="0" t="str">
        <f aca="false">IFERROR(INDEX(Calc!$N$2:$N$1001,MATCH(ROW()-1,Calc!$X$2:$X$1001,0)),"")</f>
        <v/>
      </c>
      <c r="D865" s="3" t="str">
        <f aca="false">IFERROR(INDEX(Calc!$O$2:$O$1001,MATCH(ROW()-1,Calc!$X$2:$X$1001,0)),"")</f>
        <v/>
      </c>
      <c r="E865" s="3" t="str">
        <f aca="false">IFERROR(INDEX(Calc!$P$2:$P$1001,MATCH(ROW()-1,Calc!$X$2:$X$1001,0)),"")</f>
        <v/>
      </c>
      <c r="F865" s="3" t="str">
        <f aca="false">IF(G865="","",E865-D865)</f>
        <v/>
      </c>
      <c r="G865" s="0" t="str">
        <f aca="false">IFERROR(INDEX(Calc!$S$2:$S$1001,MATCH(ROW()-1,Calc!$X$2:$X$1001,0)),"")</f>
        <v/>
      </c>
    </row>
    <row r="866" customFormat="false" ht="15" hidden="false" customHeight="false" outlineLevel="0" collapsed="false">
      <c r="A866" s="0" t="str">
        <f aca="false">IFERROR(INDEX(Calc!$L$2:$L$1001,MATCH(ROW()-1,Calc!$X$2:$X$1001,0)),"")</f>
        <v/>
      </c>
      <c r="B866" s="0" t="str">
        <f aca="false">IFERROR(INDEX(Calc!$M$2:$M$1001,MATCH(ROW()-1,Calc!$X$2:$X$1001,0)),"")</f>
        <v/>
      </c>
      <c r="C866" s="0" t="str">
        <f aca="false">IFERROR(INDEX(Calc!$N$2:$N$1001,MATCH(ROW()-1,Calc!$X$2:$X$1001,0)),"")</f>
        <v/>
      </c>
      <c r="D866" s="3" t="str">
        <f aca="false">IFERROR(INDEX(Calc!$O$2:$O$1001,MATCH(ROW()-1,Calc!$X$2:$X$1001,0)),"")</f>
        <v/>
      </c>
      <c r="E866" s="3" t="str">
        <f aca="false">IFERROR(INDEX(Calc!$P$2:$P$1001,MATCH(ROW()-1,Calc!$X$2:$X$1001,0)),"")</f>
        <v/>
      </c>
      <c r="F866" s="3" t="str">
        <f aca="false">IF(G866="","",E866-D866)</f>
        <v/>
      </c>
      <c r="G866" s="0" t="str">
        <f aca="false">IFERROR(INDEX(Calc!$S$2:$S$1001,MATCH(ROW()-1,Calc!$X$2:$X$1001,0)),"")</f>
        <v/>
      </c>
    </row>
    <row r="867" customFormat="false" ht="15" hidden="false" customHeight="false" outlineLevel="0" collapsed="false">
      <c r="A867" s="0" t="str">
        <f aca="false">IFERROR(INDEX(Calc!$L$2:$L$1001,MATCH(ROW()-1,Calc!$X$2:$X$1001,0)),"")</f>
        <v/>
      </c>
      <c r="B867" s="0" t="str">
        <f aca="false">IFERROR(INDEX(Calc!$M$2:$M$1001,MATCH(ROW()-1,Calc!$X$2:$X$1001,0)),"")</f>
        <v/>
      </c>
      <c r="C867" s="0" t="str">
        <f aca="false">IFERROR(INDEX(Calc!$N$2:$N$1001,MATCH(ROW()-1,Calc!$X$2:$X$1001,0)),"")</f>
        <v/>
      </c>
      <c r="D867" s="3" t="str">
        <f aca="false">IFERROR(INDEX(Calc!$O$2:$O$1001,MATCH(ROW()-1,Calc!$X$2:$X$1001,0)),"")</f>
        <v/>
      </c>
      <c r="E867" s="3" t="str">
        <f aca="false">IFERROR(INDEX(Calc!$P$2:$P$1001,MATCH(ROW()-1,Calc!$X$2:$X$1001,0)),"")</f>
        <v/>
      </c>
      <c r="F867" s="3" t="str">
        <f aca="false">IF(G867="","",E867-D867)</f>
        <v/>
      </c>
      <c r="G867" s="0" t="str">
        <f aca="false">IFERROR(INDEX(Calc!$S$2:$S$1001,MATCH(ROW()-1,Calc!$X$2:$X$1001,0)),"")</f>
        <v/>
      </c>
    </row>
    <row r="868" customFormat="false" ht="15" hidden="false" customHeight="false" outlineLevel="0" collapsed="false">
      <c r="A868" s="0" t="str">
        <f aca="false">IFERROR(INDEX(Calc!$L$2:$L$1001,MATCH(ROW()-1,Calc!$X$2:$X$1001,0)),"")</f>
        <v/>
      </c>
      <c r="B868" s="0" t="str">
        <f aca="false">IFERROR(INDEX(Calc!$M$2:$M$1001,MATCH(ROW()-1,Calc!$X$2:$X$1001,0)),"")</f>
        <v/>
      </c>
      <c r="C868" s="0" t="str">
        <f aca="false">IFERROR(INDEX(Calc!$N$2:$N$1001,MATCH(ROW()-1,Calc!$X$2:$X$1001,0)),"")</f>
        <v/>
      </c>
      <c r="D868" s="3" t="str">
        <f aca="false">IFERROR(INDEX(Calc!$O$2:$O$1001,MATCH(ROW()-1,Calc!$X$2:$X$1001,0)),"")</f>
        <v/>
      </c>
      <c r="E868" s="3" t="str">
        <f aca="false">IFERROR(INDEX(Calc!$P$2:$P$1001,MATCH(ROW()-1,Calc!$X$2:$X$1001,0)),"")</f>
        <v/>
      </c>
      <c r="F868" s="3" t="str">
        <f aca="false">IF(G868="","",E868-D868)</f>
        <v/>
      </c>
      <c r="G868" s="0" t="str">
        <f aca="false">IFERROR(INDEX(Calc!$S$2:$S$1001,MATCH(ROW()-1,Calc!$X$2:$X$1001,0)),"")</f>
        <v/>
      </c>
    </row>
    <row r="869" customFormat="false" ht="15" hidden="false" customHeight="false" outlineLevel="0" collapsed="false">
      <c r="A869" s="0" t="str">
        <f aca="false">IFERROR(INDEX(Calc!$L$2:$L$1001,MATCH(ROW()-1,Calc!$X$2:$X$1001,0)),"")</f>
        <v/>
      </c>
      <c r="B869" s="0" t="str">
        <f aca="false">IFERROR(INDEX(Calc!$M$2:$M$1001,MATCH(ROW()-1,Calc!$X$2:$X$1001,0)),"")</f>
        <v/>
      </c>
      <c r="C869" s="0" t="str">
        <f aca="false">IFERROR(INDEX(Calc!$N$2:$N$1001,MATCH(ROW()-1,Calc!$X$2:$X$1001,0)),"")</f>
        <v/>
      </c>
      <c r="D869" s="3" t="str">
        <f aca="false">IFERROR(INDEX(Calc!$O$2:$O$1001,MATCH(ROW()-1,Calc!$X$2:$X$1001,0)),"")</f>
        <v/>
      </c>
      <c r="E869" s="3" t="str">
        <f aca="false">IFERROR(INDEX(Calc!$P$2:$P$1001,MATCH(ROW()-1,Calc!$X$2:$X$1001,0)),"")</f>
        <v/>
      </c>
      <c r="F869" s="3" t="str">
        <f aca="false">IF(G869="","",E869-D869)</f>
        <v/>
      </c>
      <c r="G869" s="0" t="str">
        <f aca="false">IFERROR(INDEX(Calc!$S$2:$S$1001,MATCH(ROW()-1,Calc!$X$2:$X$1001,0)),"")</f>
        <v/>
      </c>
    </row>
    <row r="870" customFormat="false" ht="15" hidden="false" customHeight="false" outlineLevel="0" collapsed="false">
      <c r="A870" s="0" t="str">
        <f aca="false">IFERROR(INDEX(Calc!$L$2:$L$1001,MATCH(ROW()-1,Calc!$X$2:$X$1001,0)),"")</f>
        <v/>
      </c>
      <c r="B870" s="0" t="str">
        <f aca="false">IFERROR(INDEX(Calc!$M$2:$M$1001,MATCH(ROW()-1,Calc!$X$2:$X$1001,0)),"")</f>
        <v/>
      </c>
      <c r="C870" s="0" t="str">
        <f aca="false">IFERROR(INDEX(Calc!$N$2:$N$1001,MATCH(ROW()-1,Calc!$X$2:$X$1001,0)),"")</f>
        <v/>
      </c>
      <c r="D870" s="3" t="str">
        <f aca="false">IFERROR(INDEX(Calc!$O$2:$O$1001,MATCH(ROW()-1,Calc!$X$2:$X$1001,0)),"")</f>
        <v/>
      </c>
      <c r="E870" s="3" t="str">
        <f aca="false">IFERROR(INDEX(Calc!$P$2:$P$1001,MATCH(ROW()-1,Calc!$X$2:$X$1001,0)),"")</f>
        <v/>
      </c>
      <c r="F870" s="3" t="str">
        <f aca="false">IF(G870="","",E870-D870)</f>
        <v/>
      </c>
      <c r="G870" s="0" t="str">
        <f aca="false">IFERROR(INDEX(Calc!$S$2:$S$1001,MATCH(ROW()-1,Calc!$X$2:$X$1001,0)),"")</f>
        <v/>
      </c>
    </row>
    <row r="871" customFormat="false" ht="15" hidden="false" customHeight="false" outlineLevel="0" collapsed="false">
      <c r="A871" s="0" t="str">
        <f aca="false">IFERROR(INDEX(Calc!$L$2:$L$1001,MATCH(ROW()-1,Calc!$X$2:$X$1001,0)),"")</f>
        <v/>
      </c>
      <c r="B871" s="0" t="str">
        <f aca="false">IFERROR(INDEX(Calc!$M$2:$M$1001,MATCH(ROW()-1,Calc!$X$2:$X$1001,0)),"")</f>
        <v/>
      </c>
      <c r="C871" s="0" t="str">
        <f aca="false">IFERROR(INDEX(Calc!$N$2:$N$1001,MATCH(ROW()-1,Calc!$X$2:$X$1001,0)),"")</f>
        <v/>
      </c>
      <c r="D871" s="3" t="str">
        <f aca="false">IFERROR(INDEX(Calc!$O$2:$O$1001,MATCH(ROW()-1,Calc!$X$2:$X$1001,0)),"")</f>
        <v/>
      </c>
      <c r="E871" s="3" t="str">
        <f aca="false">IFERROR(INDEX(Calc!$P$2:$P$1001,MATCH(ROW()-1,Calc!$X$2:$X$1001,0)),"")</f>
        <v/>
      </c>
      <c r="F871" s="3" t="str">
        <f aca="false">IF(G871="","",E871-D871)</f>
        <v/>
      </c>
      <c r="G871" s="0" t="str">
        <f aca="false">IFERROR(INDEX(Calc!$S$2:$S$1001,MATCH(ROW()-1,Calc!$X$2:$X$1001,0)),"")</f>
        <v/>
      </c>
    </row>
    <row r="872" customFormat="false" ht="15" hidden="false" customHeight="false" outlineLevel="0" collapsed="false">
      <c r="A872" s="0" t="str">
        <f aca="false">IFERROR(INDEX(Calc!$L$2:$L$1001,MATCH(ROW()-1,Calc!$X$2:$X$1001,0)),"")</f>
        <v/>
      </c>
      <c r="B872" s="0" t="str">
        <f aca="false">IFERROR(INDEX(Calc!$M$2:$M$1001,MATCH(ROW()-1,Calc!$X$2:$X$1001,0)),"")</f>
        <v/>
      </c>
      <c r="C872" s="0" t="str">
        <f aca="false">IFERROR(INDEX(Calc!$N$2:$N$1001,MATCH(ROW()-1,Calc!$X$2:$X$1001,0)),"")</f>
        <v/>
      </c>
      <c r="D872" s="3" t="str">
        <f aca="false">IFERROR(INDEX(Calc!$O$2:$O$1001,MATCH(ROW()-1,Calc!$X$2:$X$1001,0)),"")</f>
        <v/>
      </c>
      <c r="E872" s="3" t="str">
        <f aca="false">IFERROR(INDEX(Calc!$P$2:$P$1001,MATCH(ROW()-1,Calc!$X$2:$X$1001,0)),"")</f>
        <v/>
      </c>
      <c r="F872" s="3" t="str">
        <f aca="false">IF(G872="","",E872-D872)</f>
        <v/>
      </c>
      <c r="G872" s="0" t="str">
        <f aca="false">IFERROR(INDEX(Calc!$S$2:$S$1001,MATCH(ROW()-1,Calc!$X$2:$X$1001,0)),"")</f>
        <v/>
      </c>
    </row>
    <row r="873" customFormat="false" ht="15" hidden="false" customHeight="false" outlineLevel="0" collapsed="false">
      <c r="A873" s="0" t="str">
        <f aca="false">IFERROR(INDEX(Calc!$L$2:$L$1001,MATCH(ROW()-1,Calc!$X$2:$X$1001,0)),"")</f>
        <v/>
      </c>
      <c r="B873" s="0" t="str">
        <f aca="false">IFERROR(INDEX(Calc!$M$2:$M$1001,MATCH(ROW()-1,Calc!$X$2:$X$1001,0)),"")</f>
        <v/>
      </c>
      <c r="C873" s="0" t="str">
        <f aca="false">IFERROR(INDEX(Calc!$N$2:$N$1001,MATCH(ROW()-1,Calc!$X$2:$X$1001,0)),"")</f>
        <v/>
      </c>
      <c r="D873" s="3" t="str">
        <f aca="false">IFERROR(INDEX(Calc!$O$2:$O$1001,MATCH(ROW()-1,Calc!$X$2:$X$1001,0)),"")</f>
        <v/>
      </c>
      <c r="E873" s="3" t="str">
        <f aca="false">IFERROR(INDEX(Calc!$P$2:$P$1001,MATCH(ROW()-1,Calc!$X$2:$X$1001,0)),"")</f>
        <v/>
      </c>
      <c r="F873" s="3" t="str">
        <f aca="false">IF(G873="","",E873-D873)</f>
        <v/>
      </c>
      <c r="G873" s="0" t="str">
        <f aca="false">IFERROR(INDEX(Calc!$S$2:$S$1001,MATCH(ROW()-1,Calc!$X$2:$X$1001,0)),"")</f>
        <v/>
      </c>
    </row>
    <row r="874" customFormat="false" ht="15" hidden="false" customHeight="false" outlineLevel="0" collapsed="false">
      <c r="A874" s="0" t="str">
        <f aca="false">IFERROR(INDEX(Calc!$L$2:$L$1001,MATCH(ROW()-1,Calc!$X$2:$X$1001,0)),"")</f>
        <v/>
      </c>
      <c r="B874" s="0" t="str">
        <f aca="false">IFERROR(INDEX(Calc!$M$2:$M$1001,MATCH(ROW()-1,Calc!$X$2:$X$1001,0)),"")</f>
        <v/>
      </c>
      <c r="C874" s="0" t="str">
        <f aca="false">IFERROR(INDEX(Calc!$N$2:$N$1001,MATCH(ROW()-1,Calc!$X$2:$X$1001,0)),"")</f>
        <v/>
      </c>
      <c r="D874" s="3" t="str">
        <f aca="false">IFERROR(INDEX(Calc!$O$2:$O$1001,MATCH(ROW()-1,Calc!$X$2:$X$1001,0)),"")</f>
        <v/>
      </c>
      <c r="E874" s="3" t="str">
        <f aca="false">IFERROR(INDEX(Calc!$P$2:$P$1001,MATCH(ROW()-1,Calc!$X$2:$X$1001,0)),"")</f>
        <v/>
      </c>
      <c r="F874" s="3" t="str">
        <f aca="false">IF(G874="","",E874-D874)</f>
        <v/>
      </c>
      <c r="G874" s="0" t="str">
        <f aca="false">IFERROR(INDEX(Calc!$S$2:$S$1001,MATCH(ROW()-1,Calc!$X$2:$X$1001,0)),"")</f>
        <v/>
      </c>
    </row>
    <row r="875" customFormat="false" ht="15" hidden="false" customHeight="false" outlineLevel="0" collapsed="false">
      <c r="A875" s="0" t="str">
        <f aca="false">IFERROR(INDEX(Calc!$L$2:$L$1001,MATCH(ROW()-1,Calc!$X$2:$X$1001,0)),"")</f>
        <v/>
      </c>
      <c r="B875" s="0" t="str">
        <f aca="false">IFERROR(INDEX(Calc!$M$2:$M$1001,MATCH(ROW()-1,Calc!$X$2:$X$1001,0)),"")</f>
        <v/>
      </c>
      <c r="C875" s="0" t="str">
        <f aca="false">IFERROR(INDEX(Calc!$N$2:$N$1001,MATCH(ROW()-1,Calc!$X$2:$X$1001,0)),"")</f>
        <v/>
      </c>
      <c r="D875" s="3" t="str">
        <f aca="false">IFERROR(INDEX(Calc!$O$2:$O$1001,MATCH(ROW()-1,Calc!$X$2:$X$1001,0)),"")</f>
        <v/>
      </c>
      <c r="E875" s="3" t="str">
        <f aca="false">IFERROR(INDEX(Calc!$P$2:$P$1001,MATCH(ROW()-1,Calc!$X$2:$X$1001,0)),"")</f>
        <v/>
      </c>
      <c r="F875" s="3" t="str">
        <f aca="false">IF(G875="","",E875-D875)</f>
        <v/>
      </c>
      <c r="G875" s="0" t="str">
        <f aca="false">IFERROR(INDEX(Calc!$S$2:$S$1001,MATCH(ROW()-1,Calc!$X$2:$X$1001,0)),"")</f>
        <v/>
      </c>
    </row>
    <row r="876" customFormat="false" ht="15" hidden="false" customHeight="false" outlineLevel="0" collapsed="false">
      <c r="A876" s="0" t="str">
        <f aca="false">IFERROR(INDEX(Calc!$L$2:$L$1001,MATCH(ROW()-1,Calc!$X$2:$X$1001,0)),"")</f>
        <v/>
      </c>
      <c r="B876" s="0" t="str">
        <f aca="false">IFERROR(INDEX(Calc!$M$2:$M$1001,MATCH(ROW()-1,Calc!$X$2:$X$1001,0)),"")</f>
        <v/>
      </c>
      <c r="C876" s="0" t="str">
        <f aca="false">IFERROR(INDEX(Calc!$N$2:$N$1001,MATCH(ROW()-1,Calc!$X$2:$X$1001,0)),"")</f>
        <v/>
      </c>
      <c r="D876" s="3" t="str">
        <f aca="false">IFERROR(INDEX(Calc!$O$2:$O$1001,MATCH(ROW()-1,Calc!$X$2:$X$1001,0)),"")</f>
        <v/>
      </c>
      <c r="E876" s="3" t="str">
        <f aca="false">IFERROR(INDEX(Calc!$P$2:$P$1001,MATCH(ROW()-1,Calc!$X$2:$X$1001,0)),"")</f>
        <v/>
      </c>
      <c r="F876" s="3" t="str">
        <f aca="false">IF(G876="","",E876-D876)</f>
        <v/>
      </c>
      <c r="G876" s="0" t="str">
        <f aca="false">IFERROR(INDEX(Calc!$S$2:$S$1001,MATCH(ROW()-1,Calc!$X$2:$X$1001,0)),"")</f>
        <v/>
      </c>
    </row>
    <row r="877" customFormat="false" ht="15" hidden="false" customHeight="false" outlineLevel="0" collapsed="false">
      <c r="A877" s="0" t="str">
        <f aca="false">IFERROR(INDEX(Calc!$L$2:$L$1001,MATCH(ROW()-1,Calc!$X$2:$X$1001,0)),"")</f>
        <v/>
      </c>
      <c r="B877" s="0" t="str">
        <f aca="false">IFERROR(INDEX(Calc!$M$2:$M$1001,MATCH(ROW()-1,Calc!$X$2:$X$1001,0)),"")</f>
        <v/>
      </c>
      <c r="C877" s="0" t="str">
        <f aca="false">IFERROR(INDEX(Calc!$N$2:$N$1001,MATCH(ROW()-1,Calc!$X$2:$X$1001,0)),"")</f>
        <v/>
      </c>
      <c r="D877" s="3" t="str">
        <f aca="false">IFERROR(INDEX(Calc!$O$2:$O$1001,MATCH(ROW()-1,Calc!$X$2:$X$1001,0)),"")</f>
        <v/>
      </c>
      <c r="E877" s="3" t="str">
        <f aca="false">IFERROR(INDEX(Calc!$P$2:$P$1001,MATCH(ROW()-1,Calc!$X$2:$X$1001,0)),"")</f>
        <v/>
      </c>
      <c r="F877" s="3" t="str">
        <f aca="false">IF(G877="","",E877-D877)</f>
        <v/>
      </c>
      <c r="G877" s="0" t="str">
        <f aca="false">IFERROR(INDEX(Calc!$S$2:$S$1001,MATCH(ROW()-1,Calc!$X$2:$X$1001,0)),"")</f>
        <v/>
      </c>
    </row>
    <row r="878" customFormat="false" ht="15" hidden="false" customHeight="false" outlineLevel="0" collapsed="false">
      <c r="A878" s="0" t="str">
        <f aca="false">IFERROR(INDEX(Calc!$L$2:$L$1001,MATCH(ROW()-1,Calc!$X$2:$X$1001,0)),"")</f>
        <v/>
      </c>
      <c r="B878" s="0" t="str">
        <f aca="false">IFERROR(INDEX(Calc!$M$2:$M$1001,MATCH(ROW()-1,Calc!$X$2:$X$1001,0)),"")</f>
        <v/>
      </c>
      <c r="C878" s="0" t="str">
        <f aca="false">IFERROR(INDEX(Calc!$N$2:$N$1001,MATCH(ROW()-1,Calc!$X$2:$X$1001,0)),"")</f>
        <v/>
      </c>
      <c r="D878" s="3" t="str">
        <f aca="false">IFERROR(INDEX(Calc!$O$2:$O$1001,MATCH(ROW()-1,Calc!$X$2:$X$1001,0)),"")</f>
        <v/>
      </c>
      <c r="E878" s="3" t="str">
        <f aca="false">IFERROR(INDEX(Calc!$P$2:$P$1001,MATCH(ROW()-1,Calc!$X$2:$X$1001,0)),"")</f>
        <v/>
      </c>
      <c r="F878" s="3" t="str">
        <f aca="false">IF(G878="","",E878-D878)</f>
        <v/>
      </c>
      <c r="G878" s="0" t="str">
        <f aca="false">IFERROR(INDEX(Calc!$S$2:$S$1001,MATCH(ROW()-1,Calc!$X$2:$X$1001,0)),"")</f>
        <v/>
      </c>
    </row>
    <row r="879" customFormat="false" ht="15" hidden="false" customHeight="false" outlineLevel="0" collapsed="false">
      <c r="A879" s="0" t="str">
        <f aca="false">IFERROR(INDEX(Calc!$L$2:$L$1001,MATCH(ROW()-1,Calc!$X$2:$X$1001,0)),"")</f>
        <v/>
      </c>
      <c r="B879" s="0" t="str">
        <f aca="false">IFERROR(INDEX(Calc!$M$2:$M$1001,MATCH(ROW()-1,Calc!$X$2:$X$1001,0)),"")</f>
        <v/>
      </c>
      <c r="C879" s="0" t="str">
        <f aca="false">IFERROR(INDEX(Calc!$N$2:$N$1001,MATCH(ROW()-1,Calc!$X$2:$X$1001,0)),"")</f>
        <v/>
      </c>
      <c r="D879" s="3" t="str">
        <f aca="false">IFERROR(INDEX(Calc!$O$2:$O$1001,MATCH(ROW()-1,Calc!$X$2:$X$1001,0)),"")</f>
        <v/>
      </c>
      <c r="E879" s="3" t="str">
        <f aca="false">IFERROR(INDEX(Calc!$P$2:$P$1001,MATCH(ROW()-1,Calc!$X$2:$X$1001,0)),"")</f>
        <v/>
      </c>
      <c r="F879" s="3" t="str">
        <f aca="false">IF(G879="","",E879-D879)</f>
        <v/>
      </c>
      <c r="G879" s="0" t="str">
        <f aca="false">IFERROR(INDEX(Calc!$S$2:$S$1001,MATCH(ROW()-1,Calc!$X$2:$X$1001,0)),"")</f>
        <v/>
      </c>
    </row>
    <row r="880" customFormat="false" ht="15" hidden="false" customHeight="false" outlineLevel="0" collapsed="false">
      <c r="A880" s="0" t="str">
        <f aca="false">IFERROR(INDEX(Calc!$L$2:$L$1001,MATCH(ROW()-1,Calc!$X$2:$X$1001,0)),"")</f>
        <v/>
      </c>
      <c r="B880" s="0" t="str">
        <f aca="false">IFERROR(INDEX(Calc!$M$2:$M$1001,MATCH(ROW()-1,Calc!$X$2:$X$1001,0)),"")</f>
        <v/>
      </c>
      <c r="C880" s="0" t="str">
        <f aca="false">IFERROR(INDEX(Calc!$N$2:$N$1001,MATCH(ROW()-1,Calc!$X$2:$X$1001,0)),"")</f>
        <v/>
      </c>
      <c r="D880" s="3" t="str">
        <f aca="false">IFERROR(INDEX(Calc!$O$2:$O$1001,MATCH(ROW()-1,Calc!$X$2:$X$1001,0)),"")</f>
        <v/>
      </c>
      <c r="E880" s="3" t="str">
        <f aca="false">IFERROR(INDEX(Calc!$P$2:$P$1001,MATCH(ROW()-1,Calc!$X$2:$X$1001,0)),"")</f>
        <v/>
      </c>
      <c r="F880" s="3" t="str">
        <f aca="false">IF(G880="","",E880-D880)</f>
        <v/>
      </c>
      <c r="G880" s="0" t="str">
        <f aca="false">IFERROR(INDEX(Calc!$S$2:$S$1001,MATCH(ROW()-1,Calc!$X$2:$X$1001,0)),"")</f>
        <v/>
      </c>
    </row>
    <row r="881" customFormat="false" ht="15" hidden="false" customHeight="false" outlineLevel="0" collapsed="false">
      <c r="A881" s="0" t="str">
        <f aca="false">IFERROR(INDEX(Calc!$L$2:$L$1001,MATCH(ROW()-1,Calc!$X$2:$X$1001,0)),"")</f>
        <v/>
      </c>
      <c r="B881" s="0" t="str">
        <f aca="false">IFERROR(INDEX(Calc!$M$2:$M$1001,MATCH(ROW()-1,Calc!$X$2:$X$1001,0)),"")</f>
        <v/>
      </c>
      <c r="C881" s="0" t="str">
        <f aca="false">IFERROR(INDEX(Calc!$N$2:$N$1001,MATCH(ROW()-1,Calc!$X$2:$X$1001,0)),"")</f>
        <v/>
      </c>
      <c r="D881" s="3" t="str">
        <f aca="false">IFERROR(INDEX(Calc!$O$2:$O$1001,MATCH(ROW()-1,Calc!$X$2:$X$1001,0)),"")</f>
        <v/>
      </c>
      <c r="E881" s="3" t="str">
        <f aca="false">IFERROR(INDEX(Calc!$P$2:$P$1001,MATCH(ROW()-1,Calc!$X$2:$X$1001,0)),"")</f>
        <v/>
      </c>
      <c r="F881" s="3" t="str">
        <f aca="false">IF(G881="","",E881-D881)</f>
        <v/>
      </c>
      <c r="G881" s="0" t="str">
        <f aca="false">IFERROR(INDEX(Calc!$S$2:$S$1001,MATCH(ROW()-1,Calc!$X$2:$X$1001,0)),"")</f>
        <v/>
      </c>
    </row>
    <row r="882" customFormat="false" ht="15" hidden="false" customHeight="false" outlineLevel="0" collapsed="false">
      <c r="A882" s="0" t="str">
        <f aca="false">IFERROR(INDEX(Calc!$L$2:$L$1001,MATCH(ROW()-1,Calc!$X$2:$X$1001,0)),"")</f>
        <v/>
      </c>
      <c r="B882" s="0" t="str">
        <f aca="false">IFERROR(INDEX(Calc!$M$2:$M$1001,MATCH(ROW()-1,Calc!$X$2:$X$1001,0)),"")</f>
        <v/>
      </c>
      <c r="C882" s="0" t="str">
        <f aca="false">IFERROR(INDEX(Calc!$N$2:$N$1001,MATCH(ROW()-1,Calc!$X$2:$X$1001,0)),"")</f>
        <v/>
      </c>
      <c r="D882" s="3" t="str">
        <f aca="false">IFERROR(INDEX(Calc!$O$2:$O$1001,MATCH(ROW()-1,Calc!$X$2:$X$1001,0)),"")</f>
        <v/>
      </c>
      <c r="E882" s="3" t="str">
        <f aca="false">IFERROR(INDEX(Calc!$P$2:$P$1001,MATCH(ROW()-1,Calc!$X$2:$X$1001,0)),"")</f>
        <v/>
      </c>
      <c r="F882" s="3" t="str">
        <f aca="false">IF(G882="","",E882-D882)</f>
        <v/>
      </c>
      <c r="G882" s="0" t="str">
        <f aca="false">IFERROR(INDEX(Calc!$S$2:$S$1001,MATCH(ROW()-1,Calc!$X$2:$X$1001,0)),"")</f>
        <v/>
      </c>
    </row>
    <row r="883" customFormat="false" ht="15" hidden="false" customHeight="false" outlineLevel="0" collapsed="false">
      <c r="A883" s="0" t="str">
        <f aca="false">IFERROR(INDEX(Calc!$L$2:$L$1001,MATCH(ROW()-1,Calc!$X$2:$X$1001,0)),"")</f>
        <v/>
      </c>
      <c r="B883" s="0" t="str">
        <f aca="false">IFERROR(INDEX(Calc!$M$2:$M$1001,MATCH(ROW()-1,Calc!$X$2:$X$1001,0)),"")</f>
        <v/>
      </c>
      <c r="C883" s="0" t="str">
        <f aca="false">IFERROR(INDEX(Calc!$N$2:$N$1001,MATCH(ROW()-1,Calc!$X$2:$X$1001,0)),"")</f>
        <v/>
      </c>
      <c r="D883" s="3" t="str">
        <f aca="false">IFERROR(INDEX(Calc!$O$2:$O$1001,MATCH(ROW()-1,Calc!$X$2:$X$1001,0)),"")</f>
        <v/>
      </c>
      <c r="E883" s="3" t="str">
        <f aca="false">IFERROR(INDEX(Calc!$P$2:$P$1001,MATCH(ROW()-1,Calc!$X$2:$X$1001,0)),"")</f>
        <v/>
      </c>
      <c r="F883" s="3" t="str">
        <f aca="false">IF(G883="","",E883-D883)</f>
        <v/>
      </c>
      <c r="G883" s="0" t="str">
        <f aca="false">IFERROR(INDEX(Calc!$S$2:$S$1001,MATCH(ROW()-1,Calc!$X$2:$X$1001,0)),"")</f>
        <v/>
      </c>
    </row>
    <row r="884" customFormat="false" ht="15" hidden="false" customHeight="false" outlineLevel="0" collapsed="false">
      <c r="A884" s="0" t="str">
        <f aca="false">IFERROR(INDEX(Calc!$L$2:$L$1001,MATCH(ROW()-1,Calc!$X$2:$X$1001,0)),"")</f>
        <v/>
      </c>
      <c r="B884" s="0" t="str">
        <f aca="false">IFERROR(INDEX(Calc!$M$2:$M$1001,MATCH(ROW()-1,Calc!$X$2:$X$1001,0)),"")</f>
        <v/>
      </c>
      <c r="C884" s="0" t="str">
        <f aca="false">IFERROR(INDEX(Calc!$N$2:$N$1001,MATCH(ROW()-1,Calc!$X$2:$X$1001,0)),"")</f>
        <v/>
      </c>
      <c r="D884" s="3" t="str">
        <f aca="false">IFERROR(INDEX(Calc!$O$2:$O$1001,MATCH(ROW()-1,Calc!$X$2:$X$1001,0)),"")</f>
        <v/>
      </c>
      <c r="E884" s="3" t="str">
        <f aca="false">IFERROR(INDEX(Calc!$P$2:$P$1001,MATCH(ROW()-1,Calc!$X$2:$X$1001,0)),"")</f>
        <v/>
      </c>
      <c r="F884" s="3" t="str">
        <f aca="false">IF(G884="","",E884-D884)</f>
        <v/>
      </c>
      <c r="G884" s="0" t="str">
        <f aca="false">IFERROR(INDEX(Calc!$S$2:$S$1001,MATCH(ROW()-1,Calc!$X$2:$X$1001,0)),"")</f>
        <v/>
      </c>
    </row>
    <row r="885" customFormat="false" ht="15" hidden="false" customHeight="false" outlineLevel="0" collapsed="false">
      <c r="A885" s="0" t="str">
        <f aca="false">IFERROR(INDEX(Calc!$L$2:$L$1001,MATCH(ROW()-1,Calc!$X$2:$X$1001,0)),"")</f>
        <v/>
      </c>
      <c r="B885" s="0" t="str">
        <f aca="false">IFERROR(INDEX(Calc!$M$2:$M$1001,MATCH(ROW()-1,Calc!$X$2:$X$1001,0)),"")</f>
        <v/>
      </c>
      <c r="C885" s="0" t="str">
        <f aca="false">IFERROR(INDEX(Calc!$N$2:$N$1001,MATCH(ROW()-1,Calc!$X$2:$X$1001,0)),"")</f>
        <v/>
      </c>
      <c r="D885" s="3" t="str">
        <f aca="false">IFERROR(INDEX(Calc!$O$2:$O$1001,MATCH(ROW()-1,Calc!$X$2:$X$1001,0)),"")</f>
        <v/>
      </c>
      <c r="E885" s="3" t="str">
        <f aca="false">IFERROR(INDEX(Calc!$P$2:$P$1001,MATCH(ROW()-1,Calc!$X$2:$X$1001,0)),"")</f>
        <v/>
      </c>
      <c r="F885" s="3" t="str">
        <f aca="false">IF(G885="","",E885-D885)</f>
        <v/>
      </c>
      <c r="G885" s="0" t="str">
        <f aca="false">IFERROR(INDEX(Calc!$S$2:$S$1001,MATCH(ROW()-1,Calc!$X$2:$X$1001,0)),"")</f>
        <v/>
      </c>
    </row>
    <row r="886" customFormat="false" ht="15" hidden="false" customHeight="false" outlineLevel="0" collapsed="false">
      <c r="A886" s="0" t="str">
        <f aca="false">IFERROR(INDEX(Calc!$L$2:$L$1001,MATCH(ROW()-1,Calc!$X$2:$X$1001,0)),"")</f>
        <v/>
      </c>
      <c r="B886" s="0" t="str">
        <f aca="false">IFERROR(INDEX(Calc!$M$2:$M$1001,MATCH(ROW()-1,Calc!$X$2:$X$1001,0)),"")</f>
        <v/>
      </c>
      <c r="C886" s="0" t="str">
        <f aca="false">IFERROR(INDEX(Calc!$N$2:$N$1001,MATCH(ROW()-1,Calc!$X$2:$X$1001,0)),"")</f>
        <v/>
      </c>
      <c r="D886" s="3" t="str">
        <f aca="false">IFERROR(INDEX(Calc!$O$2:$O$1001,MATCH(ROW()-1,Calc!$X$2:$X$1001,0)),"")</f>
        <v/>
      </c>
      <c r="E886" s="3" t="str">
        <f aca="false">IFERROR(INDEX(Calc!$P$2:$P$1001,MATCH(ROW()-1,Calc!$X$2:$X$1001,0)),"")</f>
        <v/>
      </c>
      <c r="F886" s="3" t="str">
        <f aca="false">IF(G886="","",E886-D886)</f>
        <v/>
      </c>
      <c r="G886" s="0" t="str">
        <f aca="false">IFERROR(INDEX(Calc!$S$2:$S$1001,MATCH(ROW()-1,Calc!$X$2:$X$1001,0)),"")</f>
        <v/>
      </c>
    </row>
    <row r="887" customFormat="false" ht="15" hidden="false" customHeight="false" outlineLevel="0" collapsed="false">
      <c r="A887" s="0" t="str">
        <f aca="false">IFERROR(INDEX(Calc!$L$2:$L$1001,MATCH(ROW()-1,Calc!$X$2:$X$1001,0)),"")</f>
        <v/>
      </c>
      <c r="B887" s="0" t="str">
        <f aca="false">IFERROR(INDEX(Calc!$M$2:$M$1001,MATCH(ROW()-1,Calc!$X$2:$X$1001,0)),"")</f>
        <v/>
      </c>
      <c r="C887" s="0" t="str">
        <f aca="false">IFERROR(INDEX(Calc!$N$2:$N$1001,MATCH(ROW()-1,Calc!$X$2:$X$1001,0)),"")</f>
        <v/>
      </c>
      <c r="D887" s="3" t="str">
        <f aca="false">IFERROR(INDEX(Calc!$O$2:$O$1001,MATCH(ROW()-1,Calc!$X$2:$X$1001,0)),"")</f>
        <v/>
      </c>
      <c r="E887" s="3" t="str">
        <f aca="false">IFERROR(INDEX(Calc!$P$2:$P$1001,MATCH(ROW()-1,Calc!$X$2:$X$1001,0)),"")</f>
        <v/>
      </c>
      <c r="F887" s="3" t="str">
        <f aca="false">IF(G887="","",E887-D887)</f>
        <v/>
      </c>
      <c r="G887" s="0" t="str">
        <f aca="false">IFERROR(INDEX(Calc!$S$2:$S$1001,MATCH(ROW()-1,Calc!$X$2:$X$1001,0)),"")</f>
        <v/>
      </c>
    </row>
    <row r="888" customFormat="false" ht="15" hidden="false" customHeight="false" outlineLevel="0" collapsed="false">
      <c r="A888" s="0" t="str">
        <f aca="false">IFERROR(INDEX(Calc!$L$2:$L$1001,MATCH(ROW()-1,Calc!$X$2:$X$1001,0)),"")</f>
        <v/>
      </c>
      <c r="B888" s="0" t="str">
        <f aca="false">IFERROR(INDEX(Calc!$M$2:$M$1001,MATCH(ROW()-1,Calc!$X$2:$X$1001,0)),"")</f>
        <v/>
      </c>
      <c r="C888" s="0" t="str">
        <f aca="false">IFERROR(INDEX(Calc!$N$2:$N$1001,MATCH(ROW()-1,Calc!$X$2:$X$1001,0)),"")</f>
        <v/>
      </c>
      <c r="D888" s="3" t="str">
        <f aca="false">IFERROR(INDEX(Calc!$O$2:$O$1001,MATCH(ROW()-1,Calc!$X$2:$X$1001,0)),"")</f>
        <v/>
      </c>
      <c r="E888" s="3" t="str">
        <f aca="false">IFERROR(INDEX(Calc!$P$2:$P$1001,MATCH(ROW()-1,Calc!$X$2:$X$1001,0)),"")</f>
        <v/>
      </c>
      <c r="F888" s="3" t="str">
        <f aca="false">IF(G888="","",E888-D888)</f>
        <v/>
      </c>
      <c r="G888" s="0" t="str">
        <f aca="false">IFERROR(INDEX(Calc!$S$2:$S$1001,MATCH(ROW()-1,Calc!$X$2:$X$1001,0)),"")</f>
        <v/>
      </c>
    </row>
    <row r="889" customFormat="false" ht="15" hidden="false" customHeight="false" outlineLevel="0" collapsed="false">
      <c r="A889" s="0" t="str">
        <f aca="false">IFERROR(INDEX(Calc!$L$2:$L$1001,MATCH(ROW()-1,Calc!$X$2:$X$1001,0)),"")</f>
        <v/>
      </c>
      <c r="B889" s="0" t="str">
        <f aca="false">IFERROR(INDEX(Calc!$M$2:$M$1001,MATCH(ROW()-1,Calc!$X$2:$X$1001,0)),"")</f>
        <v/>
      </c>
      <c r="C889" s="0" t="str">
        <f aca="false">IFERROR(INDEX(Calc!$N$2:$N$1001,MATCH(ROW()-1,Calc!$X$2:$X$1001,0)),"")</f>
        <v/>
      </c>
      <c r="D889" s="3" t="str">
        <f aca="false">IFERROR(INDEX(Calc!$O$2:$O$1001,MATCH(ROW()-1,Calc!$X$2:$X$1001,0)),"")</f>
        <v/>
      </c>
      <c r="E889" s="3" t="str">
        <f aca="false">IFERROR(INDEX(Calc!$P$2:$P$1001,MATCH(ROW()-1,Calc!$X$2:$X$1001,0)),"")</f>
        <v/>
      </c>
      <c r="F889" s="3" t="str">
        <f aca="false">IF(G889="","",E889-D889)</f>
        <v/>
      </c>
      <c r="G889" s="0" t="str">
        <f aca="false">IFERROR(INDEX(Calc!$S$2:$S$1001,MATCH(ROW()-1,Calc!$X$2:$X$1001,0)),"")</f>
        <v/>
      </c>
    </row>
    <row r="890" customFormat="false" ht="15" hidden="false" customHeight="false" outlineLevel="0" collapsed="false">
      <c r="A890" s="0" t="str">
        <f aca="false">IFERROR(INDEX(Calc!$L$2:$L$1001,MATCH(ROW()-1,Calc!$X$2:$X$1001,0)),"")</f>
        <v/>
      </c>
      <c r="B890" s="0" t="str">
        <f aca="false">IFERROR(INDEX(Calc!$M$2:$M$1001,MATCH(ROW()-1,Calc!$X$2:$X$1001,0)),"")</f>
        <v/>
      </c>
      <c r="C890" s="0" t="str">
        <f aca="false">IFERROR(INDEX(Calc!$N$2:$N$1001,MATCH(ROW()-1,Calc!$X$2:$X$1001,0)),"")</f>
        <v/>
      </c>
      <c r="D890" s="3" t="str">
        <f aca="false">IFERROR(INDEX(Calc!$O$2:$O$1001,MATCH(ROW()-1,Calc!$X$2:$X$1001,0)),"")</f>
        <v/>
      </c>
      <c r="E890" s="3" t="str">
        <f aca="false">IFERROR(INDEX(Calc!$P$2:$P$1001,MATCH(ROW()-1,Calc!$X$2:$X$1001,0)),"")</f>
        <v/>
      </c>
      <c r="F890" s="3" t="str">
        <f aca="false">IF(G890="","",E890-D890)</f>
        <v/>
      </c>
      <c r="G890" s="0" t="str">
        <f aca="false">IFERROR(INDEX(Calc!$S$2:$S$1001,MATCH(ROW()-1,Calc!$X$2:$X$1001,0)),"")</f>
        <v/>
      </c>
    </row>
    <row r="891" customFormat="false" ht="15" hidden="false" customHeight="false" outlineLevel="0" collapsed="false">
      <c r="A891" s="0" t="str">
        <f aca="false">IFERROR(INDEX(Calc!$L$2:$L$1001,MATCH(ROW()-1,Calc!$X$2:$X$1001,0)),"")</f>
        <v/>
      </c>
      <c r="B891" s="0" t="str">
        <f aca="false">IFERROR(INDEX(Calc!$M$2:$M$1001,MATCH(ROW()-1,Calc!$X$2:$X$1001,0)),"")</f>
        <v/>
      </c>
      <c r="C891" s="0" t="str">
        <f aca="false">IFERROR(INDEX(Calc!$N$2:$N$1001,MATCH(ROW()-1,Calc!$X$2:$X$1001,0)),"")</f>
        <v/>
      </c>
      <c r="D891" s="3" t="str">
        <f aca="false">IFERROR(INDEX(Calc!$O$2:$O$1001,MATCH(ROW()-1,Calc!$X$2:$X$1001,0)),"")</f>
        <v/>
      </c>
      <c r="E891" s="3" t="str">
        <f aca="false">IFERROR(INDEX(Calc!$P$2:$P$1001,MATCH(ROW()-1,Calc!$X$2:$X$1001,0)),"")</f>
        <v/>
      </c>
      <c r="F891" s="3" t="str">
        <f aca="false">IF(G891="","",E891-D891)</f>
        <v/>
      </c>
      <c r="G891" s="0" t="str">
        <f aca="false">IFERROR(INDEX(Calc!$S$2:$S$1001,MATCH(ROW()-1,Calc!$X$2:$X$1001,0)),"")</f>
        <v/>
      </c>
    </row>
    <row r="892" customFormat="false" ht="15" hidden="false" customHeight="false" outlineLevel="0" collapsed="false">
      <c r="A892" s="0" t="str">
        <f aca="false">IFERROR(INDEX(Calc!$L$2:$L$1001,MATCH(ROW()-1,Calc!$X$2:$X$1001,0)),"")</f>
        <v/>
      </c>
      <c r="B892" s="0" t="str">
        <f aca="false">IFERROR(INDEX(Calc!$M$2:$M$1001,MATCH(ROW()-1,Calc!$X$2:$X$1001,0)),"")</f>
        <v/>
      </c>
      <c r="C892" s="0" t="str">
        <f aca="false">IFERROR(INDEX(Calc!$N$2:$N$1001,MATCH(ROW()-1,Calc!$X$2:$X$1001,0)),"")</f>
        <v/>
      </c>
      <c r="D892" s="3" t="str">
        <f aca="false">IFERROR(INDEX(Calc!$O$2:$O$1001,MATCH(ROW()-1,Calc!$X$2:$X$1001,0)),"")</f>
        <v/>
      </c>
      <c r="E892" s="3" t="str">
        <f aca="false">IFERROR(INDEX(Calc!$P$2:$P$1001,MATCH(ROW()-1,Calc!$X$2:$X$1001,0)),"")</f>
        <v/>
      </c>
      <c r="F892" s="3" t="str">
        <f aca="false">IF(G892="","",E892-D892)</f>
        <v/>
      </c>
      <c r="G892" s="0" t="str">
        <f aca="false">IFERROR(INDEX(Calc!$S$2:$S$1001,MATCH(ROW()-1,Calc!$X$2:$X$1001,0)),"")</f>
        <v/>
      </c>
    </row>
    <row r="893" customFormat="false" ht="15" hidden="false" customHeight="false" outlineLevel="0" collapsed="false">
      <c r="A893" s="0" t="str">
        <f aca="false">IFERROR(INDEX(Calc!$L$2:$L$1001,MATCH(ROW()-1,Calc!$X$2:$X$1001,0)),"")</f>
        <v/>
      </c>
      <c r="B893" s="0" t="str">
        <f aca="false">IFERROR(INDEX(Calc!$M$2:$M$1001,MATCH(ROW()-1,Calc!$X$2:$X$1001,0)),"")</f>
        <v/>
      </c>
      <c r="C893" s="0" t="str">
        <f aca="false">IFERROR(INDEX(Calc!$N$2:$N$1001,MATCH(ROW()-1,Calc!$X$2:$X$1001,0)),"")</f>
        <v/>
      </c>
      <c r="D893" s="3" t="str">
        <f aca="false">IFERROR(INDEX(Calc!$O$2:$O$1001,MATCH(ROW()-1,Calc!$X$2:$X$1001,0)),"")</f>
        <v/>
      </c>
      <c r="E893" s="3" t="str">
        <f aca="false">IFERROR(INDEX(Calc!$P$2:$P$1001,MATCH(ROW()-1,Calc!$X$2:$X$1001,0)),"")</f>
        <v/>
      </c>
      <c r="F893" s="3" t="str">
        <f aca="false">IF(G893="","",E893-D893)</f>
        <v/>
      </c>
      <c r="G893" s="0" t="str">
        <f aca="false">IFERROR(INDEX(Calc!$S$2:$S$1001,MATCH(ROW()-1,Calc!$X$2:$X$1001,0)),"")</f>
        <v/>
      </c>
    </row>
    <row r="894" customFormat="false" ht="15" hidden="false" customHeight="false" outlineLevel="0" collapsed="false">
      <c r="A894" s="0" t="str">
        <f aca="false">IFERROR(INDEX(Calc!$L$2:$L$1001,MATCH(ROW()-1,Calc!$X$2:$X$1001,0)),"")</f>
        <v/>
      </c>
      <c r="B894" s="0" t="str">
        <f aca="false">IFERROR(INDEX(Calc!$M$2:$M$1001,MATCH(ROW()-1,Calc!$X$2:$X$1001,0)),"")</f>
        <v/>
      </c>
      <c r="C894" s="0" t="str">
        <f aca="false">IFERROR(INDEX(Calc!$N$2:$N$1001,MATCH(ROW()-1,Calc!$X$2:$X$1001,0)),"")</f>
        <v/>
      </c>
      <c r="D894" s="3" t="str">
        <f aca="false">IFERROR(INDEX(Calc!$O$2:$O$1001,MATCH(ROW()-1,Calc!$X$2:$X$1001,0)),"")</f>
        <v/>
      </c>
      <c r="E894" s="3" t="str">
        <f aca="false">IFERROR(INDEX(Calc!$P$2:$P$1001,MATCH(ROW()-1,Calc!$X$2:$X$1001,0)),"")</f>
        <v/>
      </c>
      <c r="F894" s="3" t="str">
        <f aca="false">IF(G894="","",E894-D894)</f>
        <v/>
      </c>
      <c r="G894" s="0" t="str">
        <f aca="false">IFERROR(INDEX(Calc!$S$2:$S$1001,MATCH(ROW()-1,Calc!$X$2:$X$1001,0)),"")</f>
        <v/>
      </c>
    </row>
    <row r="895" customFormat="false" ht="15" hidden="false" customHeight="false" outlineLevel="0" collapsed="false">
      <c r="A895" s="0" t="str">
        <f aca="false">IFERROR(INDEX(Calc!$L$2:$L$1001,MATCH(ROW()-1,Calc!$X$2:$X$1001,0)),"")</f>
        <v/>
      </c>
      <c r="B895" s="0" t="str">
        <f aca="false">IFERROR(INDEX(Calc!$M$2:$M$1001,MATCH(ROW()-1,Calc!$X$2:$X$1001,0)),"")</f>
        <v/>
      </c>
      <c r="C895" s="0" t="str">
        <f aca="false">IFERROR(INDEX(Calc!$N$2:$N$1001,MATCH(ROW()-1,Calc!$X$2:$X$1001,0)),"")</f>
        <v/>
      </c>
      <c r="D895" s="3" t="str">
        <f aca="false">IFERROR(INDEX(Calc!$O$2:$O$1001,MATCH(ROW()-1,Calc!$X$2:$X$1001,0)),"")</f>
        <v/>
      </c>
      <c r="E895" s="3" t="str">
        <f aca="false">IFERROR(INDEX(Calc!$P$2:$P$1001,MATCH(ROW()-1,Calc!$X$2:$X$1001,0)),"")</f>
        <v/>
      </c>
      <c r="F895" s="3" t="str">
        <f aca="false">IF(G895="","",E895-D895)</f>
        <v/>
      </c>
      <c r="G895" s="0" t="str">
        <f aca="false">IFERROR(INDEX(Calc!$S$2:$S$1001,MATCH(ROW()-1,Calc!$X$2:$X$1001,0)),"")</f>
        <v/>
      </c>
    </row>
    <row r="896" customFormat="false" ht="15" hidden="false" customHeight="false" outlineLevel="0" collapsed="false">
      <c r="A896" s="0" t="str">
        <f aca="false">IFERROR(INDEX(Calc!$L$2:$L$1001,MATCH(ROW()-1,Calc!$X$2:$X$1001,0)),"")</f>
        <v/>
      </c>
      <c r="B896" s="0" t="str">
        <f aca="false">IFERROR(INDEX(Calc!$M$2:$M$1001,MATCH(ROW()-1,Calc!$X$2:$X$1001,0)),"")</f>
        <v/>
      </c>
      <c r="C896" s="0" t="str">
        <f aca="false">IFERROR(INDEX(Calc!$N$2:$N$1001,MATCH(ROW()-1,Calc!$X$2:$X$1001,0)),"")</f>
        <v/>
      </c>
      <c r="D896" s="3" t="str">
        <f aca="false">IFERROR(INDEX(Calc!$O$2:$O$1001,MATCH(ROW()-1,Calc!$X$2:$X$1001,0)),"")</f>
        <v/>
      </c>
      <c r="E896" s="3" t="str">
        <f aca="false">IFERROR(INDEX(Calc!$P$2:$P$1001,MATCH(ROW()-1,Calc!$X$2:$X$1001,0)),"")</f>
        <v/>
      </c>
      <c r="F896" s="3" t="str">
        <f aca="false">IF(G896="","",E896-D896)</f>
        <v/>
      </c>
      <c r="G896" s="0" t="str">
        <f aca="false">IFERROR(INDEX(Calc!$S$2:$S$1001,MATCH(ROW()-1,Calc!$X$2:$X$1001,0)),"")</f>
        <v/>
      </c>
    </row>
    <row r="897" customFormat="false" ht="15" hidden="false" customHeight="false" outlineLevel="0" collapsed="false">
      <c r="A897" s="0" t="str">
        <f aca="false">IFERROR(INDEX(Calc!$L$2:$L$1001,MATCH(ROW()-1,Calc!$X$2:$X$1001,0)),"")</f>
        <v/>
      </c>
      <c r="B897" s="0" t="str">
        <f aca="false">IFERROR(INDEX(Calc!$M$2:$M$1001,MATCH(ROW()-1,Calc!$X$2:$X$1001,0)),"")</f>
        <v/>
      </c>
      <c r="C897" s="0" t="str">
        <f aca="false">IFERROR(INDEX(Calc!$N$2:$N$1001,MATCH(ROW()-1,Calc!$X$2:$X$1001,0)),"")</f>
        <v/>
      </c>
      <c r="D897" s="3" t="str">
        <f aca="false">IFERROR(INDEX(Calc!$O$2:$O$1001,MATCH(ROW()-1,Calc!$X$2:$X$1001,0)),"")</f>
        <v/>
      </c>
      <c r="E897" s="3" t="str">
        <f aca="false">IFERROR(INDEX(Calc!$P$2:$P$1001,MATCH(ROW()-1,Calc!$X$2:$X$1001,0)),"")</f>
        <v/>
      </c>
      <c r="F897" s="3" t="str">
        <f aca="false">IF(G897="","",E897-D897)</f>
        <v/>
      </c>
      <c r="G897" s="0" t="str">
        <f aca="false">IFERROR(INDEX(Calc!$S$2:$S$1001,MATCH(ROW()-1,Calc!$X$2:$X$1001,0)),"")</f>
        <v/>
      </c>
    </row>
    <row r="898" customFormat="false" ht="15" hidden="false" customHeight="false" outlineLevel="0" collapsed="false">
      <c r="A898" s="0" t="str">
        <f aca="false">IFERROR(INDEX(Calc!$L$2:$L$1001,MATCH(ROW()-1,Calc!$X$2:$X$1001,0)),"")</f>
        <v/>
      </c>
      <c r="B898" s="0" t="str">
        <f aca="false">IFERROR(INDEX(Calc!$M$2:$M$1001,MATCH(ROW()-1,Calc!$X$2:$X$1001,0)),"")</f>
        <v/>
      </c>
      <c r="C898" s="0" t="str">
        <f aca="false">IFERROR(INDEX(Calc!$N$2:$N$1001,MATCH(ROW()-1,Calc!$X$2:$X$1001,0)),"")</f>
        <v/>
      </c>
      <c r="D898" s="3" t="str">
        <f aca="false">IFERROR(INDEX(Calc!$O$2:$O$1001,MATCH(ROW()-1,Calc!$X$2:$X$1001,0)),"")</f>
        <v/>
      </c>
      <c r="E898" s="3" t="str">
        <f aca="false">IFERROR(INDEX(Calc!$P$2:$P$1001,MATCH(ROW()-1,Calc!$X$2:$X$1001,0)),"")</f>
        <v/>
      </c>
      <c r="F898" s="3" t="str">
        <f aca="false">IF(G898="","",E898-D898)</f>
        <v/>
      </c>
      <c r="G898" s="0" t="str">
        <f aca="false">IFERROR(INDEX(Calc!$S$2:$S$1001,MATCH(ROW()-1,Calc!$X$2:$X$1001,0)),"")</f>
        <v/>
      </c>
    </row>
    <row r="899" customFormat="false" ht="15" hidden="false" customHeight="false" outlineLevel="0" collapsed="false">
      <c r="A899" s="0" t="str">
        <f aca="false">IFERROR(INDEX(Calc!$L$2:$L$1001,MATCH(ROW()-1,Calc!$X$2:$X$1001,0)),"")</f>
        <v/>
      </c>
      <c r="B899" s="0" t="str">
        <f aca="false">IFERROR(INDEX(Calc!$M$2:$M$1001,MATCH(ROW()-1,Calc!$X$2:$X$1001,0)),"")</f>
        <v/>
      </c>
      <c r="C899" s="0" t="str">
        <f aca="false">IFERROR(INDEX(Calc!$N$2:$N$1001,MATCH(ROW()-1,Calc!$X$2:$X$1001,0)),"")</f>
        <v/>
      </c>
      <c r="D899" s="3" t="str">
        <f aca="false">IFERROR(INDEX(Calc!$O$2:$O$1001,MATCH(ROW()-1,Calc!$X$2:$X$1001,0)),"")</f>
        <v/>
      </c>
      <c r="E899" s="3" t="str">
        <f aca="false">IFERROR(INDEX(Calc!$P$2:$P$1001,MATCH(ROW()-1,Calc!$X$2:$X$1001,0)),"")</f>
        <v/>
      </c>
      <c r="F899" s="3" t="str">
        <f aca="false">IF(G899="","",E899-D899)</f>
        <v/>
      </c>
      <c r="G899" s="0" t="str">
        <f aca="false">IFERROR(INDEX(Calc!$S$2:$S$1001,MATCH(ROW()-1,Calc!$X$2:$X$1001,0)),"")</f>
        <v/>
      </c>
    </row>
    <row r="900" customFormat="false" ht="15" hidden="false" customHeight="false" outlineLevel="0" collapsed="false">
      <c r="A900" s="0" t="str">
        <f aca="false">IFERROR(INDEX(Calc!$L$2:$L$1001,MATCH(ROW()-1,Calc!$X$2:$X$1001,0)),"")</f>
        <v/>
      </c>
      <c r="B900" s="0" t="str">
        <f aca="false">IFERROR(INDEX(Calc!$M$2:$M$1001,MATCH(ROW()-1,Calc!$X$2:$X$1001,0)),"")</f>
        <v/>
      </c>
      <c r="C900" s="0" t="str">
        <f aca="false">IFERROR(INDEX(Calc!$N$2:$N$1001,MATCH(ROW()-1,Calc!$X$2:$X$1001,0)),"")</f>
        <v/>
      </c>
      <c r="D900" s="3" t="str">
        <f aca="false">IFERROR(INDEX(Calc!$O$2:$O$1001,MATCH(ROW()-1,Calc!$X$2:$X$1001,0)),"")</f>
        <v/>
      </c>
      <c r="E900" s="3" t="str">
        <f aca="false">IFERROR(INDEX(Calc!$P$2:$P$1001,MATCH(ROW()-1,Calc!$X$2:$X$1001,0)),"")</f>
        <v/>
      </c>
      <c r="F900" s="3" t="str">
        <f aca="false">IF(G900="","",E900-D900)</f>
        <v/>
      </c>
      <c r="G900" s="0" t="str">
        <f aca="false">IFERROR(INDEX(Calc!$S$2:$S$1001,MATCH(ROW()-1,Calc!$X$2:$X$1001,0)),"")</f>
        <v/>
      </c>
    </row>
    <row r="901" customFormat="false" ht="15" hidden="false" customHeight="false" outlineLevel="0" collapsed="false">
      <c r="A901" s="0" t="str">
        <f aca="false">IFERROR(INDEX(Calc!$L$2:$L$1001,MATCH(ROW()-1,Calc!$X$2:$X$1001,0)),"")</f>
        <v/>
      </c>
      <c r="B901" s="0" t="str">
        <f aca="false">IFERROR(INDEX(Calc!$M$2:$M$1001,MATCH(ROW()-1,Calc!$X$2:$X$1001,0)),"")</f>
        <v/>
      </c>
      <c r="C901" s="0" t="str">
        <f aca="false">IFERROR(INDEX(Calc!$N$2:$N$1001,MATCH(ROW()-1,Calc!$X$2:$X$1001,0)),"")</f>
        <v/>
      </c>
      <c r="D901" s="3" t="str">
        <f aca="false">IFERROR(INDEX(Calc!$O$2:$O$1001,MATCH(ROW()-1,Calc!$X$2:$X$1001,0)),"")</f>
        <v/>
      </c>
      <c r="E901" s="3" t="str">
        <f aca="false">IFERROR(INDEX(Calc!$P$2:$P$1001,MATCH(ROW()-1,Calc!$X$2:$X$1001,0)),"")</f>
        <v/>
      </c>
      <c r="F901" s="3" t="str">
        <f aca="false">IF(G901="","",E901-D901)</f>
        <v/>
      </c>
      <c r="G901" s="0" t="str">
        <f aca="false">IFERROR(INDEX(Calc!$S$2:$S$1001,MATCH(ROW()-1,Calc!$X$2:$X$1001,0)),"")</f>
        <v/>
      </c>
    </row>
    <row r="902" customFormat="false" ht="15" hidden="false" customHeight="false" outlineLevel="0" collapsed="false">
      <c r="A902" s="0" t="str">
        <f aca="false">IFERROR(INDEX(Calc!$L$2:$L$1001,MATCH(ROW()-1,Calc!$X$2:$X$1001,0)),"")</f>
        <v/>
      </c>
      <c r="B902" s="0" t="str">
        <f aca="false">IFERROR(INDEX(Calc!$M$2:$M$1001,MATCH(ROW()-1,Calc!$X$2:$X$1001,0)),"")</f>
        <v/>
      </c>
      <c r="C902" s="0" t="str">
        <f aca="false">IFERROR(INDEX(Calc!$N$2:$N$1001,MATCH(ROW()-1,Calc!$X$2:$X$1001,0)),"")</f>
        <v/>
      </c>
      <c r="D902" s="3" t="str">
        <f aca="false">IFERROR(INDEX(Calc!$O$2:$O$1001,MATCH(ROW()-1,Calc!$X$2:$X$1001,0)),"")</f>
        <v/>
      </c>
      <c r="E902" s="3" t="str">
        <f aca="false">IFERROR(INDEX(Calc!$P$2:$P$1001,MATCH(ROW()-1,Calc!$X$2:$X$1001,0)),"")</f>
        <v/>
      </c>
      <c r="F902" s="3" t="str">
        <f aca="false">IF(G902="","",E902-D902)</f>
        <v/>
      </c>
      <c r="G902" s="0" t="str">
        <f aca="false">IFERROR(INDEX(Calc!$S$2:$S$1001,MATCH(ROW()-1,Calc!$X$2:$X$1001,0)),"")</f>
        <v/>
      </c>
    </row>
    <row r="903" customFormat="false" ht="15" hidden="false" customHeight="false" outlineLevel="0" collapsed="false">
      <c r="A903" s="0" t="str">
        <f aca="false">IFERROR(INDEX(Calc!$L$2:$L$1001,MATCH(ROW()-1,Calc!$X$2:$X$1001,0)),"")</f>
        <v/>
      </c>
      <c r="B903" s="0" t="str">
        <f aca="false">IFERROR(INDEX(Calc!$M$2:$M$1001,MATCH(ROW()-1,Calc!$X$2:$X$1001,0)),"")</f>
        <v/>
      </c>
      <c r="C903" s="0" t="str">
        <f aca="false">IFERROR(INDEX(Calc!$N$2:$N$1001,MATCH(ROW()-1,Calc!$X$2:$X$1001,0)),"")</f>
        <v/>
      </c>
      <c r="D903" s="3" t="str">
        <f aca="false">IFERROR(INDEX(Calc!$O$2:$O$1001,MATCH(ROW()-1,Calc!$X$2:$X$1001,0)),"")</f>
        <v/>
      </c>
      <c r="E903" s="3" t="str">
        <f aca="false">IFERROR(INDEX(Calc!$P$2:$P$1001,MATCH(ROW()-1,Calc!$X$2:$X$1001,0)),"")</f>
        <v/>
      </c>
      <c r="F903" s="3" t="str">
        <f aca="false">IF(G903="","",E903-D903)</f>
        <v/>
      </c>
      <c r="G903" s="0" t="str">
        <f aca="false">IFERROR(INDEX(Calc!$S$2:$S$1001,MATCH(ROW()-1,Calc!$X$2:$X$1001,0)),"")</f>
        <v/>
      </c>
    </row>
    <row r="904" customFormat="false" ht="15" hidden="false" customHeight="false" outlineLevel="0" collapsed="false">
      <c r="A904" s="0" t="str">
        <f aca="false">IFERROR(INDEX(Calc!$L$2:$L$1001,MATCH(ROW()-1,Calc!$X$2:$X$1001,0)),"")</f>
        <v/>
      </c>
      <c r="B904" s="0" t="str">
        <f aca="false">IFERROR(INDEX(Calc!$M$2:$M$1001,MATCH(ROW()-1,Calc!$X$2:$X$1001,0)),"")</f>
        <v/>
      </c>
      <c r="C904" s="0" t="str">
        <f aca="false">IFERROR(INDEX(Calc!$N$2:$N$1001,MATCH(ROW()-1,Calc!$X$2:$X$1001,0)),"")</f>
        <v/>
      </c>
      <c r="D904" s="3" t="str">
        <f aca="false">IFERROR(INDEX(Calc!$O$2:$O$1001,MATCH(ROW()-1,Calc!$X$2:$X$1001,0)),"")</f>
        <v/>
      </c>
      <c r="E904" s="3" t="str">
        <f aca="false">IFERROR(INDEX(Calc!$P$2:$P$1001,MATCH(ROW()-1,Calc!$X$2:$X$1001,0)),"")</f>
        <v/>
      </c>
      <c r="F904" s="3" t="str">
        <f aca="false">IF(G904="","",E904-D904)</f>
        <v/>
      </c>
      <c r="G904" s="0" t="str">
        <f aca="false">IFERROR(INDEX(Calc!$S$2:$S$1001,MATCH(ROW()-1,Calc!$X$2:$X$1001,0)),"")</f>
        <v/>
      </c>
    </row>
    <row r="905" customFormat="false" ht="15" hidden="false" customHeight="false" outlineLevel="0" collapsed="false">
      <c r="A905" s="0" t="str">
        <f aca="false">IFERROR(INDEX(Calc!$L$2:$L$1001,MATCH(ROW()-1,Calc!$X$2:$X$1001,0)),"")</f>
        <v/>
      </c>
      <c r="B905" s="0" t="str">
        <f aca="false">IFERROR(INDEX(Calc!$M$2:$M$1001,MATCH(ROW()-1,Calc!$X$2:$X$1001,0)),"")</f>
        <v/>
      </c>
      <c r="C905" s="0" t="str">
        <f aca="false">IFERROR(INDEX(Calc!$N$2:$N$1001,MATCH(ROW()-1,Calc!$X$2:$X$1001,0)),"")</f>
        <v/>
      </c>
      <c r="D905" s="3" t="str">
        <f aca="false">IFERROR(INDEX(Calc!$O$2:$O$1001,MATCH(ROW()-1,Calc!$X$2:$X$1001,0)),"")</f>
        <v/>
      </c>
      <c r="E905" s="3" t="str">
        <f aca="false">IFERROR(INDEX(Calc!$P$2:$P$1001,MATCH(ROW()-1,Calc!$X$2:$X$1001,0)),"")</f>
        <v/>
      </c>
      <c r="F905" s="3" t="str">
        <f aca="false">IF(G905="","",E905-D905)</f>
        <v/>
      </c>
      <c r="G905" s="0" t="str">
        <f aca="false">IFERROR(INDEX(Calc!$S$2:$S$1001,MATCH(ROW()-1,Calc!$X$2:$X$1001,0)),"")</f>
        <v/>
      </c>
    </row>
    <row r="906" customFormat="false" ht="15" hidden="false" customHeight="false" outlineLevel="0" collapsed="false">
      <c r="A906" s="0" t="str">
        <f aca="false">IFERROR(INDEX(Calc!$L$2:$L$1001,MATCH(ROW()-1,Calc!$X$2:$X$1001,0)),"")</f>
        <v/>
      </c>
      <c r="B906" s="0" t="str">
        <f aca="false">IFERROR(INDEX(Calc!$M$2:$M$1001,MATCH(ROW()-1,Calc!$X$2:$X$1001,0)),"")</f>
        <v/>
      </c>
      <c r="C906" s="0" t="str">
        <f aca="false">IFERROR(INDEX(Calc!$N$2:$N$1001,MATCH(ROW()-1,Calc!$X$2:$X$1001,0)),"")</f>
        <v/>
      </c>
      <c r="D906" s="3" t="str">
        <f aca="false">IFERROR(INDEX(Calc!$O$2:$O$1001,MATCH(ROW()-1,Calc!$X$2:$X$1001,0)),"")</f>
        <v/>
      </c>
      <c r="E906" s="3" t="str">
        <f aca="false">IFERROR(INDEX(Calc!$P$2:$P$1001,MATCH(ROW()-1,Calc!$X$2:$X$1001,0)),"")</f>
        <v/>
      </c>
      <c r="F906" s="3" t="str">
        <f aca="false">IF(G906="","",E906-D906)</f>
        <v/>
      </c>
      <c r="G906" s="0" t="str">
        <f aca="false">IFERROR(INDEX(Calc!$S$2:$S$1001,MATCH(ROW()-1,Calc!$X$2:$X$1001,0)),"")</f>
        <v/>
      </c>
    </row>
    <row r="907" customFormat="false" ht="15" hidden="false" customHeight="false" outlineLevel="0" collapsed="false">
      <c r="A907" s="0" t="str">
        <f aca="false">IFERROR(INDEX(Calc!$L$2:$L$1001,MATCH(ROW()-1,Calc!$X$2:$X$1001,0)),"")</f>
        <v/>
      </c>
      <c r="B907" s="0" t="str">
        <f aca="false">IFERROR(INDEX(Calc!$M$2:$M$1001,MATCH(ROW()-1,Calc!$X$2:$X$1001,0)),"")</f>
        <v/>
      </c>
      <c r="C907" s="0" t="str">
        <f aca="false">IFERROR(INDEX(Calc!$N$2:$N$1001,MATCH(ROW()-1,Calc!$X$2:$X$1001,0)),"")</f>
        <v/>
      </c>
      <c r="D907" s="3" t="str">
        <f aca="false">IFERROR(INDEX(Calc!$O$2:$O$1001,MATCH(ROW()-1,Calc!$X$2:$X$1001,0)),"")</f>
        <v/>
      </c>
      <c r="E907" s="3" t="str">
        <f aca="false">IFERROR(INDEX(Calc!$P$2:$P$1001,MATCH(ROW()-1,Calc!$X$2:$X$1001,0)),"")</f>
        <v/>
      </c>
      <c r="F907" s="3" t="str">
        <f aca="false">IF(G907="","",E907-D907)</f>
        <v/>
      </c>
      <c r="G907" s="0" t="str">
        <f aca="false">IFERROR(INDEX(Calc!$S$2:$S$1001,MATCH(ROW()-1,Calc!$X$2:$X$1001,0)),"")</f>
        <v/>
      </c>
    </row>
    <row r="908" customFormat="false" ht="15" hidden="false" customHeight="false" outlineLevel="0" collapsed="false">
      <c r="A908" s="0" t="str">
        <f aca="false">IFERROR(INDEX(Calc!$L$2:$L$1001,MATCH(ROW()-1,Calc!$X$2:$X$1001,0)),"")</f>
        <v/>
      </c>
      <c r="B908" s="0" t="str">
        <f aca="false">IFERROR(INDEX(Calc!$M$2:$M$1001,MATCH(ROW()-1,Calc!$X$2:$X$1001,0)),"")</f>
        <v/>
      </c>
      <c r="C908" s="0" t="str">
        <f aca="false">IFERROR(INDEX(Calc!$N$2:$N$1001,MATCH(ROW()-1,Calc!$X$2:$X$1001,0)),"")</f>
        <v/>
      </c>
      <c r="D908" s="3" t="str">
        <f aca="false">IFERROR(INDEX(Calc!$O$2:$O$1001,MATCH(ROW()-1,Calc!$X$2:$X$1001,0)),"")</f>
        <v/>
      </c>
      <c r="E908" s="3" t="str">
        <f aca="false">IFERROR(INDEX(Calc!$P$2:$P$1001,MATCH(ROW()-1,Calc!$X$2:$X$1001,0)),"")</f>
        <v/>
      </c>
      <c r="F908" s="3" t="str">
        <f aca="false">IF(G908="","",E908-D908)</f>
        <v/>
      </c>
      <c r="G908" s="0" t="str">
        <f aca="false">IFERROR(INDEX(Calc!$S$2:$S$1001,MATCH(ROW()-1,Calc!$X$2:$X$1001,0)),"")</f>
        <v/>
      </c>
    </row>
    <row r="909" customFormat="false" ht="15" hidden="false" customHeight="false" outlineLevel="0" collapsed="false">
      <c r="A909" s="0" t="str">
        <f aca="false">IFERROR(INDEX(Calc!$L$2:$L$1001,MATCH(ROW()-1,Calc!$X$2:$X$1001,0)),"")</f>
        <v/>
      </c>
      <c r="B909" s="0" t="str">
        <f aca="false">IFERROR(INDEX(Calc!$M$2:$M$1001,MATCH(ROW()-1,Calc!$X$2:$X$1001,0)),"")</f>
        <v/>
      </c>
      <c r="C909" s="0" t="str">
        <f aca="false">IFERROR(INDEX(Calc!$N$2:$N$1001,MATCH(ROW()-1,Calc!$X$2:$X$1001,0)),"")</f>
        <v/>
      </c>
      <c r="D909" s="3" t="str">
        <f aca="false">IFERROR(INDEX(Calc!$O$2:$O$1001,MATCH(ROW()-1,Calc!$X$2:$X$1001,0)),"")</f>
        <v/>
      </c>
      <c r="E909" s="3" t="str">
        <f aca="false">IFERROR(INDEX(Calc!$P$2:$P$1001,MATCH(ROW()-1,Calc!$X$2:$X$1001,0)),"")</f>
        <v/>
      </c>
      <c r="F909" s="3" t="str">
        <f aca="false">IF(G909="","",E909-D909)</f>
        <v/>
      </c>
      <c r="G909" s="0" t="str">
        <f aca="false">IFERROR(INDEX(Calc!$S$2:$S$1001,MATCH(ROW()-1,Calc!$X$2:$X$1001,0)),"")</f>
        <v/>
      </c>
    </row>
    <row r="910" customFormat="false" ht="15" hidden="false" customHeight="false" outlineLevel="0" collapsed="false">
      <c r="A910" s="0" t="str">
        <f aca="false">IFERROR(INDEX(Calc!$L$2:$L$1001,MATCH(ROW()-1,Calc!$X$2:$X$1001,0)),"")</f>
        <v/>
      </c>
      <c r="B910" s="0" t="str">
        <f aca="false">IFERROR(INDEX(Calc!$M$2:$M$1001,MATCH(ROW()-1,Calc!$X$2:$X$1001,0)),"")</f>
        <v/>
      </c>
      <c r="C910" s="0" t="str">
        <f aca="false">IFERROR(INDEX(Calc!$N$2:$N$1001,MATCH(ROW()-1,Calc!$X$2:$X$1001,0)),"")</f>
        <v/>
      </c>
      <c r="D910" s="3" t="str">
        <f aca="false">IFERROR(INDEX(Calc!$O$2:$O$1001,MATCH(ROW()-1,Calc!$X$2:$X$1001,0)),"")</f>
        <v/>
      </c>
      <c r="E910" s="3" t="str">
        <f aca="false">IFERROR(INDEX(Calc!$P$2:$P$1001,MATCH(ROW()-1,Calc!$X$2:$X$1001,0)),"")</f>
        <v/>
      </c>
      <c r="F910" s="3" t="str">
        <f aca="false">IF(G910="","",E910-D910)</f>
        <v/>
      </c>
      <c r="G910" s="0" t="str">
        <f aca="false">IFERROR(INDEX(Calc!$S$2:$S$1001,MATCH(ROW()-1,Calc!$X$2:$X$1001,0)),"")</f>
        <v/>
      </c>
    </row>
    <row r="911" customFormat="false" ht="15" hidden="false" customHeight="false" outlineLevel="0" collapsed="false">
      <c r="A911" s="0" t="str">
        <f aca="false">IFERROR(INDEX(Calc!$L$2:$L$1001,MATCH(ROW()-1,Calc!$X$2:$X$1001,0)),"")</f>
        <v/>
      </c>
      <c r="B911" s="0" t="str">
        <f aca="false">IFERROR(INDEX(Calc!$M$2:$M$1001,MATCH(ROW()-1,Calc!$X$2:$X$1001,0)),"")</f>
        <v/>
      </c>
      <c r="C911" s="0" t="str">
        <f aca="false">IFERROR(INDEX(Calc!$N$2:$N$1001,MATCH(ROW()-1,Calc!$X$2:$X$1001,0)),"")</f>
        <v/>
      </c>
      <c r="D911" s="3" t="str">
        <f aca="false">IFERROR(INDEX(Calc!$O$2:$O$1001,MATCH(ROW()-1,Calc!$X$2:$X$1001,0)),"")</f>
        <v/>
      </c>
      <c r="E911" s="3" t="str">
        <f aca="false">IFERROR(INDEX(Calc!$P$2:$P$1001,MATCH(ROW()-1,Calc!$X$2:$X$1001,0)),"")</f>
        <v/>
      </c>
      <c r="F911" s="3" t="str">
        <f aca="false">IF(G911="","",E911-D911)</f>
        <v/>
      </c>
      <c r="G911" s="0" t="str">
        <f aca="false">IFERROR(INDEX(Calc!$S$2:$S$1001,MATCH(ROW()-1,Calc!$X$2:$X$1001,0)),"")</f>
        <v/>
      </c>
    </row>
    <row r="912" customFormat="false" ht="15" hidden="false" customHeight="false" outlineLevel="0" collapsed="false">
      <c r="A912" s="0" t="str">
        <f aca="false">IFERROR(INDEX(Calc!$L$2:$L$1001,MATCH(ROW()-1,Calc!$X$2:$X$1001,0)),"")</f>
        <v/>
      </c>
      <c r="B912" s="0" t="str">
        <f aca="false">IFERROR(INDEX(Calc!$M$2:$M$1001,MATCH(ROW()-1,Calc!$X$2:$X$1001,0)),"")</f>
        <v/>
      </c>
      <c r="C912" s="0" t="str">
        <f aca="false">IFERROR(INDEX(Calc!$N$2:$N$1001,MATCH(ROW()-1,Calc!$X$2:$X$1001,0)),"")</f>
        <v/>
      </c>
      <c r="D912" s="3" t="str">
        <f aca="false">IFERROR(INDEX(Calc!$O$2:$O$1001,MATCH(ROW()-1,Calc!$X$2:$X$1001,0)),"")</f>
        <v/>
      </c>
      <c r="E912" s="3" t="str">
        <f aca="false">IFERROR(INDEX(Calc!$P$2:$P$1001,MATCH(ROW()-1,Calc!$X$2:$X$1001,0)),"")</f>
        <v/>
      </c>
      <c r="F912" s="3" t="str">
        <f aca="false">IF(G912="","",E912-D912)</f>
        <v/>
      </c>
      <c r="G912" s="0" t="str">
        <f aca="false">IFERROR(INDEX(Calc!$S$2:$S$1001,MATCH(ROW()-1,Calc!$X$2:$X$1001,0)),"")</f>
        <v/>
      </c>
    </row>
    <row r="913" customFormat="false" ht="15" hidden="false" customHeight="false" outlineLevel="0" collapsed="false">
      <c r="A913" s="0" t="str">
        <f aca="false">IFERROR(INDEX(Calc!$L$2:$L$1001,MATCH(ROW()-1,Calc!$X$2:$X$1001,0)),"")</f>
        <v/>
      </c>
      <c r="B913" s="0" t="str">
        <f aca="false">IFERROR(INDEX(Calc!$M$2:$M$1001,MATCH(ROW()-1,Calc!$X$2:$X$1001,0)),"")</f>
        <v/>
      </c>
      <c r="C913" s="0" t="str">
        <f aca="false">IFERROR(INDEX(Calc!$N$2:$N$1001,MATCH(ROW()-1,Calc!$X$2:$X$1001,0)),"")</f>
        <v/>
      </c>
      <c r="D913" s="3" t="str">
        <f aca="false">IFERROR(INDEX(Calc!$O$2:$O$1001,MATCH(ROW()-1,Calc!$X$2:$X$1001,0)),"")</f>
        <v/>
      </c>
      <c r="E913" s="3" t="str">
        <f aca="false">IFERROR(INDEX(Calc!$P$2:$P$1001,MATCH(ROW()-1,Calc!$X$2:$X$1001,0)),"")</f>
        <v/>
      </c>
      <c r="F913" s="3" t="str">
        <f aca="false">IF(G913="","",E913-D913)</f>
        <v/>
      </c>
      <c r="G913" s="0" t="str">
        <f aca="false">IFERROR(INDEX(Calc!$S$2:$S$1001,MATCH(ROW()-1,Calc!$X$2:$X$1001,0)),"")</f>
        <v/>
      </c>
    </row>
    <row r="914" customFormat="false" ht="15" hidden="false" customHeight="false" outlineLevel="0" collapsed="false">
      <c r="A914" s="0" t="str">
        <f aca="false">IFERROR(INDEX(Calc!$L$2:$L$1001,MATCH(ROW()-1,Calc!$X$2:$X$1001,0)),"")</f>
        <v/>
      </c>
      <c r="B914" s="0" t="str">
        <f aca="false">IFERROR(INDEX(Calc!$M$2:$M$1001,MATCH(ROW()-1,Calc!$X$2:$X$1001,0)),"")</f>
        <v/>
      </c>
      <c r="C914" s="0" t="str">
        <f aca="false">IFERROR(INDEX(Calc!$N$2:$N$1001,MATCH(ROW()-1,Calc!$X$2:$X$1001,0)),"")</f>
        <v/>
      </c>
      <c r="D914" s="3" t="str">
        <f aca="false">IFERROR(INDEX(Calc!$O$2:$O$1001,MATCH(ROW()-1,Calc!$X$2:$X$1001,0)),"")</f>
        <v/>
      </c>
      <c r="E914" s="3" t="str">
        <f aca="false">IFERROR(INDEX(Calc!$P$2:$P$1001,MATCH(ROW()-1,Calc!$X$2:$X$1001,0)),"")</f>
        <v/>
      </c>
      <c r="F914" s="3" t="str">
        <f aca="false">IF(G914="","",E914-D914)</f>
        <v/>
      </c>
      <c r="G914" s="0" t="str">
        <f aca="false">IFERROR(INDEX(Calc!$S$2:$S$1001,MATCH(ROW()-1,Calc!$X$2:$X$1001,0)),"")</f>
        <v/>
      </c>
    </row>
    <row r="915" customFormat="false" ht="15" hidden="false" customHeight="false" outlineLevel="0" collapsed="false">
      <c r="A915" s="0" t="str">
        <f aca="false">IFERROR(INDEX(Calc!$L$2:$L$1001,MATCH(ROW()-1,Calc!$X$2:$X$1001,0)),"")</f>
        <v/>
      </c>
      <c r="B915" s="0" t="str">
        <f aca="false">IFERROR(INDEX(Calc!$M$2:$M$1001,MATCH(ROW()-1,Calc!$X$2:$X$1001,0)),"")</f>
        <v/>
      </c>
      <c r="C915" s="0" t="str">
        <f aca="false">IFERROR(INDEX(Calc!$N$2:$N$1001,MATCH(ROW()-1,Calc!$X$2:$X$1001,0)),"")</f>
        <v/>
      </c>
      <c r="D915" s="3" t="str">
        <f aca="false">IFERROR(INDEX(Calc!$O$2:$O$1001,MATCH(ROW()-1,Calc!$X$2:$X$1001,0)),"")</f>
        <v/>
      </c>
      <c r="E915" s="3" t="str">
        <f aca="false">IFERROR(INDEX(Calc!$P$2:$P$1001,MATCH(ROW()-1,Calc!$X$2:$X$1001,0)),"")</f>
        <v/>
      </c>
      <c r="F915" s="3" t="str">
        <f aca="false">IF(G915="","",E915-D915)</f>
        <v/>
      </c>
      <c r="G915" s="0" t="str">
        <f aca="false">IFERROR(INDEX(Calc!$S$2:$S$1001,MATCH(ROW()-1,Calc!$X$2:$X$1001,0)),"")</f>
        <v/>
      </c>
    </row>
    <row r="916" customFormat="false" ht="15" hidden="false" customHeight="false" outlineLevel="0" collapsed="false">
      <c r="A916" s="0" t="str">
        <f aca="false">IFERROR(INDEX(Calc!$L$2:$L$1001,MATCH(ROW()-1,Calc!$X$2:$X$1001,0)),"")</f>
        <v/>
      </c>
      <c r="B916" s="0" t="str">
        <f aca="false">IFERROR(INDEX(Calc!$M$2:$M$1001,MATCH(ROW()-1,Calc!$X$2:$X$1001,0)),"")</f>
        <v/>
      </c>
      <c r="C916" s="0" t="str">
        <f aca="false">IFERROR(INDEX(Calc!$N$2:$N$1001,MATCH(ROW()-1,Calc!$X$2:$X$1001,0)),"")</f>
        <v/>
      </c>
      <c r="D916" s="3" t="str">
        <f aca="false">IFERROR(INDEX(Calc!$O$2:$O$1001,MATCH(ROW()-1,Calc!$X$2:$X$1001,0)),"")</f>
        <v/>
      </c>
      <c r="E916" s="3" t="str">
        <f aca="false">IFERROR(INDEX(Calc!$P$2:$P$1001,MATCH(ROW()-1,Calc!$X$2:$X$1001,0)),"")</f>
        <v/>
      </c>
      <c r="F916" s="3" t="str">
        <f aca="false">IF(G916="","",E916-D916)</f>
        <v/>
      </c>
      <c r="G916" s="0" t="str">
        <f aca="false">IFERROR(INDEX(Calc!$S$2:$S$1001,MATCH(ROW()-1,Calc!$X$2:$X$1001,0)),"")</f>
        <v/>
      </c>
    </row>
    <row r="917" customFormat="false" ht="15" hidden="false" customHeight="false" outlineLevel="0" collapsed="false">
      <c r="A917" s="0" t="str">
        <f aca="false">IFERROR(INDEX(Calc!$L$2:$L$1001,MATCH(ROW()-1,Calc!$X$2:$X$1001,0)),"")</f>
        <v/>
      </c>
      <c r="B917" s="0" t="str">
        <f aca="false">IFERROR(INDEX(Calc!$M$2:$M$1001,MATCH(ROW()-1,Calc!$X$2:$X$1001,0)),"")</f>
        <v/>
      </c>
      <c r="C917" s="0" t="str">
        <f aca="false">IFERROR(INDEX(Calc!$N$2:$N$1001,MATCH(ROW()-1,Calc!$X$2:$X$1001,0)),"")</f>
        <v/>
      </c>
      <c r="D917" s="3" t="str">
        <f aca="false">IFERROR(INDEX(Calc!$O$2:$O$1001,MATCH(ROW()-1,Calc!$X$2:$X$1001,0)),"")</f>
        <v/>
      </c>
      <c r="E917" s="3" t="str">
        <f aca="false">IFERROR(INDEX(Calc!$P$2:$P$1001,MATCH(ROW()-1,Calc!$X$2:$X$1001,0)),"")</f>
        <v/>
      </c>
      <c r="F917" s="3" t="str">
        <f aca="false">IF(G917="","",E917-D917)</f>
        <v/>
      </c>
      <c r="G917" s="0" t="str">
        <f aca="false">IFERROR(INDEX(Calc!$S$2:$S$1001,MATCH(ROW()-1,Calc!$X$2:$X$1001,0)),"")</f>
        <v/>
      </c>
    </row>
    <row r="918" customFormat="false" ht="15" hidden="false" customHeight="false" outlineLevel="0" collapsed="false">
      <c r="A918" s="0" t="str">
        <f aca="false">IFERROR(INDEX(Calc!$L$2:$L$1001,MATCH(ROW()-1,Calc!$X$2:$X$1001,0)),"")</f>
        <v/>
      </c>
      <c r="B918" s="0" t="str">
        <f aca="false">IFERROR(INDEX(Calc!$M$2:$M$1001,MATCH(ROW()-1,Calc!$X$2:$X$1001,0)),"")</f>
        <v/>
      </c>
      <c r="C918" s="0" t="str">
        <f aca="false">IFERROR(INDEX(Calc!$N$2:$N$1001,MATCH(ROW()-1,Calc!$X$2:$X$1001,0)),"")</f>
        <v/>
      </c>
      <c r="D918" s="3" t="str">
        <f aca="false">IFERROR(INDEX(Calc!$O$2:$O$1001,MATCH(ROW()-1,Calc!$X$2:$X$1001,0)),"")</f>
        <v/>
      </c>
      <c r="E918" s="3" t="str">
        <f aca="false">IFERROR(INDEX(Calc!$P$2:$P$1001,MATCH(ROW()-1,Calc!$X$2:$X$1001,0)),"")</f>
        <v/>
      </c>
      <c r="F918" s="3" t="str">
        <f aca="false">IF(G918="","",E918-D918)</f>
        <v/>
      </c>
      <c r="G918" s="0" t="str">
        <f aca="false">IFERROR(INDEX(Calc!$S$2:$S$1001,MATCH(ROW()-1,Calc!$X$2:$X$1001,0)),"")</f>
        <v/>
      </c>
    </row>
    <row r="919" customFormat="false" ht="15" hidden="false" customHeight="false" outlineLevel="0" collapsed="false">
      <c r="A919" s="0" t="str">
        <f aca="false">IFERROR(INDEX(Calc!$L$2:$L$1001,MATCH(ROW()-1,Calc!$X$2:$X$1001,0)),"")</f>
        <v/>
      </c>
      <c r="B919" s="0" t="str">
        <f aca="false">IFERROR(INDEX(Calc!$M$2:$M$1001,MATCH(ROW()-1,Calc!$X$2:$X$1001,0)),"")</f>
        <v/>
      </c>
      <c r="C919" s="0" t="str">
        <f aca="false">IFERROR(INDEX(Calc!$N$2:$N$1001,MATCH(ROW()-1,Calc!$X$2:$X$1001,0)),"")</f>
        <v/>
      </c>
      <c r="D919" s="3" t="str">
        <f aca="false">IFERROR(INDEX(Calc!$O$2:$O$1001,MATCH(ROW()-1,Calc!$X$2:$X$1001,0)),"")</f>
        <v/>
      </c>
      <c r="E919" s="3" t="str">
        <f aca="false">IFERROR(INDEX(Calc!$P$2:$P$1001,MATCH(ROW()-1,Calc!$X$2:$X$1001,0)),"")</f>
        <v/>
      </c>
      <c r="F919" s="3" t="str">
        <f aca="false">IF(G919="","",E919-D919)</f>
        <v/>
      </c>
      <c r="G919" s="0" t="str">
        <f aca="false">IFERROR(INDEX(Calc!$S$2:$S$1001,MATCH(ROW()-1,Calc!$X$2:$X$1001,0)),"")</f>
        <v/>
      </c>
    </row>
    <row r="920" customFormat="false" ht="15" hidden="false" customHeight="false" outlineLevel="0" collapsed="false">
      <c r="A920" s="0" t="str">
        <f aca="false">IFERROR(INDEX(Calc!$L$2:$L$1001,MATCH(ROW()-1,Calc!$X$2:$X$1001,0)),"")</f>
        <v/>
      </c>
      <c r="B920" s="0" t="str">
        <f aca="false">IFERROR(INDEX(Calc!$M$2:$M$1001,MATCH(ROW()-1,Calc!$X$2:$X$1001,0)),"")</f>
        <v/>
      </c>
      <c r="C920" s="0" t="str">
        <f aca="false">IFERROR(INDEX(Calc!$N$2:$N$1001,MATCH(ROW()-1,Calc!$X$2:$X$1001,0)),"")</f>
        <v/>
      </c>
      <c r="D920" s="3" t="str">
        <f aca="false">IFERROR(INDEX(Calc!$O$2:$O$1001,MATCH(ROW()-1,Calc!$X$2:$X$1001,0)),"")</f>
        <v/>
      </c>
      <c r="E920" s="3" t="str">
        <f aca="false">IFERROR(INDEX(Calc!$P$2:$P$1001,MATCH(ROW()-1,Calc!$X$2:$X$1001,0)),"")</f>
        <v/>
      </c>
      <c r="F920" s="3" t="str">
        <f aca="false">IF(G920="","",E920-D920)</f>
        <v/>
      </c>
      <c r="G920" s="0" t="str">
        <f aca="false">IFERROR(INDEX(Calc!$S$2:$S$1001,MATCH(ROW()-1,Calc!$X$2:$X$1001,0)),"")</f>
        <v/>
      </c>
    </row>
    <row r="921" customFormat="false" ht="15" hidden="false" customHeight="false" outlineLevel="0" collapsed="false">
      <c r="A921" s="0" t="str">
        <f aca="false">IFERROR(INDEX(Calc!$L$2:$L$1001,MATCH(ROW()-1,Calc!$X$2:$X$1001,0)),"")</f>
        <v/>
      </c>
      <c r="B921" s="0" t="str">
        <f aca="false">IFERROR(INDEX(Calc!$M$2:$M$1001,MATCH(ROW()-1,Calc!$X$2:$X$1001,0)),"")</f>
        <v/>
      </c>
      <c r="C921" s="0" t="str">
        <f aca="false">IFERROR(INDEX(Calc!$N$2:$N$1001,MATCH(ROW()-1,Calc!$X$2:$X$1001,0)),"")</f>
        <v/>
      </c>
      <c r="D921" s="3" t="str">
        <f aca="false">IFERROR(INDEX(Calc!$O$2:$O$1001,MATCH(ROW()-1,Calc!$X$2:$X$1001,0)),"")</f>
        <v/>
      </c>
      <c r="E921" s="3" t="str">
        <f aca="false">IFERROR(INDEX(Calc!$P$2:$P$1001,MATCH(ROW()-1,Calc!$X$2:$X$1001,0)),"")</f>
        <v/>
      </c>
      <c r="F921" s="3" t="str">
        <f aca="false">IF(G921="","",E921-D921)</f>
        <v/>
      </c>
      <c r="G921" s="0" t="str">
        <f aca="false">IFERROR(INDEX(Calc!$S$2:$S$1001,MATCH(ROW()-1,Calc!$X$2:$X$1001,0)),"")</f>
        <v/>
      </c>
    </row>
    <row r="922" customFormat="false" ht="15" hidden="false" customHeight="false" outlineLevel="0" collapsed="false">
      <c r="A922" s="0" t="str">
        <f aca="false">IFERROR(INDEX(Calc!$L$2:$L$1001,MATCH(ROW()-1,Calc!$X$2:$X$1001,0)),"")</f>
        <v/>
      </c>
      <c r="B922" s="0" t="str">
        <f aca="false">IFERROR(INDEX(Calc!$M$2:$M$1001,MATCH(ROW()-1,Calc!$X$2:$X$1001,0)),"")</f>
        <v/>
      </c>
      <c r="C922" s="0" t="str">
        <f aca="false">IFERROR(INDEX(Calc!$N$2:$N$1001,MATCH(ROW()-1,Calc!$X$2:$X$1001,0)),"")</f>
        <v/>
      </c>
      <c r="D922" s="3" t="str">
        <f aca="false">IFERROR(INDEX(Calc!$O$2:$O$1001,MATCH(ROW()-1,Calc!$X$2:$X$1001,0)),"")</f>
        <v/>
      </c>
      <c r="E922" s="3" t="str">
        <f aca="false">IFERROR(INDEX(Calc!$P$2:$P$1001,MATCH(ROW()-1,Calc!$X$2:$X$1001,0)),"")</f>
        <v/>
      </c>
      <c r="F922" s="3" t="str">
        <f aca="false">IF(G922="","",E922-D922)</f>
        <v/>
      </c>
      <c r="G922" s="0" t="str">
        <f aca="false">IFERROR(INDEX(Calc!$S$2:$S$1001,MATCH(ROW()-1,Calc!$X$2:$X$1001,0)),"")</f>
        <v/>
      </c>
    </row>
    <row r="923" customFormat="false" ht="15" hidden="false" customHeight="false" outlineLevel="0" collapsed="false">
      <c r="A923" s="0" t="str">
        <f aca="false">IFERROR(INDEX(Calc!$L$2:$L$1001,MATCH(ROW()-1,Calc!$X$2:$X$1001,0)),"")</f>
        <v/>
      </c>
      <c r="B923" s="0" t="str">
        <f aca="false">IFERROR(INDEX(Calc!$M$2:$M$1001,MATCH(ROW()-1,Calc!$X$2:$X$1001,0)),"")</f>
        <v/>
      </c>
      <c r="C923" s="0" t="str">
        <f aca="false">IFERROR(INDEX(Calc!$N$2:$N$1001,MATCH(ROW()-1,Calc!$X$2:$X$1001,0)),"")</f>
        <v/>
      </c>
      <c r="D923" s="3" t="str">
        <f aca="false">IFERROR(INDEX(Calc!$O$2:$O$1001,MATCH(ROW()-1,Calc!$X$2:$X$1001,0)),"")</f>
        <v/>
      </c>
      <c r="E923" s="3" t="str">
        <f aca="false">IFERROR(INDEX(Calc!$P$2:$P$1001,MATCH(ROW()-1,Calc!$X$2:$X$1001,0)),"")</f>
        <v/>
      </c>
      <c r="F923" s="3" t="str">
        <f aca="false">IF(G923="","",E923-D923)</f>
        <v/>
      </c>
      <c r="G923" s="0" t="str">
        <f aca="false">IFERROR(INDEX(Calc!$S$2:$S$1001,MATCH(ROW()-1,Calc!$X$2:$X$1001,0)),"")</f>
        <v/>
      </c>
    </row>
    <row r="924" customFormat="false" ht="15" hidden="false" customHeight="false" outlineLevel="0" collapsed="false">
      <c r="A924" s="0" t="str">
        <f aca="false">IFERROR(INDEX(Calc!$L$2:$L$1001,MATCH(ROW()-1,Calc!$X$2:$X$1001,0)),"")</f>
        <v/>
      </c>
      <c r="B924" s="0" t="str">
        <f aca="false">IFERROR(INDEX(Calc!$M$2:$M$1001,MATCH(ROW()-1,Calc!$X$2:$X$1001,0)),"")</f>
        <v/>
      </c>
      <c r="C924" s="0" t="str">
        <f aca="false">IFERROR(INDEX(Calc!$N$2:$N$1001,MATCH(ROW()-1,Calc!$X$2:$X$1001,0)),"")</f>
        <v/>
      </c>
      <c r="D924" s="3" t="str">
        <f aca="false">IFERROR(INDEX(Calc!$O$2:$O$1001,MATCH(ROW()-1,Calc!$X$2:$X$1001,0)),"")</f>
        <v/>
      </c>
      <c r="E924" s="3" t="str">
        <f aca="false">IFERROR(INDEX(Calc!$P$2:$P$1001,MATCH(ROW()-1,Calc!$X$2:$X$1001,0)),"")</f>
        <v/>
      </c>
      <c r="F924" s="3" t="str">
        <f aca="false">IF(G924="","",E924-D924)</f>
        <v/>
      </c>
      <c r="G924" s="0" t="str">
        <f aca="false">IFERROR(INDEX(Calc!$S$2:$S$1001,MATCH(ROW()-1,Calc!$X$2:$X$1001,0)),"")</f>
        <v/>
      </c>
    </row>
    <row r="925" customFormat="false" ht="15" hidden="false" customHeight="false" outlineLevel="0" collapsed="false">
      <c r="A925" s="0" t="str">
        <f aca="false">IFERROR(INDEX(Calc!$L$2:$L$1001,MATCH(ROW()-1,Calc!$X$2:$X$1001,0)),"")</f>
        <v/>
      </c>
      <c r="B925" s="0" t="str">
        <f aca="false">IFERROR(INDEX(Calc!$M$2:$M$1001,MATCH(ROW()-1,Calc!$X$2:$X$1001,0)),"")</f>
        <v/>
      </c>
      <c r="C925" s="0" t="str">
        <f aca="false">IFERROR(INDEX(Calc!$N$2:$N$1001,MATCH(ROW()-1,Calc!$X$2:$X$1001,0)),"")</f>
        <v/>
      </c>
      <c r="D925" s="3" t="str">
        <f aca="false">IFERROR(INDEX(Calc!$O$2:$O$1001,MATCH(ROW()-1,Calc!$X$2:$X$1001,0)),"")</f>
        <v/>
      </c>
      <c r="E925" s="3" t="str">
        <f aca="false">IFERROR(INDEX(Calc!$P$2:$P$1001,MATCH(ROW()-1,Calc!$X$2:$X$1001,0)),"")</f>
        <v/>
      </c>
      <c r="F925" s="3" t="str">
        <f aca="false">IF(G925="","",E925-D925)</f>
        <v/>
      </c>
      <c r="G925" s="0" t="str">
        <f aca="false">IFERROR(INDEX(Calc!$S$2:$S$1001,MATCH(ROW()-1,Calc!$X$2:$X$1001,0)),"")</f>
        <v/>
      </c>
    </row>
    <row r="926" customFormat="false" ht="15" hidden="false" customHeight="false" outlineLevel="0" collapsed="false">
      <c r="A926" s="0" t="str">
        <f aca="false">IFERROR(INDEX(Calc!$L$2:$L$1001,MATCH(ROW()-1,Calc!$X$2:$X$1001,0)),"")</f>
        <v/>
      </c>
      <c r="B926" s="0" t="str">
        <f aca="false">IFERROR(INDEX(Calc!$M$2:$M$1001,MATCH(ROW()-1,Calc!$X$2:$X$1001,0)),"")</f>
        <v/>
      </c>
      <c r="C926" s="0" t="str">
        <f aca="false">IFERROR(INDEX(Calc!$N$2:$N$1001,MATCH(ROW()-1,Calc!$X$2:$X$1001,0)),"")</f>
        <v/>
      </c>
      <c r="D926" s="3" t="str">
        <f aca="false">IFERROR(INDEX(Calc!$O$2:$O$1001,MATCH(ROW()-1,Calc!$X$2:$X$1001,0)),"")</f>
        <v/>
      </c>
      <c r="E926" s="3" t="str">
        <f aca="false">IFERROR(INDEX(Calc!$P$2:$P$1001,MATCH(ROW()-1,Calc!$X$2:$X$1001,0)),"")</f>
        <v/>
      </c>
      <c r="F926" s="3" t="str">
        <f aca="false">IF(G926="","",E926-D926)</f>
        <v/>
      </c>
      <c r="G926" s="0" t="str">
        <f aca="false">IFERROR(INDEX(Calc!$S$2:$S$1001,MATCH(ROW()-1,Calc!$X$2:$X$1001,0)),"")</f>
        <v/>
      </c>
    </row>
    <row r="927" customFormat="false" ht="15" hidden="false" customHeight="false" outlineLevel="0" collapsed="false">
      <c r="A927" s="0" t="str">
        <f aca="false">IFERROR(INDEX(Calc!$L$2:$L$1001,MATCH(ROW()-1,Calc!$X$2:$X$1001,0)),"")</f>
        <v/>
      </c>
      <c r="B927" s="0" t="str">
        <f aca="false">IFERROR(INDEX(Calc!$M$2:$M$1001,MATCH(ROW()-1,Calc!$X$2:$X$1001,0)),"")</f>
        <v/>
      </c>
      <c r="C927" s="0" t="str">
        <f aca="false">IFERROR(INDEX(Calc!$N$2:$N$1001,MATCH(ROW()-1,Calc!$X$2:$X$1001,0)),"")</f>
        <v/>
      </c>
      <c r="D927" s="3" t="str">
        <f aca="false">IFERROR(INDEX(Calc!$O$2:$O$1001,MATCH(ROW()-1,Calc!$X$2:$X$1001,0)),"")</f>
        <v/>
      </c>
      <c r="E927" s="3" t="str">
        <f aca="false">IFERROR(INDEX(Calc!$P$2:$P$1001,MATCH(ROW()-1,Calc!$X$2:$X$1001,0)),"")</f>
        <v/>
      </c>
      <c r="F927" s="3" t="str">
        <f aca="false">IF(G927="","",E927-D927)</f>
        <v/>
      </c>
      <c r="G927" s="0" t="str">
        <f aca="false">IFERROR(INDEX(Calc!$S$2:$S$1001,MATCH(ROW()-1,Calc!$X$2:$X$1001,0)),"")</f>
        <v/>
      </c>
    </row>
    <row r="928" customFormat="false" ht="15" hidden="false" customHeight="false" outlineLevel="0" collapsed="false">
      <c r="A928" s="0" t="str">
        <f aca="false">IFERROR(INDEX(Calc!$L$2:$L$1001,MATCH(ROW()-1,Calc!$X$2:$X$1001,0)),"")</f>
        <v/>
      </c>
      <c r="B928" s="0" t="str">
        <f aca="false">IFERROR(INDEX(Calc!$M$2:$M$1001,MATCH(ROW()-1,Calc!$X$2:$X$1001,0)),"")</f>
        <v/>
      </c>
      <c r="C928" s="0" t="str">
        <f aca="false">IFERROR(INDEX(Calc!$N$2:$N$1001,MATCH(ROW()-1,Calc!$X$2:$X$1001,0)),"")</f>
        <v/>
      </c>
      <c r="D928" s="3" t="str">
        <f aca="false">IFERROR(INDEX(Calc!$O$2:$O$1001,MATCH(ROW()-1,Calc!$X$2:$X$1001,0)),"")</f>
        <v/>
      </c>
      <c r="E928" s="3" t="str">
        <f aca="false">IFERROR(INDEX(Calc!$P$2:$P$1001,MATCH(ROW()-1,Calc!$X$2:$X$1001,0)),"")</f>
        <v/>
      </c>
      <c r="F928" s="3" t="str">
        <f aca="false">IF(G928="","",E928-D928)</f>
        <v/>
      </c>
      <c r="G928" s="0" t="str">
        <f aca="false">IFERROR(INDEX(Calc!$S$2:$S$1001,MATCH(ROW()-1,Calc!$X$2:$X$1001,0)),"")</f>
        <v/>
      </c>
    </row>
    <row r="929" customFormat="false" ht="15" hidden="false" customHeight="false" outlineLevel="0" collapsed="false">
      <c r="A929" s="0" t="str">
        <f aca="false">IFERROR(INDEX(Calc!$L$2:$L$1001,MATCH(ROW()-1,Calc!$X$2:$X$1001,0)),"")</f>
        <v/>
      </c>
      <c r="B929" s="0" t="str">
        <f aca="false">IFERROR(INDEX(Calc!$M$2:$M$1001,MATCH(ROW()-1,Calc!$X$2:$X$1001,0)),"")</f>
        <v/>
      </c>
      <c r="C929" s="0" t="str">
        <f aca="false">IFERROR(INDEX(Calc!$N$2:$N$1001,MATCH(ROW()-1,Calc!$X$2:$X$1001,0)),"")</f>
        <v/>
      </c>
      <c r="D929" s="3" t="str">
        <f aca="false">IFERROR(INDEX(Calc!$O$2:$O$1001,MATCH(ROW()-1,Calc!$X$2:$X$1001,0)),"")</f>
        <v/>
      </c>
      <c r="E929" s="3" t="str">
        <f aca="false">IFERROR(INDEX(Calc!$P$2:$P$1001,MATCH(ROW()-1,Calc!$X$2:$X$1001,0)),"")</f>
        <v/>
      </c>
      <c r="F929" s="3" t="str">
        <f aca="false">IF(G929="","",E929-D929)</f>
        <v/>
      </c>
      <c r="G929" s="0" t="str">
        <f aca="false">IFERROR(INDEX(Calc!$S$2:$S$1001,MATCH(ROW()-1,Calc!$X$2:$X$1001,0)),"")</f>
        <v/>
      </c>
    </row>
    <row r="930" customFormat="false" ht="15" hidden="false" customHeight="false" outlineLevel="0" collapsed="false">
      <c r="A930" s="0" t="str">
        <f aca="false">IFERROR(INDEX(Calc!$L$2:$L$1001,MATCH(ROW()-1,Calc!$X$2:$X$1001,0)),"")</f>
        <v/>
      </c>
      <c r="B930" s="0" t="str">
        <f aca="false">IFERROR(INDEX(Calc!$M$2:$M$1001,MATCH(ROW()-1,Calc!$X$2:$X$1001,0)),"")</f>
        <v/>
      </c>
      <c r="C930" s="0" t="str">
        <f aca="false">IFERROR(INDEX(Calc!$N$2:$N$1001,MATCH(ROW()-1,Calc!$X$2:$X$1001,0)),"")</f>
        <v/>
      </c>
      <c r="D930" s="3" t="str">
        <f aca="false">IFERROR(INDEX(Calc!$O$2:$O$1001,MATCH(ROW()-1,Calc!$X$2:$X$1001,0)),"")</f>
        <v/>
      </c>
      <c r="E930" s="3" t="str">
        <f aca="false">IFERROR(INDEX(Calc!$P$2:$P$1001,MATCH(ROW()-1,Calc!$X$2:$X$1001,0)),"")</f>
        <v/>
      </c>
      <c r="F930" s="3" t="str">
        <f aca="false">IF(G930="","",E930-D930)</f>
        <v/>
      </c>
      <c r="G930" s="0" t="str">
        <f aca="false">IFERROR(INDEX(Calc!$S$2:$S$1001,MATCH(ROW()-1,Calc!$X$2:$X$1001,0)),"")</f>
        <v/>
      </c>
    </row>
    <row r="931" customFormat="false" ht="15" hidden="false" customHeight="false" outlineLevel="0" collapsed="false">
      <c r="A931" s="0" t="str">
        <f aca="false">IFERROR(INDEX(Calc!$L$2:$L$1001,MATCH(ROW()-1,Calc!$X$2:$X$1001,0)),"")</f>
        <v/>
      </c>
      <c r="B931" s="0" t="str">
        <f aca="false">IFERROR(INDEX(Calc!$M$2:$M$1001,MATCH(ROW()-1,Calc!$X$2:$X$1001,0)),"")</f>
        <v/>
      </c>
      <c r="C931" s="0" t="str">
        <f aca="false">IFERROR(INDEX(Calc!$N$2:$N$1001,MATCH(ROW()-1,Calc!$X$2:$X$1001,0)),"")</f>
        <v/>
      </c>
      <c r="D931" s="3" t="str">
        <f aca="false">IFERROR(INDEX(Calc!$O$2:$O$1001,MATCH(ROW()-1,Calc!$X$2:$X$1001,0)),"")</f>
        <v/>
      </c>
      <c r="E931" s="3" t="str">
        <f aca="false">IFERROR(INDEX(Calc!$P$2:$P$1001,MATCH(ROW()-1,Calc!$X$2:$X$1001,0)),"")</f>
        <v/>
      </c>
      <c r="F931" s="3" t="str">
        <f aca="false">IF(G931="","",E931-D931)</f>
        <v/>
      </c>
      <c r="G931" s="0" t="str">
        <f aca="false">IFERROR(INDEX(Calc!$S$2:$S$1001,MATCH(ROW()-1,Calc!$X$2:$X$1001,0)),"")</f>
        <v/>
      </c>
    </row>
    <row r="932" customFormat="false" ht="15" hidden="false" customHeight="false" outlineLevel="0" collapsed="false">
      <c r="A932" s="0" t="str">
        <f aca="false">IFERROR(INDEX(Calc!$L$2:$L$1001,MATCH(ROW()-1,Calc!$X$2:$X$1001,0)),"")</f>
        <v/>
      </c>
      <c r="B932" s="0" t="str">
        <f aca="false">IFERROR(INDEX(Calc!$M$2:$M$1001,MATCH(ROW()-1,Calc!$X$2:$X$1001,0)),"")</f>
        <v/>
      </c>
      <c r="C932" s="0" t="str">
        <f aca="false">IFERROR(INDEX(Calc!$N$2:$N$1001,MATCH(ROW()-1,Calc!$X$2:$X$1001,0)),"")</f>
        <v/>
      </c>
      <c r="D932" s="3" t="str">
        <f aca="false">IFERROR(INDEX(Calc!$O$2:$O$1001,MATCH(ROW()-1,Calc!$X$2:$X$1001,0)),"")</f>
        <v/>
      </c>
      <c r="E932" s="3" t="str">
        <f aca="false">IFERROR(INDEX(Calc!$P$2:$P$1001,MATCH(ROW()-1,Calc!$X$2:$X$1001,0)),"")</f>
        <v/>
      </c>
      <c r="F932" s="3" t="str">
        <f aca="false">IF(G932="","",E932-D932)</f>
        <v/>
      </c>
      <c r="G932" s="0" t="str">
        <f aca="false">IFERROR(INDEX(Calc!$S$2:$S$1001,MATCH(ROW()-1,Calc!$X$2:$X$1001,0)),"")</f>
        <v/>
      </c>
    </row>
    <row r="933" customFormat="false" ht="15" hidden="false" customHeight="false" outlineLevel="0" collapsed="false">
      <c r="A933" s="0" t="str">
        <f aca="false">IFERROR(INDEX(Calc!$L$2:$L$1001,MATCH(ROW()-1,Calc!$X$2:$X$1001,0)),"")</f>
        <v/>
      </c>
      <c r="B933" s="0" t="str">
        <f aca="false">IFERROR(INDEX(Calc!$M$2:$M$1001,MATCH(ROW()-1,Calc!$X$2:$X$1001,0)),"")</f>
        <v/>
      </c>
      <c r="C933" s="0" t="str">
        <f aca="false">IFERROR(INDEX(Calc!$N$2:$N$1001,MATCH(ROW()-1,Calc!$X$2:$X$1001,0)),"")</f>
        <v/>
      </c>
      <c r="D933" s="3" t="str">
        <f aca="false">IFERROR(INDEX(Calc!$O$2:$O$1001,MATCH(ROW()-1,Calc!$X$2:$X$1001,0)),"")</f>
        <v/>
      </c>
      <c r="E933" s="3" t="str">
        <f aca="false">IFERROR(INDEX(Calc!$P$2:$P$1001,MATCH(ROW()-1,Calc!$X$2:$X$1001,0)),"")</f>
        <v/>
      </c>
      <c r="F933" s="3" t="str">
        <f aca="false">IF(G933="","",E933-D933)</f>
        <v/>
      </c>
      <c r="G933" s="0" t="str">
        <f aca="false">IFERROR(INDEX(Calc!$S$2:$S$1001,MATCH(ROW()-1,Calc!$X$2:$X$1001,0)),"")</f>
        <v/>
      </c>
    </row>
    <row r="934" customFormat="false" ht="15" hidden="false" customHeight="false" outlineLevel="0" collapsed="false">
      <c r="A934" s="0" t="str">
        <f aca="false">IFERROR(INDEX(Calc!$L$2:$L$1001,MATCH(ROW()-1,Calc!$X$2:$X$1001,0)),"")</f>
        <v/>
      </c>
      <c r="B934" s="0" t="str">
        <f aca="false">IFERROR(INDEX(Calc!$M$2:$M$1001,MATCH(ROW()-1,Calc!$X$2:$X$1001,0)),"")</f>
        <v/>
      </c>
      <c r="C934" s="0" t="str">
        <f aca="false">IFERROR(INDEX(Calc!$N$2:$N$1001,MATCH(ROW()-1,Calc!$X$2:$X$1001,0)),"")</f>
        <v/>
      </c>
      <c r="D934" s="3" t="str">
        <f aca="false">IFERROR(INDEX(Calc!$O$2:$O$1001,MATCH(ROW()-1,Calc!$X$2:$X$1001,0)),"")</f>
        <v/>
      </c>
      <c r="E934" s="3" t="str">
        <f aca="false">IFERROR(INDEX(Calc!$P$2:$P$1001,MATCH(ROW()-1,Calc!$X$2:$X$1001,0)),"")</f>
        <v/>
      </c>
      <c r="F934" s="3" t="str">
        <f aca="false">IF(G934="","",E934-D934)</f>
        <v/>
      </c>
      <c r="G934" s="0" t="str">
        <f aca="false">IFERROR(INDEX(Calc!$S$2:$S$1001,MATCH(ROW()-1,Calc!$X$2:$X$1001,0)),"")</f>
        <v/>
      </c>
    </row>
    <row r="935" customFormat="false" ht="15" hidden="false" customHeight="false" outlineLevel="0" collapsed="false">
      <c r="A935" s="0" t="str">
        <f aca="false">IFERROR(INDEX(Calc!$L$2:$L$1001,MATCH(ROW()-1,Calc!$X$2:$X$1001,0)),"")</f>
        <v/>
      </c>
      <c r="B935" s="0" t="str">
        <f aca="false">IFERROR(INDEX(Calc!$M$2:$M$1001,MATCH(ROW()-1,Calc!$X$2:$X$1001,0)),"")</f>
        <v/>
      </c>
      <c r="C935" s="0" t="str">
        <f aca="false">IFERROR(INDEX(Calc!$N$2:$N$1001,MATCH(ROW()-1,Calc!$X$2:$X$1001,0)),"")</f>
        <v/>
      </c>
      <c r="D935" s="3" t="str">
        <f aca="false">IFERROR(INDEX(Calc!$O$2:$O$1001,MATCH(ROW()-1,Calc!$X$2:$X$1001,0)),"")</f>
        <v/>
      </c>
      <c r="E935" s="3" t="str">
        <f aca="false">IFERROR(INDEX(Calc!$P$2:$P$1001,MATCH(ROW()-1,Calc!$X$2:$X$1001,0)),"")</f>
        <v/>
      </c>
      <c r="F935" s="3" t="str">
        <f aca="false">IF(G935="","",E935-D935)</f>
        <v/>
      </c>
      <c r="G935" s="0" t="str">
        <f aca="false">IFERROR(INDEX(Calc!$S$2:$S$1001,MATCH(ROW()-1,Calc!$X$2:$X$1001,0)),"")</f>
        <v/>
      </c>
    </row>
    <row r="936" customFormat="false" ht="15" hidden="false" customHeight="false" outlineLevel="0" collapsed="false">
      <c r="A936" s="0" t="str">
        <f aca="false">IFERROR(INDEX(Calc!$L$2:$L$1001,MATCH(ROW()-1,Calc!$X$2:$X$1001,0)),"")</f>
        <v/>
      </c>
      <c r="B936" s="0" t="str">
        <f aca="false">IFERROR(INDEX(Calc!$M$2:$M$1001,MATCH(ROW()-1,Calc!$X$2:$X$1001,0)),"")</f>
        <v/>
      </c>
      <c r="C936" s="0" t="str">
        <f aca="false">IFERROR(INDEX(Calc!$N$2:$N$1001,MATCH(ROW()-1,Calc!$X$2:$X$1001,0)),"")</f>
        <v/>
      </c>
      <c r="D936" s="3" t="str">
        <f aca="false">IFERROR(INDEX(Calc!$O$2:$O$1001,MATCH(ROW()-1,Calc!$X$2:$X$1001,0)),"")</f>
        <v/>
      </c>
      <c r="E936" s="3" t="str">
        <f aca="false">IFERROR(INDEX(Calc!$P$2:$P$1001,MATCH(ROW()-1,Calc!$X$2:$X$1001,0)),"")</f>
        <v/>
      </c>
      <c r="F936" s="3" t="str">
        <f aca="false">IF(G936="","",E936-D936)</f>
        <v/>
      </c>
      <c r="G936" s="0" t="str">
        <f aca="false">IFERROR(INDEX(Calc!$S$2:$S$1001,MATCH(ROW()-1,Calc!$X$2:$X$1001,0)),"")</f>
        <v/>
      </c>
    </row>
    <row r="937" customFormat="false" ht="15" hidden="false" customHeight="false" outlineLevel="0" collapsed="false">
      <c r="A937" s="0" t="str">
        <f aca="false">IFERROR(INDEX(Calc!$L$2:$L$1001,MATCH(ROW()-1,Calc!$X$2:$X$1001,0)),"")</f>
        <v/>
      </c>
      <c r="B937" s="0" t="str">
        <f aca="false">IFERROR(INDEX(Calc!$M$2:$M$1001,MATCH(ROW()-1,Calc!$X$2:$X$1001,0)),"")</f>
        <v/>
      </c>
      <c r="C937" s="0" t="str">
        <f aca="false">IFERROR(INDEX(Calc!$N$2:$N$1001,MATCH(ROW()-1,Calc!$X$2:$X$1001,0)),"")</f>
        <v/>
      </c>
      <c r="D937" s="3" t="str">
        <f aca="false">IFERROR(INDEX(Calc!$O$2:$O$1001,MATCH(ROW()-1,Calc!$X$2:$X$1001,0)),"")</f>
        <v/>
      </c>
      <c r="E937" s="3" t="str">
        <f aca="false">IFERROR(INDEX(Calc!$P$2:$P$1001,MATCH(ROW()-1,Calc!$X$2:$X$1001,0)),"")</f>
        <v/>
      </c>
      <c r="F937" s="3" t="str">
        <f aca="false">IF(G937="","",E937-D937)</f>
        <v/>
      </c>
      <c r="G937" s="0" t="str">
        <f aca="false">IFERROR(INDEX(Calc!$S$2:$S$1001,MATCH(ROW()-1,Calc!$X$2:$X$1001,0)),"")</f>
        <v/>
      </c>
    </row>
    <row r="938" customFormat="false" ht="15" hidden="false" customHeight="false" outlineLevel="0" collapsed="false">
      <c r="A938" s="0" t="str">
        <f aca="false">IFERROR(INDEX(Calc!$L$2:$L$1001,MATCH(ROW()-1,Calc!$X$2:$X$1001,0)),"")</f>
        <v/>
      </c>
      <c r="B938" s="0" t="str">
        <f aca="false">IFERROR(INDEX(Calc!$M$2:$M$1001,MATCH(ROW()-1,Calc!$X$2:$X$1001,0)),"")</f>
        <v/>
      </c>
      <c r="C938" s="0" t="str">
        <f aca="false">IFERROR(INDEX(Calc!$N$2:$N$1001,MATCH(ROW()-1,Calc!$X$2:$X$1001,0)),"")</f>
        <v/>
      </c>
      <c r="D938" s="3" t="str">
        <f aca="false">IFERROR(INDEX(Calc!$O$2:$O$1001,MATCH(ROW()-1,Calc!$X$2:$X$1001,0)),"")</f>
        <v/>
      </c>
      <c r="E938" s="3" t="str">
        <f aca="false">IFERROR(INDEX(Calc!$P$2:$P$1001,MATCH(ROW()-1,Calc!$X$2:$X$1001,0)),"")</f>
        <v/>
      </c>
      <c r="F938" s="3" t="str">
        <f aca="false">IF(G938="","",E938-D938)</f>
        <v/>
      </c>
      <c r="G938" s="0" t="str">
        <f aca="false">IFERROR(INDEX(Calc!$S$2:$S$1001,MATCH(ROW()-1,Calc!$X$2:$X$1001,0)),"")</f>
        <v/>
      </c>
    </row>
    <row r="939" customFormat="false" ht="15" hidden="false" customHeight="false" outlineLevel="0" collapsed="false">
      <c r="A939" s="0" t="str">
        <f aca="false">IFERROR(INDEX(Calc!$L$2:$L$1001,MATCH(ROW()-1,Calc!$X$2:$X$1001,0)),"")</f>
        <v/>
      </c>
      <c r="B939" s="0" t="str">
        <f aca="false">IFERROR(INDEX(Calc!$M$2:$M$1001,MATCH(ROW()-1,Calc!$X$2:$X$1001,0)),"")</f>
        <v/>
      </c>
      <c r="C939" s="0" t="str">
        <f aca="false">IFERROR(INDEX(Calc!$N$2:$N$1001,MATCH(ROW()-1,Calc!$X$2:$X$1001,0)),"")</f>
        <v/>
      </c>
      <c r="D939" s="3" t="str">
        <f aca="false">IFERROR(INDEX(Calc!$O$2:$O$1001,MATCH(ROW()-1,Calc!$X$2:$X$1001,0)),"")</f>
        <v/>
      </c>
      <c r="E939" s="3" t="str">
        <f aca="false">IFERROR(INDEX(Calc!$P$2:$P$1001,MATCH(ROW()-1,Calc!$X$2:$X$1001,0)),"")</f>
        <v/>
      </c>
      <c r="F939" s="3" t="str">
        <f aca="false">IF(G939="","",E939-D939)</f>
        <v/>
      </c>
      <c r="G939" s="0" t="str">
        <f aca="false">IFERROR(INDEX(Calc!$S$2:$S$1001,MATCH(ROW()-1,Calc!$X$2:$X$1001,0)),"")</f>
        <v/>
      </c>
    </row>
    <row r="940" customFormat="false" ht="15" hidden="false" customHeight="false" outlineLevel="0" collapsed="false">
      <c r="A940" s="0" t="str">
        <f aca="false">IFERROR(INDEX(Calc!$L$2:$L$1001,MATCH(ROW()-1,Calc!$X$2:$X$1001,0)),"")</f>
        <v/>
      </c>
      <c r="B940" s="0" t="str">
        <f aca="false">IFERROR(INDEX(Calc!$M$2:$M$1001,MATCH(ROW()-1,Calc!$X$2:$X$1001,0)),"")</f>
        <v/>
      </c>
      <c r="C940" s="0" t="str">
        <f aca="false">IFERROR(INDEX(Calc!$N$2:$N$1001,MATCH(ROW()-1,Calc!$X$2:$X$1001,0)),"")</f>
        <v/>
      </c>
      <c r="D940" s="3" t="str">
        <f aca="false">IFERROR(INDEX(Calc!$O$2:$O$1001,MATCH(ROW()-1,Calc!$X$2:$X$1001,0)),"")</f>
        <v/>
      </c>
      <c r="E940" s="3" t="str">
        <f aca="false">IFERROR(INDEX(Calc!$P$2:$P$1001,MATCH(ROW()-1,Calc!$X$2:$X$1001,0)),"")</f>
        <v/>
      </c>
      <c r="F940" s="3" t="str">
        <f aca="false">IF(G940="","",E940-D940)</f>
        <v/>
      </c>
      <c r="G940" s="0" t="str">
        <f aca="false">IFERROR(INDEX(Calc!$S$2:$S$1001,MATCH(ROW()-1,Calc!$X$2:$X$1001,0)),"")</f>
        <v/>
      </c>
    </row>
    <row r="941" customFormat="false" ht="15" hidden="false" customHeight="false" outlineLevel="0" collapsed="false">
      <c r="A941" s="0" t="str">
        <f aca="false">IFERROR(INDEX(Calc!$L$2:$L$1001,MATCH(ROW()-1,Calc!$X$2:$X$1001,0)),"")</f>
        <v/>
      </c>
      <c r="B941" s="0" t="str">
        <f aca="false">IFERROR(INDEX(Calc!$M$2:$M$1001,MATCH(ROW()-1,Calc!$X$2:$X$1001,0)),"")</f>
        <v/>
      </c>
      <c r="C941" s="0" t="str">
        <f aca="false">IFERROR(INDEX(Calc!$N$2:$N$1001,MATCH(ROW()-1,Calc!$X$2:$X$1001,0)),"")</f>
        <v/>
      </c>
      <c r="D941" s="3" t="str">
        <f aca="false">IFERROR(INDEX(Calc!$O$2:$O$1001,MATCH(ROW()-1,Calc!$X$2:$X$1001,0)),"")</f>
        <v/>
      </c>
      <c r="E941" s="3" t="str">
        <f aca="false">IFERROR(INDEX(Calc!$P$2:$P$1001,MATCH(ROW()-1,Calc!$X$2:$X$1001,0)),"")</f>
        <v/>
      </c>
      <c r="F941" s="3" t="str">
        <f aca="false">IF(G941="","",E941-D941)</f>
        <v/>
      </c>
      <c r="G941" s="0" t="str">
        <f aca="false">IFERROR(INDEX(Calc!$S$2:$S$1001,MATCH(ROW()-1,Calc!$X$2:$X$1001,0)),"")</f>
        <v/>
      </c>
    </row>
    <row r="942" customFormat="false" ht="15" hidden="false" customHeight="false" outlineLevel="0" collapsed="false">
      <c r="A942" s="0" t="str">
        <f aca="false">IFERROR(INDEX(Calc!$L$2:$L$1001,MATCH(ROW()-1,Calc!$X$2:$X$1001,0)),"")</f>
        <v/>
      </c>
      <c r="B942" s="0" t="str">
        <f aca="false">IFERROR(INDEX(Calc!$M$2:$M$1001,MATCH(ROW()-1,Calc!$X$2:$X$1001,0)),"")</f>
        <v/>
      </c>
      <c r="C942" s="0" t="str">
        <f aca="false">IFERROR(INDEX(Calc!$N$2:$N$1001,MATCH(ROW()-1,Calc!$X$2:$X$1001,0)),"")</f>
        <v/>
      </c>
      <c r="D942" s="3" t="str">
        <f aca="false">IFERROR(INDEX(Calc!$O$2:$O$1001,MATCH(ROW()-1,Calc!$X$2:$X$1001,0)),"")</f>
        <v/>
      </c>
      <c r="E942" s="3" t="str">
        <f aca="false">IFERROR(INDEX(Calc!$P$2:$P$1001,MATCH(ROW()-1,Calc!$X$2:$X$1001,0)),"")</f>
        <v/>
      </c>
      <c r="F942" s="3" t="str">
        <f aca="false">IF(G942="","",E942-D942)</f>
        <v/>
      </c>
      <c r="G942" s="0" t="str">
        <f aca="false">IFERROR(INDEX(Calc!$S$2:$S$1001,MATCH(ROW()-1,Calc!$X$2:$X$1001,0)),"")</f>
        <v/>
      </c>
    </row>
    <row r="943" customFormat="false" ht="15" hidden="false" customHeight="false" outlineLevel="0" collapsed="false">
      <c r="A943" s="0" t="str">
        <f aca="false">IFERROR(INDEX(Calc!$L$2:$L$1001,MATCH(ROW()-1,Calc!$X$2:$X$1001,0)),"")</f>
        <v/>
      </c>
      <c r="B943" s="0" t="str">
        <f aca="false">IFERROR(INDEX(Calc!$M$2:$M$1001,MATCH(ROW()-1,Calc!$X$2:$X$1001,0)),"")</f>
        <v/>
      </c>
      <c r="C943" s="0" t="str">
        <f aca="false">IFERROR(INDEX(Calc!$N$2:$N$1001,MATCH(ROW()-1,Calc!$X$2:$X$1001,0)),"")</f>
        <v/>
      </c>
      <c r="D943" s="3" t="str">
        <f aca="false">IFERROR(INDEX(Calc!$O$2:$O$1001,MATCH(ROW()-1,Calc!$X$2:$X$1001,0)),"")</f>
        <v/>
      </c>
      <c r="E943" s="3" t="str">
        <f aca="false">IFERROR(INDEX(Calc!$P$2:$P$1001,MATCH(ROW()-1,Calc!$X$2:$X$1001,0)),"")</f>
        <v/>
      </c>
      <c r="F943" s="3" t="str">
        <f aca="false">IF(G943="","",E943-D943)</f>
        <v/>
      </c>
      <c r="G943" s="0" t="str">
        <f aca="false">IFERROR(INDEX(Calc!$S$2:$S$1001,MATCH(ROW()-1,Calc!$X$2:$X$1001,0)),"")</f>
        <v/>
      </c>
    </row>
    <row r="944" customFormat="false" ht="15" hidden="false" customHeight="false" outlineLevel="0" collapsed="false">
      <c r="A944" s="0" t="str">
        <f aca="false">IFERROR(INDEX(Calc!$L$2:$L$1001,MATCH(ROW()-1,Calc!$X$2:$X$1001,0)),"")</f>
        <v/>
      </c>
      <c r="B944" s="0" t="str">
        <f aca="false">IFERROR(INDEX(Calc!$M$2:$M$1001,MATCH(ROW()-1,Calc!$X$2:$X$1001,0)),"")</f>
        <v/>
      </c>
      <c r="C944" s="0" t="str">
        <f aca="false">IFERROR(INDEX(Calc!$N$2:$N$1001,MATCH(ROW()-1,Calc!$X$2:$X$1001,0)),"")</f>
        <v/>
      </c>
      <c r="D944" s="3" t="str">
        <f aca="false">IFERROR(INDEX(Calc!$O$2:$O$1001,MATCH(ROW()-1,Calc!$X$2:$X$1001,0)),"")</f>
        <v/>
      </c>
      <c r="E944" s="3" t="str">
        <f aca="false">IFERROR(INDEX(Calc!$P$2:$P$1001,MATCH(ROW()-1,Calc!$X$2:$X$1001,0)),"")</f>
        <v/>
      </c>
      <c r="F944" s="3" t="str">
        <f aca="false">IF(G944="","",E944-D944)</f>
        <v/>
      </c>
      <c r="G944" s="0" t="str">
        <f aca="false">IFERROR(INDEX(Calc!$S$2:$S$1001,MATCH(ROW()-1,Calc!$X$2:$X$1001,0)),"")</f>
        <v/>
      </c>
    </row>
    <row r="945" customFormat="false" ht="15" hidden="false" customHeight="false" outlineLevel="0" collapsed="false">
      <c r="A945" s="0" t="str">
        <f aca="false">IFERROR(INDEX(Calc!$L$2:$L$1001,MATCH(ROW()-1,Calc!$X$2:$X$1001,0)),"")</f>
        <v/>
      </c>
      <c r="B945" s="0" t="str">
        <f aca="false">IFERROR(INDEX(Calc!$M$2:$M$1001,MATCH(ROW()-1,Calc!$X$2:$X$1001,0)),"")</f>
        <v/>
      </c>
      <c r="C945" s="0" t="str">
        <f aca="false">IFERROR(INDEX(Calc!$N$2:$N$1001,MATCH(ROW()-1,Calc!$X$2:$X$1001,0)),"")</f>
        <v/>
      </c>
      <c r="D945" s="3" t="str">
        <f aca="false">IFERROR(INDEX(Calc!$O$2:$O$1001,MATCH(ROW()-1,Calc!$X$2:$X$1001,0)),"")</f>
        <v/>
      </c>
      <c r="E945" s="3" t="str">
        <f aca="false">IFERROR(INDEX(Calc!$P$2:$P$1001,MATCH(ROW()-1,Calc!$X$2:$X$1001,0)),"")</f>
        <v/>
      </c>
      <c r="F945" s="3" t="str">
        <f aca="false">IF(G945="","",E945-D945)</f>
        <v/>
      </c>
      <c r="G945" s="0" t="str">
        <f aca="false">IFERROR(INDEX(Calc!$S$2:$S$1001,MATCH(ROW()-1,Calc!$X$2:$X$1001,0)),"")</f>
        <v/>
      </c>
    </row>
    <row r="946" customFormat="false" ht="15" hidden="false" customHeight="false" outlineLevel="0" collapsed="false">
      <c r="A946" s="0" t="str">
        <f aca="false">IFERROR(INDEX(Calc!$L$2:$L$1001,MATCH(ROW()-1,Calc!$X$2:$X$1001,0)),"")</f>
        <v/>
      </c>
      <c r="B946" s="0" t="str">
        <f aca="false">IFERROR(INDEX(Calc!$M$2:$M$1001,MATCH(ROW()-1,Calc!$X$2:$X$1001,0)),"")</f>
        <v/>
      </c>
      <c r="C946" s="0" t="str">
        <f aca="false">IFERROR(INDEX(Calc!$N$2:$N$1001,MATCH(ROW()-1,Calc!$X$2:$X$1001,0)),"")</f>
        <v/>
      </c>
      <c r="D946" s="3" t="str">
        <f aca="false">IFERROR(INDEX(Calc!$O$2:$O$1001,MATCH(ROW()-1,Calc!$X$2:$X$1001,0)),"")</f>
        <v/>
      </c>
      <c r="E946" s="3" t="str">
        <f aca="false">IFERROR(INDEX(Calc!$P$2:$P$1001,MATCH(ROW()-1,Calc!$X$2:$X$1001,0)),"")</f>
        <v/>
      </c>
      <c r="F946" s="3" t="str">
        <f aca="false">IF(G946="","",E946-D946)</f>
        <v/>
      </c>
      <c r="G946" s="0" t="str">
        <f aca="false">IFERROR(INDEX(Calc!$S$2:$S$1001,MATCH(ROW()-1,Calc!$X$2:$X$1001,0)),"")</f>
        <v/>
      </c>
    </row>
    <row r="947" customFormat="false" ht="15" hidden="false" customHeight="false" outlineLevel="0" collapsed="false">
      <c r="A947" s="0" t="str">
        <f aca="false">IFERROR(INDEX(Calc!$L$2:$L$1001,MATCH(ROW()-1,Calc!$X$2:$X$1001,0)),"")</f>
        <v/>
      </c>
      <c r="B947" s="0" t="str">
        <f aca="false">IFERROR(INDEX(Calc!$M$2:$M$1001,MATCH(ROW()-1,Calc!$X$2:$X$1001,0)),"")</f>
        <v/>
      </c>
      <c r="C947" s="0" t="str">
        <f aca="false">IFERROR(INDEX(Calc!$N$2:$N$1001,MATCH(ROW()-1,Calc!$X$2:$X$1001,0)),"")</f>
        <v/>
      </c>
      <c r="D947" s="3" t="str">
        <f aca="false">IFERROR(INDEX(Calc!$O$2:$O$1001,MATCH(ROW()-1,Calc!$X$2:$X$1001,0)),"")</f>
        <v/>
      </c>
      <c r="E947" s="3" t="str">
        <f aca="false">IFERROR(INDEX(Calc!$P$2:$P$1001,MATCH(ROW()-1,Calc!$X$2:$X$1001,0)),"")</f>
        <v/>
      </c>
      <c r="F947" s="3" t="str">
        <f aca="false">IF(G947="","",E947-D947)</f>
        <v/>
      </c>
      <c r="G947" s="0" t="str">
        <f aca="false">IFERROR(INDEX(Calc!$S$2:$S$1001,MATCH(ROW()-1,Calc!$X$2:$X$1001,0)),"")</f>
        <v/>
      </c>
    </row>
    <row r="948" customFormat="false" ht="15" hidden="false" customHeight="false" outlineLevel="0" collapsed="false">
      <c r="A948" s="0" t="str">
        <f aca="false">IFERROR(INDEX(Calc!$L$2:$L$1001,MATCH(ROW()-1,Calc!$X$2:$X$1001,0)),"")</f>
        <v/>
      </c>
      <c r="B948" s="0" t="str">
        <f aca="false">IFERROR(INDEX(Calc!$M$2:$M$1001,MATCH(ROW()-1,Calc!$X$2:$X$1001,0)),"")</f>
        <v/>
      </c>
      <c r="C948" s="0" t="str">
        <f aca="false">IFERROR(INDEX(Calc!$N$2:$N$1001,MATCH(ROW()-1,Calc!$X$2:$X$1001,0)),"")</f>
        <v/>
      </c>
      <c r="D948" s="3" t="str">
        <f aca="false">IFERROR(INDEX(Calc!$O$2:$O$1001,MATCH(ROW()-1,Calc!$X$2:$X$1001,0)),"")</f>
        <v/>
      </c>
      <c r="E948" s="3" t="str">
        <f aca="false">IFERROR(INDEX(Calc!$P$2:$P$1001,MATCH(ROW()-1,Calc!$X$2:$X$1001,0)),"")</f>
        <v/>
      </c>
      <c r="F948" s="3" t="str">
        <f aca="false">IF(G948="","",E948-D948)</f>
        <v/>
      </c>
      <c r="G948" s="0" t="str">
        <f aca="false">IFERROR(INDEX(Calc!$S$2:$S$1001,MATCH(ROW()-1,Calc!$X$2:$X$1001,0)),"")</f>
        <v/>
      </c>
    </row>
    <row r="949" customFormat="false" ht="15" hidden="false" customHeight="false" outlineLevel="0" collapsed="false">
      <c r="A949" s="0" t="str">
        <f aca="false">IFERROR(INDEX(Calc!$L$2:$L$1001,MATCH(ROW()-1,Calc!$X$2:$X$1001,0)),"")</f>
        <v/>
      </c>
      <c r="B949" s="0" t="str">
        <f aca="false">IFERROR(INDEX(Calc!$M$2:$M$1001,MATCH(ROW()-1,Calc!$X$2:$X$1001,0)),"")</f>
        <v/>
      </c>
      <c r="C949" s="0" t="str">
        <f aca="false">IFERROR(INDEX(Calc!$N$2:$N$1001,MATCH(ROW()-1,Calc!$X$2:$X$1001,0)),"")</f>
        <v/>
      </c>
      <c r="D949" s="3" t="str">
        <f aca="false">IFERROR(INDEX(Calc!$O$2:$O$1001,MATCH(ROW()-1,Calc!$X$2:$X$1001,0)),"")</f>
        <v/>
      </c>
      <c r="E949" s="3" t="str">
        <f aca="false">IFERROR(INDEX(Calc!$P$2:$P$1001,MATCH(ROW()-1,Calc!$X$2:$X$1001,0)),"")</f>
        <v/>
      </c>
      <c r="F949" s="3" t="str">
        <f aca="false">IF(G949="","",E949-D949)</f>
        <v/>
      </c>
      <c r="G949" s="0" t="str">
        <f aca="false">IFERROR(INDEX(Calc!$S$2:$S$1001,MATCH(ROW()-1,Calc!$X$2:$X$1001,0)),"")</f>
        <v/>
      </c>
    </row>
    <row r="950" customFormat="false" ht="15" hidden="false" customHeight="false" outlineLevel="0" collapsed="false">
      <c r="A950" s="0" t="str">
        <f aca="false">IFERROR(INDEX(Calc!$L$2:$L$1001,MATCH(ROW()-1,Calc!$X$2:$X$1001,0)),"")</f>
        <v/>
      </c>
      <c r="B950" s="0" t="str">
        <f aca="false">IFERROR(INDEX(Calc!$M$2:$M$1001,MATCH(ROW()-1,Calc!$X$2:$X$1001,0)),"")</f>
        <v/>
      </c>
      <c r="C950" s="0" t="str">
        <f aca="false">IFERROR(INDEX(Calc!$N$2:$N$1001,MATCH(ROW()-1,Calc!$X$2:$X$1001,0)),"")</f>
        <v/>
      </c>
      <c r="D950" s="3" t="str">
        <f aca="false">IFERROR(INDEX(Calc!$O$2:$O$1001,MATCH(ROW()-1,Calc!$X$2:$X$1001,0)),"")</f>
        <v/>
      </c>
      <c r="E950" s="3" t="str">
        <f aca="false">IFERROR(INDEX(Calc!$P$2:$P$1001,MATCH(ROW()-1,Calc!$X$2:$X$1001,0)),"")</f>
        <v/>
      </c>
      <c r="F950" s="3" t="str">
        <f aca="false">IF(G950="","",E950-D950)</f>
        <v/>
      </c>
      <c r="G950" s="0" t="str">
        <f aca="false">IFERROR(INDEX(Calc!$S$2:$S$1001,MATCH(ROW()-1,Calc!$X$2:$X$1001,0)),"")</f>
        <v/>
      </c>
    </row>
    <row r="951" customFormat="false" ht="15" hidden="false" customHeight="false" outlineLevel="0" collapsed="false">
      <c r="A951" s="0" t="str">
        <f aca="false">IFERROR(INDEX(Calc!$L$2:$L$1001,MATCH(ROW()-1,Calc!$X$2:$X$1001,0)),"")</f>
        <v/>
      </c>
      <c r="B951" s="0" t="str">
        <f aca="false">IFERROR(INDEX(Calc!$M$2:$M$1001,MATCH(ROW()-1,Calc!$X$2:$X$1001,0)),"")</f>
        <v/>
      </c>
      <c r="C951" s="0" t="str">
        <f aca="false">IFERROR(INDEX(Calc!$N$2:$N$1001,MATCH(ROW()-1,Calc!$X$2:$X$1001,0)),"")</f>
        <v/>
      </c>
      <c r="D951" s="3" t="str">
        <f aca="false">IFERROR(INDEX(Calc!$O$2:$O$1001,MATCH(ROW()-1,Calc!$X$2:$X$1001,0)),"")</f>
        <v/>
      </c>
      <c r="E951" s="3" t="str">
        <f aca="false">IFERROR(INDEX(Calc!$P$2:$P$1001,MATCH(ROW()-1,Calc!$X$2:$X$1001,0)),"")</f>
        <v/>
      </c>
      <c r="F951" s="3" t="str">
        <f aca="false">IF(G951="","",E951-D951)</f>
        <v/>
      </c>
      <c r="G951" s="0" t="str">
        <f aca="false">IFERROR(INDEX(Calc!$S$2:$S$1001,MATCH(ROW()-1,Calc!$X$2:$X$1001,0)),"")</f>
        <v/>
      </c>
    </row>
    <row r="952" customFormat="false" ht="15" hidden="false" customHeight="false" outlineLevel="0" collapsed="false">
      <c r="A952" s="0" t="str">
        <f aca="false">IFERROR(INDEX(Calc!$L$2:$L$1001,MATCH(ROW()-1,Calc!$X$2:$X$1001,0)),"")</f>
        <v/>
      </c>
      <c r="B952" s="0" t="str">
        <f aca="false">IFERROR(INDEX(Calc!$M$2:$M$1001,MATCH(ROW()-1,Calc!$X$2:$X$1001,0)),"")</f>
        <v/>
      </c>
      <c r="C952" s="0" t="str">
        <f aca="false">IFERROR(INDEX(Calc!$N$2:$N$1001,MATCH(ROW()-1,Calc!$X$2:$X$1001,0)),"")</f>
        <v/>
      </c>
      <c r="D952" s="3" t="str">
        <f aca="false">IFERROR(INDEX(Calc!$O$2:$O$1001,MATCH(ROW()-1,Calc!$X$2:$X$1001,0)),"")</f>
        <v/>
      </c>
      <c r="E952" s="3" t="str">
        <f aca="false">IFERROR(INDEX(Calc!$P$2:$P$1001,MATCH(ROW()-1,Calc!$X$2:$X$1001,0)),"")</f>
        <v/>
      </c>
      <c r="F952" s="3" t="str">
        <f aca="false">IF(G952="","",E952-D952)</f>
        <v/>
      </c>
      <c r="G952" s="0" t="str">
        <f aca="false">IFERROR(INDEX(Calc!$S$2:$S$1001,MATCH(ROW()-1,Calc!$X$2:$X$1001,0)),"")</f>
        <v/>
      </c>
    </row>
    <row r="953" customFormat="false" ht="15" hidden="false" customHeight="false" outlineLevel="0" collapsed="false">
      <c r="A953" s="0" t="str">
        <f aca="false">IFERROR(INDEX(Calc!$L$2:$L$1001,MATCH(ROW()-1,Calc!$X$2:$X$1001,0)),"")</f>
        <v/>
      </c>
      <c r="B953" s="0" t="str">
        <f aca="false">IFERROR(INDEX(Calc!$M$2:$M$1001,MATCH(ROW()-1,Calc!$X$2:$X$1001,0)),"")</f>
        <v/>
      </c>
      <c r="C953" s="0" t="str">
        <f aca="false">IFERROR(INDEX(Calc!$N$2:$N$1001,MATCH(ROW()-1,Calc!$X$2:$X$1001,0)),"")</f>
        <v/>
      </c>
      <c r="D953" s="3" t="str">
        <f aca="false">IFERROR(INDEX(Calc!$O$2:$O$1001,MATCH(ROW()-1,Calc!$X$2:$X$1001,0)),"")</f>
        <v/>
      </c>
      <c r="E953" s="3" t="str">
        <f aca="false">IFERROR(INDEX(Calc!$P$2:$P$1001,MATCH(ROW()-1,Calc!$X$2:$X$1001,0)),"")</f>
        <v/>
      </c>
      <c r="F953" s="3" t="str">
        <f aca="false">IF(G953="","",E953-D953)</f>
        <v/>
      </c>
      <c r="G953" s="0" t="str">
        <f aca="false">IFERROR(INDEX(Calc!$S$2:$S$1001,MATCH(ROW()-1,Calc!$X$2:$X$1001,0)),"")</f>
        <v/>
      </c>
    </row>
    <row r="954" customFormat="false" ht="15" hidden="false" customHeight="false" outlineLevel="0" collapsed="false">
      <c r="A954" s="0" t="str">
        <f aca="false">IFERROR(INDEX(Calc!$L$2:$L$1001,MATCH(ROW()-1,Calc!$X$2:$X$1001,0)),"")</f>
        <v/>
      </c>
      <c r="B954" s="0" t="str">
        <f aca="false">IFERROR(INDEX(Calc!$M$2:$M$1001,MATCH(ROW()-1,Calc!$X$2:$X$1001,0)),"")</f>
        <v/>
      </c>
      <c r="C954" s="0" t="str">
        <f aca="false">IFERROR(INDEX(Calc!$N$2:$N$1001,MATCH(ROW()-1,Calc!$X$2:$X$1001,0)),"")</f>
        <v/>
      </c>
      <c r="D954" s="3" t="str">
        <f aca="false">IFERROR(INDEX(Calc!$O$2:$O$1001,MATCH(ROW()-1,Calc!$X$2:$X$1001,0)),"")</f>
        <v/>
      </c>
      <c r="E954" s="3" t="str">
        <f aca="false">IFERROR(INDEX(Calc!$P$2:$P$1001,MATCH(ROW()-1,Calc!$X$2:$X$1001,0)),"")</f>
        <v/>
      </c>
      <c r="F954" s="3" t="str">
        <f aca="false">IF(G954="","",E954-D954)</f>
        <v/>
      </c>
      <c r="G954" s="0" t="str">
        <f aca="false">IFERROR(INDEX(Calc!$S$2:$S$1001,MATCH(ROW()-1,Calc!$X$2:$X$1001,0)),"")</f>
        <v/>
      </c>
    </row>
    <row r="955" customFormat="false" ht="15" hidden="false" customHeight="false" outlineLevel="0" collapsed="false">
      <c r="A955" s="0" t="str">
        <f aca="false">IFERROR(INDEX(Calc!$L$2:$L$1001,MATCH(ROW()-1,Calc!$X$2:$X$1001,0)),"")</f>
        <v/>
      </c>
      <c r="B955" s="0" t="str">
        <f aca="false">IFERROR(INDEX(Calc!$M$2:$M$1001,MATCH(ROW()-1,Calc!$X$2:$X$1001,0)),"")</f>
        <v/>
      </c>
      <c r="C955" s="0" t="str">
        <f aca="false">IFERROR(INDEX(Calc!$N$2:$N$1001,MATCH(ROW()-1,Calc!$X$2:$X$1001,0)),"")</f>
        <v/>
      </c>
      <c r="D955" s="3" t="str">
        <f aca="false">IFERROR(INDEX(Calc!$O$2:$O$1001,MATCH(ROW()-1,Calc!$X$2:$X$1001,0)),"")</f>
        <v/>
      </c>
      <c r="E955" s="3" t="str">
        <f aca="false">IFERROR(INDEX(Calc!$P$2:$P$1001,MATCH(ROW()-1,Calc!$X$2:$X$1001,0)),"")</f>
        <v/>
      </c>
      <c r="F955" s="3" t="str">
        <f aca="false">IF(G955="","",E955-D955)</f>
        <v/>
      </c>
      <c r="G955" s="0" t="str">
        <f aca="false">IFERROR(INDEX(Calc!$S$2:$S$1001,MATCH(ROW()-1,Calc!$X$2:$X$1001,0)),"")</f>
        <v/>
      </c>
    </row>
    <row r="956" customFormat="false" ht="15" hidden="false" customHeight="false" outlineLevel="0" collapsed="false">
      <c r="A956" s="0" t="str">
        <f aca="false">IFERROR(INDEX(Calc!$L$2:$L$1001,MATCH(ROW()-1,Calc!$X$2:$X$1001,0)),"")</f>
        <v/>
      </c>
      <c r="B956" s="0" t="str">
        <f aca="false">IFERROR(INDEX(Calc!$M$2:$M$1001,MATCH(ROW()-1,Calc!$X$2:$X$1001,0)),"")</f>
        <v/>
      </c>
      <c r="C956" s="0" t="str">
        <f aca="false">IFERROR(INDEX(Calc!$N$2:$N$1001,MATCH(ROW()-1,Calc!$X$2:$X$1001,0)),"")</f>
        <v/>
      </c>
      <c r="D956" s="3" t="str">
        <f aca="false">IFERROR(INDEX(Calc!$O$2:$O$1001,MATCH(ROW()-1,Calc!$X$2:$X$1001,0)),"")</f>
        <v/>
      </c>
      <c r="E956" s="3" t="str">
        <f aca="false">IFERROR(INDEX(Calc!$P$2:$P$1001,MATCH(ROW()-1,Calc!$X$2:$X$1001,0)),"")</f>
        <v/>
      </c>
      <c r="F956" s="3" t="str">
        <f aca="false">IF(G956="","",E956-D956)</f>
        <v/>
      </c>
      <c r="G956" s="0" t="str">
        <f aca="false">IFERROR(INDEX(Calc!$S$2:$S$1001,MATCH(ROW()-1,Calc!$X$2:$X$1001,0)),"")</f>
        <v/>
      </c>
    </row>
    <row r="957" customFormat="false" ht="15" hidden="false" customHeight="false" outlineLevel="0" collapsed="false">
      <c r="A957" s="0" t="str">
        <f aca="false">IFERROR(INDEX(Calc!$L$2:$L$1001,MATCH(ROW()-1,Calc!$X$2:$X$1001,0)),"")</f>
        <v/>
      </c>
      <c r="B957" s="0" t="str">
        <f aca="false">IFERROR(INDEX(Calc!$M$2:$M$1001,MATCH(ROW()-1,Calc!$X$2:$X$1001,0)),"")</f>
        <v/>
      </c>
      <c r="C957" s="0" t="str">
        <f aca="false">IFERROR(INDEX(Calc!$N$2:$N$1001,MATCH(ROW()-1,Calc!$X$2:$X$1001,0)),"")</f>
        <v/>
      </c>
      <c r="D957" s="3" t="str">
        <f aca="false">IFERROR(INDEX(Calc!$O$2:$O$1001,MATCH(ROW()-1,Calc!$X$2:$X$1001,0)),"")</f>
        <v/>
      </c>
      <c r="E957" s="3" t="str">
        <f aca="false">IFERROR(INDEX(Calc!$P$2:$P$1001,MATCH(ROW()-1,Calc!$X$2:$X$1001,0)),"")</f>
        <v/>
      </c>
      <c r="F957" s="3" t="str">
        <f aca="false">IF(G957="","",E957-D957)</f>
        <v/>
      </c>
      <c r="G957" s="0" t="str">
        <f aca="false">IFERROR(INDEX(Calc!$S$2:$S$1001,MATCH(ROW()-1,Calc!$X$2:$X$1001,0)),"")</f>
        <v/>
      </c>
    </row>
    <row r="958" customFormat="false" ht="15" hidden="false" customHeight="false" outlineLevel="0" collapsed="false">
      <c r="A958" s="0" t="str">
        <f aca="false">IFERROR(INDEX(Calc!$L$2:$L$1001,MATCH(ROW()-1,Calc!$X$2:$X$1001,0)),"")</f>
        <v/>
      </c>
      <c r="B958" s="0" t="str">
        <f aca="false">IFERROR(INDEX(Calc!$M$2:$M$1001,MATCH(ROW()-1,Calc!$X$2:$X$1001,0)),"")</f>
        <v/>
      </c>
      <c r="C958" s="0" t="str">
        <f aca="false">IFERROR(INDEX(Calc!$N$2:$N$1001,MATCH(ROW()-1,Calc!$X$2:$X$1001,0)),"")</f>
        <v/>
      </c>
      <c r="D958" s="3" t="str">
        <f aca="false">IFERROR(INDEX(Calc!$O$2:$O$1001,MATCH(ROW()-1,Calc!$X$2:$X$1001,0)),"")</f>
        <v/>
      </c>
      <c r="E958" s="3" t="str">
        <f aca="false">IFERROR(INDEX(Calc!$P$2:$P$1001,MATCH(ROW()-1,Calc!$X$2:$X$1001,0)),"")</f>
        <v/>
      </c>
      <c r="F958" s="3" t="str">
        <f aca="false">IF(G958="","",E958-D958)</f>
        <v/>
      </c>
      <c r="G958" s="0" t="str">
        <f aca="false">IFERROR(INDEX(Calc!$S$2:$S$1001,MATCH(ROW()-1,Calc!$X$2:$X$1001,0)),"")</f>
        <v/>
      </c>
    </row>
    <row r="959" customFormat="false" ht="15" hidden="false" customHeight="false" outlineLevel="0" collapsed="false">
      <c r="A959" s="0" t="str">
        <f aca="false">IFERROR(INDEX(Calc!$L$2:$L$1001,MATCH(ROW()-1,Calc!$X$2:$X$1001,0)),"")</f>
        <v/>
      </c>
      <c r="B959" s="0" t="str">
        <f aca="false">IFERROR(INDEX(Calc!$M$2:$M$1001,MATCH(ROW()-1,Calc!$X$2:$X$1001,0)),"")</f>
        <v/>
      </c>
      <c r="C959" s="0" t="str">
        <f aca="false">IFERROR(INDEX(Calc!$N$2:$N$1001,MATCH(ROW()-1,Calc!$X$2:$X$1001,0)),"")</f>
        <v/>
      </c>
      <c r="D959" s="3" t="str">
        <f aca="false">IFERROR(INDEX(Calc!$O$2:$O$1001,MATCH(ROW()-1,Calc!$X$2:$X$1001,0)),"")</f>
        <v/>
      </c>
      <c r="E959" s="3" t="str">
        <f aca="false">IFERROR(INDEX(Calc!$P$2:$P$1001,MATCH(ROW()-1,Calc!$X$2:$X$1001,0)),"")</f>
        <v/>
      </c>
      <c r="F959" s="3" t="str">
        <f aca="false">IF(G959="","",E959-D959)</f>
        <v/>
      </c>
      <c r="G959" s="0" t="str">
        <f aca="false">IFERROR(INDEX(Calc!$S$2:$S$1001,MATCH(ROW()-1,Calc!$X$2:$X$1001,0)),"")</f>
        <v/>
      </c>
    </row>
    <row r="960" customFormat="false" ht="15" hidden="false" customHeight="false" outlineLevel="0" collapsed="false">
      <c r="A960" s="0" t="str">
        <f aca="false">IFERROR(INDEX(Calc!$L$2:$L$1001,MATCH(ROW()-1,Calc!$X$2:$X$1001,0)),"")</f>
        <v/>
      </c>
      <c r="B960" s="0" t="str">
        <f aca="false">IFERROR(INDEX(Calc!$M$2:$M$1001,MATCH(ROW()-1,Calc!$X$2:$X$1001,0)),"")</f>
        <v/>
      </c>
      <c r="C960" s="0" t="str">
        <f aca="false">IFERROR(INDEX(Calc!$N$2:$N$1001,MATCH(ROW()-1,Calc!$X$2:$X$1001,0)),"")</f>
        <v/>
      </c>
      <c r="D960" s="3" t="str">
        <f aca="false">IFERROR(INDEX(Calc!$O$2:$O$1001,MATCH(ROW()-1,Calc!$X$2:$X$1001,0)),"")</f>
        <v/>
      </c>
      <c r="E960" s="3" t="str">
        <f aca="false">IFERROR(INDEX(Calc!$P$2:$P$1001,MATCH(ROW()-1,Calc!$X$2:$X$1001,0)),"")</f>
        <v/>
      </c>
      <c r="F960" s="3" t="str">
        <f aca="false">IF(G960="","",E960-D960)</f>
        <v/>
      </c>
      <c r="G960" s="0" t="str">
        <f aca="false">IFERROR(INDEX(Calc!$S$2:$S$1001,MATCH(ROW()-1,Calc!$X$2:$X$1001,0)),"")</f>
        <v/>
      </c>
    </row>
    <row r="961" customFormat="false" ht="15" hidden="false" customHeight="false" outlineLevel="0" collapsed="false">
      <c r="A961" s="0" t="str">
        <f aca="false">IFERROR(INDEX(Calc!$L$2:$L$1001,MATCH(ROW()-1,Calc!$X$2:$X$1001,0)),"")</f>
        <v/>
      </c>
      <c r="B961" s="0" t="str">
        <f aca="false">IFERROR(INDEX(Calc!$M$2:$M$1001,MATCH(ROW()-1,Calc!$X$2:$X$1001,0)),"")</f>
        <v/>
      </c>
      <c r="C961" s="0" t="str">
        <f aca="false">IFERROR(INDEX(Calc!$N$2:$N$1001,MATCH(ROW()-1,Calc!$X$2:$X$1001,0)),"")</f>
        <v/>
      </c>
      <c r="D961" s="3" t="str">
        <f aca="false">IFERROR(INDEX(Calc!$O$2:$O$1001,MATCH(ROW()-1,Calc!$X$2:$X$1001,0)),"")</f>
        <v/>
      </c>
      <c r="E961" s="3" t="str">
        <f aca="false">IFERROR(INDEX(Calc!$P$2:$P$1001,MATCH(ROW()-1,Calc!$X$2:$X$1001,0)),"")</f>
        <v/>
      </c>
      <c r="F961" s="3" t="str">
        <f aca="false">IF(G961="","",E961-D961)</f>
        <v/>
      </c>
      <c r="G961" s="0" t="str">
        <f aca="false">IFERROR(INDEX(Calc!$S$2:$S$1001,MATCH(ROW()-1,Calc!$X$2:$X$1001,0)),"")</f>
        <v/>
      </c>
    </row>
    <row r="962" customFormat="false" ht="15" hidden="false" customHeight="false" outlineLevel="0" collapsed="false">
      <c r="A962" s="0" t="str">
        <f aca="false">IFERROR(INDEX(Calc!$L$2:$L$1001,MATCH(ROW()-1,Calc!$X$2:$X$1001,0)),"")</f>
        <v/>
      </c>
      <c r="B962" s="0" t="str">
        <f aca="false">IFERROR(INDEX(Calc!$M$2:$M$1001,MATCH(ROW()-1,Calc!$X$2:$X$1001,0)),"")</f>
        <v/>
      </c>
      <c r="C962" s="0" t="str">
        <f aca="false">IFERROR(INDEX(Calc!$N$2:$N$1001,MATCH(ROW()-1,Calc!$X$2:$X$1001,0)),"")</f>
        <v/>
      </c>
      <c r="D962" s="3" t="str">
        <f aca="false">IFERROR(INDEX(Calc!$O$2:$O$1001,MATCH(ROW()-1,Calc!$X$2:$X$1001,0)),"")</f>
        <v/>
      </c>
      <c r="E962" s="3" t="str">
        <f aca="false">IFERROR(INDEX(Calc!$P$2:$P$1001,MATCH(ROW()-1,Calc!$X$2:$X$1001,0)),"")</f>
        <v/>
      </c>
      <c r="F962" s="3" t="str">
        <f aca="false">IF(G962="","",E962-D962)</f>
        <v/>
      </c>
      <c r="G962" s="0" t="str">
        <f aca="false">IFERROR(INDEX(Calc!$S$2:$S$1001,MATCH(ROW()-1,Calc!$X$2:$X$1001,0)),"")</f>
        <v/>
      </c>
    </row>
    <row r="963" customFormat="false" ht="15" hidden="false" customHeight="false" outlineLevel="0" collapsed="false">
      <c r="A963" s="0" t="str">
        <f aca="false">IFERROR(INDEX(Calc!$L$2:$L$1001,MATCH(ROW()-1,Calc!$X$2:$X$1001,0)),"")</f>
        <v/>
      </c>
      <c r="B963" s="0" t="str">
        <f aca="false">IFERROR(INDEX(Calc!$M$2:$M$1001,MATCH(ROW()-1,Calc!$X$2:$X$1001,0)),"")</f>
        <v/>
      </c>
      <c r="C963" s="0" t="str">
        <f aca="false">IFERROR(INDEX(Calc!$N$2:$N$1001,MATCH(ROW()-1,Calc!$X$2:$X$1001,0)),"")</f>
        <v/>
      </c>
      <c r="D963" s="3" t="str">
        <f aca="false">IFERROR(INDEX(Calc!$O$2:$O$1001,MATCH(ROW()-1,Calc!$X$2:$X$1001,0)),"")</f>
        <v/>
      </c>
      <c r="E963" s="3" t="str">
        <f aca="false">IFERROR(INDEX(Calc!$P$2:$P$1001,MATCH(ROW()-1,Calc!$X$2:$X$1001,0)),"")</f>
        <v/>
      </c>
      <c r="F963" s="3" t="str">
        <f aca="false">IF(G963="","",E963-D963)</f>
        <v/>
      </c>
      <c r="G963" s="0" t="str">
        <f aca="false">IFERROR(INDEX(Calc!$S$2:$S$1001,MATCH(ROW()-1,Calc!$X$2:$X$1001,0)),"")</f>
        <v/>
      </c>
    </row>
    <row r="964" customFormat="false" ht="15" hidden="false" customHeight="false" outlineLevel="0" collapsed="false">
      <c r="A964" s="0" t="str">
        <f aca="false">IFERROR(INDEX(Calc!$L$2:$L$1001,MATCH(ROW()-1,Calc!$X$2:$X$1001,0)),"")</f>
        <v/>
      </c>
      <c r="B964" s="0" t="str">
        <f aca="false">IFERROR(INDEX(Calc!$M$2:$M$1001,MATCH(ROW()-1,Calc!$X$2:$X$1001,0)),"")</f>
        <v/>
      </c>
      <c r="C964" s="0" t="str">
        <f aca="false">IFERROR(INDEX(Calc!$N$2:$N$1001,MATCH(ROW()-1,Calc!$X$2:$X$1001,0)),"")</f>
        <v/>
      </c>
      <c r="D964" s="3" t="str">
        <f aca="false">IFERROR(INDEX(Calc!$O$2:$O$1001,MATCH(ROW()-1,Calc!$X$2:$X$1001,0)),"")</f>
        <v/>
      </c>
      <c r="E964" s="3" t="str">
        <f aca="false">IFERROR(INDEX(Calc!$P$2:$P$1001,MATCH(ROW()-1,Calc!$X$2:$X$1001,0)),"")</f>
        <v/>
      </c>
      <c r="F964" s="3" t="str">
        <f aca="false">IF(G964="","",E964-D964)</f>
        <v/>
      </c>
      <c r="G964" s="0" t="str">
        <f aca="false">IFERROR(INDEX(Calc!$S$2:$S$1001,MATCH(ROW()-1,Calc!$X$2:$X$1001,0)),"")</f>
        <v/>
      </c>
    </row>
    <row r="965" customFormat="false" ht="15" hidden="false" customHeight="false" outlineLevel="0" collapsed="false">
      <c r="A965" s="0" t="str">
        <f aca="false">IFERROR(INDEX(Calc!$L$2:$L$1001,MATCH(ROW()-1,Calc!$X$2:$X$1001,0)),"")</f>
        <v/>
      </c>
      <c r="B965" s="0" t="str">
        <f aca="false">IFERROR(INDEX(Calc!$M$2:$M$1001,MATCH(ROW()-1,Calc!$X$2:$X$1001,0)),"")</f>
        <v/>
      </c>
      <c r="C965" s="0" t="str">
        <f aca="false">IFERROR(INDEX(Calc!$N$2:$N$1001,MATCH(ROW()-1,Calc!$X$2:$X$1001,0)),"")</f>
        <v/>
      </c>
      <c r="D965" s="3" t="str">
        <f aca="false">IFERROR(INDEX(Calc!$O$2:$O$1001,MATCH(ROW()-1,Calc!$X$2:$X$1001,0)),"")</f>
        <v/>
      </c>
      <c r="E965" s="3" t="str">
        <f aca="false">IFERROR(INDEX(Calc!$P$2:$P$1001,MATCH(ROW()-1,Calc!$X$2:$X$1001,0)),"")</f>
        <v/>
      </c>
      <c r="F965" s="3" t="str">
        <f aca="false">IF(G965="","",E965-D965)</f>
        <v/>
      </c>
      <c r="G965" s="0" t="str">
        <f aca="false">IFERROR(INDEX(Calc!$S$2:$S$1001,MATCH(ROW()-1,Calc!$X$2:$X$1001,0)),"")</f>
        <v/>
      </c>
    </row>
    <row r="966" customFormat="false" ht="15" hidden="false" customHeight="false" outlineLevel="0" collapsed="false">
      <c r="A966" s="0" t="str">
        <f aca="false">IFERROR(INDEX(Calc!$L$2:$L$1001,MATCH(ROW()-1,Calc!$X$2:$X$1001,0)),"")</f>
        <v/>
      </c>
      <c r="B966" s="0" t="str">
        <f aca="false">IFERROR(INDEX(Calc!$M$2:$M$1001,MATCH(ROW()-1,Calc!$X$2:$X$1001,0)),"")</f>
        <v/>
      </c>
      <c r="C966" s="0" t="str">
        <f aca="false">IFERROR(INDEX(Calc!$N$2:$N$1001,MATCH(ROW()-1,Calc!$X$2:$X$1001,0)),"")</f>
        <v/>
      </c>
      <c r="D966" s="3" t="str">
        <f aca="false">IFERROR(INDEX(Calc!$O$2:$O$1001,MATCH(ROW()-1,Calc!$X$2:$X$1001,0)),"")</f>
        <v/>
      </c>
      <c r="E966" s="3" t="str">
        <f aca="false">IFERROR(INDEX(Calc!$P$2:$P$1001,MATCH(ROW()-1,Calc!$X$2:$X$1001,0)),"")</f>
        <v/>
      </c>
      <c r="F966" s="3" t="str">
        <f aca="false">IF(G966="","",E966-D966)</f>
        <v/>
      </c>
      <c r="G966" s="0" t="str">
        <f aca="false">IFERROR(INDEX(Calc!$S$2:$S$1001,MATCH(ROW()-1,Calc!$X$2:$X$1001,0)),"")</f>
        <v/>
      </c>
    </row>
    <row r="967" customFormat="false" ht="15" hidden="false" customHeight="false" outlineLevel="0" collapsed="false">
      <c r="A967" s="0" t="str">
        <f aca="false">IFERROR(INDEX(Calc!$L$2:$L$1001,MATCH(ROW()-1,Calc!$X$2:$X$1001,0)),"")</f>
        <v/>
      </c>
      <c r="B967" s="0" t="str">
        <f aca="false">IFERROR(INDEX(Calc!$M$2:$M$1001,MATCH(ROW()-1,Calc!$X$2:$X$1001,0)),"")</f>
        <v/>
      </c>
      <c r="C967" s="0" t="str">
        <f aca="false">IFERROR(INDEX(Calc!$N$2:$N$1001,MATCH(ROW()-1,Calc!$X$2:$X$1001,0)),"")</f>
        <v/>
      </c>
      <c r="D967" s="3" t="str">
        <f aca="false">IFERROR(INDEX(Calc!$O$2:$O$1001,MATCH(ROW()-1,Calc!$X$2:$X$1001,0)),"")</f>
        <v/>
      </c>
      <c r="E967" s="3" t="str">
        <f aca="false">IFERROR(INDEX(Calc!$P$2:$P$1001,MATCH(ROW()-1,Calc!$X$2:$X$1001,0)),"")</f>
        <v/>
      </c>
      <c r="F967" s="3" t="str">
        <f aca="false">IF(G967="","",E967-D967)</f>
        <v/>
      </c>
      <c r="G967" s="0" t="str">
        <f aca="false">IFERROR(INDEX(Calc!$S$2:$S$1001,MATCH(ROW()-1,Calc!$X$2:$X$1001,0)),"")</f>
        <v/>
      </c>
    </row>
    <row r="968" customFormat="false" ht="15" hidden="false" customHeight="false" outlineLevel="0" collapsed="false">
      <c r="A968" s="0" t="str">
        <f aca="false">IFERROR(INDEX(Calc!$L$2:$L$1001,MATCH(ROW()-1,Calc!$X$2:$X$1001,0)),"")</f>
        <v/>
      </c>
      <c r="B968" s="0" t="str">
        <f aca="false">IFERROR(INDEX(Calc!$M$2:$M$1001,MATCH(ROW()-1,Calc!$X$2:$X$1001,0)),"")</f>
        <v/>
      </c>
      <c r="C968" s="0" t="str">
        <f aca="false">IFERROR(INDEX(Calc!$N$2:$N$1001,MATCH(ROW()-1,Calc!$X$2:$X$1001,0)),"")</f>
        <v/>
      </c>
      <c r="D968" s="3" t="str">
        <f aca="false">IFERROR(INDEX(Calc!$O$2:$O$1001,MATCH(ROW()-1,Calc!$X$2:$X$1001,0)),"")</f>
        <v/>
      </c>
      <c r="E968" s="3" t="str">
        <f aca="false">IFERROR(INDEX(Calc!$P$2:$P$1001,MATCH(ROW()-1,Calc!$X$2:$X$1001,0)),"")</f>
        <v/>
      </c>
      <c r="F968" s="3" t="str">
        <f aca="false">IF(G968="","",E968-D968)</f>
        <v/>
      </c>
      <c r="G968" s="0" t="str">
        <f aca="false">IFERROR(INDEX(Calc!$S$2:$S$1001,MATCH(ROW()-1,Calc!$X$2:$X$1001,0)),"")</f>
        <v/>
      </c>
    </row>
    <row r="969" customFormat="false" ht="15" hidden="false" customHeight="false" outlineLevel="0" collapsed="false">
      <c r="A969" s="0" t="str">
        <f aca="false">IFERROR(INDEX(Calc!$L$2:$L$1001,MATCH(ROW()-1,Calc!$X$2:$X$1001,0)),"")</f>
        <v/>
      </c>
      <c r="B969" s="0" t="str">
        <f aca="false">IFERROR(INDEX(Calc!$M$2:$M$1001,MATCH(ROW()-1,Calc!$X$2:$X$1001,0)),"")</f>
        <v/>
      </c>
      <c r="C969" s="0" t="str">
        <f aca="false">IFERROR(INDEX(Calc!$N$2:$N$1001,MATCH(ROW()-1,Calc!$X$2:$X$1001,0)),"")</f>
        <v/>
      </c>
      <c r="D969" s="3" t="str">
        <f aca="false">IFERROR(INDEX(Calc!$O$2:$O$1001,MATCH(ROW()-1,Calc!$X$2:$X$1001,0)),"")</f>
        <v/>
      </c>
      <c r="E969" s="3" t="str">
        <f aca="false">IFERROR(INDEX(Calc!$P$2:$P$1001,MATCH(ROW()-1,Calc!$X$2:$X$1001,0)),"")</f>
        <v/>
      </c>
      <c r="F969" s="3" t="str">
        <f aca="false">IF(G969="","",E969-D969)</f>
        <v/>
      </c>
      <c r="G969" s="0" t="str">
        <f aca="false">IFERROR(INDEX(Calc!$S$2:$S$1001,MATCH(ROW()-1,Calc!$X$2:$X$1001,0)),"")</f>
        <v/>
      </c>
    </row>
    <row r="970" customFormat="false" ht="15" hidden="false" customHeight="false" outlineLevel="0" collapsed="false">
      <c r="A970" s="0" t="str">
        <f aca="false">IFERROR(INDEX(Calc!$L$2:$L$1001,MATCH(ROW()-1,Calc!$X$2:$X$1001,0)),"")</f>
        <v/>
      </c>
      <c r="B970" s="0" t="str">
        <f aca="false">IFERROR(INDEX(Calc!$M$2:$M$1001,MATCH(ROW()-1,Calc!$X$2:$X$1001,0)),"")</f>
        <v/>
      </c>
      <c r="C970" s="0" t="str">
        <f aca="false">IFERROR(INDEX(Calc!$N$2:$N$1001,MATCH(ROW()-1,Calc!$X$2:$X$1001,0)),"")</f>
        <v/>
      </c>
      <c r="D970" s="3" t="str">
        <f aca="false">IFERROR(INDEX(Calc!$O$2:$O$1001,MATCH(ROW()-1,Calc!$X$2:$X$1001,0)),"")</f>
        <v/>
      </c>
      <c r="E970" s="3" t="str">
        <f aca="false">IFERROR(INDEX(Calc!$P$2:$P$1001,MATCH(ROW()-1,Calc!$X$2:$X$1001,0)),"")</f>
        <v/>
      </c>
      <c r="F970" s="3" t="str">
        <f aca="false">IF(G970="","",E970-D970)</f>
        <v/>
      </c>
      <c r="G970" s="0" t="str">
        <f aca="false">IFERROR(INDEX(Calc!$S$2:$S$1001,MATCH(ROW()-1,Calc!$X$2:$X$1001,0)),"")</f>
        <v/>
      </c>
    </row>
    <row r="971" customFormat="false" ht="15" hidden="false" customHeight="false" outlineLevel="0" collapsed="false">
      <c r="A971" s="0" t="str">
        <f aca="false">IFERROR(INDEX(Calc!$L$2:$L$1001,MATCH(ROW()-1,Calc!$X$2:$X$1001,0)),"")</f>
        <v/>
      </c>
      <c r="B971" s="0" t="str">
        <f aca="false">IFERROR(INDEX(Calc!$M$2:$M$1001,MATCH(ROW()-1,Calc!$X$2:$X$1001,0)),"")</f>
        <v/>
      </c>
      <c r="C971" s="0" t="str">
        <f aca="false">IFERROR(INDEX(Calc!$N$2:$N$1001,MATCH(ROW()-1,Calc!$X$2:$X$1001,0)),"")</f>
        <v/>
      </c>
      <c r="D971" s="3" t="str">
        <f aca="false">IFERROR(INDEX(Calc!$O$2:$O$1001,MATCH(ROW()-1,Calc!$X$2:$X$1001,0)),"")</f>
        <v/>
      </c>
      <c r="E971" s="3" t="str">
        <f aca="false">IFERROR(INDEX(Calc!$P$2:$P$1001,MATCH(ROW()-1,Calc!$X$2:$X$1001,0)),"")</f>
        <v/>
      </c>
      <c r="F971" s="3" t="str">
        <f aca="false">IF(G971="","",E971-D971)</f>
        <v/>
      </c>
      <c r="G971" s="0" t="str">
        <f aca="false">IFERROR(INDEX(Calc!$S$2:$S$1001,MATCH(ROW()-1,Calc!$X$2:$X$1001,0)),"")</f>
        <v/>
      </c>
    </row>
    <row r="972" customFormat="false" ht="15" hidden="false" customHeight="false" outlineLevel="0" collapsed="false">
      <c r="A972" s="0" t="str">
        <f aca="false">IFERROR(INDEX(Calc!$L$2:$L$1001,MATCH(ROW()-1,Calc!$X$2:$X$1001,0)),"")</f>
        <v/>
      </c>
      <c r="B972" s="0" t="str">
        <f aca="false">IFERROR(INDEX(Calc!$M$2:$M$1001,MATCH(ROW()-1,Calc!$X$2:$X$1001,0)),"")</f>
        <v/>
      </c>
      <c r="C972" s="0" t="str">
        <f aca="false">IFERROR(INDEX(Calc!$N$2:$N$1001,MATCH(ROW()-1,Calc!$X$2:$X$1001,0)),"")</f>
        <v/>
      </c>
      <c r="D972" s="3" t="str">
        <f aca="false">IFERROR(INDEX(Calc!$O$2:$O$1001,MATCH(ROW()-1,Calc!$X$2:$X$1001,0)),"")</f>
        <v/>
      </c>
      <c r="E972" s="3" t="str">
        <f aca="false">IFERROR(INDEX(Calc!$P$2:$P$1001,MATCH(ROW()-1,Calc!$X$2:$X$1001,0)),"")</f>
        <v/>
      </c>
      <c r="F972" s="3" t="str">
        <f aca="false">IF(G972="","",E972-D972)</f>
        <v/>
      </c>
      <c r="G972" s="0" t="str">
        <f aca="false">IFERROR(INDEX(Calc!$S$2:$S$1001,MATCH(ROW()-1,Calc!$X$2:$X$1001,0)),"")</f>
        <v/>
      </c>
    </row>
    <row r="973" customFormat="false" ht="15" hidden="false" customHeight="false" outlineLevel="0" collapsed="false">
      <c r="A973" s="0" t="str">
        <f aca="false">IFERROR(INDEX(Calc!$L$2:$L$1001,MATCH(ROW()-1,Calc!$X$2:$X$1001,0)),"")</f>
        <v/>
      </c>
      <c r="B973" s="0" t="str">
        <f aca="false">IFERROR(INDEX(Calc!$M$2:$M$1001,MATCH(ROW()-1,Calc!$X$2:$X$1001,0)),"")</f>
        <v/>
      </c>
      <c r="C973" s="0" t="str">
        <f aca="false">IFERROR(INDEX(Calc!$N$2:$N$1001,MATCH(ROW()-1,Calc!$X$2:$X$1001,0)),"")</f>
        <v/>
      </c>
      <c r="D973" s="3" t="str">
        <f aca="false">IFERROR(INDEX(Calc!$O$2:$O$1001,MATCH(ROW()-1,Calc!$X$2:$X$1001,0)),"")</f>
        <v/>
      </c>
      <c r="E973" s="3" t="str">
        <f aca="false">IFERROR(INDEX(Calc!$P$2:$P$1001,MATCH(ROW()-1,Calc!$X$2:$X$1001,0)),"")</f>
        <v/>
      </c>
      <c r="F973" s="3" t="str">
        <f aca="false">IF(G973="","",E973-D973)</f>
        <v/>
      </c>
      <c r="G973" s="0" t="str">
        <f aca="false">IFERROR(INDEX(Calc!$S$2:$S$1001,MATCH(ROW()-1,Calc!$X$2:$X$1001,0)),"")</f>
        <v/>
      </c>
    </row>
    <row r="974" customFormat="false" ht="15" hidden="false" customHeight="false" outlineLevel="0" collapsed="false">
      <c r="A974" s="0" t="str">
        <f aca="false">IFERROR(INDEX(Calc!$L$2:$L$1001,MATCH(ROW()-1,Calc!$X$2:$X$1001,0)),"")</f>
        <v/>
      </c>
      <c r="B974" s="0" t="str">
        <f aca="false">IFERROR(INDEX(Calc!$M$2:$M$1001,MATCH(ROW()-1,Calc!$X$2:$X$1001,0)),"")</f>
        <v/>
      </c>
      <c r="C974" s="0" t="str">
        <f aca="false">IFERROR(INDEX(Calc!$N$2:$N$1001,MATCH(ROW()-1,Calc!$X$2:$X$1001,0)),"")</f>
        <v/>
      </c>
      <c r="D974" s="3" t="str">
        <f aca="false">IFERROR(INDEX(Calc!$O$2:$O$1001,MATCH(ROW()-1,Calc!$X$2:$X$1001,0)),"")</f>
        <v/>
      </c>
      <c r="E974" s="3" t="str">
        <f aca="false">IFERROR(INDEX(Calc!$P$2:$P$1001,MATCH(ROW()-1,Calc!$X$2:$X$1001,0)),"")</f>
        <v/>
      </c>
      <c r="F974" s="3" t="str">
        <f aca="false">IF(G974="","",E974-D974)</f>
        <v/>
      </c>
      <c r="G974" s="0" t="str">
        <f aca="false">IFERROR(INDEX(Calc!$S$2:$S$1001,MATCH(ROW()-1,Calc!$X$2:$X$1001,0)),"")</f>
        <v/>
      </c>
    </row>
    <row r="975" customFormat="false" ht="15" hidden="false" customHeight="false" outlineLevel="0" collapsed="false">
      <c r="A975" s="0" t="str">
        <f aca="false">IFERROR(INDEX(Calc!$L$2:$L$1001,MATCH(ROW()-1,Calc!$X$2:$X$1001,0)),"")</f>
        <v/>
      </c>
      <c r="B975" s="0" t="str">
        <f aca="false">IFERROR(INDEX(Calc!$M$2:$M$1001,MATCH(ROW()-1,Calc!$X$2:$X$1001,0)),"")</f>
        <v/>
      </c>
      <c r="C975" s="0" t="str">
        <f aca="false">IFERROR(INDEX(Calc!$N$2:$N$1001,MATCH(ROW()-1,Calc!$X$2:$X$1001,0)),"")</f>
        <v/>
      </c>
      <c r="D975" s="3" t="str">
        <f aca="false">IFERROR(INDEX(Calc!$O$2:$O$1001,MATCH(ROW()-1,Calc!$X$2:$X$1001,0)),"")</f>
        <v/>
      </c>
      <c r="E975" s="3" t="str">
        <f aca="false">IFERROR(INDEX(Calc!$P$2:$P$1001,MATCH(ROW()-1,Calc!$X$2:$X$1001,0)),"")</f>
        <v/>
      </c>
      <c r="F975" s="3" t="str">
        <f aca="false">IF(G975="","",E975-D975)</f>
        <v/>
      </c>
      <c r="G975" s="0" t="str">
        <f aca="false">IFERROR(INDEX(Calc!$S$2:$S$1001,MATCH(ROW()-1,Calc!$X$2:$X$1001,0)),"")</f>
        <v/>
      </c>
    </row>
    <row r="976" customFormat="false" ht="15" hidden="false" customHeight="false" outlineLevel="0" collapsed="false">
      <c r="A976" s="0" t="str">
        <f aca="false">IFERROR(INDEX(Calc!$L$2:$L$1001,MATCH(ROW()-1,Calc!$X$2:$X$1001,0)),"")</f>
        <v/>
      </c>
      <c r="B976" s="0" t="str">
        <f aca="false">IFERROR(INDEX(Calc!$M$2:$M$1001,MATCH(ROW()-1,Calc!$X$2:$X$1001,0)),"")</f>
        <v/>
      </c>
      <c r="C976" s="0" t="str">
        <f aca="false">IFERROR(INDEX(Calc!$N$2:$N$1001,MATCH(ROW()-1,Calc!$X$2:$X$1001,0)),"")</f>
        <v/>
      </c>
      <c r="D976" s="3" t="str">
        <f aca="false">IFERROR(INDEX(Calc!$O$2:$O$1001,MATCH(ROW()-1,Calc!$X$2:$X$1001,0)),"")</f>
        <v/>
      </c>
      <c r="E976" s="3" t="str">
        <f aca="false">IFERROR(INDEX(Calc!$P$2:$P$1001,MATCH(ROW()-1,Calc!$X$2:$X$1001,0)),"")</f>
        <v/>
      </c>
      <c r="F976" s="3" t="str">
        <f aca="false">IF(G976="","",E976-D976)</f>
        <v/>
      </c>
      <c r="G976" s="0" t="str">
        <f aca="false">IFERROR(INDEX(Calc!$S$2:$S$1001,MATCH(ROW()-1,Calc!$X$2:$X$1001,0)),"")</f>
        <v/>
      </c>
    </row>
    <row r="977" customFormat="false" ht="15" hidden="false" customHeight="false" outlineLevel="0" collapsed="false">
      <c r="A977" s="0" t="str">
        <f aca="false">IFERROR(INDEX(Calc!$L$2:$L$1001,MATCH(ROW()-1,Calc!$X$2:$X$1001,0)),"")</f>
        <v/>
      </c>
      <c r="B977" s="0" t="str">
        <f aca="false">IFERROR(INDEX(Calc!$M$2:$M$1001,MATCH(ROW()-1,Calc!$X$2:$X$1001,0)),"")</f>
        <v/>
      </c>
      <c r="C977" s="0" t="str">
        <f aca="false">IFERROR(INDEX(Calc!$N$2:$N$1001,MATCH(ROW()-1,Calc!$X$2:$X$1001,0)),"")</f>
        <v/>
      </c>
      <c r="D977" s="3" t="str">
        <f aca="false">IFERROR(INDEX(Calc!$O$2:$O$1001,MATCH(ROW()-1,Calc!$X$2:$X$1001,0)),"")</f>
        <v/>
      </c>
      <c r="E977" s="3" t="str">
        <f aca="false">IFERROR(INDEX(Calc!$P$2:$P$1001,MATCH(ROW()-1,Calc!$X$2:$X$1001,0)),"")</f>
        <v/>
      </c>
      <c r="F977" s="3" t="str">
        <f aca="false">IF(G977="","",E977-D977)</f>
        <v/>
      </c>
      <c r="G977" s="0" t="str">
        <f aca="false">IFERROR(INDEX(Calc!$S$2:$S$1001,MATCH(ROW()-1,Calc!$X$2:$X$1001,0)),"")</f>
        <v/>
      </c>
    </row>
    <row r="978" customFormat="false" ht="15" hidden="false" customHeight="false" outlineLevel="0" collapsed="false">
      <c r="A978" s="0" t="str">
        <f aca="false">IFERROR(INDEX(Calc!$L$2:$L$1001,MATCH(ROW()-1,Calc!$X$2:$X$1001,0)),"")</f>
        <v/>
      </c>
      <c r="B978" s="0" t="str">
        <f aca="false">IFERROR(INDEX(Calc!$M$2:$M$1001,MATCH(ROW()-1,Calc!$X$2:$X$1001,0)),"")</f>
        <v/>
      </c>
      <c r="C978" s="0" t="str">
        <f aca="false">IFERROR(INDEX(Calc!$N$2:$N$1001,MATCH(ROW()-1,Calc!$X$2:$X$1001,0)),"")</f>
        <v/>
      </c>
      <c r="D978" s="3" t="str">
        <f aca="false">IFERROR(INDEX(Calc!$O$2:$O$1001,MATCH(ROW()-1,Calc!$X$2:$X$1001,0)),"")</f>
        <v/>
      </c>
      <c r="E978" s="3" t="str">
        <f aca="false">IFERROR(INDEX(Calc!$P$2:$P$1001,MATCH(ROW()-1,Calc!$X$2:$X$1001,0)),"")</f>
        <v/>
      </c>
      <c r="F978" s="3" t="str">
        <f aca="false">IF(G978="","",E978-D978)</f>
        <v/>
      </c>
      <c r="G978" s="0" t="str">
        <f aca="false">IFERROR(INDEX(Calc!$S$2:$S$1001,MATCH(ROW()-1,Calc!$X$2:$X$1001,0)),"")</f>
        <v/>
      </c>
    </row>
    <row r="979" customFormat="false" ht="15" hidden="false" customHeight="false" outlineLevel="0" collapsed="false">
      <c r="A979" s="0" t="str">
        <f aca="false">IFERROR(INDEX(Calc!$L$2:$L$1001,MATCH(ROW()-1,Calc!$X$2:$X$1001,0)),"")</f>
        <v/>
      </c>
      <c r="B979" s="0" t="str">
        <f aca="false">IFERROR(INDEX(Calc!$M$2:$M$1001,MATCH(ROW()-1,Calc!$X$2:$X$1001,0)),"")</f>
        <v/>
      </c>
      <c r="C979" s="0" t="str">
        <f aca="false">IFERROR(INDEX(Calc!$N$2:$N$1001,MATCH(ROW()-1,Calc!$X$2:$X$1001,0)),"")</f>
        <v/>
      </c>
      <c r="D979" s="3" t="str">
        <f aca="false">IFERROR(INDEX(Calc!$O$2:$O$1001,MATCH(ROW()-1,Calc!$X$2:$X$1001,0)),"")</f>
        <v/>
      </c>
      <c r="E979" s="3" t="str">
        <f aca="false">IFERROR(INDEX(Calc!$P$2:$P$1001,MATCH(ROW()-1,Calc!$X$2:$X$1001,0)),"")</f>
        <v/>
      </c>
      <c r="F979" s="3" t="str">
        <f aca="false">IF(G979="","",E979-D979)</f>
        <v/>
      </c>
      <c r="G979" s="0" t="str">
        <f aca="false">IFERROR(INDEX(Calc!$S$2:$S$1001,MATCH(ROW()-1,Calc!$X$2:$X$1001,0)),"")</f>
        <v/>
      </c>
    </row>
    <row r="980" customFormat="false" ht="15" hidden="false" customHeight="false" outlineLevel="0" collapsed="false">
      <c r="A980" s="0" t="str">
        <f aca="false">IFERROR(INDEX(Calc!$L$2:$L$1001,MATCH(ROW()-1,Calc!$X$2:$X$1001,0)),"")</f>
        <v/>
      </c>
      <c r="B980" s="0" t="str">
        <f aca="false">IFERROR(INDEX(Calc!$M$2:$M$1001,MATCH(ROW()-1,Calc!$X$2:$X$1001,0)),"")</f>
        <v/>
      </c>
      <c r="C980" s="0" t="str">
        <f aca="false">IFERROR(INDEX(Calc!$N$2:$N$1001,MATCH(ROW()-1,Calc!$X$2:$X$1001,0)),"")</f>
        <v/>
      </c>
      <c r="D980" s="3" t="str">
        <f aca="false">IFERROR(INDEX(Calc!$O$2:$O$1001,MATCH(ROW()-1,Calc!$X$2:$X$1001,0)),"")</f>
        <v/>
      </c>
      <c r="E980" s="3" t="str">
        <f aca="false">IFERROR(INDEX(Calc!$P$2:$P$1001,MATCH(ROW()-1,Calc!$X$2:$X$1001,0)),"")</f>
        <v/>
      </c>
      <c r="F980" s="3" t="str">
        <f aca="false">IF(G980="","",E980-D980)</f>
        <v/>
      </c>
      <c r="G980" s="0" t="str">
        <f aca="false">IFERROR(INDEX(Calc!$S$2:$S$1001,MATCH(ROW()-1,Calc!$X$2:$X$1001,0)),"")</f>
        <v/>
      </c>
    </row>
    <row r="981" customFormat="false" ht="15" hidden="false" customHeight="false" outlineLevel="0" collapsed="false">
      <c r="A981" s="0" t="str">
        <f aca="false">IFERROR(INDEX(Calc!$L$2:$L$1001,MATCH(ROW()-1,Calc!$X$2:$X$1001,0)),"")</f>
        <v/>
      </c>
      <c r="B981" s="0" t="str">
        <f aca="false">IFERROR(INDEX(Calc!$M$2:$M$1001,MATCH(ROW()-1,Calc!$X$2:$X$1001,0)),"")</f>
        <v/>
      </c>
      <c r="C981" s="0" t="str">
        <f aca="false">IFERROR(INDEX(Calc!$N$2:$N$1001,MATCH(ROW()-1,Calc!$X$2:$X$1001,0)),"")</f>
        <v/>
      </c>
      <c r="D981" s="3" t="str">
        <f aca="false">IFERROR(INDEX(Calc!$O$2:$O$1001,MATCH(ROW()-1,Calc!$X$2:$X$1001,0)),"")</f>
        <v/>
      </c>
      <c r="E981" s="3" t="str">
        <f aca="false">IFERROR(INDEX(Calc!$P$2:$P$1001,MATCH(ROW()-1,Calc!$X$2:$X$1001,0)),"")</f>
        <v/>
      </c>
      <c r="F981" s="3" t="str">
        <f aca="false">IF(G981="","",E981-D981)</f>
        <v/>
      </c>
      <c r="G981" s="0" t="str">
        <f aca="false">IFERROR(INDEX(Calc!$S$2:$S$1001,MATCH(ROW()-1,Calc!$X$2:$X$1001,0)),"")</f>
        <v/>
      </c>
    </row>
    <row r="982" customFormat="false" ht="15" hidden="false" customHeight="false" outlineLevel="0" collapsed="false">
      <c r="A982" s="0" t="str">
        <f aca="false">IFERROR(INDEX(Calc!$L$2:$L$1001,MATCH(ROW()-1,Calc!$X$2:$X$1001,0)),"")</f>
        <v/>
      </c>
      <c r="B982" s="0" t="str">
        <f aca="false">IFERROR(INDEX(Calc!$M$2:$M$1001,MATCH(ROW()-1,Calc!$X$2:$X$1001,0)),"")</f>
        <v/>
      </c>
      <c r="C982" s="0" t="str">
        <f aca="false">IFERROR(INDEX(Calc!$N$2:$N$1001,MATCH(ROW()-1,Calc!$X$2:$X$1001,0)),"")</f>
        <v/>
      </c>
      <c r="D982" s="3" t="str">
        <f aca="false">IFERROR(INDEX(Calc!$O$2:$O$1001,MATCH(ROW()-1,Calc!$X$2:$X$1001,0)),"")</f>
        <v/>
      </c>
      <c r="E982" s="3" t="str">
        <f aca="false">IFERROR(INDEX(Calc!$P$2:$P$1001,MATCH(ROW()-1,Calc!$X$2:$X$1001,0)),"")</f>
        <v/>
      </c>
      <c r="F982" s="3" t="str">
        <f aca="false">IF(G982="","",E982-D982)</f>
        <v/>
      </c>
      <c r="G982" s="0" t="str">
        <f aca="false">IFERROR(INDEX(Calc!$S$2:$S$1001,MATCH(ROW()-1,Calc!$X$2:$X$1001,0)),"")</f>
        <v/>
      </c>
    </row>
    <row r="983" customFormat="false" ht="15" hidden="false" customHeight="false" outlineLevel="0" collapsed="false">
      <c r="A983" s="0" t="str">
        <f aca="false">IFERROR(INDEX(Calc!$L$2:$L$1001,MATCH(ROW()-1,Calc!$X$2:$X$1001,0)),"")</f>
        <v/>
      </c>
      <c r="B983" s="0" t="str">
        <f aca="false">IFERROR(INDEX(Calc!$M$2:$M$1001,MATCH(ROW()-1,Calc!$X$2:$X$1001,0)),"")</f>
        <v/>
      </c>
      <c r="C983" s="0" t="str">
        <f aca="false">IFERROR(INDEX(Calc!$N$2:$N$1001,MATCH(ROW()-1,Calc!$X$2:$X$1001,0)),"")</f>
        <v/>
      </c>
      <c r="D983" s="3" t="str">
        <f aca="false">IFERROR(INDEX(Calc!$O$2:$O$1001,MATCH(ROW()-1,Calc!$X$2:$X$1001,0)),"")</f>
        <v/>
      </c>
      <c r="E983" s="3" t="str">
        <f aca="false">IFERROR(INDEX(Calc!$P$2:$P$1001,MATCH(ROW()-1,Calc!$X$2:$X$1001,0)),"")</f>
        <v/>
      </c>
      <c r="F983" s="3" t="str">
        <f aca="false">IF(G983="","",E983-D983)</f>
        <v/>
      </c>
      <c r="G983" s="0" t="str">
        <f aca="false">IFERROR(INDEX(Calc!$S$2:$S$1001,MATCH(ROW()-1,Calc!$X$2:$X$1001,0)),"")</f>
        <v/>
      </c>
    </row>
    <row r="984" customFormat="false" ht="15" hidden="false" customHeight="false" outlineLevel="0" collapsed="false">
      <c r="A984" s="0" t="str">
        <f aca="false">IFERROR(INDEX(Calc!$L$2:$L$1001,MATCH(ROW()-1,Calc!$X$2:$X$1001,0)),"")</f>
        <v/>
      </c>
      <c r="B984" s="0" t="str">
        <f aca="false">IFERROR(INDEX(Calc!$M$2:$M$1001,MATCH(ROW()-1,Calc!$X$2:$X$1001,0)),"")</f>
        <v/>
      </c>
      <c r="C984" s="0" t="str">
        <f aca="false">IFERROR(INDEX(Calc!$N$2:$N$1001,MATCH(ROW()-1,Calc!$X$2:$X$1001,0)),"")</f>
        <v/>
      </c>
      <c r="D984" s="3" t="str">
        <f aca="false">IFERROR(INDEX(Calc!$O$2:$O$1001,MATCH(ROW()-1,Calc!$X$2:$X$1001,0)),"")</f>
        <v/>
      </c>
      <c r="E984" s="3" t="str">
        <f aca="false">IFERROR(INDEX(Calc!$P$2:$P$1001,MATCH(ROW()-1,Calc!$X$2:$X$1001,0)),"")</f>
        <v/>
      </c>
      <c r="F984" s="3" t="str">
        <f aca="false">IF(G984="","",E984-D984)</f>
        <v/>
      </c>
      <c r="G984" s="0" t="str">
        <f aca="false">IFERROR(INDEX(Calc!$S$2:$S$1001,MATCH(ROW()-1,Calc!$X$2:$X$1001,0)),"")</f>
        <v/>
      </c>
    </row>
    <row r="985" customFormat="false" ht="15" hidden="false" customHeight="false" outlineLevel="0" collapsed="false">
      <c r="A985" s="0" t="str">
        <f aca="false">IFERROR(INDEX(Calc!$L$2:$L$1001,MATCH(ROW()-1,Calc!$X$2:$X$1001,0)),"")</f>
        <v/>
      </c>
      <c r="B985" s="0" t="str">
        <f aca="false">IFERROR(INDEX(Calc!$M$2:$M$1001,MATCH(ROW()-1,Calc!$X$2:$X$1001,0)),"")</f>
        <v/>
      </c>
      <c r="C985" s="0" t="str">
        <f aca="false">IFERROR(INDEX(Calc!$N$2:$N$1001,MATCH(ROW()-1,Calc!$X$2:$X$1001,0)),"")</f>
        <v/>
      </c>
      <c r="D985" s="3" t="str">
        <f aca="false">IFERROR(INDEX(Calc!$O$2:$O$1001,MATCH(ROW()-1,Calc!$X$2:$X$1001,0)),"")</f>
        <v/>
      </c>
      <c r="E985" s="3" t="str">
        <f aca="false">IFERROR(INDEX(Calc!$P$2:$P$1001,MATCH(ROW()-1,Calc!$X$2:$X$1001,0)),"")</f>
        <v/>
      </c>
      <c r="F985" s="3" t="str">
        <f aca="false">IF(G985="","",E985-D985)</f>
        <v/>
      </c>
      <c r="G985" s="0" t="str">
        <f aca="false">IFERROR(INDEX(Calc!$S$2:$S$1001,MATCH(ROW()-1,Calc!$X$2:$X$1001,0)),"")</f>
        <v/>
      </c>
    </row>
    <row r="986" customFormat="false" ht="15" hidden="false" customHeight="false" outlineLevel="0" collapsed="false">
      <c r="A986" s="0" t="str">
        <f aca="false">IFERROR(INDEX(Calc!$L$2:$L$1001,MATCH(ROW()-1,Calc!$X$2:$X$1001,0)),"")</f>
        <v/>
      </c>
      <c r="B986" s="0" t="str">
        <f aca="false">IFERROR(INDEX(Calc!$M$2:$M$1001,MATCH(ROW()-1,Calc!$X$2:$X$1001,0)),"")</f>
        <v/>
      </c>
      <c r="C986" s="0" t="str">
        <f aca="false">IFERROR(INDEX(Calc!$N$2:$N$1001,MATCH(ROW()-1,Calc!$X$2:$X$1001,0)),"")</f>
        <v/>
      </c>
      <c r="D986" s="3" t="str">
        <f aca="false">IFERROR(INDEX(Calc!$O$2:$O$1001,MATCH(ROW()-1,Calc!$X$2:$X$1001,0)),"")</f>
        <v/>
      </c>
      <c r="E986" s="3" t="str">
        <f aca="false">IFERROR(INDEX(Calc!$P$2:$P$1001,MATCH(ROW()-1,Calc!$X$2:$X$1001,0)),"")</f>
        <v/>
      </c>
      <c r="F986" s="3" t="str">
        <f aca="false">IF(G986="","",E986-D986)</f>
        <v/>
      </c>
      <c r="G986" s="0" t="str">
        <f aca="false">IFERROR(INDEX(Calc!$S$2:$S$1001,MATCH(ROW()-1,Calc!$X$2:$X$1001,0)),"")</f>
        <v/>
      </c>
    </row>
    <row r="987" customFormat="false" ht="15" hidden="false" customHeight="false" outlineLevel="0" collapsed="false">
      <c r="A987" s="0" t="str">
        <f aca="false">IFERROR(INDEX(Calc!$L$2:$L$1001,MATCH(ROW()-1,Calc!$X$2:$X$1001,0)),"")</f>
        <v/>
      </c>
      <c r="B987" s="0" t="str">
        <f aca="false">IFERROR(INDEX(Calc!$M$2:$M$1001,MATCH(ROW()-1,Calc!$X$2:$X$1001,0)),"")</f>
        <v/>
      </c>
      <c r="C987" s="0" t="str">
        <f aca="false">IFERROR(INDEX(Calc!$N$2:$N$1001,MATCH(ROW()-1,Calc!$X$2:$X$1001,0)),"")</f>
        <v/>
      </c>
      <c r="D987" s="3" t="str">
        <f aca="false">IFERROR(INDEX(Calc!$O$2:$O$1001,MATCH(ROW()-1,Calc!$X$2:$X$1001,0)),"")</f>
        <v/>
      </c>
      <c r="E987" s="3" t="str">
        <f aca="false">IFERROR(INDEX(Calc!$P$2:$P$1001,MATCH(ROW()-1,Calc!$X$2:$X$1001,0)),"")</f>
        <v/>
      </c>
      <c r="F987" s="3" t="str">
        <f aca="false">IF(G987="","",E987-D987)</f>
        <v/>
      </c>
      <c r="G987" s="0" t="str">
        <f aca="false">IFERROR(INDEX(Calc!$S$2:$S$1001,MATCH(ROW()-1,Calc!$X$2:$X$1001,0)),"")</f>
        <v/>
      </c>
    </row>
    <row r="988" customFormat="false" ht="15" hidden="false" customHeight="false" outlineLevel="0" collapsed="false">
      <c r="A988" s="0" t="str">
        <f aca="false">IFERROR(INDEX(Calc!$L$2:$L$1001,MATCH(ROW()-1,Calc!$X$2:$X$1001,0)),"")</f>
        <v/>
      </c>
      <c r="B988" s="0" t="str">
        <f aca="false">IFERROR(INDEX(Calc!$M$2:$M$1001,MATCH(ROW()-1,Calc!$X$2:$X$1001,0)),"")</f>
        <v/>
      </c>
      <c r="C988" s="0" t="str">
        <f aca="false">IFERROR(INDEX(Calc!$N$2:$N$1001,MATCH(ROW()-1,Calc!$X$2:$X$1001,0)),"")</f>
        <v/>
      </c>
      <c r="D988" s="3" t="str">
        <f aca="false">IFERROR(INDEX(Calc!$O$2:$O$1001,MATCH(ROW()-1,Calc!$X$2:$X$1001,0)),"")</f>
        <v/>
      </c>
      <c r="E988" s="3" t="str">
        <f aca="false">IFERROR(INDEX(Calc!$P$2:$P$1001,MATCH(ROW()-1,Calc!$X$2:$X$1001,0)),"")</f>
        <v/>
      </c>
      <c r="F988" s="3" t="str">
        <f aca="false">IF(G988="","",E988-D988)</f>
        <v/>
      </c>
      <c r="G988" s="0" t="str">
        <f aca="false">IFERROR(INDEX(Calc!$S$2:$S$1001,MATCH(ROW()-1,Calc!$X$2:$X$1001,0)),"")</f>
        <v/>
      </c>
    </row>
    <row r="989" customFormat="false" ht="15" hidden="false" customHeight="false" outlineLevel="0" collapsed="false">
      <c r="A989" s="0" t="str">
        <f aca="false">IFERROR(INDEX(Calc!$L$2:$L$1001,MATCH(ROW()-1,Calc!$X$2:$X$1001,0)),"")</f>
        <v/>
      </c>
      <c r="B989" s="0" t="str">
        <f aca="false">IFERROR(INDEX(Calc!$M$2:$M$1001,MATCH(ROW()-1,Calc!$X$2:$X$1001,0)),"")</f>
        <v/>
      </c>
      <c r="C989" s="0" t="str">
        <f aca="false">IFERROR(INDEX(Calc!$N$2:$N$1001,MATCH(ROW()-1,Calc!$X$2:$X$1001,0)),"")</f>
        <v/>
      </c>
      <c r="D989" s="3" t="str">
        <f aca="false">IFERROR(INDEX(Calc!$O$2:$O$1001,MATCH(ROW()-1,Calc!$X$2:$X$1001,0)),"")</f>
        <v/>
      </c>
      <c r="E989" s="3" t="str">
        <f aca="false">IFERROR(INDEX(Calc!$P$2:$P$1001,MATCH(ROW()-1,Calc!$X$2:$X$1001,0)),"")</f>
        <v/>
      </c>
      <c r="F989" s="3" t="str">
        <f aca="false">IF(G989="","",E989-D989)</f>
        <v/>
      </c>
      <c r="G989" s="0" t="str">
        <f aca="false">IFERROR(INDEX(Calc!$S$2:$S$1001,MATCH(ROW()-1,Calc!$X$2:$X$1001,0)),"")</f>
        <v/>
      </c>
    </row>
    <row r="990" customFormat="false" ht="15" hidden="false" customHeight="false" outlineLevel="0" collapsed="false">
      <c r="A990" s="0" t="str">
        <f aca="false">IFERROR(INDEX(Calc!$L$2:$L$1001,MATCH(ROW()-1,Calc!$X$2:$X$1001,0)),"")</f>
        <v/>
      </c>
      <c r="B990" s="0" t="str">
        <f aca="false">IFERROR(INDEX(Calc!$M$2:$M$1001,MATCH(ROW()-1,Calc!$X$2:$X$1001,0)),"")</f>
        <v/>
      </c>
      <c r="C990" s="0" t="str">
        <f aca="false">IFERROR(INDEX(Calc!$N$2:$N$1001,MATCH(ROW()-1,Calc!$X$2:$X$1001,0)),"")</f>
        <v/>
      </c>
      <c r="D990" s="3" t="str">
        <f aca="false">IFERROR(INDEX(Calc!$O$2:$O$1001,MATCH(ROW()-1,Calc!$X$2:$X$1001,0)),"")</f>
        <v/>
      </c>
      <c r="E990" s="3" t="str">
        <f aca="false">IFERROR(INDEX(Calc!$P$2:$P$1001,MATCH(ROW()-1,Calc!$X$2:$X$1001,0)),"")</f>
        <v/>
      </c>
      <c r="F990" s="3" t="str">
        <f aca="false">IF(G990="","",E990-D990)</f>
        <v/>
      </c>
      <c r="G990" s="0" t="str">
        <f aca="false">IFERROR(INDEX(Calc!$S$2:$S$1001,MATCH(ROW()-1,Calc!$X$2:$X$1001,0)),"")</f>
        <v/>
      </c>
    </row>
    <row r="991" customFormat="false" ht="15" hidden="false" customHeight="false" outlineLevel="0" collapsed="false">
      <c r="A991" s="0" t="str">
        <f aca="false">IFERROR(INDEX(Calc!$L$2:$L$1001,MATCH(ROW()-1,Calc!$X$2:$X$1001,0)),"")</f>
        <v/>
      </c>
      <c r="B991" s="0" t="str">
        <f aca="false">IFERROR(INDEX(Calc!$M$2:$M$1001,MATCH(ROW()-1,Calc!$X$2:$X$1001,0)),"")</f>
        <v/>
      </c>
      <c r="C991" s="0" t="str">
        <f aca="false">IFERROR(INDEX(Calc!$N$2:$N$1001,MATCH(ROW()-1,Calc!$X$2:$X$1001,0)),"")</f>
        <v/>
      </c>
      <c r="D991" s="3" t="str">
        <f aca="false">IFERROR(INDEX(Calc!$O$2:$O$1001,MATCH(ROW()-1,Calc!$X$2:$X$1001,0)),"")</f>
        <v/>
      </c>
      <c r="E991" s="3" t="str">
        <f aca="false">IFERROR(INDEX(Calc!$P$2:$P$1001,MATCH(ROW()-1,Calc!$X$2:$X$1001,0)),"")</f>
        <v/>
      </c>
      <c r="F991" s="3" t="str">
        <f aca="false">IF(G991="","",E991-D991)</f>
        <v/>
      </c>
      <c r="G991" s="0" t="str">
        <f aca="false">IFERROR(INDEX(Calc!$S$2:$S$1001,MATCH(ROW()-1,Calc!$X$2:$X$1001,0)),"")</f>
        <v/>
      </c>
    </row>
    <row r="992" customFormat="false" ht="15" hidden="false" customHeight="false" outlineLevel="0" collapsed="false">
      <c r="A992" s="0" t="str">
        <f aca="false">IFERROR(INDEX(Calc!$L$2:$L$1001,MATCH(ROW()-1,Calc!$X$2:$X$1001,0)),"")</f>
        <v/>
      </c>
      <c r="B992" s="0" t="str">
        <f aca="false">IFERROR(INDEX(Calc!$M$2:$M$1001,MATCH(ROW()-1,Calc!$X$2:$X$1001,0)),"")</f>
        <v/>
      </c>
      <c r="C992" s="0" t="str">
        <f aca="false">IFERROR(INDEX(Calc!$N$2:$N$1001,MATCH(ROW()-1,Calc!$X$2:$X$1001,0)),"")</f>
        <v/>
      </c>
      <c r="D992" s="3" t="str">
        <f aca="false">IFERROR(INDEX(Calc!$O$2:$O$1001,MATCH(ROW()-1,Calc!$X$2:$X$1001,0)),"")</f>
        <v/>
      </c>
      <c r="E992" s="3" t="str">
        <f aca="false">IFERROR(INDEX(Calc!$P$2:$P$1001,MATCH(ROW()-1,Calc!$X$2:$X$1001,0)),"")</f>
        <v/>
      </c>
      <c r="F992" s="3" t="str">
        <f aca="false">IF(G992="","",E992-D992)</f>
        <v/>
      </c>
      <c r="G992" s="0" t="str">
        <f aca="false">IFERROR(INDEX(Calc!$S$2:$S$1001,MATCH(ROW()-1,Calc!$X$2:$X$1001,0)),"")</f>
        <v/>
      </c>
    </row>
    <row r="993" customFormat="false" ht="15" hidden="false" customHeight="false" outlineLevel="0" collapsed="false">
      <c r="A993" s="0" t="str">
        <f aca="false">IFERROR(INDEX(Calc!$L$2:$L$1001,MATCH(ROW()-1,Calc!$X$2:$X$1001,0)),"")</f>
        <v/>
      </c>
      <c r="B993" s="0" t="str">
        <f aca="false">IFERROR(INDEX(Calc!$M$2:$M$1001,MATCH(ROW()-1,Calc!$X$2:$X$1001,0)),"")</f>
        <v/>
      </c>
      <c r="C993" s="0" t="str">
        <f aca="false">IFERROR(INDEX(Calc!$N$2:$N$1001,MATCH(ROW()-1,Calc!$X$2:$X$1001,0)),"")</f>
        <v/>
      </c>
      <c r="D993" s="3" t="str">
        <f aca="false">IFERROR(INDEX(Calc!$O$2:$O$1001,MATCH(ROW()-1,Calc!$X$2:$X$1001,0)),"")</f>
        <v/>
      </c>
      <c r="E993" s="3" t="str">
        <f aca="false">IFERROR(INDEX(Calc!$P$2:$P$1001,MATCH(ROW()-1,Calc!$X$2:$X$1001,0)),"")</f>
        <v/>
      </c>
      <c r="F993" s="3" t="str">
        <f aca="false">IF(G993="","",E993-D993)</f>
        <v/>
      </c>
      <c r="G993" s="0" t="str">
        <f aca="false">IFERROR(INDEX(Calc!$S$2:$S$1001,MATCH(ROW()-1,Calc!$X$2:$X$1001,0)),"")</f>
        <v/>
      </c>
    </row>
    <row r="994" customFormat="false" ht="15" hidden="false" customHeight="false" outlineLevel="0" collapsed="false">
      <c r="A994" s="0" t="str">
        <f aca="false">IFERROR(INDEX(Calc!$L$2:$L$1001,MATCH(ROW()-1,Calc!$X$2:$X$1001,0)),"")</f>
        <v/>
      </c>
      <c r="B994" s="0" t="str">
        <f aca="false">IFERROR(INDEX(Calc!$M$2:$M$1001,MATCH(ROW()-1,Calc!$X$2:$X$1001,0)),"")</f>
        <v/>
      </c>
      <c r="C994" s="0" t="str">
        <f aca="false">IFERROR(INDEX(Calc!$N$2:$N$1001,MATCH(ROW()-1,Calc!$X$2:$X$1001,0)),"")</f>
        <v/>
      </c>
      <c r="D994" s="3" t="str">
        <f aca="false">IFERROR(INDEX(Calc!$O$2:$O$1001,MATCH(ROW()-1,Calc!$X$2:$X$1001,0)),"")</f>
        <v/>
      </c>
      <c r="E994" s="3" t="str">
        <f aca="false">IFERROR(INDEX(Calc!$P$2:$P$1001,MATCH(ROW()-1,Calc!$X$2:$X$1001,0)),"")</f>
        <v/>
      </c>
      <c r="F994" s="3" t="str">
        <f aca="false">IF(G994="","",E994-D994)</f>
        <v/>
      </c>
      <c r="G994" s="0" t="str">
        <f aca="false">IFERROR(INDEX(Calc!$S$2:$S$1001,MATCH(ROW()-1,Calc!$X$2:$X$1001,0)),"")</f>
        <v/>
      </c>
    </row>
    <row r="995" customFormat="false" ht="15" hidden="false" customHeight="false" outlineLevel="0" collapsed="false">
      <c r="A995" s="0" t="str">
        <f aca="false">IFERROR(INDEX(Calc!$L$2:$L$1001,MATCH(ROW()-1,Calc!$X$2:$X$1001,0)),"")</f>
        <v/>
      </c>
      <c r="B995" s="0" t="str">
        <f aca="false">IFERROR(INDEX(Calc!$M$2:$M$1001,MATCH(ROW()-1,Calc!$X$2:$X$1001,0)),"")</f>
        <v/>
      </c>
      <c r="C995" s="0" t="str">
        <f aca="false">IFERROR(INDEX(Calc!$N$2:$N$1001,MATCH(ROW()-1,Calc!$X$2:$X$1001,0)),"")</f>
        <v/>
      </c>
      <c r="D995" s="3" t="str">
        <f aca="false">IFERROR(INDEX(Calc!$O$2:$O$1001,MATCH(ROW()-1,Calc!$X$2:$X$1001,0)),"")</f>
        <v/>
      </c>
      <c r="E995" s="3" t="str">
        <f aca="false">IFERROR(INDEX(Calc!$P$2:$P$1001,MATCH(ROW()-1,Calc!$X$2:$X$1001,0)),"")</f>
        <v/>
      </c>
      <c r="F995" s="3" t="str">
        <f aca="false">IF(G995="","",E995-D995)</f>
        <v/>
      </c>
      <c r="G995" s="0" t="str">
        <f aca="false">IFERROR(INDEX(Calc!$S$2:$S$1001,MATCH(ROW()-1,Calc!$X$2:$X$1001,0)),"")</f>
        <v/>
      </c>
    </row>
    <row r="996" customFormat="false" ht="15" hidden="false" customHeight="false" outlineLevel="0" collapsed="false">
      <c r="A996" s="0" t="str">
        <f aca="false">IFERROR(INDEX(Calc!$L$2:$L$1001,MATCH(ROW()-1,Calc!$X$2:$X$1001,0)),"")</f>
        <v/>
      </c>
      <c r="B996" s="0" t="str">
        <f aca="false">IFERROR(INDEX(Calc!$M$2:$M$1001,MATCH(ROW()-1,Calc!$X$2:$X$1001,0)),"")</f>
        <v/>
      </c>
      <c r="C996" s="0" t="str">
        <f aca="false">IFERROR(INDEX(Calc!$N$2:$N$1001,MATCH(ROW()-1,Calc!$X$2:$X$1001,0)),"")</f>
        <v/>
      </c>
      <c r="D996" s="3" t="str">
        <f aca="false">IFERROR(INDEX(Calc!$O$2:$O$1001,MATCH(ROW()-1,Calc!$X$2:$X$1001,0)),"")</f>
        <v/>
      </c>
      <c r="E996" s="3" t="str">
        <f aca="false">IFERROR(INDEX(Calc!$P$2:$P$1001,MATCH(ROW()-1,Calc!$X$2:$X$1001,0)),"")</f>
        <v/>
      </c>
      <c r="F996" s="3" t="str">
        <f aca="false">IF(G996="","",E996-D996)</f>
        <v/>
      </c>
      <c r="G996" s="0" t="str">
        <f aca="false">IFERROR(INDEX(Calc!$S$2:$S$1001,MATCH(ROW()-1,Calc!$X$2:$X$1001,0)),"")</f>
        <v/>
      </c>
    </row>
    <row r="997" customFormat="false" ht="15" hidden="false" customHeight="false" outlineLevel="0" collapsed="false">
      <c r="A997" s="0" t="str">
        <f aca="false">IFERROR(INDEX(Calc!$L$2:$L$1001,MATCH(ROW()-1,Calc!$X$2:$X$1001,0)),"")</f>
        <v/>
      </c>
      <c r="B997" s="0" t="str">
        <f aca="false">IFERROR(INDEX(Calc!$M$2:$M$1001,MATCH(ROW()-1,Calc!$X$2:$X$1001,0)),"")</f>
        <v/>
      </c>
      <c r="C997" s="0" t="str">
        <f aca="false">IFERROR(INDEX(Calc!$N$2:$N$1001,MATCH(ROW()-1,Calc!$X$2:$X$1001,0)),"")</f>
        <v/>
      </c>
      <c r="D997" s="3" t="str">
        <f aca="false">IFERROR(INDEX(Calc!$O$2:$O$1001,MATCH(ROW()-1,Calc!$X$2:$X$1001,0)),"")</f>
        <v/>
      </c>
      <c r="E997" s="3" t="str">
        <f aca="false">IFERROR(INDEX(Calc!$P$2:$P$1001,MATCH(ROW()-1,Calc!$X$2:$X$1001,0)),"")</f>
        <v/>
      </c>
      <c r="F997" s="3" t="str">
        <f aca="false">IF(G997="","",E997-D997)</f>
        <v/>
      </c>
      <c r="G997" s="0" t="str">
        <f aca="false">IFERROR(INDEX(Calc!$S$2:$S$1001,MATCH(ROW()-1,Calc!$X$2:$X$1001,0)),"")</f>
        <v/>
      </c>
    </row>
    <row r="998" customFormat="false" ht="15" hidden="false" customHeight="false" outlineLevel="0" collapsed="false">
      <c r="A998" s="0" t="str">
        <f aca="false">IFERROR(INDEX(Calc!$L$2:$L$1001,MATCH(ROW()-1,Calc!$X$2:$X$1001,0)),"")</f>
        <v/>
      </c>
      <c r="B998" s="0" t="str">
        <f aca="false">IFERROR(INDEX(Calc!$M$2:$M$1001,MATCH(ROW()-1,Calc!$X$2:$X$1001,0)),"")</f>
        <v/>
      </c>
      <c r="C998" s="0" t="str">
        <f aca="false">IFERROR(INDEX(Calc!$N$2:$N$1001,MATCH(ROW()-1,Calc!$X$2:$X$1001,0)),"")</f>
        <v/>
      </c>
      <c r="D998" s="3" t="str">
        <f aca="false">IFERROR(INDEX(Calc!$O$2:$O$1001,MATCH(ROW()-1,Calc!$X$2:$X$1001,0)),"")</f>
        <v/>
      </c>
      <c r="E998" s="3" t="str">
        <f aca="false">IFERROR(INDEX(Calc!$P$2:$P$1001,MATCH(ROW()-1,Calc!$X$2:$X$1001,0)),"")</f>
        <v/>
      </c>
      <c r="F998" s="3" t="str">
        <f aca="false">IF(G998="","",E998-D998)</f>
        <v/>
      </c>
      <c r="G998" s="0" t="str">
        <f aca="false">IFERROR(INDEX(Calc!$S$2:$S$1001,MATCH(ROW()-1,Calc!$X$2:$X$1001,0)),"")</f>
        <v/>
      </c>
    </row>
    <row r="999" customFormat="false" ht="15" hidden="false" customHeight="false" outlineLevel="0" collapsed="false">
      <c r="A999" s="0" t="str">
        <f aca="false">IFERROR(INDEX(Calc!$L$2:$L$1001,MATCH(ROW()-1,Calc!$X$2:$X$1001,0)),"")</f>
        <v/>
      </c>
      <c r="B999" s="0" t="str">
        <f aca="false">IFERROR(INDEX(Calc!$M$2:$M$1001,MATCH(ROW()-1,Calc!$X$2:$X$1001,0)),"")</f>
        <v/>
      </c>
      <c r="C999" s="0" t="str">
        <f aca="false">IFERROR(INDEX(Calc!$N$2:$N$1001,MATCH(ROW()-1,Calc!$X$2:$X$1001,0)),"")</f>
        <v/>
      </c>
      <c r="D999" s="3" t="str">
        <f aca="false">IFERROR(INDEX(Calc!$O$2:$O$1001,MATCH(ROW()-1,Calc!$X$2:$X$1001,0)),"")</f>
        <v/>
      </c>
      <c r="E999" s="3" t="str">
        <f aca="false">IFERROR(INDEX(Calc!$P$2:$P$1001,MATCH(ROW()-1,Calc!$X$2:$X$1001,0)),"")</f>
        <v/>
      </c>
      <c r="F999" s="3" t="str">
        <f aca="false">IF(G999="","",E999-D999)</f>
        <v/>
      </c>
      <c r="G999" s="0" t="str">
        <f aca="false">IFERROR(INDEX(Calc!$S$2:$S$1001,MATCH(ROW()-1,Calc!$X$2:$X$1001,0)),"")</f>
        <v/>
      </c>
    </row>
    <row r="1000" customFormat="false" ht="15" hidden="false" customHeight="false" outlineLevel="0" collapsed="false">
      <c r="A1000" s="0" t="str">
        <f aca="false">IFERROR(INDEX(Calc!$L$2:$L$1001,MATCH(ROW()-1,Calc!$X$2:$X$1001,0)),"")</f>
        <v/>
      </c>
      <c r="B1000" s="0" t="str">
        <f aca="false">IFERROR(INDEX(Calc!$M$2:$M$1001,MATCH(ROW()-1,Calc!$X$2:$X$1001,0)),"")</f>
        <v/>
      </c>
      <c r="C1000" s="0" t="str">
        <f aca="false">IFERROR(INDEX(Calc!$N$2:$N$1001,MATCH(ROW()-1,Calc!$X$2:$X$1001,0)),"")</f>
        <v/>
      </c>
      <c r="D1000" s="3" t="str">
        <f aca="false">IFERROR(INDEX(Calc!$O$2:$O$1001,MATCH(ROW()-1,Calc!$X$2:$X$1001,0)),"")</f>
        <v/>
      </c>
      <c r="E1000" s="3" t="str">
        <f aca="false">IFERROR(INDEX(Calc!$P$2:$P$1001,MATCH(ROW()-1,Calc!$X$2:$X$1001,0)),"")</f>
        <v/>
      </c>
      <c r="F1000" s="3" t="str">
        <f aca="false">IF(G1000="","",E1000-D1000)</f>
        <v/>
      </c>
      <c r="G1000" s="0" t="str">
        <f aca="false">IFERROR(INDEX(Calc!$S$2:$S$1001,MATCH(ROW()-1,Calc!$X$2:$X$1001,0)),"")</f>
        <v/>
      </c>
    </row>
    <row r="1001" customFormat="false" ht="15" hidden="false" customHeight="false" outlineLevel="0" collapsed="false">
      <c r="A1001" s="0" t="str">
        <f aca="false">IFERROR(INDEX(Calc!$L$2:$L$1001,MATCH(ROW()-1,Calc!$X$2:$X$1001,0)),"")</f>
        <v/>
      </c>
      <c r="B1001" s="0" t="str">
        <f aca="false">IFERROR(INDEX(Calc!$M$2:$M$1001,MATCH(ROW()-1,Calc!$X$2:$X$1001,0)),"")</f>
        <v/>
      </c>
      <c r="C1001" s="0" t="str">
        <f aca="false">IFERROR(INDEX(Calc!$N$2:$N$1001,MATCH(ROW()-1,Calc!$X$2:$X$1001,0)),"")</f>
        <v/>
      </c>
      <c r="D1001" s="3" t="str">
        <f aca="false">IFERROR(INDEX(Calc!$O$2:$O$1001,MATCH(ROW()-1,Calc!$X$2:$X$1001,0)),"")</f>
        <v/>
      </c>
      <c r="E1001" s="3" t="str">
        <f aca="false">IFERROR(INDEX(Calc!$P$2:$P$1001,MATCH(ROW()-1,Calc!$X$2:$X$1001,0)),"")</f>
        <v/>
      </c>
      <c r="F1001" s="3" t="str">
        <f aca="false">IF(G1001="","",E1001-D1001)</f>
        <v/>
      </c>
      <c r="G1001" s="0" t="str">
        <f aca="false">IFERROR(INDEX(Calc!$S$2:$S$1001,MATCH(ROW()-1,Calc!$X$2:$X$1001,0)),"")</f>
        <v/>
      </c>
    </row>
  </sheetData>
  <autoFilter ref="A1:G1001"/>
  <conditionalFormatting sqref="A2:G1001">
    <cfRule type="expression" priority="2" aboveAverage="0" equalAverage="0" bottom="0" percent="0" rank="0" text="" dxfId="7">
      <formula>$G2="Match"</formula>
    </cfRule>
    <cfRule type="expression" priority="3" aboveAverage="0" equalAverage="0" bottom="0" percent="0" rank="0" text="" dxfId="8">
      <formula>$G2="Qty Different"</formula>
    </cfRule>
    <cfRule type="expression" priority="4" aboveAverage="0" equalAverage="0" bottom="0" percent="0" rank="0" text="" dxfId="9">
      <formula>$G2="Only in List 1"</formula>
    </cfRule>
    <cfRule type="expression" priority="5" aboveAverage="0" equalAverage="0" bottom="0" percent="0" rank="0" text="" dxfId="10">
      <formula>$G2="Only in List 2"</formula>
    </cfRule>
  </conditionalFormatting>
  <dataValidations count="1">
    <dataValidation allowBlank="false" error="Pick one of the listed match keys" errorStyle="stop" errorTitle="Match key" operator="between" showDropDown="false" showErrorMessage="false" showInputMessage="false" sqref="I9" type="list">
      <formula1>"Item # + Part # + Description,Part # only,Part # + Description,Item # + Part #"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57</v>
      </c>
      <c r="B1" s="0" t="s">
        <v>58</v>
      </c>
      <c r="C1" s="0" t="s">
        <v>59</v>
      </c>
      <c r="D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K1" s="0" t="s">
        <v>65</v>
      </c>
      <c r="L1" s="0" t="s">
        <v>0</v>
      </c>
      <c r="M1" s="0" t="s">
        <v>2</v>
      </c>
      <c r="N1" s="0" t="s">
        <v>3</v>
      </c>
      <c r="O1" s="0" t="s">
        <v>66</v>
      </c>
      <c r="P1" s="0" t="s">
        <v>67</v>
      </c>
      <c r="Q1" s="0" t="s">
        <v>68</v>
      </c>
      <c r="R1" s="0" t="s">
        <v>69</v>
      </c>
      <c r="S1" s="0" t="s">
        <v>46</v>
      </c>
      <c r="T1" s="0" t="s">
        <v>70</v>
      </c>
      <c r="U1" s="0" t="s">
        <v>71</v>
      </c>
      <c r="V1" s="0" t="s">
        <v>72</v>
      </c>
      <c r="W1" s="0" t="s">
        <v>73</v>
      </c>
      <c r="X1" s="0" t="s">
        <v>74</v>
      </c>
    </row>
    <row r="2" customFormat="false" ht="15" hidden="false" customHeight="false" outlineLevel="0" collapsed="false">
      <c r="A2" s="0" t="str">
        <f aca="false">IF(TRIM('List 1'!A2&amp;'List 1'!C2&amp;'List 1'!D2)="","",LOWER(IF(OR(Comparison!$I$9="Item # + Part # + Description",Comparison!$I$9="Item # + Part #"),TRIM('List 1'!A2),"")&amp;"|"&amp;TRIM('List 1'!C2)&amp;"|"&amp;IF(OR(Comparison!$I$9="Item # + Part # + Description",Comparison!$I$9="Part # + Description"),TRIM('List 1'!D2),"")))</f>
        <v>100|pn-001|bolt m6</v>
      </c>
      <c r="B2" s="0" t="n">
        <f aca="false">IF(A2="","",SUMPRODUCT(--($A$2:A2=A2)))</f>
        <v>1</v>
      </c>
      <c r="C2" s="0" t="str">
        <f aca="false">IF(A2="","",A2&amp;"#"&amp;B2)</f>
        <v>100|pn-001|bolt m6#1</v>
      </c>
      <c r="D2" s="0" t="n">
        <f aca="false">IF(A2="","",IFERROR(--'List 1'!B2,0))</f>
        <v>4</v>
      </c>
      <c r="F2" s="0" t="str">
        <f aca="false">IF(TRIM('List 2'!A2&amp;'List 2'!C2&amp;'List 2'!D2)="","",LOWER(IF(OR(Comparison!$I$9="Item # + Part # + Description",Comparison!$I$9="Item # + Part #"),TRIM('List 2'!A2),"")&amp;"|"&amp;TRIM('List 2'!C2)&amp;"|"&amp;IF(OR(Comparison!$I$9="Item # + Part # + Description",Comparison!$I$9="Part # + Description"),TRIM('List 2'!D2),"")))</f>
        <v>100|pn-001|bolt m6</v>
      </c>
      <c r="G2" s="0" t="n">
        <f aca="false">IF(F2="","",SUMPRODUCT(--($F$2:F2=F2)))</f>
        <v>1</v>
      </c>
      <c r="H2" s="0" t="str">
        <f aca="false">IF(F2="","",F2&amp;"#"&amp;G2)</f>
        <v>100|pn-001|bolt m6#1</v>
      </c>
      <c r="I2" s="0" t="n">
        <f aca="false">IF(F2="","",IFERROR(--'List 2'!B2,0))</f>
        <v>4</v>
      </c>
      <c r="K2" s="0" t="str">
        <f aca="false">C2</f>
        <v>100|pn-001|bolt m6#1</v>
      </c>
      <c r="L2" s="0" t="str">
        <f aca="false">IF(K2="","",IF(ISNUMBER('List 1'!A2),'List 1'!A2,TRIM('List 1'!A2)))</f>
        <v>100</v>
      </c>
      <c r="M2" s="0" t="str">
        <f aca="false">IF(K2="","",IF(ISNUMBER('List 1'!C2),'List 1'!C2,TRIM('List 1'!C2)))</f>
        <v>PN-001</v>
      </c>
      <c r="N2" s="0" t="str">
        <f aca="false">IF(K2="","",IF(ISNUMBER('List 1'!D2),'List 1'!D2,TRIM('List 1'!D2)))</f>
        <v>Bolt M6</v>
      </c>
      <c r="O2" s="0" t="n">
        <f aca="false">IF(K2="","",D2)</f>
        <v>4</v>
      </c>
      <c r="P2" s="0" t="n">
        <f aca="false">IF(K2="","",IF(R2,SUMPRODUCT(--($H$2:$H$501=K2),$I$2:$I$501),0))</f>
        <v>4</v>
      </c>
      <c r="Q2" s="10" t="b">
        <f aca="false">IF(K2="","",TRUE())</f>
        <v>1</v>
      </c>
      <c r="R2" s="10" t="b">
        <f aca="false">IF(K2="","",SUMPRODUCT(--($H$2:$H$501=K2))&gt;0)</f>
        <v>1</v>
      </c>
      <c r="S2" s="0" t="str">
        <f aca="false">IF(K2="","",IF(AND(Q2,R2),IF(O2=P2,"Match","Qty Different"),IF(Q2,"Only in List 1","Only in List 2")))</f>
        <v>Match</v>
      </c>
      <c r="T2" s="0" t="str">
        <f aca="false">IF(K2="","",IF(ISNUMBER(--L2),TEXT(--L2,"000000000000.000"),LOWER(L2)))</f>
        <v>000000000100.000</v>
      </c>
      <c r="U2" s="0" t="str">
        <f aca="false">IF(K2="","",IF(ISNUMBER(--M2),TEXT(--M2,"000000000000.000"),LOWER(M2)))</f>
        <v>pn-001</v>
      </c>
      <c r="V2" s="0" t="str">
        <f aca="false">IF(K2="","",LOWER(N2))</f>
        <v>bolt m6</v>
      </c>
      <c r="W2" s="0" t="n">
        <f aca="false">IF(K2="","",B2)</f>
        <v>1</v>
      </c>
      <c r="X2" s="0" t="n">
        <f aca="false">IF(K2="","",1+SUMPRODUCT(($K$2:$K$1001&lt;&gt;"")*(($T$2:$T$1001&lt;T2)+($T$2:$T$1001=T2)*(($U$2:$U$1001&lt;U2)+($U$2:$U$1001=U2)*(($V$2:$V$1001&lt;V2)+($V$2:$V$1001=V2)*(($W$2:$W$1001&lt;W2)+($W$2:$W$1001=W2)*(ROW($K$2:$K$1001)&lt;ROW(K2))))))))</f>
        <v>1</v>
      </c>
    </row>
    <row r="3" customFormat="false" ht="15" hidden="false" customHeight="false" outlineLevel="0" collapsed="false">
      <c r="A3" s="0" t="str">
        <f aca="false">IF(TRIM('List 1'!A3&amp;'List 1'!C3&amp;'List 1'!D3)="","",LOWER(IF(OR(Comparison!$I$9="Item # + Part # + Description",Comparison!$I$9="Item # + Part #"),TRIM('List 1'!A3),"")&amp;"|"&amp;TRIM('List 1'!C3)&amp;"|"&amp;IF(OR(Comparison!$I$9="Item # + Part # + Description",Comparison!$I$9="Part # + Description"),TRIM('List 1'!D3),"")))</f>
        <v>101|pn-002|nut m6</v>
      </c>
      <c r="B3" s="0" t="n">
        <f aca="false">IF(A3="","",SUMPRODUCT(--($A$2:A3=A3)))</f>
        <v>1</v>
      </c>
      <c r="C3" s="0" t="str">
        <f aca="false">IF(A3="","",A3&amp;"#"&amp;B3)</f>
        <v>101|pn-002|nut m6#1</v>
      </c>
      <c r="D3" s="0" t="n">
        <f aca="false">IF(A3="","",IFERROR(--'List 1'!B3,0))</f>
        <v>2</v>
      </c>
      <c r="F3" s="0" t="str">
        <f aca="false">IF(TRIM('List 2'!A3&amp;'List 2'!C3&amp;'List 2'!D3)="","",LOWER(IF(OR(Comparison!$I$9="Item # + Part # + Description",Comparison!$I$9="Item # + Part #"),TRIM('List 2'!A3),"")&amp;"|"&amp;TRIM('List 2'!C3)&amp;"|"&amp;IF(OR(Comparison!$I$9="Item # + Part # + Description",Comparison!$I$9="Part # + Description"),TRIM('List 2'!D3),"")))</f>
        <v>101|pn-002|nut m6</v>
      </c>
      <c r="G3" s="0" t="n">
        <f aca="false">IF(F3="","",SUMPRODUCT(--($F$2:F3=F3)))</f>
        <v>1</v>
      </c>
      <c r="H3" s="0" t="str">
        <f aca="false">IF(F3="","",F3&amp;"#"&amp;G3)</f>
        <v>101|pn-002|nut m6#1</v>
      </c>
      <c r="I3" s="0" t="n">
        <f aca="false">IF(F3="","",IFERROR(--'List 2'!B3,0))</f>
        <v>5</v>
      </c>
      <c r="K3" s="0" t="str">
        <f aca="false">C3</f>
        <v>101|pn-002|nut m6#1</v>
      </c>
      <c r="L3" s="0" t="str">
        <f aca="false">IF(K3="","",IF(ISNUMBER('List 1'!A3),'List 1'!A3,TRIM('List 1'!A3)))</f>
        <v>101</v>
      </c>
      <c r="M3" s="0" t="str">
        <f aca="false">IF(K3="","",IF(ISNUMBER('List 1'!C3),'List 1'!C3,TRIM('List 1'!C3)))</f>
        <v>PN-002</v>
      </c>
      <c r="N3" s="0" t="str">
        <f aca="false">IF(K3="","",IF(ISNUMBER('List 1'!D3),'List 1'!D3,TRIM('List 1'!D3)))</f>
        <v>Nut M6</v>
      </c>
      <c r="O3" s="0" t="n">
        <f aca="false">IF(K3="","",D3)</f>
        <v>2</v>
      </c>
      <c r="P3" s="0" t="n">
        <f aca="false">IF(K3="","",IF(R3,SUMPRODUCT(--($H$2:$H$501=K3),$I$2:$I$501),0))</f>
        <v>5</v>
      </c>
      <c r="Q3" s="10" t="b">
        <f aca="false">IF(K3="","",TRUE())</f>
        <v>1</v>
      </c>
      <c r="R3" s="10" t="b">
        <f aca="false">IF(K3="","",SUMPRODUCT(--($H$2:$H$501=K3))&gt;0)</f>
        <v>1</v>
      </c>
      <c r="S3" s="0" t="str">
        <f aca="false">IF(K3="","",IF(AND(Q3,R3),IF(O3=P3,"Match","Qty Different"),IF(Q3,"Only in List 1","Only in List 2")))</f>
        <v>Qty Different</v>
      </c>
      <c r="T3" s="0" t="str">
        <f aca="false">IF(K3="","",IF(ISNUMBER(--L3),TEXT(--L3,"000000000000.000"),LOWER(L3)))</f>
        <v>000000000101.000</v>
      </c>
      <c r="U3" s="0" t="str">
        <f aca="false">IF(K3="","",IF(ISNUMBER(--M3),TEXT(--M3,"000000000000.000"),LOWER(M3)))</f>
        <v>pn-002</v>
      </c>
      <c r="V3" s="0" t="str">
        <f aca="false">IF(K3="","",LOWER(N3))</f>
        <v>nut m6</v>
      </c>
      <c r="W3" s="0" t="n">
        <f aca="false">IF(K3="","",B3)</f>
        <v>1</v>
      </c>
      <c r="X3" s="0" t="n">
        <f aca="false">IF(K3="","",1+SUMPRODUCT(($K$2:$K$1001&lt;&gt;"")*(($T$2:$T$1001&lt;T3)+($T$2:$T$1001=T3)*(($U$2:$U$1001&lt;U3)+($U$2:$U$1001=U3)*(($V$2:$V$1001&lt;V3)+($V$2:$V$1001=V3)*(($W$2:$W$1001&lt;W3)+($W$2:$W$1001=W3)*(ROW($K$2:$K$1001)&lt;ROW(K3))))))))</f>
        <v>2</v>
      </c>
    </row>
    <row r="4" customFormat="false" ht="15" hidden="false" customHeight="false" outlineLevel="0" collapsed="false">
      <c r="A4" s="0" t="str">
        <f aca="false">IF(TRIM('List 1'!A4&amp;'List 1'!C4&amp;'List 1'!D4)="","",LOWER(IF(OR(Comparison!$I$9="Item # + Part # + Description",Comparison!$I$9="Item # + Part #"),TRIM('List 1'!A4),"")&amp;"|"&amp;TRIM('List 1'!C4)&amp;"|"&amp;IF(OR(Comparison!$I$9="Item # + Part # + Description",Comparison!$I$9="Part # + Description"),TRIM('List 1'!D4),"")))</f>
        <v>102|pn-003|washer m6</v>
      </c>
      <c r="B4" s="0" t="n">
        <f aca="false">IF(A4="","",SUMPRODUCT(--($A$2:A4=A4)))</f>
        <v>1</v>
      </c>
      <c r="C4" s="0" t="str">
        <f aca="false">IF(A4="","",A4&amp;"#"&amp;B4)</f>
        <v>102|pn-003|washer m6#1</v>
      </c>
      <c r="D4" s="0" t="n">
        <f aca="false">IF(A4="","",IFERROR(--'List 1'!B4,0))</f>
        <v>1</v>
      </c>
      <c r="F4" s="0" t="str">
        <f aca="false">IF(TRIM('List 2'!A4&amp;'List 2'!C4&amp;'List 2'!D4)="","",LOWER(IF(OR(Comparison!$I$9="Item # + Part # + Description",Comparison!$I$9="Item # + Part #"),TRIM('List 2'!A4),"")&amp;"|"&amp;TRIM('List 2'!C4)&amp;"|"&amp;IF(OR(Comparison!$I$9="Item # + Part # + Description",Comparison!$I$9="Part # + Description"),TRIM('List 2'!D4),"")))</f>
        <v>103|pn-004|bracket left</v>
      </c>
      <c r="G4" s="0" t="n">
        <f aca="false">IF(F4="","",SUMPRODUCT(--($F$2:F4=F4)))</f>
        <v>1</v>
      </c>
      <c r="H4" s="0" t="str">
        <f aca="false">IF(F4="","",F4&amp;"#"&amp;G4)</f>
        <v>103|pn-004|bracket left#1</v>
      </c>
      <c r="I4" s="0" t="n">
        <f aca="false">IF(F4="","",IFERROR(--'List 2'!B4,0))</f>
        <v>3</v>
      </c>
      <c r="K4" s="0" t="str">
        <f aca="false">C4</f>
        <v>102|pn-003|washer m6#1</v>
      </c>
      <c r="L4" s="0" t="str">
        <f aca="false">IF(K4="","",IF(ISNUMBER('List 1'!A4),'List 1'!A4,TRIM('List 1'!A4)))</f>
        <v>102</v>
      </c>
      <c r="M4" s="0" t="str">
        <f aca="false">IF(K4="","",IF(ISNUMBER('List 1'!C4),'List 1'!C4,TRIM('List 1'!C4)))</f>
        <v>PN-003</v>
      </c>
      <c r="N4" s="0" t="str">
        <f aca="false">IF(K4="","",IF(ISNUMBER('List 1'!D4),'List 1'!D4,TRIM('List 1'!D4)))</f>
        <v>Washer M6</v>
      </c>
      <c r="O4" s="0" t="n">
        <f aca="false">IF(K4="","",D4)</f>
        <v>1</v>
      </c>
      <c r="P4" s="0" t="n">
        <f aca="false">IF(K4="","",IF(R4,SUMPRODUCT(--($H$2:$H$501=K4),$I$2:$I$501),0))</f>
        <v>0</v>
      </c>
      <c r="Q4" s="10" t="b">
        <f aca="false">IF(K4="","",TRUE())</f>
        <v>1</v>
      </c>
      <c r="R4" s="10" t="b">
        <f aca="false">IF(K4="","",SUMPRODUCT(--($H$2:$H$501=K4))&gt;0)</f>
        <v>0</v>
      </c>
      <c r="S4" s="0" t="str">
        <f aca="false">IF(K4="","",IF(AND(Q4,R4),IF(O4=P4,"Match","Qty Different"),IF(Q4,"Only in List 1","Only in List 2")))</f>
        <v>Only in List 1</v>
      </c>
      <c r="T4" s="0" t="str">
        <f aca="false">IF(K4="","",IF(ISNUMBER(--L4),TEXT(--L4,"000000000000.000"),LOWER(L4)))</f>
        <v>000000000102.000</v>
      </c>
      <c r="U4" s="0" t="str">
        <f aca="false">IF(K4="","",IF(ISNUMBER(--M4),TEXT(--M4,"000000000000.000"),LOWER(M4)))</f>
        <v>pn-003</v>
      </c>
      <c r="V4" s="0" t="str">
        <f aca="false">IF(K4="","",LOWER(N4))</f>
        <v>washer m6</v>
      </c>
      <c r="W4" s="0" t="n">
        <f aca="false">IF(K4="","",B4)</f>
        <v>1</v>
      </c>
      <c r="X4" s="0" t="n">
        <f aca="false">IF(K4="","",1+SUMPRODUCT(($K$2:$K$1001&lt;&gt;"")*(($T$2:$T$1001&lt;T4)+($T$2:$T$1001=T4)*(($U$2:$U$1001&lt;U4)+($U$2:$U$1001=U4)*(($V$2:$V$1001&lt;V4)+($V$2:$V$1001=V4)*(($W$2:$W$1001&lt;W4)+($W$2:$W$1001=W4)*(ROW($K$2:$K$1001)&lt;ROW(K4))))))))</f>
        <v>3</v>
      </c>
    </row>
    <row r="5" customFormat="false" ht="15" hidden="false" customHeight="false" outlineLevel="0" collapsed="false">
      <c r="A5" s="0" t="str">
        <f aca="false">IF(TRIM('List 1'!A5&amp;'List 1'!C5&amp;'List 1'!D5)="","",LOWER(IF(OR(Comparison!$I$9="Item # + Part # + Description",Comparison!$I$9="Item # + Part #"),TRIM('List 1'!A5),"")&amp;"|"&amp;TRIM('List 1'!C5)&amp;"|"&amp;IF(OR(Comparison!$I$9="Item # + Part # + Description",Comparison!$I$9="Part # + Description"),TRIM('List 1'!D5),"")))</f>
        <v>103|pn-004|bracket left</v>
      </c>
      <c r="B5" s="0" t="n">
        <f aca="false">IF(A5="","",SUMPRODUCT(--($A$2:A5=A5)))</f>
        <v>1</v>
      </c>
      <c r="C5" s="0" t="str">
        <f aca="false">IF(A5="","",A5&amp;"#"&amp;B5)</f>
        <v>103|pn-004|bracket left#1</v>
      </c>
      <c r="D5" s="0" t="n">
        <f aca="false">IF(A5="","",IFERROR(--'List 1'!B5,0))</f>
        <v>3</v>
      </c>
      <c r="F5" s="0" t="str">
        <f aca="false">IF(TRIM('List 2'!A5&amp;'List 2'!C5&amp;'List 2'!D5)="","",LOWER(IF(OR(Comparison!$I$9="Item # + Part # + Description",Comparison!$I$9="Item # + Part #"),TRIM('List 2'!A5),"")&amp;"|"&amp;TRIM('List 2'!C5)&amp;"|"&amp;IF(OR(Comparison!$I$9="Item # + Part # + Description",Comparison!$I$9="Part # + Description"),TRIM('List 2'!D5),"")))</f>
        <v>104|pn-005|gasket</v>
      </c>
      <c r="G5" s="0" t="n">
        <f aca="false">IF(F5="","",SUMPRODUCT(--($F$2:F5=F5)))</f>
        <v>1</v>
      </c>
      <c r="H5" s="0" t="str">
        <f aca="false">IF(F5="","",F5&amp;"#"&amp;G5)</f>
        <v>104|pn-005|gasket#1</v>
      </c>
      <c r="I5" s="0" t="n">
        <f aca="false">IF(F5="","",IFERROR(--'List 2'!B5,0))</f>
        <v>2</v>
      </c>
      <c r="K5" s="0" t="str">
        <f aca="false">C5</f>
        <v>103|pn-004|bracket left#1</v>
      </c>
      <c r="L5" s="0" t="str">
        <f aca="false">IF(K5="","",IF(ISNUMBER('List 1'!A5),'List 1'!A5,TRIM('List 1'!A5)))</f>
        <v>103</v>
      </c>
      <c r="M5" s="0" t="str">
        <f aca="false">IF(K5="","",IF(ISNUMBER('List 1'!C5),'List 1'!C5,TRIM('List 1'!C5)))</f>
        <v>pn-004</v>
      </c>
      <c r="N5" s="0" t="str">
        <f aca="false">IF(K5="","",IF(ISNUMBER('List 1'!D5),'List 1'!D5,TRIM('List 1'!D5)))</f>
        <v>Bracket Left</v>
      </c>
      <c r="O5" s="0" t="n">
        <f aca="false">IF(K5="","",D5)</f>
        <v>3</v>
      </c>
      <c r="P5" s="0" t="n">
        <f aca="false">IF(K5="","",IF(R5,SUMPRODUCT(--($H$2:$H$501=K5),$I$2:$I$501),0))</f>
        <v>3</v>
      </c>
      <c r="Q5" s="10" t="b">
        <f aca="false">IF(K5="","",TRUE())</f>
        <v>1</v>
      </c>
      <c r="R5" s="10" t="b">
        <f aca="false">IF(K5="","",SUMPRODUCT(--($H$2:$H$501=K5))&gt;0)</f>
        <v>1</v>
      </c>
      <c r="S5" s="0" t="str">
        <f aca="false">IF(K5="","",IF(AND(Q5,R5),IF(O5=P5,"Match","Qty Different"),IF(Q5,"Only in List 1","Only in List 2")))</f>
        <v>Match</v>
      </c>
      <c r="T5" s="0" t="str">
        <f aca="false">IF(K5="","",IF(ISNUMBER(--L5),TEXT(--L5,"000000000000.000"),LOWER(L5)))</f>
        <v>000000000103.000</v>
      </c>
      <c r="U5" s="0" t="str">
        <f aca="false">IF(K5="","",IF(ISNUMBER(--M5),TEXT(--M5,"000000000000.000"),LOWER(M5)))</f>
        <v>pn-004</v>
      </c>
      <c r="V5" s="0" t="str">
        <f aca="false">IF(K5="","",LOWER(N5))</f>
        <v>bracket left</v>
      </c>
      <c r="W5" s="0" t="n">
        <f aca="false">IF(K5="","",B5)</f>
        <v>1</v>
      </c>
      <c r="X5" s="0" t="n">
        <f aca="false">IF(K5="","",1+SUMPRODUCT(($K$2:$K$1001&lt;&gt;"")*(($T$2:$T$1001&lt;T5)+($T$2:$T$1001=T5)*(($U$2:$U$1001&lt;U5)+($U$2:$U$1001=U5)*(($V$2:$V$1001&lt;V5)+($V$2:$V$1001=V5)*(($W$2:$W$1001&lt;W5)+($W$2:$W$1001=W5)*(ROW($K$2:$K$1001)&lt;ROW(K5))))))))</f>
        <v>4</v>
      </c>
    </row>
    <row r="6" customFormat="false" ht="15" hidden="false" customHeight="false" outlineLevel="0" collapsed="false">
      <c r="A6" s="0" t="str">
        <f aca="false">IF(TRIM('List 1'!A6&amp;'List 1'!C6&amp;'List 1'!D6)="","",LOWER(IF(OR(Comparison!$I$9="Item # + Part # + Description",Comparison!$I$9="Item # + Part #"),TRIM('List 1'!A6),"")&amp;"|"&amp;TRIM('List 1'!C6)&amp;"|"&amp;IF(OR(Comparison!$I$9="Item # + Part # + Description",Comparison!$I$9="Part # + Description"),TRIM('List 1'!D6),"")))</f>
        <v>104|pn-005|gasket</v>
      </c>
      <c r="B6" s="0" t="n">
        <f aca="false">IF(A6="","",SUMPRODUCT(--($A$2:A6=A6)))</f>
        <v>1</v>
      </c>
      <c r="C6" s="0" t="str">
        <f aca="false">IF(A6="","",A6&amp;"#"&amp;B6)</f>
        <v>104|pn-005|gasket#1</v>
      </c>
      <c r="D6" s="0" t="n">
        <f aca="false">IF(A6="","",IFERROR(--'List 1'!B6,0))</f>
        <v>2</v>
      </c>
      <c r="F6" s="0" t="str">
        <f aca="false">IF(TRIM('List 2'!A6&amp;'List 2'!C6&amp;'List 2'!D6)="","",LOWER(IF(OR(Comparison!$I$9="Item # + Part # + Description",Comparison!$I$9="Item # + Part #"),TRIM('List 2'!A6),"")&amp;"|"&amp;TRIM('List 2'!C6)&amp;"|"&amp;IF(OR(Comparison!$I$9="Item # + Part # + Description",Comparison!$I$9="Part # + Description"),TRIM('List 2'!D6),"")))</f>
        <v>105|pn-006|hinge</v>
      </c>
      <c r="G6" s="0" t="n">
        <f aca="false">IF(F6="","",SUMPRODUCT(--($F$2:F6=F6)))</f>
        <v>1</v>
      </c>
      <c r="H6" s="0" t="str">
        <f aca="false">IF(F6="","",F6&amp;"#"&amp;G6)</f>
        <v>105|pn-006|hinge#1</v>
      </c>
      <c r="I6" s="0" t="n">
        <f aca="false">IF(F6="","",IFERROR(--'List 2'!B6,0))</f>
        <v>6</v>
      </c>
      <c r="K6" s="0" t="str">
        <f aca="false">C6</f>
        <v>104|pn-005|gasket#1</v>
      </c>
      <c r="L6" s="0" t="str">
        <f aca="false">IF(K6="","",IF(ISNUMBER('List 1'!A6),'List 1'!A6,TRIM('List 1'!A6)))</f>
        <v>104</v>
      </c>
      <c r="M6" s="0" t="str">
        <f aca="false">IF(K6="","",IF(ISNUMBER('List 1'!C6),'List 1'!C6,TRIM('List 1'!C6)))</f>
        <v>PN-005</v>
      </c>
      <c r="N6" s="0" t="str">
        <f aca="false">IF(K6="","",IF(ISNUMBER('List 1'!D6),'List 1'!D6,TRIM('List 1'!D6)))</f>
        <v>Gasket</v>
      </c>
      <c r="O6" s="0" t="n">
        <f aca="false">IF(K6="","",D6)</f>
        <v>2</v>
      </c>
      <c r="P6" s="0" t="n">
        <f aca="false">IF(K6="","",IF(R6,SUMPRODUCT(--($H$2:$H$501=K6),$I$2:$I$501),0))</f>
        <v>2</v>
      </c>
      <c r="Q6" s="10" t="b">
        <f aca="false">IF(K6="","",TRUE())</f>
        <v>1</v>
      </c>
      <c r="R6" s="10" t="b">
        <f aca="false">IF(K6="","",SUMPRODUCT(--($H$2:$H$501=K6))&gt;0)</f>
        <v>1</v>
      </c>
      <c r="S6" s="0" t="str">
        <f aca="false">IF(K6="","",IF(AND(Q6,R6),IF(O6=P6,"Match","Qty Different"),IF(Q6,"Only in List 1","Only in List 2")))</f>
        <v>Match</v>
      </c>
      <c r="T6" s="0" t="str">
        <f aca="false">IF(K6="","",IF(ISNUMBER(--L6),TEXT(--L6,"000000000000.000"),LOWER(L6)))</f>
        <v>000000000104.000</v>
      </c>
      <c r="U6" s="0" t="str">
        <f aca="false">IF(K6="","",IF(ISNUMBER(--M6),TEXT(--M6,"000000000000.000"),LOWER(M6)))</f>
        <v>pn-005</v>
      </c>
      <c r="V6" s="0" t="str">
        <f aca="false">IF(K6="","",LOWER(N6))</f>
        <v>gasket</v>
      </c>
      <c r="W6" s="0" t="n">
        <f aca="false">IF(K6="","",B6)</f>
        <v>1</v>
      </c>
      <c r="X6" s="0" t="n">
        <f aca="false">IF(K6="","",1+SUMPRODUCT(($K$2:$K$1001&lt;&gt;"")*(($T$2:$T$1001&lt;T6)+($T$2:$T$1001=T6)*(($U$2:$U$1001&lt;U6)+($U$2:$U$1001=U6)*(($V$2:$V$1001&lt;V6)+($V$2:$V$1001=V6)*(($W$2:$W$1001&lt;W6)+($W$2:$W$1001=W6)*(ROW($K$2:$K$1001)&lt;ROW(K6))))))))</f>
        <v>5</v>
      </c>
    </row>
    <row r="7" customFormat="false" ht="15" hidden="false" customHeight="false" outlineLevel="0" collapsed="false">
      <c r="A7" s="0" t="str">
        <f aca="false">IF(TRIM('List 1'!A7&amp;'List 1'!C7&amp;'List 1'!D7)="","",LOWER(IF(OR(Comparison!$I$9="Item # + Part # + Description",Comparison!$I$9="Item # + Part #"),TRIM('List 1'!A7),"")&amp;"|"&amp;TRIM('List 1'!C7)&amp;"|"&amp;IF(OR(Comparison!$I$9="Item # + Part # + Description",Comparison!$I$9="Part # + Description"),TRIM('List 1'!D7),"")))</f>
        <v>104|pn-005|gasket</v>
      </c>
      <c r="B7" s="0" t="n">
        <f aca="false">IF(A7="","",SUMPRODUCT(--($A$2:A7=A7)))</f>
        <v>2</v>
      </c>
      <c r="C7" s="0" t="str">
        <f aca="false">IF(A7="","",A7&amp;"#"&amp;B7)</f>
        <v>104|pn-005|gasket#2</v>
      </c>
      <c r="D7" s="0" t="n">
        <f aca="false">IF(A7="","",IFERROR(--'List 1'!B7,0))</f>
        <v>2</v>
      </c>
      <c r="F7" s="0" t="str">
        <f aca="false">IF(TRIM('List 2'!A7&amp;'List 2'!C7&amp;'List 2'!D7)="","",LOWER(IF(OR(Comparison!$I$9="Item # + Part # + Description",Comparison!$I$9="Item # + Part #"),TRIM('List 2'!A7),"")&amp;"|"&amp;TRIM('List 2'!C7)&amp;"|"&amp;IF(OR(Comparison!$I$9="Item # + Part # + Description",Comparison!$I$9="Part # + Description"),TRIM('List 2'!D7),"")))</f>
        <v>105|pn-006|hinge</v>
      </c>
      <c r="G7" s="0" t="n">
        <f aca="false">IF(F7="","",SUMPRODUCT(--($F$2:F7=F7)))</f>
        <v>2</v>
      </c>
      <c r="H7" s="0" t="str">
        <f aca="false">IF(F7="","",F7&amp;"#"&amp;G7)</f>
        <v>105|pn-006|hinge#2</v>
      </c>
      <c r="I7" s="0" t="n">
        <f aca="false">IF(F7="","",IFERROR(--'List 2'!B7,0))</f>
        <v>7</v>
      </c>
      <c r="K7" s="0" t="str">
        <f aca="false">C7</f>
        <v>104|pn-005|gasket#2</v>
      </c>
      <c r="L7" s="0" t="str">
        <f aca="false">IF(K7="","",IF(ISNUMBER('List 1'!A7),'List 1'!A7,TRIM('List 1'!A7)))</f>
        <v>104</v>
      </c>
      <c r="M7" s="0" t="str">
        <f aca="false">IF(K7="","",IF(ISNUMBER('List 1'!C7),'List 1'!C7,TRIM('List 1'!C7)))</f>
        <v>PN-005</v>
      </c>
      <c r="N7" s="0" t="str">
        <f aca="false">IF(K7="","",IF(ISNUMBER('List 1'!D7),'List 1'!D7,TRIM('List 1'!D7)))</f>
        <v>Gasket</v>
      </c>
      <c r="O7" s="0" t="n">
        <f aca="false">IF(K7="","",D7)</f>
        <v>2</v>
      </c>
      <c r="P7" s="0" t="n">
        <f aca="false">IF(K7="","",IF(R7,SUMPRODUCT(--($H$2:$H$501=K7),$I$2:$I$501),0))</f>
        <v>0</v>
      </c>
      <c r="Q7" s="10" t="b">
        <f aca="false">IF(K7="","",TRUE())</f>
        <v>1</v>
      </c>
      <c r="R7" s="10" t="b">
        <f aca="false">IF(K7="","",SUMPRODUCT(--($H$2:$H$501=K7))&gt;0)</f>
        <v>0</v>
      </c>
      <c r="S7" s="0" t="str">
        <f aca="false">IF(K7="","",IF(AND(Q7,R7),IF(O7=P7,"Match","Qty Different"),IF(Q7,"Only in List 1","Only in List 2")))</f>
        <v>Only in List 1</v>
      </c>
      <c r="T7" s="0" t="str">
        <f aca="false">IF(K7="","",IF(ISNUMBER(--L7),TEXT(--L7,"000000000000.000"),LOWER(L7)))</f>
        <v>000000000104.000</v>
      </c>
      <c r="U7" s="0" t="str">
        <f aca="false">IF(K7="","",IF(ISNUMBER(--M7),TEXT(--M7,"000000000000.000"),LOWER(M7)))</f>
        <v>pn-005</v>
      </c>
      <c r="V7" s="0" t="str">
        <f aca="false">IF(K7="","",LOWER(N7))</f>
        <v>gasket</v>
      </c>
      <c r="W7" s="0" t="n">
        <f aca="false">IF(K7="","",B7)</f>
        <v>2</v>
      </c>
      <c r="X7" s="0" t="n">
        <f aca="false">IF(K7="","",1+SUMPRODUCT(($K$2:$K$1001&lt;&gt;"")*(($T$2:$T$1001&lt;T7)+($T$2:$T$1001=T7)*(($U$2:$U$1001&lt;U7)+($U$2:$U$1001=U7)*(($V$2:$V$1001&lt;V7)+($V$2:$V$1001=V7)*(($W$2:$W$1001&lt;W7)+($W$2:$W$1001=W7)*(ROW($K$2:$K$1001)&lt;ROW(K7))))))))</f>
        <v>6</v>
      </c>
    </row>
    <row r="8" customFormat="false" ht="15" hidden="false" customHeight="false" outlineLevel="0" collapsed="false">
      <c r="A8" s="0" t="str">
        <f aca="false">IF(TRIM('List 1'!A8&amp;'List 1'!C8&amp;'List 1'!D8)="","",LOWER(IF(OR(Comparison!$I$9="Item # + Part # + Description",Comparison!$I$9="Item # + Part #"),TRIM('List 1'!A8),"")&amp;"|"&amp;TRIM('List 1'!C8)&amp;"|"&amp;IF(OR(Comparison!$I$9="Item # + Part # + Description",Comparison!$I$9="Part # + Description"),TRIM('List 1'!D8),"")))</f>
        <v>105|pn-006|hinge</v>
      </c>
      <c r="B8" s="0" t="n">
        <f aca="false">IF(A8="","",SUMPRODUCT(--($A$2:A8=A8)))</f>
        <v>1</v>
      </c>
      <c r="C8" s="0" t="str">
        <f aca="false">IF(A8="","",A8&amp;"#"&amp;B8)</f>
        <v>105|pn-006|hinge#1</v>
      </c>
      <c r="D8" s="0" t="n">
        <f aca="false">IF(A8="","",IFERROR(--'List 1'!B8,0))</f>
        <v>6</v>
      </c>
      <c r="F8" s="0" t="str">
        <f aca="false">IF(TRIM('List 2'!A8&amp;'List 2'!C8&amp;'List 2'!D8)="","",LOWER(IF(OR(Comparison!$I$9="Item # + Part # + Description",Comparison!$I$9="Item # + Part #"),TRIM('List 2'!A8),"")&amp;"|"&amp;TRIM('List 2'!C8)&amp;"|"&amp;IF(OR(Comparison!$I$9="Item # + Part # + Description",Comparison!$I$9="Part # + Description"),TRIM('List 2'!D8),"")))</f>
        <v>106|pn-007|screw m4</v>
      </c>
      <c r="G8" s="0" t="n">
        <f aca="false">IF(F8="","",SUMPRODUCT(--($F$2:F8=F8)))</f>
        <v>1</v>
      </c>
      <c r="H8" s="0" t="str">
        <f aca="false">IF(F8="","",F8&amp;"#"&amp;G8)</f>
        <v>106|pn-007|screw m4#1</v>
      </c>
      <c r="I8" s="0" t="n">
        <f aca="false">IF(F8="","",IFERROR(--'List 2'!B8,0))</f>
        <v>1</v>
      </c>
      <c r="K8" s="0" t="str">
        <f aca="false">C8</f>
        <v>105|pn-006|hinge#1</v>
      </c>
      <c r="L8" s="0" t="str">
        <f aca="false">IF(K8="","",IF(ISNUMBER('List 1'!A8),'List 1'!A8,TRIM('List 1'!A8)))</f>
        <v>105</v>
      </c>
      <c r="M8" s="0" t="str">
        <f aca="false">IF(K8="","",IF(ISNUMBER('List 1'!C8),'List 1'!C8,TRIM('List 1'!C8)))</f>
        <v>PN-006</v>
      </c>
      <c r="N8" s="0" t="str">
        <f aca="false">IF(K8="","",IF(ISNUMBER('List 1'!D8),'List 1'!D8,TRIM('List 1'!D8)))</f>
        <v>Hinge</v>
      </c>
      <c r="O8" s="0" t="n">
        <f aca="false">IF(K8="","",D8)</f>
        <v>6</v>
      </c>
      <c r="P8" s="0" t="n">
        <f aca="false">IF(K8="","",IF(R8,SUMPRODUCT(--($H$2:$H$501=K8),$I$2:$I$501),0))</f>
        <v>6</v>
      </c>
      <c r="Q8" s="10" t="b">
        <f aca="false">IF(K8="","",TRUE())</f>
        <v>1</v>
      </c>
      <c r="R8" s="10" t="b">
        <f aca="false">IF(K8="","",SUMPRODUCT(--($H$2:$H$501=K8))&gt;0)</f>
        <v>1</v>
      </c>
      <c r="S8" s="0" t="str">
        <f aca="false">IF(K8="","",IF(AND(Q8,R8),IF(O8=P8,"Match","Qty Different"),IF(Q8,"Only in List 1","Only in List 2")))</f>
        <v>Match</v>
      </c>
      <c r="T8" s="0" t="str">
        <f aca="false">IF(K8="","",IF(ISNUMBER(--L8),TEXT(--L8,"000000000000.000"),LOWER(L8)))</f>
        <v>000000000105.000</v>
      </c>
      <c r="U8" s="0" t="str">
        <f aca="false">IF(K8="","",IF(ISNUMBER(--M8),TEXT(--M8,"000000000000.000"),LOWER(M8)))</f>
        <v>pn-006</v>
      </c>
      <c r="V8" s="0" t="str">
        <f aca="false">IF(K8="","",LOWER(N8))</f>
        <v>hinge</v>
      </c>
      <c r="W8" s="0" t="n">
        <f aca="false">IF(K8="","",B8)</f>
        <v>1</v>
      </c>
      <c r="X8" s="0" t="n">
        <f aca="false">IF(K8="","",1+SUMPRODUCT(($K$2:$K$1001&lt;&gt;"")*(($T$2:$T$1001&lt;T8)+($T$2:$T$1001=T8)*(($U$2:$U$1001&lt;U8)+($U$2:$U$1001=U8)*(($V$2:$V$1001&lt;V8)+($V$2:$V$1001=V8)*(($W$2:$W$1001&lt;W8)+($W$2:$W$1001=W8)*(ROW($K$2:$K$1001)&lt;ROW(K8))))))))</f>
        <v>7</v>
      </c>
    </row>
    <row r="9" customFormat="false" ht="15" hidden="false" customHeight="false" outlineLevel="0" collapsed="false">
      <c r="A9" s="0" t="str">
        <f aca="false">IF(TRIM('List 1'!A9&amp;'List 1'!C9&amp;'List 1'!D9)="","",LOWER(IF(OR(Comparison!$I$9="Item # + Part # + Description",Comparison!$I$9="Item # + Part #"),TRIM('List 1'!A9),"")&amp;"|"&amp;TRIM('List 1'!C9)&amp;"|"&amp;IF(OR(Comparison!$I$9="Item # + Part # + Description",Comparison!$I$9="Part # + Description"),TRIM('List 1'!D9),"")))</f>
        <v>106|pn-007|screw m4</v>
      </c>
      <c r="B9" s="0" t="n">
        <f aca="false">IF(A9="","",SUMPRODUCT(--($A$2:A9=A9)))</f>
        <v>1</v>
      </c>
      <c r="C9" s="0" t="str">
        <f aca="false">IF(A9="","",A9&amp;"#"&amp;B9)</f>
        <v>106|pn-007|screw m4#1</v>
      </c>
      <c r="D9" s="0" t="n">
        <f aca="false">IF(A9="","",IFERROR(--'List 1'!B9,0))</f>
        <v>1</v>
      </c>
      <c r="F9" s="0" t="str">
        <f aca="false">IF(TRIM('List 2'!A9&amp;'List 2'!C9&amp;'List 2'!D9)="","",LOWER(IF(OR(Comparison!$I$9="Item # + Part # + Description",Comparison!$I$9="Item # + Part #"),TRIM('List 2'!A9),"")&amp;"|"&amp;TRIM('List 2'!C9)&amp;"|"&amp;IF(OR(Comparison!$I$9="Item # + Part # + Description",Comparison!$I$9="Part # + Description"),TRIM('List 2'!D9),"")))</f>
        <v>107|pn-008|cable 2m</v>
      </c>
      <c r="G9" s="0" t="n">
        <f aca="false">IF(F9="","",SUMPRODUCT(--($F$2:F9=F9)))</f>
        <v>1</v>
      </c>
      <c r="H9" s="0" t="str">
        <f aca="false">IF(F9="","",F9&amp;"#"&amp;G9)</f>
        <v>107|pn-008|cable 2m#1</v>
      </c>
      <c r="I9" s="0" t="n">
        <f aca="false">IF(F9="","",IFERROR(--'List 2'!B9,0))</f>
        <v>8</v>
      </c>
      <c r="K9" s="0" t="str">
        <f aca="false">C9</f>
        <v>106|pn-007|screw m4#1</v>
      </c>
      <c r="L9" s="0" t="str">
        <f aca="false">IF(K9="","",IF(ISNUMBER('List 1'!A9),'List 1'!A9,TRIM('List 1'!A9)))</f>
        <v>106</v>
      </c>
      <c r="M9" s="0" t="str">
        <f aca="false">IF(K9="","",IF(ISNUMBER('List 1'!C9),'List 1'!C9,TRIM('List 1'!C9)))</f>
        <v>PN-007</v>
      </c>
      <c r="N9" s="0" t="str">
        <f aca="false">IF(K9="","",IF(ISNUMBER('List 1'!D9),'List 1'!D9,TRIM('List 1'!D9)))</f>
        <v>Screw M4</v>
      </c>
      <c r="O9" s="0" t="n">
        <f aca="false">IF(K9="","",D9)</f>
        <v>1</v>
      </c>
      <c r="P9" s="0" t="n">
        <f aca="false">IF(K9="","",IF(R9,SUMPRODUCT(--($H$2:$H$501=K9),$I$2:$I$501),0))</f>
        <v>1</v>
      </c>
      <c r="Q9" s="10" t="b">
        <f aca="false">IF(K9="","",TRUE())</f>
        <v>1</v>
      </c>
      <c r="R9" s="10" t="b">
        <f aca="false">IF(K9="","",SUMPRODUCT(--($H$2:$H$501=K9))&gt;0)</f>
        <v>1</v>
      </c>
      <c r="S9" s="0" t="str">
        <f aca="false">IF(K9="","",IF(AND(Q9,R9),IF(O9=P9,"Match","Qty Different"),IF(Q9,"Only in List 1","Only in List 2")))</f>
        <v>Match</v>
      </c>
      <c r="T9" s="0" t="str">
        <f aca="false">IF(K9="","",IF(ISNUMBER(--L9),TEXT(--L9,"000000000000.000"),LOWER(L9)))</f>
        <v>000000000106.000</v>
      </c>
      <c r="U9" s="0" t="str">
        <f aca="false">IF(K9="","",IF(ISNUMBER(--M9),TEXT(--M9,"000000000000.000"),LOWER(M9)))</f>
        <v>pn-007</v>
      </c>
      <c r="V9" s="0" t="str">
        <f aca="false">IF(K9="","",LOWER(N9))</f>
        <v>screw m4</v>
      </c>
      <c r="W9" s="0" t="n">
        <f aca="false">IF(K9="","",B9)</f>
        <v>1</v>
      </c>
      <c r="X9" s="0" t="n">
        <f aca="false">IF(K9="","",1+SUMPRODUCT(($K$2:$K$1001&lt;&gt;"")*(($T$2:$T$1001&lt;T9)+($T$2:$T$1001=T9)*(($U$2:$U$1001&lt;U9)+($U$2:$U$1001=U9)*(($V$2:$V$1001&lt;V9)+($V$2:$V$1001=V9)*(($W$2:$W$1001&lt;W9)+($W$2:$W$1001=W9)*(ROW($K$2:$K$1001)&lt;ROW(K9))))))))</f>
        <v>9</v>
      </c>
    </row>
    <row r="10" customFormat="false" ht="15" hidden="false" customHeight="false" outlineLevel="0" collapsed="false">
      <c r="A10" s="0" t="str">
        <f aca="false">IF(TRIM('List 1'!A10&amp;'List 1'!C10&amp;'List 1'!D10)="","",LOWER(IF(OR(Comparison!$I$9="Item # + Part # + Description",Comparison!$I$9="Item # + Part #"),TRIM('List 1'!A10),"")&amp;"|"&amp;TRIM('List 1'!C10)&amp;"|"&amp;IF(OR(Comparison!$I$9="Item # + Part # + Description",Comparison!$I$9="Part # + Description"),TRIM('List 1'!D10),"")))</f>
        <v>107|pn-008|cable 2m</v>
      </c>
      <c r="B10" s="0" t="n">
        <f aca="false">IF(A10="","",SUMPRODUCT(--($A$2:A10=A10)))</f>
        <v>1</v>
      </c>
      <c r="C10" s="0" t="str">
        <f aca="false">IF(A10="","",A10&amp;"#"&amp;B10)</f>
        <v>107|pn-008|cable 2m#1</v>
      </c>
      <c r="D10" s="0" t="n">
        <f aca="false">IF(A10="","",IFERROR(--'List 1'!B10,0))</f>
        <v>10</v>
      </c>
      <c r="F10" s="0" t="str">
        <f aca="false">IF(TRIM('List 2'!A10&amp;'List 2'!C10&amp;'List 2'!D10)="","",LOWER(IF(OR(Comparison!$I$9="Item # + Part # + Description",Comparison!$I$9="Item # + Part #"),TRIM('List 2'!A10),"")&amp;"|"&amp;TRIM('List 2'!C10)&amp;"|"&amp;IF(OR(Comparison!$I$9="Item # + Part # + Description",Comparison!$I$9="Part # + Description"),TRIM('List 2'!D10),"")))</f>
        <v>109|pn-010|relay 12v</v>
      </c>
      <c r="G10" s="0" t="n">
        <f aca="false">IF(F10="","",SUMPRODUCT(--($F$2:F10=F10)))</f>
        <v>1</v>
      </c>
      <c r="H10" s="0" t="str">
        <f aca="false">IF(F10="","",F10&amp;"#"&amp;G10)</f>
        <v>109|pn-010|relay 12v#1</v>
      </c>
      <c r="I10" s="0" t="n">
        <f aca="false">IF(F10="","",IFERROR(--'List 2'!B10,0))</f>
        <v>2</v>
      </c>
      <c r="K10" s="0" t="str">
        <f aca="false">C10</f>
        <v>107|pn-008|cable 2m#1</v>
      </c>
      <c r="L10" s="0" t="str">
        <f aca="false">IF(K10="","",IF(ISNUMBER('List 1'!A10),'List 1'!A10,TRIM('List 1'!A10)))</f>
        <v>107</v>
      </c>
      <c r="M10" s="0" t="str">
        <f aca="false">IF(K10="","",IF(ISNUMBER('List 1'!C10),'List 1'!C10,TRIM('List 1'!C10)))</f>
        <v>PN-008</v>
      </c>
      <c r="N10" s="0" t="str">
        <f aca="false">IF(K10="","",IF(ISNUMBER('List 1'!D10),'List 1'!D10,TRIM('List 1'!D10)))</f>
        <v>Cable 2m</v>
      </c>
      <c r="O10" s="0" t="n">
        <f aca="false">IF(K10="","",D10)</f>
        <v>10</v>
      </c>
      <c r="P10" s="0" t="n">
        <f aca="false">IF(K10="","",IF(R10,SUMPRODUCT(--($H$2:$H$501=K10),$I$2:$I$501),0))</f>
        <v>8</v>
      </c>
      <c r="Q10" s="10" t="b">
        <f aca="false">IF(K10="","",TRUE())</f>
        <v>1</v>
      </c>
      <c r="R10" s="10" t="b">
        <f aca="false">IF(K10="","",SUMPRODUCT(--($H$2:$H$501=K10))&gt;0)</f>
        <v>1</v>
      </c>
      <c r="S10" s="0" t="str">
        <f aca="false">IF(K10="","",IF(AND(Q10,R10),IF(O10=P10,"Match","Qty Different"),IF(Q10,"Only in List 1","Only in List 2")))</f>
        <v>Qty Different</v>
      </c>
      <c r="T10" s="0" t="str">
        <f aca="false">IF(K10="","",IF(ISNUMBER(--L10),TEXT(--L10,"000000000000.000"),LOWER(L10)))</f>
        <v>000000000107.000</v>
      </c>
      <c r="U10" s="0" t="str">
        <f aca="false">IF(K10="","",IF(ISNUMBER(--M10),TEXT(--M10,"000000000000.000"),LOWER(M10)))</f>
        <v>pn-008</v>
      </c>
      <c r="V10" s="0" t="str">
        <f aca="false">IF(K10="","",LOWER(N10))</f>
        <v>cable 2m</v>
      </c>
      <c r="W10" s="0" t="n">
        <f aca="false">IF(K10="","",B10)</f>
        <v>1</v>
      </c>
      <c r="X10" s="0" t="n">
        <f aca="false">IF(K10="","",1+SUMPRODUCT(($K$2:$K$1001&lt;&gt;"")*(($T$2:$T$1001&lt;T10)+($T$2:$T$1001=T10)*(($U$2:$U$1001&lt;U10)+($U$2:$U$1001=U10)*(($V$2:$V$1001&lt;V10)+($V$2:$V$1001=V10)*(($W$2:$W$1001&lt;W10)+($W$2:$W$1001=W10)*(ROW($K$2:$K$1001)&lt;ROW(K10))))))))</f>
        <v>10</v>
      </c>
    </row>
    <row r="11" customFormat="false" ht="15" hidden="false" customHeight="false" outlineLevel="0" collapsed="false">
      <c r="A11" s="0" t="str">
        <f aca="false">IF(TRIM('List 1'!A11&amp;'List 1'!C11&amp;'List 1'!D11)="","",LOWER(IF(OR(Comparison!$I$9="Item # + Part # + Description",Comparison!$I$9="Item # + Part #"),TRIM('List 1'!A11),"")&amp;"|"&amp;TRIM('List 1'!C11)&amp;"|"&amp;IF(OR(Comparison!$I$9="Item # + Part # + Description",Comparison!$I$9="Part # + Description"),TRIM('List 1'!D11),"")))</f>
        <v>108|pn-009|fuse 5a</v>
      </c>
      <c r="B11" s="0" t="n">
        <f aca="false">IF(A11="","",SUMPRODUCT(--($A$2:A11=A11)))</f>
        <v>1</v>
      </c>
      <c r="C11" s="0" t="str">
        <f aca="false">IF(A11="","",A11&amp;"#"&amp;B11)</f>
        <v>108|pn-009|fuse 5a#1</v>
      </c>
      <c r="D11" s="0" t="n">
        <f aca="false">IF(A11="","",IFERROR(--'List 1'!B11,0))</f>
        <v>1</v>
      </c>
      <c r="F11" s="0" t="str">
        <f aca="false">IF(TRIM('List 2'!A11&amp;'List 2'!C11&amp;'List 2'!D11)="","",LOWER(IF(OR(Comparison!$I$9="Item # + Part # + Description",Comparison!$I$9="Item # + Part #"),TRIM('List 2'!A11),"")&amp;"|"&amp;TRIM('List 2'!C11)&amp;"|"&amp;IF(OR(Comparison!$I$9="Item # + Part # + Description",Comparison!$I$9="Part # + Description"),TRIM('List 2'!D11),"")))</f>
        <v>110|pn-011|sensor</v>
      </c>
      <c r="G11" s="0" t="n">
        <f aca="false">IF(F11="","",SUMPRODUCT(--($F$2:F11=F11)))</f>
        <v>1</v>
      </c>
      <c r="H11" s="0" t="str">
        <f aca="false">IF(F11="","",F11&amp;"#"&amp;G11)</f>
        <v>110|pn-011|sensor#1</v>
      </c>
      <c r="I11" s="0" t="n">
        <f aca="false">IF(F11="","",IFERROR(--'List 2'!B11,0))</f>
        <v>3</v>
      </c>
      <c r="K11" s="0" t="str">
        <f aca="false">C11</f>
        <v>108|pn-009|fuse 5a#1</v>
      </c>
      <c r="L11" s="0" t="str">
        <f aca="false">IF(K11="","",IF(ISNUMBER('List 1'!A11),'List 1'!A11,TRIM('List 1'!A11)))</f>
        <v>108</v>
      </c>
      <c r="M11" s="0" t="str">
        <f aca="false">IF(K11="","",IF(ISNUMBER('List 1'!C11),'List 1'!C11,TRIM('List 1'!C11)))</f>
        <v>PN-009</v>
      </c>
      <c r="N11" s="0" t="str">
        <f aca="false">IF(K11="","",IF(ISNUMBER('List 1'!D11),'List 1'!D11,TRIM('List 1'!D11)))</f>
        <v>Fuse 5A</v>
      </c>
      <c r="O11" s="0" t="n">
        <f aca="false">IF(K11="","",D11)</f>
        <v>1</v>
      </c>
      <c r="P11" s="0" t="n">
        <f aca="false">IF(K11="","",IF(R11,SUMPRODUCT(--($H$2:$H$501=K11),$I$2:$I$501),0))</f>
        <v>0</v>
      </c>
      <c r="Q11" s="10" t="b">
        <f aca="false">IF(K11="","",TRUE())</f>
        <v>1</v>
      </c>
      <c r="R11" s="10" t="b">
        <f aca="false">IF(K11="","",SUMPRODUCT(--($H$2:$H$501=K11))&gt;0)</f>
        <v>0</v>
      </c>
      <c r="S11" s="0" t="str">
        <f aca="false">IF(K11="","",IF(AND(Q11,R11),IF(O11=P11,"Match","Qty Different"),IF(Q11,"Only in List 1","Only in List 2")))</f>
        <v>Only in List 1</v>
      </c>
      <c r="T11" s="0" t="str">
        <f aca="false">IF(K11="","",IF(ISNUMBER(--L11),TEXT(--L11,"000000000000.000"),LOWER(L11)))</f>
        <v>000000000108.000</v>
      </c>
      <c r="U11" s="0" t="str">
        <f aca="false">IF(K11="","",IF(ISNUMBER(--M11),TEXT(--M11,"000000000000.000"),LOWER(M11)))</f>
        <v>pn-009</v>
      </c>
      <c r="V11" s="0" t="str">
        <f aca="false">IF(K11="","",LOWER(N11))</f>
        <v>fuse 5a</v>
      </c>
      <c r="W11" s="0" t="n">
        <f aca="false">IF(K11="","",B11)</f>
        <v>1</v>
      </c>
      <c r="X11" s="0" t="n">
        <f aca="false">IF(K11="","",1+SUMPRODUCT(($K$2:$K$1001&lt;&gt;"")*(($T$2:$T$1001&lt;T11)+($T$2:$T$1001=T11)*(($U$2:$U$1001&lt;U11)+($U$2:$U$1001=U11)*(($V$2:$V$1001&lt;V11)+($V$2:$V$1001=V11)*(($W$2:$W$1001&lt;W11)+($W$2:$W$1001=W11)*(ROW($K$2:$K$1001)&lt;ROW(K11))))))))</f>
        <v>11</v>
      </c>
    </row>
    <row r="12" customFormat="false" ht="15" hidden="false" customHeight="false" outlineLevel="0" collapsed="false">
      <c r="A12" s="0" t="str">
        <f aca="false">IF(TRIM('List 1'!A12&amp;'List 1'!C12&amp;'List 1'!D12)="","",LOWER(IF(OR(Comparison!$I$9="Item # + Part # + Description",Comparison!$I$9="Item # + Part #"),TRIM('List 1'!A12),"")&amp;"|"&amp;TRIM('List 1'!C12)&amp;"|"&amp;IF(OR(Comparison!$I$9="Item # + Part # + Description",Comparison!$I$9="Part # + Description"),TRIM('List 1'!D12),"")))</f>
        <v>109|pn-010|relay 12v</v>
      </c>
      <c r="B12" s="0" t="n">
        <f aca="false">IF(A12="","",SUMPRODUCT(--($A$2:A12=A12)))</f>
        <v>1</v>
      </c>
      <c r="C12" s="0" t="str">
        <f aca="false">IF(A12="","",A12&amp;"#"&amp;B12)</f>
        <v>109|pn-010|relay 12v#1</v>
      </c>
      <c r="D12" s="0" t="n">
        <f aca="false">IF(A12="","",IFERROR(--'List 1'!B12,0))</f>
        <v>0</v>
      </c>
      <c r="F12" s="0" t="str">
        <f aca="false">IF(TRIM('List 2'!A12&amp;'List 2'!C12&amp;'List 2'!D12)="","",LOWER(IF(OR(Comparison!$I$9="Item # + Part # + Description",Comparison!$I$9="Item # + Part #"),TRIM('List 2'!A12),"")&amp;"|"&amp;TRIM('List 2'!C12)&amp;"|"&amp;IF(OR(Comparison!$I$9="Item # + Part # + Description",Comparison!$I$9="Part # + Description"),TRIM('List 2'!D12),"")))</f>
        <v>112|pn-013|pump b</v>
      </c>
      <c r="G12" s="0" t="n">
        <f aca="false">IF(F12="","",SUMPRODUCT(--($F$2:F12=F12)))</f>
        <v>1</v>
      </c>
      <c r="H12" s="0" t="str">
        <f aca="false">IF(F12="","",F12&amp;"#"&amp;G12)</f>
        <v>112|pn-013|pump b#1</v>
      </c>
      <c r="I12" s="0" t="n">
        <f aca="false">IF(F12="","",IFERROR(--'List 2'!B12,0))</f>
        <v>1</v>
      </c>
      <c r="K12" s="0" t="str">
        <f aca="false">C12</f>
        <v>109|pn-010|relay 12v#1</v>
      </c>
      <c r="L12" s="0" t="str">
        <f aca="false">IF(K12="","",IF(ISNUMBER('List 1'!A12),'List 1'!A12,TRIM('List 1'!A12)))</f>
        <v>109</v>
      </c>
      <c r="M12" s="0" t="str">
        <f aca="false">IF(K12="","",IF(ISNUMBER('List 1'!C12),'List 1'!C12,TRIM('List 1'!C12)))</f>
        <v>PN-010</v>
      </c>
      <c r="N12" s="0" t="str">
        <f aca="false">IF(K12="","",IF(ISNUMBER('List 1'!D12),'List 1'!D12,TRIM('List 1'!D12)))</f>
        <v>Relay 12V</v>
      </c>
      <c r="O12" s="0" t="n">
        <f aca="false">IF(K12="","",D12)</f>
        <v>0</v>
      </c>
      <c r="P12" s="0" t="n">
        <f aca="false">IF(K12="","",IF(R12,SUMPRODUCT(--($H$2:$H$501=K12),$I$2:$I$501),0))</f>
        <v>2</v>
      </c>
      <c r="Q12" s="10" t="b">
        <f aca="false">IF(K12="","",TRUE())</f>
        <v>1</v>
      </c>
      <c r="R12" s="10" t="b">
        <f aca="false">IF(K12="","",SUMPRODUCT(--($H$2:$H$501=K12))&gt;0)</f>
        <v>1</v>
      </c>
      <c r="S12" s="0" t="str">
        <f aca="false">IF(K12="","",IF(AND(Q12,R12),IF(O12=P12,"Match","Qty Different"),IF(Q12,"Only in List 1","Only in List 2")))</f>
        <v>Qty Different</v>
      </c>
      <c r="T12" s="0" t="str">
        <f aca="false">IF(K12="","",IF(ISNUMBER(--L12),TEXT(--L12,"000000000000.000"),LOWER(L12)))</f>
        <v>000000000109.000</v>
      </c>
      <c r="U12" s="0" t="str">
        <f aca="false">IF(K12="","",IF(ISNUMBER(--M12),TEXT(--M12,"000000000000.000"),LOWER(M12)))</f>
        <v>pn-010</v>
      </c>
      <c r="V12" s="0" t="str">
        <f aca="false">IF(K12="","",LOWER(N12))</f>
        <v>relay 12v</v>
      </c>
      <c r="W12" s="0" t="n">
        <f aca="false">IF(K12="","",B12)</f>
        <v>1</v>
      </c>
      <c r="X12" s="0" t="n">
        <f aca="false">IF(K12="","",1+SUMPRODUCT(($K$2:$K$1001&lt;&gt;"")*(($T$2:$T$1001&lt;T12)+($T$2:$T$1001=T12)*(($U$2:$U$1001&lt;U12)+($U$2:$U$1001=U12)*(($V$2:$V$1001&lt;V12)+($V$2:$V$1001=V12)*(($W$2:$W$1001&lt;W12)+($W$2:$W$1001=W12)*(ROW($K$2:$K$1001)&lt;ROW(K12))))))))</f>
        <v>12</v>
      </c>
    </row>
    <row r="13" customFormat="false" ht="15" hidden="false" customHeight="false" outlineLevel="0" collapsed="false">
      <c r="A13" s="0" t="str">
        <f aca="false">IF(TRIM('List 1'!A13&amp;'List 1'!C13&amp;'List 1'!D13)="","",LOWER(IF(OR(Comparison!$I$9="Item # + Part # + Description",Comparison!$I$9="Item # + Part #"),TRIM('List 1'!A13),"")&amp;"|"&amp;TRIM('List 1'!C13)&amp;"|"&amp;IF(OR(Comparison!$I$9="Item # + Part # + Description",Comparison!$I$9="Part # + Description"),TRIM('List 1'!D13),"")))</f>
        <v>112|pn-013|pump a</v>
      </c>
      <c r="B13" s="0" t="n">
        <f aca="false">IF(A13="","",SUMPRODUCT(--($A$2:A13=A13)))</f>
        <v>1</v>
      </c>
      <c r="C13" s="0" t="str">
        <f aca="false">IF(A13="","",A13&amp;"#"&amp;B13)</f>
        <v>112|pn-013|pump a#1</v>
      </c>
      <c r="D13" s="0" t="n">
        <f aca="false">IF(A13="","",IFERROR(--'List 1'!B13,0))</f>
        <v>1</v>
      </c>
      <c r="F13" s="0" t="str">
        <f aca="false">IF(TRIM('List 2'!A13&amp;'List 2'!C13&amp;'List 2'!D13)="","",LOWER(IF(OR(Comparison!$I$9="Item # + Part # + Description",Comparison!$I$9="Item # + Part #"),TRIM('List 2'!A13),"")&amp;"|"&amp;TRIM('List 2'!C13)&amp;"|"&amp;IF(OR(Comparison!$I$9="Item # + Part # + Description",Comparison!$I$9="Part # + Description"),TRIM('List 2'!D13),"")))</f>
        <v/>
      </c>
      <c r="G13" s="0" t="str">
        <f aca="false">IF(F13="","",SUMPRODUCT(--($F$2:F13=F13)))</f>
        <v/>
      </c>
      <c r="H13" s="0" t="str">
        <f aca="false">IF(F13="","",F13&amp;"#"&amp;G13)</f>
        <v/>
      </c>
      <c r="I13" s="0" t="str">
        <f aca="false">IF(F13="","",IFERROR(--'List 2'!B13,0))</f>
        <v/>
      </c>
      <c r="K13" s="0" t="str">
        <f aca="false">C13</f>
        <v>112|pn-013|pump a#1</v>
      </c>
      <c r="L13" s="0" t="str">
        <f aca="false">IF(K13="","",IF(ISNUMBER('List 1'!A13),'List 1'!A13,TRIM('List 1'!A13)))</f>
        <v>112</v>
      </c>
      <c r="M13" s="0" t="str">
        <f aca="false">IF(K13="","",IF(ISNUMBER('List 1'!C13),'List 1'!C13,TRIM('List 1'!C13)))</f>
        <v>PN-013</v>
      </c>
      <c r="N13" s="0" t="str">
        <f aca="false">IF(K13="","",IF(ISNUMBER('List 1'!D13),'List 1'!D13,TRIM('List 1'!D13)))</f>
        <v>Pump A</v>
      </c>
      <c r="O13" s="0" t="n">
        <f aca="false">IF(K13="","",D13)</f>
        <v>1</v>
      </c>
      <c r="P13" s="0" t="n">
        <f aca="false">IF(K13="","",IF(R13,SUMPRODUCT(--($H$2:$H$501=K13),$I$2:$I$501),0))</f>
        <v>0</v>
      </c>
      <c r="Q13" s="10" t="b">
        <f aca="false">IF(K13="","",TRUE())</f>
        <v>1</v>
      </c>
      <c r="R13" s="10" t="b">
        <f aca="false">IF(K13="","",SUMPRODUCT(--($H$2:$H$501=K13))&gt;0)</f>
        <v>0</v>
      </c>
      <c r="S13" s="0" t="str">
        <f aca="false">IF(K13="","",IF(AND(Q13,R13),IF(O13=P13,"Match","Qty Different"),IF(Q13,"Only in List 1","Only in List 2")))</f>
        <v>Only in List 1</v>
      </c>
      <c r="T13" s="0" t="str">
        <f aca="false">IF(K13="","",IF(ISNUMBER(--L13),TEXT(--L13,"000000000000.000"),LOWER(L13)))</f>
        <v>000000000112.000</v>
      </c>
      <c r="U13" s="0" t="str">
        <f aca="false">IF(K13="","",IF(ISNUMBER(--M13),TEXT(--M13,"000000000000.000"),LOWER(M13)))</f>
        <v>pn-013</v>
      </c>
      <c r="V13" s="0" t="str">
        <f aca="false">IF(K13="","",LOWER(N13))</f>
        <v>pump a</v>
      </c>
      <c r="W13" s="0" t="n">
        <f aca="false">IF(K13="","",B13)</f>
        <v>1</v>
      </c>
      <c r="X13" s="0" t="n">
        <f aca="false">IF(K13="","",1+SUMPRODUCT(($K$2:$K$1001&lt;&gt;"")*(($T$2:$T$1001&lt;T13)+($T$2:$T$1001=T13)*(($U$2:$U$1001&lt;U13)+($U$2:$U$1001=U13)*(($V$2:$V$1001&lt;V13)+($V$2:$V$1001=V13)*(($W$2:$W$1001&lt;W13)+($W$2:$W$1001=W13)*(ROW($K$2:$K$1001)&lt;ROW(K13))))))))</f>
        <v>14</v>
      </c>
    </row>
    <row r="14" customFormat="false" ht="15" hidden="false" customHeight="false" outlineLevel="0" collapsed="false">
      <c r="A14" s="0" t="str">
        <f aca="false">IF(TRIM('List 1'!A14&amp;'List 1'!C14&amp;'List 1'!D14)="","",LOWER(IF(OR(Comparison!$I$9="Item # + Part # + Description",Comparison!$I$9="Item # + Part #"),TRIM('List 1'!A14),"")&amp;"|"&amp;TRIM('List 1'!C14)&amp;"|"&amp;IF(OR(Comparison!$I$9="Item # + Part # + Description",Comparison!$I$9="Part # + Description"),TRIM('List 1'!D14),"")))</f>
        <v/>
      </c>
      <c r="B14" s="0" t="str">
        <f aca="false">IF(A14="","",SUMPRODUCT(--($A$2:A14=A14)))</f>
        <v/>
      </c>
      <c r="C14" s="0" t="str">
        <f aca="false">IF(A14="","",A14&amp;"#"&amp;B14)</f>
        <v/>
      </c>
      <c r="D14" s="0" t="str">
        <f aca="false">IF(A14="","",IFERROR(--'List 1'!B14,0))</f>
        <v/>
      </c>
      <c r="F14" s="0" t="str">
        <f aca="false">IF(TRIM('List 2'!A14&amp;'List 2'!C14&amp;'List 2'!D14)="","",LOWER(IF(OR(Comparison!$I$9="Item # + Part # + Description",Comparison!$I$9="Item # + Part #"),TRIM('List 2'!A14),"")&amp;"|"&amp;TRIM('List 2'!C14)&amp;"|"&amp;IF(OR(Comparison!$I$9="Item # + Part # + Description",Comparison!$I$9="Part # + Description"),TRIM('List 2'!D14),"")))</f>
        <v/>
      </c>
      <c r="G14" s="0" t="str">
        <f aca="false">IF(F14="","",SUMPRODUCT(--($F$2:F14=F14)))</f>
        <v/>
      </c>
      <c r="H14" s="0" t="str">
        <f aca="false">IF(F14="","",F14&amp;"#"&amp;G14)</f>
        <v/>
      </c>
      <c r="I14" s="0" t="str">
        <f aca="false">IF(F14="","",IFERROR(--'List 2'!B14,0))</f>
        <v/>
      </c>
      <c r="K14" s="0" t="str">
        <f aca="false">C14</f>
        <v/>
      </c>
      <c r="L14" s="0" t="str">
        <f aca="false">IF(K14="","",IF(ISNUMBER('List 1'!A14),'List 1'!A14,TRIM('List 1'!A14)))</f>
        <v/>
      </c>
      <c r="M14" s="0" t="str">
        <f aca="false">IF(K14="","",IF(ISNUMBER('List 1'!C14),'List 1'!C14,TRIM('List 1'!C14)))</f>
        <v/>
      </c>
      <c r="N14" s="0" t="str">
        <f aca="false">IF(K14="","",IF(ISNUMBER('List 1'!D14),'List 1'!D14,TRIM('List 1'!D14)))</f>
        <v/>
      </c>
      <c r="O14" s="0" t="str">
        <f aca="false">IF(K14="","",D14)</f>
        <v/>
      </c>
      <c r="P14" s="0" t="str">
        <f aca="false">IF(K14="","",IF(R14,SUMPRODUCT(--($H$2:$H$501=K14),$I$2:$I$501),0))</f>
        <v/>
      </c>
      <c r="Q14" s="0" t="str">
        <f aca="false">IF(K14="","",TRUE())</f>
        <v/>
      </c>
      <c r="R14" s="0" t="str">
        <f aca="false">IF(K14="","",SUMPRODUCT(--($H$2:$H$501=K14))&gt;0)</f>
        <v/>
      </c>
      <c r="S14" s="0" t="str">
        <f aca="false">IF(K14="","",IF(AND(Q14,R14),IF(O14=P14,"Match","Qty Different"),IF(Q14,"Only in List 1","Only in List 2")))</f>
        <v/>
      </c>
      <c r="T14" s="0" t="str">
        <f aca="false">IF(K14="","",IF(ISNUMBER(--L14),TEXT(--L14,"000000000000.000"),LOWER(L14)))</f>
        <v/>
      </c>
      <c r="U14" s="0" t="str">
        <f aca="false">IF(K14="","",IF(ISNUMBER(--M14),TEXT(--M14,"000000000000.000"),LOWER(M14)))</f>
        <v/>
      </c>
      <c r="V14" s="0" t="str">
        <f aca="false">IF(K14="","",LOWER(N14))</f>
        <v/>
      </c>
      <c r="W14" s="0" t="str">
        <f aca="false">IF(K14="","",B14)</f>
        <v/>
      </c>
      <c r="X14" s="0" t="str">
        <f aca="false">IF(K14="","",1+SUMPRODUCT(($K$2:$K$1001&lt;&gt;"")*(($T$2:$T$1001&lt;T14)+($T$2:$T$1001=T14)*(($U$2:$U$1001&lt;U14)+($U$2:$U$1001=U14)*(($V$2:$V$1001&lt;V14)+($V$2:$V$1001=V14)*(($W$2:$W$1001&lt;W14)+($W$2:$W$1001=W14)*(ROW($K$2:$K$1001)&lt;ROW(K14))))))))</f>
        <v/>
      </c>
    </row>
    <row r="15" customFormat="false" ht="15" hidden="false" customHeight="false" outlineLevel="0" collapsed="false">
      <c r="A15" s="0" t="str">
        <f aca="false">IF(TRIM('List 1'!A15&amp;'List 1'!C15&amp;'List 1'!D15)="","",LOWER(IF(OR(Comparison!$I$9="Item # + Part # + Description",Comparison!$I$9="Item # + Part #"),TRIM('List 1'!A15),"")&amp;"|"&amp;TRIM('List 1'!C15)&amp;"|"&amp;IF(OR(Comparison!$I$9="Item # + Part # + Description",Comparison!$I$9="Part # + Description"),TRIM('List 1'!D15),"")))</f>
        <v/>
      </c>
      <c r="B15" s="0" t="str">
        <f aca="false">IF(A15="","",SUMPRODUCT(--($A$2:A15=A15)))</f>
        <v/>
      </c>
      <c r="C15" s="0" t="str">
        <f aca="false">IF(A15="","",A15&amp;"#"&amp;B15)</f>
        <v/>
      </c>
      <c r="D15" s="0" t="str">
        <f aca="false">IF(A15="","",IFERROR(--'List 1'!B15,0))</f>
        <v/>
      </c>
      <c r="F15" s="0" t="str">
        <f aca="false">IF(TRIM('List 2'!A15&amp;'List 2'!C15&amp;'List 2'!D15)="","",LOWER(IF(OR(Comparison!$I$9="Item # + Part # + Description",Comparison!$I$9="Item # + Part #"),TRIM('List 2'!A15),"")&amp;"|"&amp;TRIM('List 2'!C15)&amp;"|"&amp;IF(OR(Comparison!$I$9="Item # + Part # + Description",Comparison!$I$9="Part # + Description"),TRIM('List 2'!D15),"")))</f>
        <v/>
      </c>
      <c r="G15" s="0" t="str">
        <f aca="false">IF(F15="","",SUMPRODUCT(--($F$2:F15=F15)))</f>
        <v/>
      </c>
      <c r="H15" s="0" t="str">
        <f aca="false">IF(F15="","",F15&amp;"#"&amp;G15)</f>
        <v/>
      </c>
      <c r="I15" s="0" t="str">
        <f aca="false">IF(F15="","",IFERROR(--'List 2'!B15,0))</f>
        <v/>
      </c>
      <c r="K15" s="0" t="str">
        <f aca="false">C15</f>
        <v/>
      </c>
      <c r="L15" s="0" t="str">
        <f aca="false">IF(K15="","",IF(ISNUMBER('List 1'!A15),'List 1'!A15,TRIM('List 1'!A15)))</f>
        <v/>
      </c>
      <c r="M15" s="0" t="str">
        <f aca="false">IF(K15="","",IF(ISNUMBER('List 1'!C15),'List 1'!C15,TRIM('List 1'!C15)))</f>
        <v/>
      </c>
      <c r="N15" s="0" t="str">
        <f aca="false">IF(K15="","",IF(ISNUMBER('List 1'!D15),'List 1'!D15,TRIM('List 1'!D15)))</f>
        <v/>
      </c>
      <c r="O15" s="0" t="str">
        <f aca="false">IF(K15="","",D15)</f>
        <v/>
      </c>
      <c r="P15" s="0" t="str">
        <f aca="false">IF(K15="","",IF(R15,SUMPRODUCT(--($H$2:$H$501=K15),$I$2:$I$501),0))</f>
        <v/>
      </c>
      <c r="Q15" s="0" t="str">
        <f aca="false">IF(K15="","",TRUE())</f>
        <v/>
      </c>
      <c r="R15" s="0" t="str">
        <f aca="false">IF(K15="","",SUMPRODUCT(--($H$2:$H$501=K15))&gt;0)</f>
        <v/>
      </c>
      <c r="S15" s="0" t="str">
        <f aca="false">IF(K15="","",IF(AND(Q15,R15),IF(O15=P15,"Match","Qty Different"),IF(Q15,"Only in List 1","Only in List 2")))</f>
        <v/>
      </c>
      <c r="T15" s="0" t="str">
        <f aca="false">IF(K15="","",IF(ISNUMBER(--L15),TEXT(--L15,"000000000000.000"),LOWER(L15)))</f>
        <v/>
      </c>
      <c r="U15" s="0" t="str">
        <f aca="false">IF(K15="","",IF(ISNUMBER(--M15),TEXT(--M15,"000000000000.000"),LOWER(M15)))</f>
        <v/>
      </c>
      <c r="V15" s="0" t="str">
        <f aca="false">IF(K15="","",LOWER(N15))</f>
        <v/>
      </c>
      <c r="W15" s="0" t="str">
        <f aca="false">IF(K15="","",B15)</f>
        <v/>
      </c>
      <c r="X15" s="0" t="str">
        <f aca="false">IF(K15="","",1+SUMPRODUCT(($K$2:$K$1001&lt;&gt;"")*(($T$2:$T$1001&lt;T15)+($T$2:$T$1001=T15)*(($U$2:$U$1001&lt;U15)+($U$2:$U$1001=U15)*(($V$2:$V$1001&lt;V15)+($V$2:$V$1001=V15)*(($W$2:$W$1001&lt;W15)+($W$2:$W$1001=W15)*(ROW($K$2:$K$1001)&lt;ROW(K15))))))))</f>
        <v/>
      </c>
    </row>
    <row r="16" customFormat="false" ht="15" hidden="false" customHeight="false" outlineLevel="0" collapsed="false">
      <c r="A16" s="0" t="str">
        <f aca="false">IF(TRIM('List 1'!A16&amp;'List 1'!C16&amp;'List 1'!D16)="","",LOWER(IF(OR(Comparison!$I$9="Item # + Part # + Description",Comparison!$I$9="Item # + Part #"),TRIM('List 1'!A16),"")&amp;"|"&amp;TRIM('List 1'!C16)&amp;"|"&amp;IF(OR(Comparison!$I$9="Item # + Part # + Description",Comparison!$I$9="Part # + Description"),TRIM('List 1'!D16),"")))</f>
        <v/>
      </c>
      <c r="B16" s="0" t="str">
        <f aca="false">IF(A16="","",SUMPRODUCT(--($A$2:A16=A16)))</f>
        <v/>
      </c>
      <c r="C16" s="0" t="str">
        <f aca="false">IF(A16="","",A16&amp;"#"&amp;B16)</f>
        <v/>
      </c>
      <c r="D16" s="0" t="str">
        <f aca="false">IF(A16="","",IFERROR(--'List 1'!B16,0))</f>
        <v/>
      </c>
      <c r="F16" s="0" t="str">
        <f aca="false">IF(TRIM('List 2'!A16&amp;'List 2'!C16&amp;'List 2'!D16)="","",LOWER(IF(OR(Comparison!$I$9="Item # + Part # + Description",Comparison!$I$9="Item # + Part #"),TRIM('List 2'!A16),"")&amp;"|"&amp;TRIM('List 2'!C16)&amp;"|"&amp;IF(OR(Comparison!$I$9="Item # + Part # + Description",Comparison!$I$9="Part # + Description"),TRIM('List 2'!D16),"")))</f>
        <v/>
      </c>
      <c r="G16" s="0" t="str">
        <f aca="false">IF(F16="","",SUMPRODUCT(--($F$2:F16=F16)))</f>
        <v/>
      </c>
      <c r="H16" s="0" t="str">
        <f aca="false">IF(F16="","",F16&amp;"#"&amp;G16)</f>
        <v/>
      </c>
      <c r="I16" s="0" t="str">
        <f aca="false">IF(F16="","",IFERROR(--'List 2'!B16,0))</f>
        <v/>
      </c>
      <c r="K16" s="0" t="str">
        <f aca="false">C16</f>
        <v/>
      </c>
      <c r="L16" s="0" t="str">
        <f aca="false">IF(K16="","",IF(ISNUMBER('List 1'!A16),'List 1'!A16,TRIM('List 1'!A16)))</f>
        <v/>
      </c>
      <c r="M16" s="0" t="str">
        <f aca="false">IF(K16="","",IF(ISNUMBER('List 1'!C16),'List 1'!C16,TRIM('List 1'!C16)))</f>
        <v/>
      </c>
      <c r="N16" s="0" t="str">
        <f aca="false">IF(K16="","",IF(ISNUMBER('List 1'!D16),'List 1'!D16,TRIM('List 1'!D16)))</f>
        <v/>
      </c>
      <c r="O16" s="0" t="str">
        <f aca="false">IF(K16="","",D16)</f>
        <v/>
      </c>
      <c r="P16" s="0" t="str">
        <f aca="false">IF(K16="","",IF(R16,SUMPRODUCT(--($H$2:$H$501=K16),$I$2:$I$501),0))</f>
        <v/>
      </c>
      <c r="Q16" s="0" t="str">
        <f aca="false">IF(K16="","",TRUE())</f>
        <v/>
      </c>
      <c r="R16" s="0" t="str">
        <f aca="false">IF(K16="","",SUMPRODUCT(--($H$2:$H$501=K16))&gt;0)</f>
        <v/>
      </c>
      <c r="S16" s="0" t="str">
        <f aca="false">IF(K16="","",IF(AND(Q16,R16),IF(O16=P16,"Match","Qty Different"),IF(Q16,"Only in List 1","Only in List 2")))</f>
        <v/>
      </c>
      <c r="T16" s="0" t="str">
        <f aca="false">IF(K16="","",IF(ISNUMBER(--L16),TEXT(--L16,"000000000000.000"),LOWER(L16)))</f>
        <v/>
      </c>
      <c r="U16" s="0" t="str">
        <f aca="false">IF(K16="","",IF(ISNUMBER(--M16),TEXT(--M16,"000000000000.000"),LOWER(M16)))</f>
        <v/>
      </c>
      <c r="V16" s="0" t="str">
        <f aca="false">IF(K16="","",LOWER(N16))</f>
        <v/>
      </c>
      <c r="W16" s="0" t="str">
        <f aca="false">IF(K16="","",B16)</f>
        <v/>
      </c>
      <c r="X16" s="0" t="str">
        <f aca="false">IF(K16="","",1+SUMPRODUCT(($K$2:$K$1001&lt;&gt;"")*(($T$2:$T$1001&lt;T16)+($T$2:$T$1001=T16)*(($U$2:$U$1001&lt;U16)+($U$2:$U$1001=U16)*(($V$2:$V$1001&lt;V16)+($V$2:$V$1001=V16)*(($W$2:$W$1001&lt;W16)+($W$2:$W$1001=W16)*(ROW($K$2:$K$1001)&lt;ROW(K16))))))))</f>
        <v/>
      </c>
    </row>
    <row r="17" customFormat="false" ht="15" hidden="false" customHeight="false" outlineLevel="0" collapsed="false">
      <c r="A17" s="0" t="str">
        <f aca="false">IF(TRIM('List 1'!A17&amp;'List 1'!C17&amp;'List 1'!D17)="","",LOWER(IF(OR(Comparison!$I$9="Item # + Part # + Description",Comparison!$I$9="Item # + Part #"),TRIM('List 1'!A17),"")&amp;"|"&amp;TRIM('List 1'!C17)&amp;"|"&amp;IF(OR(Comparison!$I$9="Item # + Part # + Description",Comparison!$I$9="Part # + Description"),TRIM('List 1'!D17),"")))</f>
        <v/>
      </c>
      <c r="B17" s="0" t="str">
        <f aca="false">IF(A17="","",SUMPRODUCT(--($A$2:A17=A17)))</f>
        <v/>
      </c>
      <c r="C17" s="0" t="str">
        <f aca="false">IF(A17="","",A17&amp;"#"&amp;B17)</f>
        <v/>
      </c>
      <c r="D17" s="0" t="str">
        <f aca="false">IF(A17="","",IFERROR(--'List 1'!B17,0))</f>
        <v/>
      </c>
      <c r="F17" s="0" t="str">
        <f aca="false">IF(TRIM('List 2'!A17&amp;'List 2'!C17&amp;'List 2'!D17)="","",LOWER(IF(OR(Comparison!$I$9="Item # + Part # + Description",Comparison!$I$9="Item # + Part #"),TRIM('List 2'!A17),"")&amp;"|"&amp;TRIM('List 2'!C17)&amp;"|"&amp;IF(OR(Comparison!$I$9="Item # + Part # + Description",Comparison!$I$9="Part # + Description"),TRIM('List 2'!D17),"")))</f>
        <v/>
      </c>
      <c r="G17" s="0" t="str">
        <f aca="false">IF(F17="","",SUMPRODUCT(--($F$2:F17=F17)))</f>
        <v/>
      </c>
      <c r="H17" s="0" t="str">
        <f aca="false">IF(F17="","",F17&amp;"#"&amp;G17)</f>
        <v/>
      </c>
      <c r="I17" s="0" t="str">
        <f aca="false">IF(F17="","",IFERROR(--'List 2'!B17,0))</f>
        <v/>
      </c>
      <c r="K17" s="0" t="str">
        <f aca="false">C17</f>
        <v/>
      </c>
      <c r="L17" s="0" t="str">
        <f aca="false">IF(K17="","",IF(ISNUMBER('List 1'!A17),'List 1'!A17,TRIM('List 1'!A17)))</f>
        <v/>
      </c>
      <c r="M17" s="0" t="str">
        <f aca="false">IF(K17="","",IF(ISNUMBER('List 1'!C17),'List 1'!C17,TRIM('List 1'!C17)))</f>
        <v/>
      </c>
      <c r="N17" s="0" t="str">
        <f aca="false">IF(K17="","",IF(ISNUMBER('List 1'!D17),'List 1'!D17,TRIM('List 1'!D17)))</f>
        <v/>
      </c>
      <c r="O17" s="0" t="str">
        <f aca="false">IF(K17="","",D17)</f>
        <v/>
      </c>
      <c r="P17" s="0" t="str">
        <f aca="false">IF(K17="","",IF(R17,SUMPRODUCT(--($H$2:$H$501=K17),$I$2:$I$501),0))</f>
        <v/>
      </c>
      <c r="Q17" s="0" t="str">
        <f aca="false">IF(K17="","",TRUE())</f>
        <v/>
      </c>
      <c r="R17" s="0" t="str">
        <f aca="false">IF(K17="","",SUMPRODUCT(--($H$2:$H$501=K17))&gt;0)</f>
        <v/>
      </c>
      <c r="S17" s="0" t="str">
        <f aca="false">IF(K17="","",IF(AND(Q17,R17),IF(O17=P17,"Match","Qty Different"),IF(Q17,"Only in List 1","Only in List 2")))</f>
        <v/>
      </c>
      <c r="T17" s="0" t="str">
        <f aca="false">IF(K17="","",IF(ISNUMBER(--L17),TEXT(--L17,"000000000000.000"),LOWER(L17)))</f>
        <v/>
      </c>
      <c r="U17" s="0" t="str">
        <f aca="false">IF(K17="","",IF(ISNUMBER(--M17),TEXT(--M17,"000000000000.000"),LOWER(M17)))</f>
        <v/>
      </c>
      <c r="V17" s="0" t="str">
        <f aca="false">IF(K17="","",LOWER(N17))</f>
        <v/>
      </c>
      <c r="W17" s="0" t="str">
        <f aca="false">IF(K17="","",B17)</f>
        <v/>
      </c>
      <c r="X17" s="0" t="str">
        <f aca="false">IF(K17="","",1+SUMPRODUCT(($K$2:$K$1001&lt;&gt;"")*(($T$2:$T$1001&lt;T17)+($T$2:$T$1001=T17)*(($U$2:$U$1001&lt;U17)+($U$2:$U$1001=U17)*(($V$2:$V$1001&lt;V17)+($V$2:$V$1001=V17)*(($W$2:$W$1001&lt;W17)+($W$2:$W$1001=W17)*(ROW($K$2:$K$1001)&lt;ROW(K17))))))))</f>
        <v/>
      </c>
    </row>
    <row r="18" customFormat="false" ht="15" hidden="false" customHeight="false" outlineLevel="0" collapsed="false">
      <c r="A18" s="0" t="str">
        <f aca="false">IF(TRIM('List 1'!A18&amp;'List 1'!C18&amp;'List 1'!D18)="","",LOWER(IF(OR(Comparison!$I$9="Item # + Part # + Description",Comparison!$I$9="Item # + Part #"),TRIM('List 1'!A18),"")&amp;"|"&amp;TRIM('List 1'!C18)&amp;"|"&amp;IF(OR(Comparison!$I$9="Item # + Part # + Description",Comparison!$I$9="Part # + Description"),TRIM('List 1'!D18),"")))</f>
        <v/>
      </c>
      <c r="B18" s="0" t="str">
        <f aca="false">IF(A18="","",SUMPRODUCT(--($A$2:A18=A18)))</f>
        <v/>
      </c>
      <c r="C18" s="0" t="str">
        <f aca="false">IF(A18="","",A18&amp;"#"&amp;B18)</f>
        <v/>
      </c>
      <c r="D18" s="0" t="str">
        <f aca="false">IF(A18="","",IFERROR(--'List 1'!B18,0))</f>
        <v/>
      </c>
      <c r="F18" s="0" t="str">
        <f aca="false">IF(TRIM('List 2'!A18&amp;'List 2'!C18&amp;'List 2'!D18)="","",LOWER(IF(OR(Comparison!$I$9="Item # + Part # + Description",Comparison!$I$9="Item # + Part #"),TRIM('List 2'!A18),"")&amp;"|"&amp;TRIM('List 2'!C18)&amp;"|"&amp;IF(OR(Comparison!$I$9="Item # + Part # + Description",Comparison!$I$9="Part # + Description"),TRIM('List 2'!D18),"")))</f>
        <v/>
      </c>
      <c r="G18" s="0" t="str">
        <f aca="false">IF(F18="","",SUMPRODUCT(--($F$2:F18=F18)))</f>
        <v/>
      </c>
      <c r="H18" s="0" t="str">
        <f aca="false">IF(F18="","",F18&amp;"#"&amp;G18)</f>
        <v/>
      </c>
      <c r="I18" s="0" t="str">
        <f aca="false">IF(F18="","",IFERROR(--'List 2'!B18,0))</f>
        <v/>
      </c>
      <c r="K18" s="0" t="str">
        <f aca="false">C18</f>
        <v/>
      </c>
      <c r="L18" s="0" t="str">
        <f aca="false">IF(K18="","",IF(ISNUMBER('List 1'!A18),'List 1'!A18,TRIM('List 1'!A18)))</f>
        <v/>
      </c>
      <c r="M18" s="0" t="str">
        <f aca="false">IF(K18="","",IF(ISNUMBER('List 1'!C18),'List 1'!C18,TRIM('List 1'!C18)))</f>
        <v/>
      </c>
      <c r="N18" s="0" t="str">
        <f aca="false">IF(K18="","",IF(ISNUMBER('List 1'!D18),'List 1'!D18,TRIM('List 1'!D18)))</f>
        <v/>
      </c>
      <c r="O18" s="0" t="str">
        <f aca="false">IF(K18="","",D18)</f>
        <v/>
      </c>
      <c r="P18" s="0" t="str">
        <f aca="false">IF(K18="","",IF(R18,SUMPRODUCT(--($H$2:$H$501=K18),$I$2:$I$501),0))</f>
        <v/>
      </c>
      <c r="Q18" s="0" t="str">
        <f aca="false">IF(K18="","",TRUE())</f>
        <v/>
      </c>
      <c r="R18" s="0" t="str">
        <f aca="false">IF(K18="","",SUMPRODUCT(--($H$2:$H$501=K18))&gt;0)</f>
        <v/>
      </c>
      <c r="S18" s="0" t="str">
        <f aca="false">IF(K18="","",IF(AND(Q18,R18),IF(O18=P18,"Match","Qty Different"),IF(Q18,"Only in List 1","Only in List 2")))</f>
        <v/>
      </c>
      <c r="T18" s="0" t="str">
        <f aca="false">IF(K18="","",IF(ISNUMBER(--L18),TEXT(--L18,"000000000000.000"),LOWER(L18)))</f>
        <v/>
      </c>
      <c r="U18" s="0" t="str">
        <f aca="false">IF(K18="","",IF(ISNUMBER(--M18),TEXT(--M18,"000000000000.000"),LOWER(M18)))</f>
        <v/>
      </c>
      <c r="V18" s="0" t="str">
        <f aca="false">IF(K18="","",LOWER(N18))</f>
        <v/>
      </c>
      <c r="W18" s="0" t="str">
        <f aca="false">IF(K18="","",B18)</f>
        <v/>
      </c>
      <c r="X18" s="0" t="str">
        <f aca="false">IF(K18="","",1+SUMPRODUCT(($K$2:$K$1001&lt;&gt;"")*(($T$2:$T$1001&lt;T18)+($T$2:$T$1001=T18)*(($U$2:$U$1001&lt;U18)+($U$2:$U$1001=U18)*(($V$2:$V$1001&lt;V18)+($V$2:$V$1001=V18)*(($W$2:$W$1001&lt;W18)+($W$2:$W$1001=W18)*(ROW($K$2:$K$1001)&lt;ROW(K18))))))))</f>
        <v/>
      </c>
    </row>
    <row r="19" customFormat="false" ht="15" hidden="false" customHeight="false" outlineLevel="0" collapsed="false">
      <c r="A19" s="0" t="str">
        <f aca="false">IF(TRIM('List 1'!A19&amp;'List 1'!C19&amp;'List 1'!D19)="","",LOWER(IF(OR(Comparison!$I$9="Item # + Part # + Description",Comparison!$I$9="Item # + Part #"),TRIM('List 1'!A19),"")&amp;"|"&amp;TRIM('List 1'!C19)&amp;"|"&amp;IF(OR(Comparison!$I$9="Item # + Part # + Description",Comparison!$I$9="Part # + Description"),TRIM('List 1'!D19),"")))</f>
        <v/>
      </c>
      <c r="B19" s="0" t="str">
        <f aca="false">IF(A19="","",SUMPRODUCT(--($A$2:A19=A19)))</f>
        <v/>
      </c>
      <c r="C19" s="0" t="str">
        <f aca="false">IF(A19="","",A19&amp;"#"&amp;B19)</f>
        <v/>
      </c>
      <c r="D19" s="0" t="str">
        <f aca="false">IF(A19="","",IFERROR(--'List 1'!B19,0))</f>
        <v/>
      </c>
      <c r="F19" s="0" t="str">
        <f aca="false">IF(TRIM('List 2'!A19&amp;'List 2'!C19&amp;'List 2'!D19)="","",LOWER(IF(OR(Comparison!$I$9="Item # + Part # + Description",Comparison!$I$9="Item # + Part #"),TRIM('List 2'!A19),"")&amp;"|"&amp;TRIM('List 2'!C19)&amp;"|"&amp;IF(OR(Comparison!$I$9="Item # + Part # + Description",Comparison!$I$9="Part # + Description"),TRIM('List 2'!D19),"")))</f>
        <v/>
      </c>
      <c r="G19" s="0" t="str">
        <f aca="false">IF(F19="","",SUMPRODUCT(--($F$2:F19=F19)))</f>
        <v/>
      </c>
      <c r="H19" s="0" t="str">
        <f aca="false">IF(F19="","",F19&amp;"#"&amp;G19)</f>
        <v/>
      </c>
      <c r="I19" s="0" t="str">
        <f aca="false">IF(F19="","",IFERROR(--'List 2'!B19,0))</f>
        <v/>
      </c>
      <c r="K19" s="0" t="str">
        <f aca="false">C19</f>
        <v/>
      </c>
      <c r="L19" s="0" t="str">
        <f aca="false">IF(K19="","",IF(ISNUMBER('List 1'!A19),'List 1'!A19,TRIM('List 1'!A19)))</f>
        <v/>
      </c>
      <c r="M19" s="0" t="str">
        <f aca="false">IF(K19="","",IF(ISNUMBER('List 1'!C19),'List 1'!C19,TRIM('List 1'!C19)))</f>
        <v/>
      </c>
      <c r="N19" s="0" t="str">
        <f aca="false">IF(K19="","",IF(ISNUMBER('List 1'!D19),'List 1'!D19,TRIM('List 1'!D19)))</f>
        <v/>
      </c>
      <c r="O19" s="0" t="str">
        <f aca="false">IF(K19="","",D19)</f>
        <v/>
      </c>
      <c r="P19" s="0" t="str">
        <f aca="false">IF(K19="","",IF(R19,SUMPRODUCT(--($H$2:$H$501=K19),$I$2:$I$501),0))</f>
        <v/>
      </c>
      <c r="Q19" s="0" t="str">
        <f aca="false">IF(K19="","",TRUE())</f>
        <v/>
      </c>
      <c r="R19" s="0" t="str">
        <f aca="false">IF(K19="","",SUMPRODUCT(--($H$2:$H$501=K19))&gt;0)</f>
        <v/>
      </c>
      <c r="S19" s="0" t="str">
        <f aca="false">IF(K19="","",IF(AND(Q19,R19),IF(O19=P19,"Match","Qty Different"),IF(Q19,"Only in List 1","Only in List 2")))</f>
        <v/>
      </c>
      <c r="T19" s="0" t="str">
        <f aca="false">IF(K19="","",IF(ISNUMBER(--L19),TEXT(--L19,"000000000000.000"),LOWER(L19)))</f>
        <v/>
      </c>
      <c r="U19" s="0" t="str">
        <f aca="false">IF(K19="","",IF(ISNUMBER(--M19),TEXT(--M19,"000000000000.000"),LOWER(M19)))</f>
        <v/>
      </c>
      <c r="V19" s="0" t="str">
        <f aca="false">IF(K19="","",LOWER(N19))</f>
        <v/>
      </c>
      <c r="W19" s="0" t="str">
        <f aca="false">IF(K19="","",B19)</f>
        <v/>
      </c>
      <c r="X19" s="0" t="str">
        <f aca="false">IF(K19="","",1+SUMPRODUCT(($K$2:$K$1001&lt;&gt;"")*(($T$2:$T$1001&lt;T19)+($T$2:$T$1001=T19)*(($U$2:$U$1001&lt;U19)+($U$2:$U$1001=U19)*(($V$2:$V$1001&lt;V19)+($V$2:$V$1001=V19)*(($W$2:$W$1001&lt;W19)+($W$2:$W$1001=W19)*(ROW($K$2:$K$1001)&lt;ROW(K19))))))))</f>
        <v/>
      </c>
    </row>
    <row r="20" customFormat="false" ht="15" hidden="false" customHeight="false" outlineLevel="0" collapsed="false">
      <c r="A20" s="0" t="str">
        <f aca="false">IF(TRIM('List 1'!A20&amp;'List 1'!C20&amp;'List 1'!D20)="","",LOWER(IF(OR(Comparison!$I$9="Item # + Part # + Description",Comparison!$I$9="Item # + Part #"),TRIM('List 1'!A20),"")&amp;"|"&amp;TRIM('List 1'!C20)&amp;"|"&amp;IF(OR(Comparison!$I$9="Item # + Part # + Description",Comparison!$I$9="Part # + Description"),TRIM('List 1'!D20),"")))</f>
        <v/>
      </c>
      <c r="B20" s="0" t="str">
        <f aca="false">IF(A20="","",SUMPRODUCT(--($A$2:A20=A20)))</f>
        <v/>
      </c>
      <c r="C20" s="0" t="str">
        <f aca="false">IF(A20="","",A20&amp;"#"&amp;B20)</f>
        <v/>
      </c>
      <c r="D20" s="0" t="str">
        <f aca="false">IF(A20="","",IFERROR(--'List 1'!B20,0))</f>
        <v/>
      </c>
      <c r="F20" s="0" t="str">
        <f aca="false">IF(TRIM('List 2'!A20&amp;'List 2'!C20&amp;'List 2'!D20)="","",LOWER(IF(OR(Comparison!$I$9="Item # + Part # + Description",Comparison!$I$9="Item # + Part #"),TRIM('List 2'!A20),"")&amp;"|"&amp;TRIM('List 2'!C20)&amp;"|"&amp;IF(OR(Comparison!$I$9="Item # + Part # + Description",Comparison!$I$9="Part # + Description"),TRIM('List 2'!D20),"")))</f>
        <v/>
      </c>
      <c r="G20" s="0" t="str">
        <f aca="false">IF(F20="","",SUMPRODUCT(--($F$2:F20=F20)))</f>
        <v/>
      </c>
      <c r="H20" s="0" t="str">
        <f aca="false">IF(F20="","",F20&amp;"#"&amp;G20)</f>
        <v/>
      </c>
      <c r="I20" s="0" t="str">
        <f aca="false">IF(F20="","",IFERROR(--'List 2'!B20,0))</f>
        <v/>
      </c>
      <c r="K20" s="0" t="str">
        <f aca="false">C20</f>
        <v/>
      </c>
      <c r="L20" s="0" t="str">
        <f aca="false">IF(K20="","",IF(ISNUMBER('List 1'!A20),'List 1'!A20,TRIM('List 1'!A20)))</f>
        <v/>
      </c>
      <c r="M20" s="0" t="str">
        <f aca="false">IF(K20="","",IF(ISNUMBER('List 1'!C20),'List 1'!C20,TRIM('List 1'!C20)))</f>
        <v/>
      </c>
      <c r="N20" s="0" t="str">
        <f aca="false">IF(K20="","",IF(ISNUMBER('List 1'!D20),'List 1'!D20,TRIM('List 1'!D20)))</f>
        <v/>
      </c>
      <c r="O20" s="0" t="str">
        <f aca="false">IF(K20="","",D20)</f>
        <v/>
      </c>
      <c r="P20" s="0" t="str">
        <f aca="false">IF(K20="","",IF(R20,SUMPRODUCT(--($H$2:$H$501=K20),$I$2:$I$501),0))</f>
        <v/>
      </c>
      <c r="Q20" s="0" t="str">
        <f aca="false">IF(K20="","",TRUE())</f>
        <v/>
      </c>
      <c r="R20" s="0" t="str">
        <f aca="false">IF(K20="","",SUMPRODUCT(--($H$2:$H$501=K20))&gt;0)</f>
        <v/>
      </c>
      <c r="S20" s="0" t="str">
        <f aca="false">IF(K20="","",IF(AND(Q20,R20),IF(O20=P20,"Match","Qty Different"),IF(Q20,"Only in List 1","Only in List 2")))</f>
        <v/>
      </c>
      <c r="T20" s="0" t="str">
        <f aca="false">IF(K20="","",IF(ISNUMBER(--L20),TEXT(--L20,"000000000000.000"),LOWER(L20)))</f>
        <v/>
      </c>
      <c r="U20" s="0" t="str">
        <f aca="false">IF(K20="","",IF(ISNUMBER(--M20),TEXT(--M20,"000000000000.000"),LOWER(M20)))</f>
        <v/>
      </c>
      <c r="V20" s="0" t="str">
        <f aca="false">IF(K20="","",LOWER(N20))</f>
        <v/>
      </c>
      <c r="W20" s="0" t="str">
        <f aca="false">IF(K20="","",B20)</f>
        <v/>
      </c>
      <c r="X20" s="0" t="str">
        <f aca="false">IF(K20="","",1+SUMPRODUCT(($K$2:$K$1001&lt;&gt;"")*(($T$2:$T$1001&lt;T20)+($T$2:$T$1001=T20)*(($U$2:$U$1001&lt;U20)+($U$2:$U$1001=U20)*(($V$2:$V$1001&lt;V20)+($V$2:$V$1001=V20)*(($W$2:$W$1001&lt;W20)+($W$2:$W$1001=W20)*(ROW($K$2:$K$1001)&lt;ROW(K20))))))))</f>
        <v/>
      </c>
    </row>
    <row r="21" customFormat="false" ht="15" hidden="false" customHeight="false" outlineLevel="0" collapsed="false">
      <c r="A21" s="0" t="str">
        <f aca="false">IF(TRIM('List 1'!A21&amp;'List 1'!C21&amp;'List 1'!D21)="","",LOWER(IF(OR(Comparison!$I$9="Item # + Part # + Description",Comparison!$I$9="Item # + Part #"),TRIM('List 1'!A21),"")&amp;"|"&amp;TRIM('List 1'!C21)&amp;"|"&amp;IF(OR(Comparison!$I$9="Item # + Part # + Description",Comparison!$I$9="Part # + Description"),TRIM('List 1'!D21),"")))</f>
        <v/>
      </c>
      <c r="B21" s="0" t="str">
        <f aca="false">IF(A21="","",SUMPRODUCT(--($A$2:A21=A21)))</f>
        <v/>
      </c>
      <c r="C21" s="0" t="str">
        <f aca="false">IF(A21="","",A21&amp;"#"&amp;B21)</f>
        <v/>
      </c>
      <c r="D21" s="0" t="str">
        <f aca="false">IF(A21="","",IFERROR(--'List 1'!B21,0))</f>
        <v/>
      </c>
      <c r="F21" s="0" t="str">
        <f aca="false">IF(TRIM('List 2'!A21&amp;'List 2'!C21&amp;'List 2'!D21)="","",LOWER(IF(OR(Comparison!$I$9="Item # + Part # + Description",Comparison!$I$9="Item # + Part #"),TRIM('List 2'!A21),"")&amp;"|"&amp;TRIM('List 2'!C21)&amp;"|"&amp;IF(OR(Comparison!$I$9="Item # + Part # + Description",Comparison!$I$9="Part # + Description"),TRIM('List 2'!D21),"")))</f>
        <v/>
      </c>
      <c r="G21" s="0" t="str">
        <f aca="false">IF(F21="","",SUMPRODUCT(--($F$2:F21=F21)))</f>
        <v/>
      </c>
      <c r="H21" s="0" t="str">
        <f aca="false">IF(F21="","",F21&amp;"#"&amp;G21)</f>
        <v/>
      </c>
      <c r="I21" s="0" t="str">
        <f aca="false">IF(F21="","",IFERROR(--'List 2'!B21,0))</f>
        <v/>
      </c>
      <c r="K21" s="0" t="str">
        <f aca="false">C21</f>
        <v/>
      </c>
      <c r="L21" s="0" t="str">
        <f aca="false">IF(K21="","",IF(ISNUMBER('List 1'!A21),'List 1'!A21,TRIM('List 1'!A21)))</f>
        <v/>
      </c>
      <c r="M21" s="0" t="str">
        <f aca="false">IF(K21="","",IF(ISNUMBER('List 1'!C21),'List 1'!C21,TRIM('List 1'!C21)))</f>
        <v/>
      </c>
      <c r="N21" s="0" t="str">
        <f aca="false">IF(K21="","",IF(ISNUMBER('List 1'!D21),'List 1'!D21,TRIM('List 1'!D21)))</f>
        <v/>
      </c>
      <c r="O21" s="0" t="str">
        <f aca="false">IF(K21="","",D21)</f>
        <v/>
      </c>
      <c r="P21" s="0" t="str">
        <f aca="false">IF(K21="","",IF(R21,SUMPRODUCT(--($H$2:$H$501=K21),$I$2:$I$501),0))</f>
        <v/>
      </c>
      <c r="Q21" s="0" t="str">
        <f aca="false">IF(K21="","",TRUE())</f>
        <v/>
      </c>
      <c r="R21" s="0" t="str">
        <f aca="false">IF(K21="","",SUMPRODUCT(--($H$2:$H$501=K21))&gt;0)</f>
        <v/>
      </c>
      <c r="S21" s="0" t="str">
        <f aca="false">IF(K21="","",IF(AND(Q21,R21),IF(O21=P21,"Match","Qty Different"),IF(Q21,"Only in List 1","Only in List 2")))</f>
        <v/>
      </c>
      <c r="T21" s="0" t="str">
        <f aca="false">IF(K21="","",IF(ISNUMBER(--L21),TEXT(--L21,"000000000000.000"),LOWER(L21)))</f>
        <v/>
      </c>
      <c r="U21" s="0" t="str">
        <f aca="false">IF(K21="","",IF(ISNUMBER(--M21),TEXT(--M21,"000000000000.000"),LOWER(M21)))</f>
        <v/>
      </c>
      <c r="V21" s="0" t="str">
        <f aca="false">IF(K21="","",LOWER(N21))</f>
        <v/>
      </c>
      <c r="W21" s="0" t="str">
        <f aca="false">IF(K21="","",B21)</f>
        <v/>
      </c>
      <c r="X21" s="0" t="str">
        <f aca="false">IF(K21="","",1+SUMPRODUCT(($K$2:$K$1001&lt;&gt;"")*(($T$2:$T$1001&lt;T21)+($T$2:$T$1001=T21)*(($U$2:$U$1001&lt;U21)+($U$2:$U$1001=U21)*(($V$2:$V$1001&lt;V21)+($V$2:$V$1001=V21)*(($W$2:$W$1001&lt;W21)+($W$2:$W$1001=W21)*(ROW($K$2:$K$1001)&lt;ROW(K21))))))))</f>
        <v/>
      </c>
    </row>
    <row r="22" customFormat="false" ht="15" hidden="false" customHeight="false" outlineLevel="0" collapsed="false">
      <c r="A22" s="0" t="str">
        <f aca="false">IF(TRIM('List 1'!A22&amp;'List 1'!C22&amp;'List 1'!D22)="","",LOWER(IF(OR(Comparison!$I$9="Item # + Part # + Description",Comparison!$I$9="Item # + Part #"),TRIM('List 1'!A22),"")&amp;"|"&amp;TRIM('List 1'!C22)&amp;"|"&amp;IF(OR(Comparison!$I$9="Item # + Part # + Description",Comparison!$I$9="Part # + Description"),TRIM('List 1'!D22),"")))</f>
        <v/>
      </c>
      <c r="B22" s="0" t="str">
        <f aca="false">IF(A22="","",SUMPRODUCT(--($A$2:A22=A22)))</f>
        <v/>
      </c>
      <c r="C22" s="0" t="str">
        <f aca="false">IF(A22="","",A22&amp;"#"&amp;B22)</f>
        <v/>
      </c>
      <c r="D22" s="0" t="str">
        <f aca="false">IF(A22="","",IFERROR(--'List 1'!B22,0))</f>
        <v/>
      </c>
      <c r="F22" s="0" t="str">
        <f aca="false">IF(TRIM('List 2'!A22&amp;'List 2'!C22&amp;'List 2'!D22)="","",LOWER(IF(OR(Comparison!$I$9="Item # + Part # + Description",Comparison!$I$9="Item # + Part #"),TRIM('List 2'!A22),"")&amp;"|"&amp;TRIM('List 2'!C22)&amp;"|"&amp;IF(OR(Comparison!$I$9="Item # + Part # + Description",Comparison!$I$9="Part # + Description"),TRIM('List 2'!D22),"")))</f>
        <v/>
      </c>
      <c r="G22" s="0" t="str">
        <f aca="false">IF(F22="","",SUMPRODUCT(--($F$2:F22=F22)))</f>
        <v/>
      </c>
      <c r="H22" s="0" t="str">
        <f aca="false">IF(F22="","",F22&amp;"#"&amp;G22)</f>
        <v/>
      </c>
      <c r="I22" s="0" t="str">
        <f aca="false">IF(F22="","",IFERROR(--'List 2'!B22,0))</f>
        <v/>
      </c>
      <c r="K22" s="0" t="str">
        <f aca="false">C22</f>
        <v/>
      </c>
      <c r="L22" s="0" t="str">
        <f aca="false">IF(K22="","",IF(ISNUMBER('List 1'!A22),'List 1'!A22,TRIM('List 1'!A22)))</f>
        <v/>
      </c>
      <c r="M22" s="0" t="str">
        <f aca="false">IF(K22="","",IF(ISNUMBER('List 1'!C22),'List 1'!C22,TRIM('List 1'!C22)))</f>
        <v/>
      </c>
      <c r="N22" s="0" t="str">
        <f aca="false">IF(K22="","",IF(ISNUMBER('List 1'!D22),'List 1'!D22,TRIM('List 1'!D22)))</f>
        <v/>
      </c>
      <c r="O22" s="0" t="str">
        <f aca="false">IF(K22="","",D22)</f>
        <v/>
      </c>
      <c r="P22" s="0" t="str">
        <f aca="false">IF(K22="","",IF(R22,SUMPRODUCT(--($H$2:$H$501=K22),$I$2:$I$501),0))</f>
        <v/>
      </c>
      <c r="Q22" s="0" t="str">
        <f aca="false">IF(K22="","",TRUE())</f>
        <v/>
      </c>
      <c r="R22" s="0" t="str">
        <f aca="false">IF(K22="","",SUMPRODUCT(--($H$2:$H$501=K22))&gt;0)</f>
        <v/>
      </c>
      <c r="S22" s="0" t="str">
        <f aca="false">IF(K22="","",IF(AND(Q22,R22),IF(O22=P22,"Match","Qty Different"),IF(Q22,"Only in List 1","Only in List 2")))</f>
        <v/>
      </c>
      <c r="T22" s="0" t="str">
        <f aca="false">IF(K22="","",IF(ISNUMBER(--L22),TEXT(--L22,"000000000000.000"),LOWER(L22)))</f>
        <v/>
      </c>
      <c r="U22" s="0" t="str">
        <f aca="false">IF(K22="","",IF(ISNUMBER(--M22),TEXT(--M22,"000000000000.000"),LOWER(M22)))</f>
        <v/>
      </c>
      <c r="V22" s="0" t="str">
        <f aca="false">IF(K22="","",LOWER(N22))</f>
        <v/>
      </c>
      <c r="W22" s="0" t="str">
        <f aca="false">IF(K22="","",B22)</f>
        <v/>
      </c>
      <c r="X22" s="0" t="str">
        <f aca="false">IF(K22="","",1+SUMPRODUCT(($K$2:$K$1001&lt;&gt;"")*(($T$2:$T$1001&lt;T22)+($T$2:$T$1001=T22)*(($U$2:$U$1001&lt;U22)+($U$2:$U$1001=U22)*(($V$2:$V$1001&lt;V22)+($V$2:$V$1001=V22)*(($W$2:$W$1001&lt;W22)+($W$2:$W$1001=W22)*(ROW($K$2:$K$1001)&lt;ROW(K22))))))))</f>
        <v/>
      </c>
    </row>
    <row r="23" customFormat="false" ht="15" hidden="false" customHeight="false" outlineLevel="0" collapsed="false">
      <c r="A23" s="0" t="str">
        <f aca="false">IF(TRIM('List 1'!A23&amp;'List 1'!C23&amp;'List 1'!D23)="","",LOWER(IF(OR(Comparison!$I$9="Item # + Part # + Description",Comparison!$I$9="Item # + Part #"),TRIM('List 1'!A23),"")&amp;"|"&amp;TRIM('List 1'!C23)&amp;"|"&amp;IF(OR(Comparison!$I$9="Item # + Part # + Description",Comparison!$I$9="Part # + Description"),TRIM('List 1'!D23),"")))</f>
        <v/>
      </c>
      <c r="B23" s="0" t="str">
        <f aca="false">IF(A23="","",SUMPRODUCT(--($A$2:A23=A23)))</f>
        <v/>
      </c>
      <c r="C23" s="0" t="str">
        <f aca="false">IF(A23="","",A23&amp;"#"&amp;B23)</f>
        <v/>
      </c>
      <c r="D23" s="0" t="str">
        <f aca="false">IF(A23="","",IFERROR(--'List 1'!B23,0))</f>
        <v/>
      </c>
      <c r="F23" s="0" t="str">
        <f aca="false">IF(TRIM('List 2'!A23&amp;'List 2'!C23&amp;'List 2'!D23)="","",LOWER(IF(OR(Comparison!$I$9="Item # + Part # + Description",Comparison!$I$9="Item # + Part #"),TRIM('List 2'!A23),"")&amp;"|"&amp;TRIM('List 2'!C23)&amp;"|"&amp;IF(OR(Comparison!$I$9="Item # + Part # + Description",Comparison!$I$9="Part # + Description"),TRIM('List 2'!D23),"")))</f>
        <v/>
      </c>
      <c r="G23" s="0" t="str">
        <f aca="false">IF(F23="","",SUMPRODUCT(--($F$2:F23=F23)))</f>
        <v/>
      </c>
      <c r="H23" s="0" t="str">
        <f aca="false">IF(F23="","",F23&amp;"#"&amp;G23)</f>
        <v/>
      </c>
      <c r="I23" s="0" t="str">
        <f aca="false">IF(F23="","",IFERROR(--'List 2'!B23,0))</f>
        <v/>
      </c>
      <c r="K23" s="0" t="str">
        <f aca="false">C23</f>
        <v/>
      </c>
      <c r="L23" s="0" t="str">
        <f aca="false">IF(K23="","",IF(ISNUMBER('List 1'!A23),'List 1'!A23,TRIM('List 1'!A23)))</f>
        <v/>
      </c>
      <c r="M23" s="0" t="str">
        <f aca="false">IF(K23="","",IF(ISNUMBER('List 1'!C23),'List 1'!C23,TRIM('List 1'!C23)))</f>
        <v/>
      </c>
      <c r="N23" s="0" t="str">
        <f aca="false">IF(K23="","",IF(ISNUMBER('List 1'!D23),'List 1'!D23,TRIM('List 1'!D23)))</f>
        <v/>
      </c>
      <c r="O23" s="0" t="str">
        <f aca="false">IF(K23="","",D23)</f>
        <v/>
      </c>
      <c r="P23" s="0" t="str">
        <f aca="false">IF(K23="","",IF(R23,SUMPRODUCT(--($H$2:$H$501=K23),$I$2:$I$501),0))</f>
        <v/>
      </c>
      <c r="Q23" s="0" t="str">
        <f aca="false">IF(K23="","",TRUE())</f>
        <v/>
      </c>
      <c r="R23" s="0" t="str">
        <f aca="false">IF(K23="","",SUMPRODUCT(--($H$2:$H$501=K23))&gt;0)</f>
        <v/>
      </c>
      <c r="S23" s="0" t="str">
        <f aca="false">IF(K23="","",IF(AND(Q23,R23),IF(O23=P23,"Match","Qty Different"),IF(Q23,"Only in List 1","Only in List 2")))</f>
        <v/>
      </c>
      <c r="T23" s="0" t="str">
        <f aca="false">IF(K23="","",IF(ISNUMBER(--L23),TEXT(--L23,"000000000000.000"),LOWER(L23)))</f>
        <v/>
      </c>
      <c r="U23" s="0" t="str">
        <f aca="false">IF(K23="","",IF(ISNUMBER(--M23),TEXT(--M23,"000000000000.000"),LOWER(M23)))</f>
        <v/>
      </c>
      <c r="V23" s="0" t="str">
        <f aca="false">IF(K23="","",LOWER(N23))</f>
        <v/>
      </c>
      <c r="W23" s="0" t="str">
        <f aca="false">IF(K23="","",B23)</f>
        <v/>
      </c>
      <c r="X23" s="0" t="str">
        <f aca="false">IF(K23="","",1+SUMPRODUCT(($K$2:$K$1001&lt;&gt;"")*(($T$2:$T$1001&lt;T23)+($T$2:$T$1001=T23)*(($U$2:$U$1001&lt;U23)+($U$2:$U$1001=U23)*(($V$2:$V$1001&lt;V23)+($V$2:$V$1001=V23)*(($W$2:$W$1001&lt;W23)+($W$2:$W$1001=W23)*(ROW($K$2:$K$1001)&lt;ROW(K23))))))))</f>
        <v/>
      </c>
    </row>
    <row r="24" customFormat="false" ht="15" hidden="false" customHeight="false" outlineLevel="0" collapsed="false">
      <c r="A24" s="0" t="str">
        <f aca="false">IF(TRIM('List 1'!A24&amp;'List 1'!C24&amp;'List 1'!D24)="","",LOWER(IF(OR(Comparison!$I$9="Item # + Part # + Description",Comparison!$I$9="Item # + Part #"),TRIM('List 1'!A24),"")&amp;"|"&amp;TRIM('List 1'!C24)&amp;"|"&amp;IF(OR(Comparison!$I$9="Item # + Part # + Description",Comparison!$I$9="Part # + Description"),TRIM('List 1'!D24),"")))</f>
        <v/>
      </c>
      <c r="B24" s="0" t="str">
        <f aca="false">IF(A24="","",SUMPRODUCT(--($A$2:A24=A24)))</f>
        <v/>
      </c>
      <c r="C24" s="0" t="str">
        <f aca="false">IF(A24="","",A24&amp;"#"&amp;B24)</f>
        <v/>
      </c>
      <c r="D24" s="0" t="str">
        <f aca="false">IF(A24="","",IFERROR(--'List 1'!B24,0))</f>
        <v/>
      </c>
      <c r="F24" s="0" t="str">
        <f aca="false">IF(TRIM('List 2'!A24&amp;'List 2'!C24&amp;'List 2'!D24)="","",LOWER(IF(OR(Comparison!$I$9="Item # + Part # + Description",Comparison!$I$9="Item # + Part #"),TRIM('List 2'!A24),"")&amp;"|"&amp;TRIM('List 2'!C24)&amp;"|"&amp;IF(OR(Comparison!$I$9="Item # + Part # + Description",Comparison!$I$9="Part # + Description"),TRIM('List 2'!D24),"")))</f>
        <v/>
      </c>
      <c r="G24" s="0" t="str">
        <f aca="false">IF(F24="","",SUMPRODUCT(--($F$2:F24=F24)))</f>
        <v/>
      </c>
      <c r="H24" s="0" t="str">
        <f aca="false">IF(F24="","",F24&amp;"#"&amp;G24)</f>
        <v/>
      </c>
      <c r="I24" s="0" t="str">
        <f aca="false">IF(F24="","",IFERROR(--'List 2'!B24,0))</f>
        <v/>
      </c>
      <c r="K24" s="0" t="str">
        <f aca="false">C24</f>
        <v/>
      </c>
      <c r="L24" s="0" t="str">
        <f aca="false">IF(K24="","",IF(ISNUMBER('List 1'!A24),'List 1'!A24,TRIM('List 1'!A24)))</f>
        <v/>
      </c>
      <c r="M24" s="0" t="str">
        <f aca="false">IF(K24="","",IF(ISNUMBER('List 1'!C24),'List 1'!C24,TRIM('List 1'!C24)))</f>
        <v/>
      </c>
      <c r="N24" s="0" t="str">
        <f aca="false">IF(K24="","",IF(ISNUMBER('List 1'!D24),'List 1'!D24,TRIM('List 1'!D24)))</f>
        <v/>
      </c>
      <c r="O24" s="0" t="str">
        <f aca="false">IF(K24="","",D24)</f>
        <v/>
      </c>
      <c r="P24" s="0" t="str">
        <f aca="false">IF(K24="","",IF(R24,SUMPRODUCT(--($H$2:$H$501=K24),$I$2:$I$501),0))</f>
        <v/>
      </c>
      <c r="Q24" s="0" t="str">
        <f aca="false">IF(K24="","",TRUE())</f>
        <v/>
      </c>
      <c r="R24" s="0" t="str">
        <f aca="false">IF(K24="","",SUMPRODUCT(--($H$2:$H$501=K24))&gt;0)</f>
        <v/>
      </c>
      <c r="S24" s="0" t="str">
        <f aca="false">IF(K24="","",IF(AND(Q24,R24),IF(O24=P24,"Match","Qty Different"),IF(Q24,"Only in List 1","Only in List 2")))</f>
        <v/>
      </c>
      <c r="T24" s="0" t="str">
        <f aca="false">IF(K24="","",IF(ISNUMBER(--L24),TEXT(--L24,"000000000000.000"),LOWER(L24)))</f>
        <v/>
      </c>
      <c r="U24" s="0" t="str">
        <f aca="false">IF(K24="","",IF(ISNUMBER(--M24),TEXT(--M24,"000000000000.000"),LOWER(M24)))</f>
        <v/>
      </c>
      <c r="V24" s="0" t="str">
        <f aca="false">IF(K24="","",LOWER(N24))</f>
        <v/>
      </c>
      <c r="W24" s="0" t="str">
        <f aca="false">IF(K24="","",B24)</f>
        <v/>
      </c>
      <c r="X24" s="0" t="str">
        <f aca="false">IF(K24="","",1+SUMPRODUCT(($K$2:$K$1001&lt;&gt;"")*(($T$2:$T$1001&lt;T24)+($T$2:$T$1001=T24)*(($U$2:$U$1001&lt;U24)+($U$2:$U$1001=U24)*(($V$2:$V$1001&lt;V24)+($V$2:$V$1001=V24)*(($W$2:$W$1001&lt;W24)+($W$2:$W$1001=W24)*(ROW($K$2:$K$1001)&lt;ROW(K24))))))))</f>
        <v/>
      </c>
    </row>
    <row r="25" customFormat="false" ht="15" hidden="false" customHeight="false" outlineLevel="0" collapsed="false">
      <c r="A25" s="0" t="str">
        <f aca="false">IF(TRIM('List 1'!A25&amp;'List 1'!C25&amp;'List 1'!D25)="","",LOWER(IF(OR(Comparison!$I$9="Item # + Part # + Description",Comparison!$I$9="Item # + Part #"),TRIM('List 1'!A25),"")&amp;"|"&amp;TRIM('List 1'!C25)&amp;"|"&amp;IF(OR(Comparison!$I$9="Item # + Part # + Description",Comparison!$I$9="Part # + Description"),TRIM('List 1'!D25),"")))</f>
        <v/>
      </c>
      <c r="B25" s="0" t="str">
        <f aca="false">IF(A25="","",SUMPRODUCT(--($A$2:A25=A25)))</f>
        <v/>
      </c>
      <c r="C25" s="0" t="str">
        <f aca="false">IF(A25="","",A25&amp;"#"&amp;B25)</f>
        <v/>
      </c>
      <c r="D25" s="0" t="str">
        <f aca="false">IF(A25="","",IFERROR(--'List 1'!B25,0))</f>
        <v/>
      </c>
      <c r="F25" s="0" t="str">
        <f aca="false">IF(TRIM('List 2'!A25&amp;'List 2'!C25&amp;'List 2'!D25)="","",LOWER(IF(OR(Comparison!$I$9="Item # + Part # + Description",Comparison!$I$9="Item # + Part #"),TRIM('List 2'!A25),"")&amp;"|"&amp;TRIM('List 2'!C25)&amp;"|"&amp;IF(OR(Comparison!$I$9="Item # + Part # + Description",Comparison!$I$9="Part # + Description"),TRIM('List 2'!D25),"")))</f>
        <v/>
      </c>
      <c r="G25" s="0" t="str">
        <f aca="false">IF(F25="","",SUMPRODUCT(--($F$2:F25=F25)))</f>
        <v/>
      </c>
      <c r="H25" s="0" t="str">
        <f aca="false">IF(F25="","",F25&amp;"#"&amp;G25)</f>
        <v/>
      </c>
      <c r="I25" s="0" t="str">
        <f aca="false">IF(F25="","",IFERROR(--'List 2'!B25,0))</f>
        <v/>
      </c>
      <c r="K25" s="0" t="str">
        <f aca="false">C25</f>
        <v/>
      </c>
      <c r="L25" s="0" t="str">
        <f aca="false">IF(K25="","",IF(ISNUMBER('List 1'!A25),'List 1'!A25,TRIM('List 1'!A25)))</f>
        <v/>
      </c>
      <c r="M25" s="0" t="str">
        <f aca="false">IF(K25="","",IF(ISNUMBER('List 1'!C25),'List 1'!C25,TRIM('List 1'!C25)))</f>
        <v/>
      </c>
      <c r="N25" s="0" t="str">
        <f aca="false">IF(K25="","",IF(ISNUMBER('List 1'!D25),'List 1'!D25,TRIM('List 1'!D25)))</f>
        <v/>
      </c>
      <c r="O25" s="0" t="str">
        <f aca="false">IF(K25="","",D25)</f>
        <v/>
      </c>
      <c r="P25" s="0" t="str">
        <f aca="false">IF(K25="","",IF(R25,SUMPRODUCT(--($H$2:$H$501=K25),$I$2:$I$501),0))</f>
        <v/>
      </c>
      <c r="Q25" s="0" t="str">
        <f aca="false">IF(K25="","",TRUE())</f>
        <v/>
      </c>
      <c r="R25" s="0" t="str">
        <f aca="false">IF(K25="","",SUMPRODUCT(--($H$2:$H$501=K25))&gt;0)</f>
        <v/>
      </c>
      <c r="S25" s="0" t="str">
        <f aca="false">IF(K25="","",IF(AND(Q25,R25),IF(O25=P25,"Match","Qty Different"),IF(Q25,"Only in List 1","Only in List 2")))</f>
        <v/>
      </c>
      <c r="T25" s="0" t="str">
        <f aca="false">IF(K25="","",IF(ISNUMBER(--L25),TEXT(--L25,"000000000000.000"),LOWER(L25)))</f>
        <v/>
      </c>
      <c r="U25" s="0" t="str">
        <f aca="false">IF(K25="","",IF(ISNUMBER(--M25),TEXT(--M25,"000000000000.000"),LOWER(M25)))</f>
        <v/>
      </c>
      <c r="V25" s="0" t="str">
        <f aca="false">IF(K25="","",LOWER(N25))</f>
        <v/>
      </c>
      <c r="W25" s="0" t="str">
        <f aca="false">IF(K25="","",B25)</f>
        <v/>
      </c>
      <c r="X25" s="0" t="str">
        <f aca="false">IF(K25="","",1+SUMPRODUCT(($K$2:$K$1001&lt;&gt;"")*(($T$2:$T$1001&lt;T25)+($T$2:$T$1001=T25)*(($U$2:$U$1001&lt;U25)+($U$2:$U$1001=U25)*(($V$2:$V$1001&lt;V25)+($V$2:$V$1001=V25)*(($W$2:$W$1001&lt;W25)+($W$2:$W$1001=W25)*(ROW($K$2:$K$1001)&lt;ROW(K25))))))))</f>
        <v/>
      </c>
    </row>
    <row r="26" customFormat="false" ht="15" hidden="false" customHeight="false" outlineLevel="0" collapsed="false">
      <c r="A26" s="0" t="str">
        <f aca="false">IF(TRIM('List 1'!A26&amp;'List 1'!C26&amp;'List 1'!D26)="","",LOWER(IF(OR(Comparison!$I$9="Item # + Part # + Description",Comparison!$I$9="Item # + Part #"),TRIM('List 1'!A26),"")&amp;"|"&amp;TRIM('List 1'!C26)&amp;"|"&amp;IF(OR(Comparison!$I$9="Item # + Part # + Description",Comparison!$I$9="Part # + Description"),TRIM('List 1'!D26),"")))</f>
        <v/>
      </c>
      <c r="B26" s="0" t="str">
        <f aca="false">IF(A26="","",SUMPRODUCT(--($A$2:A26=A26)))</f>
        <v/>
      </c>
      <c r="C26" s="0" t="str">
        <f aca="false">IF(A26="","",A26&amp;"#"&amp;B26)</f>
        <v/>
      </c>
      <c r="D26" s="0" t="str">
        <f aca="false">IF(A26="","",IFERROR(--'List 1'!B26,0))</f>
        <v/>
      </c>
      <c r="F26" s="0" t="str">
        <f aca="false">IF(TRIM('List 2'!A26&amp;'List 2'!C26&amp;'List 2'!D26)="","",LOWER(IF(OR(Comparison!$I$9="Item # + Part # + Description",Comparison!$I$9="Item # + Part #"),TRIM('List 2'!A26),"")&amp;"|"&amp;TRIM('List 2'!C26)&amp;"|"&amp;IF(OR(Comparison!$I$9="Item # + Part # + Description",Comparison!$I$9="Part # + Description"),TRIM('List 2'!D26),"")))</f>
        <v/>
      </c>
      <c r="G26" s="0" t="str">
        <f aca="false">IF(F26="","",SUMPRODUCT(--($F$2:F26=F26)))</f>
        <v/>
      </c>
      <c r="H26" s="0" t="str">
        <f aca="false">IF(F26="","",F26&amp;"#"&amp;G26)</f>
        <v/>
      </c>
      <c r="I26" s="0" t="str">
        <f aca="false">IF(F26="","",IFERROR(--'List 2'!B26,0))</f>
        <v/>
      </c>
      <c r="K26" s="0" t="str">
        <f aca="false">C26</f>
        <v/>
      </c>
      <c r="L26" s="0" t="str">
        <f aca="false">IF(K26="","",IF(ISNUMBER('List 1'!A26),'List 1'!A26,TRIM('List 1'!A26)))</f>
        <v/>
      </c>
      <c r="M26" s="0" t="str">
        <f aca="false">IF(K26="","",IF(ISNUMBER('List 1'!C26),'List 1'!C26,TRIM('List 1'!C26)))</f>
        <v/>
      </c>
      <c r="N26" s="0" t="str">
        <f aca="false">IF(K26="","",IF(ISNUMBER('List 1'!D26),'List 1'!D26,TRIM('List 1'!D26)))</f>
        <v/>
      </c>
      <c r="O26" s="0" t="str">
        <f aca="false">IF(K26="","",D26)</f>
        <v/>
      </c>
      <c r="P26" s="0" t="str">
        <f aca="false">IF(K26="","",IF(R26,SUMPRODUCT(--($H$2:$H$501=K26),$I$2:$I$501),0))</f>
        <v/>
      </c>
      <c r="Q26" s="0" t="str">
        <f aca="false">IF(K26="","",TRUE())</f>
        <v/>
      </c>
      <c r="R26" s="0" t="str">
        <f aca="false">IF(K26="","",SUMPRODUCT(--($H$2:$H$501=K26))&gt;0)</f>
        <v/>
      </c>
      <c r="S26" s="0" t="str">
        <f aca="false">IF(K26="","",IF(AND(Q26,R26),IF(O26=P26,"Match","Qty Different"),IF(Q26,"Only in List 1","Only in List 2")))</f>
        <v/>
      </c>
      <c r="T26" s="0" t="str">
        <f aca="false">IF(K26="","",IF(ISNUMBER(--L26),TEXT(--L26,"000000000000.000"),LOWER(L26)))</f>
        <v/>
      </c>
      <c r="U26" s="0" t="str">
        <f aca="false">IF(K26="","",IF(ISNUMBER(--M26),TEXT(--M26,"000000000000.000"),LOWER(M26)))</f>
        <v/>
      </c>
      <c r="V26" s="0" t="str">
        <f aca="false">IF(K26="","",LOWER(N26))</f>
        <v/>
      </c>
      <c r="W26" s="0" t="str">
        <f aca="false">IF(K26="","",B26)</f>
        <v/>
      </c>
      <c r="X26" s="0" t="str">
        <f aca="false">IF(K26="","",1+SUMPRODUCT(($K$2:$K$1001&lt;&gt;"")*(($T$2:$T$1001&lt;T26)+($T$2:$T$1001=T26)*(($U$2:$U$1001&lt;U26)+($U$2:$U$1001=U26)*(($V$2:$V$1001&lt;V26)+($V$2:$V$1001=V26)*(($W$2:$W$1001&lt;W26)+($W$2:$W$1001=W26)*(ROW($K$2:$K$1001)&lt;ROW(K26))))))))</f>
        <v/>
      </c>
    </row>
    <row r="27" customFormat="false" ht="15" hidden="false" customHeight="false" outlineLevel="0" collapsed="false">
      <c r="A27" s="0" t="str">
        <f aca="false">IF(TRIM('List 1'!A27&amp;'List 1'!C27&amp;'List 1'!D27)="","",LOWER(IF(OR(Comparison!$I$9="Item # + Part # + Description",Comparison!$I$9="Item # + Part #"),TRIM('List 1'!A27),"")&amp;"|"&amp;TRIM('List 1'!C27)&amp;"|"&amp;IF(OR(Comparison!$I$9="Item # + Part # + Description",Comparison!$I$9="Part # + Description"),TRIM('List 1'!D27),"")))</f>
        <v/>
      </c>
      <c r="B27" s="0" t="str">
        <f aca="false">IF(A27="","",SUMPRODUCT(--($A$2:A27=A27)))</f>
        <v/>
      </c>
      <c r="C27" s="0" t="str">
        <f aca="false">IF(A27="","",A27&amp;"#"&amp;B27)</f>
        <v/>
      </c>
      <c r="D27" s="0" t="str">
        <f aca="false">IF(A27="","",IFERROR(--'List 1'!B27,0))</f>
        <v/>
      </c>
      <c r="F27" s="0" t="str">
        <f aca="false">IF(TRIM('List 2'!A27&amp;'List 2'!C27&amp;'List 2'!D27)="","",LOWER(IF(OR(Comparison!$I$9="Item # + Part # + Description",Comparison!$I$9="Item # + Part #"),TRIM('List 2'!A27),"")&amp;"|"&amp;TRIM('List 2'!C27)&amp;"|"&amp;IF(OR(Comparison!$I$9="Item # + Part # + Description",Comparison!$I$9="Part # + Description"),TRIM('List 2'!D27),"")))</f>
        <v/>
      </c>
      <c r="G27" s="0" t="str">
        <f aca="false">IF(F27="","",SUMPRODUCT(--($F$2:F27=F27)))</f>
        <v/>
      </c>
      <c r="H27" s="0" t="str">
        <f aca="false">IF(F27="","",F27&amp;"#"&amp;G27)</f>
        <v/>
      </c>
      <c r="I27" s="0" t="str">
        <f aca="false">IF(F27="","",IFERROR(--'List 2'!B27,0))</f>
        <v/>
      </c>
      <c r="K27" s="0" t="str">
        <f aca="false">C27</f>
        <v/>
      </c>
      <c r="L27" s="0" t="str">
        <f aca="false">IF(K27="","",IF(ISNUMBER('List 1'!A27),'List 1'!A27,TRIM('List 1'!A27)))</f>
        <v/>
      </c>
      <c r="M27" s="0" t="str">
        <f aca="false">IF(K27="","",IF(ISNUMBER('List 1'!C27),'List 1'!C27,TRIM('List 1'!C27)))</f>
        <v/>
      </c>
      <c r="N27" s="0" t="str">
        <f aca="false">IF(K27="","",IF(ISNUMBER('List 1'!D27),'List 1'!D27,TRIM('List 1'!D27)))</f>
        <v/>
      </c>
      <c r="O27" s="0" t="str">
        <f aca="false">IF(K27="","",D27)</f>
        <v/>
      </c>
      <c r="P27" s="0" t="str">
        <f aca="false">IF(K27="","",IF(R27,SUMPRODUCT(--($H$2:$H$501=K27),$I$2:$I$501),0))</f>
        <v/>
      </c>
      <c r="Q27" s="0" t="str">
        <f aca="false">IF(K27="","",TRUE())</f>
        <v/>
      </c>
      <c r="R27" s="0" t="str">
        <f aca="false">IF(K27="","",SUMPRODUCT(--($H$2:$H$501=K27))&gt;0)</f>
        <v/>
      </c>
      <c r="S27" s="0" t="str">
        <f aca="false">IF(K27="","",IF(AND(Q27,R27),IF(O27=P27,"Match","Qty Different"),IF(Q27,"Only in List 1","Only in List 2")))</f>
        <v/>
      </c>
      <c r="T27" s="0" t="str">
        <f aca="false">IF(K27="","",IF(ISNUMBER(--L27),TEXT(--L27,"000000000000.000"),LOWER(L27)))</f>
        <v/>
      </c>
      <c r="U27" s="0" t="str">
        <f aca="false">IF(K27="","",IF(ISNUMBER(--M27),TEXT(--M27,"000000000000.000"),LOWER(M27)))</f>
        <v/>
      </c>
      <c r="V27" s="0" t="str">
        <f aca="false">IF(K27="","",LOWER(N27))</f>
        <v/>
      </c>
      <c r="W27" s="0" t="str">
        <f aca="false">IF(K27="","",B27)</f>
        <v/>
      </c>
      <c r="X27" s="0" t="str">
        <f aca="false">IF(K27="","",1+SUMPRODUCT(($K$2:$K$1001&lt;&gt;"")*(($T$2:$T$1001&lt;T27)+($T$2:$T$1001=T27)*(($U$2:$U$1001&lt;U27)+($U$2:$U$1001=U27)*(($V$2:$V$1001&lt;V27)+($V$2:$V$1001=V27)*(($W$2:$W$1001&lt;W27)+($W$2:$W$1001=W27)*(ROW($K$2:$K$1001)&lt;ROW(K27))))))))</f>
        <v/>
      </c>
    </row>
    <row r="28" customFormat="false" ht="15" hidden="false" customHeight="false" outlineLevel="0" collapsed="false">
      <c r="A28" s="0" t="str">
        <f aca="false">IF(TRIM('List 1'!A28&amp;'List 1'!C28&amp;'List 1'!D28)="","",LOWER(IF(OR(Comparison!$I$9="Item # + Part # + Description",Comparison!$I$9="Item # + Part #"),TRIM('List 1'!A28),"")&amp;"|"&amp;TRIM('List 1'!C28)&amp;"|"&amp;IF(OR(Comparison!$I$9="Item # + Part # + Description",Comparison!$I$9="Part # + Description"),TRIM('List 1'!D28),"")))</f>
        <v/>
      </c>
      <c r="B28" s="0" t="str">
        <f aca="false">IF(A28="","",SUMPRODUCT(--($A$2:A28=A28)))</f>
        <v/>
      </c>
      <c r="C28" s="0" t="str">
        <f aca="false">IF(A28="","",A28&amp;"#"&amp;B28)</f>
        <v/>
      </c>
      <c r="D28" s="0" t="str">
        <f aca="false">IF(A28="","",IFERROR(--'List 1'!B28,0))</f>
        <v/>
      </c>
      <c r="F28" s="0" t="str">
        <f aca="false">IF(TRIM('List 2'!A28&amp;'List 2'!C28&amp;'List 2'!D28)="","",LOWER(IF(OR(Comparison!$I$9="Item # + Part # + Description",Comparison!$I$9="Item # + Part #"),TRIM('List 2'!A28),"")&amp;"|"&amp;TRIM('List 2'!C28)&amp;"|"&amp;IF(OR(Comparison!$I$9="Item # + Part # + Description",Comparison!$I$9="Part # + Description"),TRIM('List 2'!D28),"")))</f>
        <v/>
      </c>
      <c r="G28" s="0" t="str">
        <f aca="false">IF(F28="","",SUMPRODUCT(--($F$2:F28=F28)))</f>
        <v/>
      </c>
      <c r="H28" s="0" t="str">
        <f aca="false">IF(F28="","",F28&amp;"#"&amp;G28)</f>
        <v/>
      </c>
      <c r="I28" s="0" t="str">
        <f aca="false">IF(F28="","",IFERROR(--'List 2'!B28,0))</f>
        <v/>
      </c>
      <c r="K28" s="0" t="str">
        <f aca="false">C28</f>
        <v/>
      </c>
      <c r="L28" s="0" t="str">
        <f aca="false">IF(K28="","",IF(ISNUMBER('List 1'!A28),'List 1'!A28,TRIM('List 1'!A28)))</f>
        <v/>
      </c>
      <c r="M28" s="0" t="str">
        <f aca="false">IF(K28="","",IF(ISNUMBER('List 1'!C28),'List 1'!C28,TRIM('List 1'!C28)))</f>
        <v/>
      </c>
      <c r="N28" s="0" t="str">
        <f aca="false">IF(K28="","",IF(ISNUMBER('List 1'!D28),'List 1'!D28,TRIM('List 1'!D28)))</f>
        <v/>
      </c>
      <c r="O28" s="0" t="str">
        <f aca="false">IF(K28="","",D28)</f>
        <v/>
      </c>
      <c r="P28" s="0" t="str">
        <f aca="false">IF(K28="","",IF(R28,SUMPRODUCT(--($H$2:$H$501=K28),$I$2:$I$501),0))</f>
        <v/>
      </c>
      <c r="Q28" s="0" t="str">
        <f aca="false">IF(K28="","",TRUE())</f>
        <v/>
      </c>
      <c r="R28" s="0" t="str">
        <f aca="false">IF(K28="","",SUMPRODUCT(--($H$2:$H$501=K28))&gt;0)</f>
        <v/>
      </c>
      <c r="S28" s="0" t="str">
        <f aca="false">IF(K28="","",IF(AND(Q28,R28),IF(O28=P28,"Match","Qty Different"),IF(Q28,"Only in List 1","Only in List 2")))</f>
        <v/>
      </c>
      <c r="T28" s="0" t="str">
        <f aca="false">IF(K28="","",IF(ISNUMBER(--L28),TEXT(--L28,"000000000000.000"),LOWER(L28)))</f>
        <v/>
      </c>
      <c r="U28" s="0" t="str">
        <f aca="false">IF(K28="","",IF(ISNUMBER(--M28),TEXT(--M28,"000000000000.000"),LOWER(M28)))</f>
        <v/>
      </c>
      <c r="V28" s="0" t="str">
        <f aca="false">IF(K28="","",LOWER(N28))</f>
        <v/>
      </c>
      <c r="W28" s="0" t="str">
        <f aca="false">IF(K28="","",B28)</f>
        <v/>
      </c>
      <c r="X28" s="0" t="str">
        <f aca="false">IF(K28="","",1+SUMPRODUCT(($K$2:$K$1001&lt;&gt;"")*(($T$2:$T$1001&lt;T28)+($T$2:$T$1001=T28)*(($U$2:$U$1001&lt;U28)+($U$2:$U$1001=U28)*(($V$2:$V$1001&lt;V28)+($V$2:$V$1001=V28)*(($W$2:$W$1001&lt;W28)+($W$2:$W$1001=W28)*(ROW($K$2:$K$1001)&lt;ROW(K28))))))))</f>
        <v/>
      </c>
    </row>
    <row r="29" customFormat="false" ht="15" hidden="false" customHeight="false" outlineLevel="0" collapsed="false">
      <c r="A29" s="0" t="str">
        <f aca="false">IF(TRIM('List 1'!A29&amp;'List 1'!C29&amp;'List 1'!D29)="","",LOWER(IF(OR(Comparison!$I$9="Item # + Part # + Description",Comparison!$I$9="Item # + Part #"),TRIM('List 1'!A29),"")&amp;"|"&amp;TRIM('List 1'!C29)&amp;"|"&amp;IF(OR(Comparison!$I$9="Item # + Part # + Description",Comparison!$I$9="Part # + Description"),TRIM('List 1'!D29),"")))</f>
        <v/>
      </c>
      <c r="B29" s="0" t="str">
        <f aca="false">IF(A29="","",SUMPRODUCT(--($A$2:A29=A29)))</f>
        <v/>
      </c>
      <c r="C29" s="0" t="str">
        <f aca="false">IF(A29="","",A29&amp;"#"&amp;B29)</f>
        <v/>
      </c>
      <c r="D29" s="0" t="str">
        <f aca="false">IF(A29="","",IFERROR(--'List 1'!B29,0))</f>
        <v/>
      </c>
      <c r="F29" s="0" t="str">
        <f aca="false">IF(TRIM('List 2'!A29&amp;'List 2'!C29&amp;'List 2'!D29)="","",LOWER(IF(OR(Comparison!$I$9="Item # + Part # + Description",Comparison!$I$9="Item # + Part #"),TRIM('List 2'!A29),"")&amp;"|"&amp;TRIM('List 2'!C29)&amp;"|"&amp;IF(OR(Comparison!$I$9="Item # + Part # + Description",Comparison!$I$9="Part # + Description"),TRIM('List 2'!D29),"")))</f>
        <v/>
      </c>
      <c r="G29" s="0" t="str">
        <f aca="false">IF(F29="","",SUMPRODUCT(--($F$2:F29=F29)))</f>
        <v/>
      </c>
      <c r="H29" s="0" t="str">
        <f aca="false">IF(F29="","",F29&amp;"#"&amp;G29)</f>
        <v/>
      </c>
      <c r="I29" s="0" t="str">
        <f aca="false">IF(F29="","",IFERROR(--'List 2'!B29,0))</f>
        <v/>
      </c>
      <c r="K29" s="0" t="str">
        <f aca="false">C29</f>
        <v/>
      </c>
      <c r="L29" s="0" t="str">
        <f aca="false">IF(K29="","",IF(ISNUMBER('List 1'!A29),'List 1'!A29,TRIM('List 1'!A29)))</f>
        <v/>
      </c>
      <c r="M29" s="0" t="str">
        <f aca="false">IF(K29="","",IF(ISNUMBER('List 1'!C29),'List 1'!C29,TRIM('List 1'!C29)))</f>
        <v/>
      </c>
      <c r="N29" s="0" t="str">
        <f aca="false">IF(K29="","",IF(ISNUMBER('List 1'!D29),'List 1'!D29,TRIM('List 1'!D29)))</f>
        <v/>
      </c>
      <c r="O29" s="0" t="str">
        <f aca="false">IF(K29="","",D29)</f>
        <v/>
      </c>
      <c r="P29" s="0" t="str">
        <f aca="false">IF(K29="","",IF(R29,SUMPRODUCT(--($H$2:$H$501=K29),$I$2:$I$501),0))</f>
        <v/>
      </c>
      <c r="Q29" s="0" t="str">
        <f aca="false">IF(K29="","",TRUE())</f>
        <v/>
      </c>
      <c r="R29" s="0" t="str">
        <f aca="false">IF(K29="","",SUMPRODUCT(--($H$2:$H$501=K29))&gt;0)</f>
        <v/>
      </c>
      <c r="S29" s="0" t="str">
        <f aca="false">IF(K29="","",IF(AND(Q29,R29),IF(O29=P29,"Match","Qty Different"),IF(Q29,"Only in List 1","Only in List 2")))</f>
        <v/>
      </c>
      <c r="T29" s="0" t="str">
        <f aca="false">IF(K29="","",IF(ISNUMBER(--L29),TEXT(--L29,"000000000000.000"),LOWER(L29)))</f>
        <v/>
      </c>
      <c r="U29" s="0" t="str">
        <f aca="false">IF(K29="","",IF(ISNUMBER(--M29),TEXT(--M29,"000000000000.000"),LOWER(M29)))</f>
        <v/>
      </c>
      <c r="V29" s="0" t="str">
        <f aca="false">IF(K29="","",LOWER(N29))</f>
        <v/>
      </c>
      <c r="W29" s="0" t="str">
        <f aca="false">IF(K29="","",B29)</f>
        <v/>
      </c>
      <c r="X29" s="0" t="str">
        <f aca="false">IF(K29="","",1+SUMPRODUCT(($K$2:$K$1001&lt;&gt;"")*(($T$2:$T$1001&lt;T29)+($T$2:$T$1001=T29)*(($U$2:$U$1001&lt;U29)+($U$2:$U$1001=U29)*(($V$2:$V$1001&lt;V29)+($V$2:$V$1001=V29)*(($W$2:$W$1001&lt;W29)+($W$2:$W$1001=W29)*(ROW($K$2:$K$1001)&lt;ROW(K29))))))))</f>
        <v/>
      </c>
    </row>
    <row r="30" customFormat="false" ht="15" hidden="false" customHeight="false" outlineLevel="0" collapsed="false">
      <c r="A30" s="0" t="str">
        <f aca="false">IF(TRIM('List 1'!A30&amp;'List 1'!C30&amp;'List 1'!D30)="","",LOWER(IF(OR(Comparison!$I$9="Item # + Part # + Description",Comparison!$I$9="Item # + Part #"),TRIM('List 1'!A30),"")&amp;"|"&amp;TRIM('List 1'!C30)&amp;"|"&amp;IF(OR(Comparison!$I$9="Item # + Part # + Description",Comparison!$I$9="Part # + Description"),TRIM('List 1'!D30),"")))</f>
        <v/>
      </c>
      <c r="B30" s="0" t="str">
        <f aca="false">IF(A30="","",SUMPRODUCT(--($A$2:A30=A30)))</f>
        <v/>
      </c>
      <c r="C30" s="0" t="str">
        <f aca="false">IF(A30="","",A30&amp;"#"&amp;B30)</f>
        <v/>
      </c>
      <c r="D30" s="0" t="str">
        <f aca="false">IF(A30="","",IFERROR(--'List 1'!B30,0))</f>
        <v/>
      </c>
      <c r="F30" s="0" t="str">
        <f aca="false">IF(TRIM('List 2'!A30&amp;'List 2'!C30&amp;'List 2'!D30)="","",LOWER(IF(OR(Comparison!$I$9="Item # + Part # + Description",Comparison!$I$9="Item # + Part #"),TRIM('List 2'!A30),"")&amp;"|"&amp;TRIM('List 2'!C30)&amp;"|"&amp;IF(OR(Comparison!$I$9="Item # + Part # + Description",Comparison!$I$9="Part # + Description"),TRIM('List 2'!D30),"")))</f>
        <v/>
      </c>
      <c r="G30" s="0" t="str">
        <f aca="false">IF(F30="","",SUMPRODUCT(--($F$2:F30=F30)))</f>
        <v/>
      </c>
      <c r="H30" s="0" t="str">
        <f aca="false">IF(F30="","",F30&amp;"#"&amp;G30)</f>
        <v/>
      </c>
      <c r="I30" s="0" t="str">
        <f aca="false">IF(F30="","",IFERROR(--'List 2'!B30,0))</f>
        <v/>
      </c>
      <c r="K30" s="0" t="str">
        <f aca="false">C30</f>
        <v/>
      </c>
      <c r="L30" s="0" t="str">
        <f aca="false">IF(K30="","",IF(ISNUMBER('List 1'!A30),'List 1'!A30,TRIM('List 1'!A30)))</f>
        <v/>
      </c>
      <c r="M30" s="0" t="str">
        <f aca="false">IF(K30="","",IF(ISNUMBER('List 1'!C30),'List 1'!C30,TRIM('List 1'!C30)))</f>
        <v/>
      </c>
      <c r="N30" s="0" t="str">
        <f aca="false">IF(K30="","",IF(ISNUMBER('List 1'!D30),'List 1'!D30,TRIM('List 1'!D30)))</f>
        <v/>
      </c>
      <c r="O30" s="0" t="str">
        <f aca="false">IF(K30="","",D30)</f>
        <v/>
      </c>
      <c r="P30" s="0" t="str">
        <f aca="false">IF(K30="","",IF(R30,SUMPRODUCT(--($H$2:$H$501=K30),$I$2:$I$501),0))</f>
        <v/>
      </c>
      <c r="Q30" s="0" t="str">
        <f aca="false">IF(K30="","",TRUE())</f>
        <v/>
      </c>
      <c r="R30" s="0" t="str">
        <f aca="false">IF(K30="","",SUMPRODUCT(--($H$2:$H$501=K30))&gt;0)</f>
        <v/>
      </c>
      <c r="S30" s="0" t="str">
        <f aca="false">IF(K30="","",IF(AND(Q30,R30),IF(O30=P30,"Match","Qty Different"),IF(Q30,"Only in List 1","Only in List 2")))</f>
        <v/>
      </c>
      <c r="T30" s="0" t="str">
        <f aca="false">IF(K30="","",IF(ISNUMBER(--L30),TEXT(--L30,"000000000000.000"),LOWER(L30)))</f>
        <v/>
      </c>
      <c r="U30" s="0" t="str">
        <f aca="false">IF(K30="","",IF(ISNUMBER(--M30),TEXT(--M30,"000000000000.000"),LOWER(M30)))</f>
        <v/>
      </c>
      <c r="V30" s="0" t="str">
        <f aca="false">IF(K30="","",LOWER(N30))</f>
        <v/>
      </c>
      <c r="W30" s="0" t="str">
        <f aca="false">IF(K30="","",B30)</f>
        <v/>
      </c>
      <c r="X30" s="0" t="str">
        <f aca="false">IF(K30="","",1+SUMPRODUCT(($K$2:$K$1001&lt;&gt;"")*(($T$2:$T$1001&lt;T30)+($T$2:$T$1001=T30)*(($U$2:$U$1001&lt;U30)+($U$2:$U$1001=U30)*(($V$2:$V$1001&lt;V30)+($V$2:$V$1001=V30)*(($W$2:$W$1001&lt;W30)+($W$2:$W$1001=W30)*(ROW($K$2:$K$1001)&lt;ROW(K30))))))))</f>
        <v/>
      </c>
    </row>
    <row r="31" customFormat="false" ht="15" hidden="false" customHeight="false" outlineLevel="0" collapsed="false">
      <c r="A31" s="0" t="str">
        <f aca="false">IF(TRIM('List 1'!A31&amp;'List 1'!C31&amp;'List 1'!D31)="","",LOWER(IF(OR(Comparison!$I$9="Item # + Part # + Description",Comparison!$I$9="Item # + Part #"),TRIM('List 1'!A31),"")&amp;"|"&amp;TRIM('List 1'!C31)&amp;"|"&amp;IF(OR(Comparison!$I$9="Item # + Part # + Description",Comparison!$I$9="Part # + Description"),TRIM('List 1'!D31),"")))</f>
        <v/>
      </c>
      <c r="B31" s="0" t="str">
        <f aca="false">IF(A31="","",SUMPRODUCT(--($A$2:A31=A31)))</f>
        <v/>
      </c>
      <c r="C31" s="0" t="str">
        <f aca="false">IF(A31="","",A31&amp;"#"&amp;B31)</f>
        <v/>
      </c>
      <c r="D31" s="0" t="str">
        <f aca="false">IF(A31="","",IFERROR(--'List 1'!B31,0))</f>
        <v/>
      </c>
      <c r="F31" s="0" t="str">
        <f aca="false">IF(TRIM('List 2'!A31&amp;'List 2'!C31&amp;'List 2'!D31)="","",LOWER(IF(OR(Comparison!$I$9="Item # + Part # + Description",Comparison!$I$9="Item # + Part #"),TRIM('List 2'!A31),"")&amp;"|"&amp;TRIM('List 2'!C31)&amp;"|"&amp;IF(OR(Comparison!$I$9="Item # + Part # + Description",Comparison!$I$9="Part # + Description"),TRIM('List 2'!D31),"")))</f>
        <v/>
      </c>
      <c r="G31" s="0" t="str">
        <f aca="false">IF(F31="","",SUMPRODUCT(--($F$2:F31=F31)))</f>
        <v/>
      </c>
      <c r="H31" s="0" t="str">
        <f aca="false">IF(F31="","",F31&amp;"#"&amp;G31)</f>
        <v/>
      </c>
      <c r="I31" s="0" t="str">
        <f aca="false">IF(F31="","",IFERROR(--'List 2'!B31,0))</f>
        <v/>
      </c>
      <c r="K31" s="0" t="str">
        <f aca="false">C31</f>
        <v/>
      </c>
      <c r="L31" s="0" t="str">
        <f aca="false">IF(K31="","",IF(ISNUMBER('List 1'!A31),'List 1'!A31,TRIM('List 1'!A31)))</f>
        <v/>
      </c>
      <c r="M31" s="0" t="str">
        <f aca="false">IF(K31="","",IF(ISNUMBER('List 1'!C31),'List 1'!C31,TRIM('List 1'!C31)))</f>
        <v/>
      </c>
      <c r="N31" s="0" t="str">
        <f aca="false">IF(K31="","",IF(ISNUMBER('List 1'!D31),'List 1'!D31,TRIM('List 1'!D31)))</f>
        <v/>
      </c>
      <c r="O31" s="0" t="str">
        <f aca="false">IF(K31="","",D31)</f>
        <v/>
      </c>
      <c r="P31" s="0" t="str">
        <f aca="false">IF(K31="","",IF(R31,SUMPRODUCT(--($H$2:$H$501=K31),$I$2:$I$501),0))</f>
        <v/>
      </c>
      <c r="Q31" s="0" t="str">
        <f aca="false">IF(K31="","",TRUE())</f>
        <v/>
      </c>
      <c r="R31" s="0" t="str">
        <f aca="false">IF(K31="","",SUMPRODUCT(--($H$2:$H$501=K31))&gt;0)</f>
        <v/>
      </c>
      <c r="S31" s="0" t="str">
        <f aca="false">IF(K31="","",IF(AND(Q31,R31),IF(O31=P31,"Match","Qty Different"),IF(Q31,"Only in List 1","Only in List 2")))</f>
        <v/>
      </c>
      <c r="T31" s="0" t="str">
        <f aca="false">IF(K31="","",IF(ISNUMBER(--L31),TEXT(--L31,"000000000000.000"),LOWER(L31)))</f>
        <v/>
      </c>
      <c r="U31" s="0" t="str">
        <f aca="false">IF(K31="","",IF(ISNUMBER(--M31),TEXT(--M31,"000000000000.000"),LOWER(M31)))</f>
        <v/>
      </c>
      <c r="V31" s="0" t="str">
        <f aca="false">IF(K31="","",LOWER(N31))</f>
        <v/>
      </c>
      <c r="W31" s="0" t="str">
        <f aca="false">IF(K31="","",B31)</f>
        <v/>
      </c>
      <c r="X31" s="0" t="str">
        <f aca="false">IF(K31="","",1+SUMPRODUCT(($K$2:$K$1001&lt;&gt;"")*(($T$2:$T$1001&lt;T31)+($T$2:$T$1001=T31)*(($U$2:$U$1001&lt;U31)+($U$2:$U$1001=U31)*(($V$2:$V$1001&lt;V31)+($V$2:$V$1001=V31)*(($W$2:$W$1001&lt;W31)+($W$2:$W$1001=W31)*(ROW($K$2:$K$1001)&lt;ROW(K31))))))))</f>
        <v/>
      </c>
    </row>
    <row r="32" customFormat="false" ht="15" hidden="false" customHeight="false" outlineLevel="0" collapsed="false">
      <c r="A32" s="0" t="str">
        <f aca="false">IF(TRIM('List 1'!A32&amp;'List 1'!C32&amp;'List 1'!D32)="","",LOWER(IF(OR(Comparison!$I$9="Item # + Part # + Description",Comparison!$I$9="Item # + Part #"),TRIM('List 1'!A32),"")&amp;"|"&amp;TRIM('List 1'!C32)&amp;"|"&amp;IF(OR(Comparison!$I$9="Item # + Part # + Description",Comparison!$I$9="Part # + Description"),TRIM('List 1'!D32),"")))</f>
        <v/>
      </c>
      <c r="B32" s="0" t="str">
        <f aca="false">IF(A32="","",SUMPRODUCT(--($A$2:A32=A32)))</f>
        <v/>
      </c>
      <c r="C32" s="0" t="str">
        <f aca="false">IF(A32="","",A32&amp;"#"&amp;B32)</f>
        <v/>
      </c>
      <c r="D32" s="0" t="str">
        <f aca="false">IF(A32="","",IFERROR(--'List 1'!B32,0))</f>
        <v/>
      </c>
      <c r="F32" s="0" t="str">
        <f aca="false">IF(TRIM('List 2'!A32&amp;'List 2'!C32&amp;'List 2'!D32)="","",LOWER(IF(OR(Comparison!$I$9="Item # + Part # + Description",Comparison!$I$9="Item # + Part #"),TRIM('List 2'!A32),"")&amp;"|"&amp;TRIM('List 2'!C32)&amp;"|"&amp;IF(OR(Comparison!$I$9="Item # + Part # + Description",Comparison!$I$9="Part # + Description"),TRIM('List 2'!D32),"")))</f>
        <v/>
      </c>
      <c r="G32" s="0" t="str">
        <f aca="false">IF(F32="","",SUMPRODUCT(--($F$2:F32=F32)))</f>
        <v/>
      </c>
      <c r="H32" s="0" t="str">
        <f aca="false">IF(F32="","",F32&amp;"#"&amp;G32)</f>
        <v/>
      </c>
      <c r="I32" s="0" t="str">
        <f aca="false">IF(F32="","",IFERROR(--'List 2'!B32,0))</f>
        <v/>
      </c>
      <c r="K32" s="0" t="str">
        <f aca="false">C32</f>
        <v/>
      </c>
      <c r="L32" s="0" t="str">
        <f aca="false">IF(K32="","",IF(ISNUMBER('List 1'!A32),'List 1'!A32,TRIM('List 1'!A32)))</f>
        <v/>
      </c>
      <c r="M32" s="0" t="str">
        <f aca="false">IF(K32="","",IF(ISNUMBER('List 1'!C32),'List 1'!C32,TRIM('List 1'!C32)))</f>
        <v/>
      </c>
      <c r="N32" s="0" t="str">
        <f aca="false">IF(K32="","",IF(ISNUMBER('List 1'!D32),'List 1'!D32,TRIM('List 1'!D32)))</f>
        <v/>
      </c>
      <c r="O32" s="0" t="str">
        <f aca="false">IF(K32="","",D32)</f>
        <v/>
      </c>
      <c r="P32" s="0" t="str">
        <f aca="false">IF(K32="","",IF(R32,SUMPRODUCT(--($H$2:$H$501=K32),$I$2:$I$501),0))</f>
        <v/>
      </c>
      <c r="Q32" s="0" t="str">
        <f aca="false">IF(K32="","",TRUE())</f>
        <v/>
      </c>
      <c r="R32" s="0" t="str">
        <f aca="false">IF(K32="","",SUMPRODUCT(--($H$2:$H$501=K32))&gt;0)</f>
        <v/>
      </c>
      <c r="S32" s="0" t="str">
        <f aca="false">IF(K32="","",IF(AND(Q32,R32),IF(O32=P32,"Match","Qty Different"),IF(Q32,"Only in List 1","Only in List 2")))</f>
        <v/>
      </c>
      <c r="T32" s="0" t="str">
        <f aca="false">IF(K32="","",IF(ISNUMBER(--L32),TEXT(--L32,"000000000000.000"),LOWER(L32)))</f>
        <v/>
      </c>
      <c r="U32" s="0" t="str">
        <f aca="false">IF(K32="","",IF(ISNUMBER(--M32),TEXT(--M32,"000000000000.000"),LOWER(M32)))</f>
        <v/>
      </c>
      <c r="V32" s="0" t="str">
        <f aca="false">IF(K32="","",LOWER(N32))</f>
        <v/>
      </c>
      <c r="W32" s="0" t="str">
        <f aca="false">IF(K32="","",B32)</f>
        <v/>
      </c>
      <c r="X32" s="0" t="str">
        <f aca="false">IF(K32="","",1+SUMPRODUCT(($K$2:$K$1001&lt;&gt;"")*(($T$2:$T$1001&lt;T32)+($T$2:$T$1001=T32)*(($U$2:$U$1001&lt;U32)+($U$2:$U$1001=U32)*(($V$2:$V$1001&lt;V32)+($V$2:$V$1001=V32)*(($W$2:$W$1001&lt;W32)+($W$2:$W$1001=W32)*(ROW($K$2:$K$1001)&lt;ROW(K32))))))))</f>
        <v/>
      </c>
    </row>
    <row r="33" customFormat="false" ht="15" hidden="false" customHeight="false" outlineLevel="0" collapsed="false">
      <c r="A33" s="0" t="str">
        <f aca="false">IF(TRIM('List 1'!A33&amp;'List 1'!C33&amp;'List 1'!D33)="","",LOWER(IF(OR(Comparison!$I$9="Item # + Part # + Description",Comparison!$I$9="Item # + Part #"),TRIM('List 1'!A33),"")&amp;"|"&amp;TRIM('List 1'!C33)&amp;"|"&amp;IF(OR(Comparison!$I$9="Item # + Part # + Description",Comparison!$I$9="Part # + Description"),TRIM('List 1'!D33),"")))</f>
        <v/>
      </c>
      <c r="B33" s="0" t="str">
        <f aca="false">IF(A33="","",SUMPRODUCT(--($A$2:A33=A33)))</f>
        <v/>
      </c>
      <c r="C33" s="0" t="str">
        <f aca="false">IF(A33="","",A33&amp;"#"&amp;B33)</f>
        <v/>
      </c>
      <c r="D33" s="0" t="str">
        <f aca="false">IF(A33="","",IFERROR(--'List 1'!B33,0))</f>
        <v/>
      </c>
      <c r="F33" s="0" t="str">
        <f aca="false">IF(TRIM('List 2'!A33&amp;'List 2'!C33&amp;'List 2'!D33)="","",LOWER(IF(OR(Comparison!$I$9="Item # + Part # + Description",Comparison!$I$9="Item # + Part #"),TRIM('List 2'!A33),"")&amp;"|"&amp;TRIM('List 2'!C33)&amp;"|"&amp;IF(OR(Comparison!$I$9="Item # + Part # + Description",Comparison!$I$9="Part # + Description"),TRIM('List 2'!D33),"")))</f>
        <v/>
      </c>
      <c r="G33" s="0" t="str">
        <f aca="false">IF(F33="","",SUMPRODUCT(--($F$2:F33=F33)))</f>
        <v/>
      </c>
      <c r="H33" s="0" t="str">
        <f aca="false">IF(F33="","",F33&amp;"#"&amp;G33)</f>
        <v/>
      </c>
      <c r="I33" s="0" t="str">
        <f aca="false">IF(F33="","",IFERROR(--'List 2'!B33,0))</f>
        <v/>
      </c>
      <c r="K33" s="0" t="str">
        <f aca="false">C33</f>
        <v/>
      </c>
      <c r="L33" s="0" t="str">
        <f aca="false">IF(K33="","",IF(ISNUMBER('List 1'!A33),'List 1'!A33,TRIM('List 1'!A33)))</f>
        <v/>
      </c>
      <c r="M33" s="0" t="str">
        <f aca="false">IF(K33="","",IF(ISNUMBER('List 1'!C33),'List 1'!C33,TRIM('List 1'!C33)))</f>
        <v/>
      </c>
      <c r="N33" s="0" t="str">
        <f aca="false">IF(K33="","",IF(ISNUMBER('List 1'!D33),'List 1'!D33,TRIM('List 1'!D33)))</f>
        <v/>
      </c>
      <c r="O33" s="0" t="str">
        <f aca="false">IF(K33="","",D33)</f>
        <v/>
      </c>
      <c r="P33" s="0" t="str">
        <f aca="false">IF(K33="","",IF(R33,SUMPRODUCT(--($H$2:$H$501=K33),$I$2:$I$501),0))</f>
        <v/>
      </c>
      <c r="Q33" s="0" t="str">
        <f aca="false">IF(K33="","",TRUE())</f>
        <v/>
      </c>
      <c r="R33" s="0" t="str">
        <f aca="false">IF(K33="","",SUMPRODUCT(--($H$2:$H$501=K33))&gt;0)</f>
        <v/>
      </c>
      <c r="S33" s="0" t="str">
        <f aca="false">IF(K33="","",IF(AND(Q33,R33),IF(O33=P33,"Match","Qty Different"),IF(Q33,"Only in List 1","Only in List 2")))</f>
        <v/>
      </c>
      <c r="T33" s="0" t="str">
        <f aca="false">IF(K33="","",IF(ISNUMBER(--L33),TEXT(--L33,"000000000000.000"),LOWER(L33)))</f>
        <v/>
      </c>
      <c r="U33" s="0" t="str">
        <f aca="false">IF(K33="","",IF(ISNUMBER(--M33),TEXT(--M33,"000000000000.000"),LOWER(M33)))</f>
        <v/>
      </c>
      <c r="V33" s="0" t="str">
        <f aca="false">IF(K33="","",LOWER(N33))</f>
        <v/>
      </c>
      <c r="W33" s="0" t="str">
        <f aca="false">IF(K33="","",B33)</f>
        <v/>
      </c>
      <c r="X33" s="0" t="str">
        <f aca="false">IF(K33="","",1+SUMPRODUCT(($K$2:$K$1001&lt;&gt;"")*(($T$2:$T$1001&lt;T33)+($T$2:$T$1001=T33)*(($U$2:$U$1001&lt;U33)+($U$2:$U$1001=U33)*(($V$2:$V$1001&lt;V33)+($V$2:$V$1001=V33)*(($W$2:$W$1001&lt;W33)+($W$2:$W$1001=W33)*(ROW($K$2:$K$1001)&lt;ROW(K33))))))))</f>
        <v/>
      </c>
    </row>
    <row r="34" customFormat="false" ht="15" hidden="false" customHeight="false" outlineLevel="0" collapsed="false">
      <c r="A34" s="0" t="str">
        <f aca="false">IF(TRIM('List 1'!A34&amp;'List 1'!C34&amp;'List 1'!D34)="","",LOWER(IF(OR(Comparison!$I$9="Item # + Part # + Description",Comparison!$I$9="Item # + Part #"),TRIM('List 1'!A34),"")&amp;"|"&amp;TRIM('List 1'!C34)&amp;"|"&amp;IF(OR(Comparison!$I$9="Item # + Part # + Description",Comparison!$I$9="Part # + Description"),TRIM('List 1'!D34),"")))</f>
        <v/>
      </c>
      <c r="B34" s="0" t="str">
        <f aca="false">IF(A34="","",SUMPRODUCT(--($A$2:A34=A34)))</f>
        <v/>
      </c>
      <c r="C34" s="0" t="str">
        <f aca="false">IF(A34="","",A34&amp;"#"&amp;B34)</f>
        <v/>
      </c>
      <c r="D34" s="0" t="str">
        <f aca="false">IF(A34="","",IFERROR(--'List 1'!B34,0))</f>
        <v/>
      </c>
      <c r="F34" s="0" t="str">
        <f aca="false">IF(TRIM('List 2'!A34&amp;'List 2'!C34&amp;'List 2'!D34)="","",LOWER(IF(OR(Comparison!$I$9="Item # + Part # + Description",Comparison!$I$9="Item # + Part #"),TRIM('List 2'!A34),"")&amp;"|"&amp;TRIM('List 2'!C34)&amp;"|"&amp;IF(OR(Comparison!$I$9="Item # + Part # + Description",Comparison!$I$9="Part # + Description"),TRIM('List 2'!D34),"")))</f>
        <v/>
      </c>
      <c r="G34" s="0" t="str">
        <f aca="false">IF(F34="","",SUMPRODUCT(--($F$2:F34=F34)))</f>
        <v/>
      </c>
      <c r="H34" s="0" t="str">
        <f aca="false">IF(F34="","",F34&amp;"#"&amp;G34)</f>
        <v/>
      </c>
      <c r="I34" s="0" t="str">
        <f aca="false">IF(F34="","",IFERROR(--'List 2'!B34,0))</f>
        <v/>
      </c>
      <c r="K34" s="0" t="str">
        <f aca="false">C34</f>
        <v/>
      </c>
      <c r="L34" s="0" t="str">
        <f aca="false">IF(K34="","",IF(ISNUMBER('List 1'!A34),'List 1'!A34,TRIM('List 1'!A34)))</f>
        <v/>
      </c>
      <c r="M34" s="0" t="str">
        <f aca="false">IF(K34="","",IF(ISNUMBER('List 1'!C34),'List 1'!C34,TRIM('List 1'!C34)))</f>
        <v/>
      </c>
      <c r="N34" s="0" t="str">
        <f aca="false">IF(K34="","",IF(ISNUMBER('List 1'!D34),'List 1'!D34,TRIM('List 1'!D34)))</f>
        <v/>
      </c>
      <c r="O34" s="0" t="str">
        <f aca="false">IF(K34="","",D34)</f>
        <v/>
      </c>
      <c r="P34" s="0" t="str">
        <f aca="false">IF(K34="","",IF(R34,SUMPRODUCT(--($H$2:$H$501=K34),$I$2:$I$501),0))</f>
        <v/>
      </c>
      <c r="Q34" s="0" t="str">
        <f aca="false">IF(K34="","",TRUE())</f>
        <v/>
      </c>
      <c r="R34" s="0" t="str">
        <f aca="false">IF(K34="","",SUMPRODUCT(--($H$2:$H$501=K34))&gt;0)</f>
        <v/>
      </c>
      <c r="S34" s="0" t="str">
        <f aca="false">IF(K34="","",IF(AND(Q34,R34),IF(O34=P34,"Match","Qty Different"),IF(Q34,"Only in List 1","Only in List 2")))</f>
        <v/>
      </c>
      <c r="T34" s="0" t="str">
        <f aca="false">IF(K34="","",IF(ISNUMBER(--L34),TEXT(--L34,"000000000000.000"),LOWER(L34)))</f>
        <v/>
      </c>
      <c r="U34" s="0" t="str">
        <f aca="false">IF(K34="","",IF(ISNUMBER(--M34),TEXT(--M34,"000000000000.000"),LOWER(M34)))</f>
        <v/>
      </c>
      <c r="V34" s="0" t="str">
        <f aca="false">IF(K34="","",LOWER(N34))</f>
        <v/>
      </c>
      <c r="W34" s="0" t="str">
        <f aca="false">IF(K34="","",B34)</f>
        <v/>
      </c>
      <c r="X34" s="0" t="str">
        <f aca="false">IF(K34="","",1+SUMPRODUCT(($K$2:$K$1001&lt;&gt;"")*(($T$2:$T$1001&lt;T34)+($T$2:$T$1001=T34)*(($U$2:$U$1001&lt;U34)+($U$2:$U$1001=U34)*(($V$2:$V$1001&lt;V34)+($V$2:$V$1001=V34)*(($W$2:$W$1001&lt;W34)+($W$2:$W$1001=W34)*(ROW($K$2:$K$1001)&lt;ROW(K34))))))))</f>
        <v/>
      </c>
    </row>
    <row r="35" customFormat="false" ht="15" hidden="false" customHeight="false" outlineLevel="0" collapsed="false">
      <c r="A35" s="0" t="str">
        <f aca="false">IF(TRIM('List 1'!A35&amp;'List 1'!C35&amp;'List 1'!D35)="","",LOWER(IF(OR(Comparison!$I$9="Item # + Part # + Description",Comparison!$I$9="Item # + Part #"),TRIM('List 1'!A35),"")&amp;"|"&amp;TRIM('List 1'!C35)&amp;"|"&amp;IF(OR(Comparison!$I$9="Item # + Part # + Description",Comparison!$I$9="Part # + Description"),TRIM('List 1'!D35),"")))</f>
        <v/>
      </c>
      <c r="B35" s="0" t="str">
        <f aca="false">IF(A35="","",SUMPRODUCT(--($A$2:A35=A35)))</f>
        <v/>
      </c>
      <c r="C35" s="0" t="str">
        <f aca="false">IF(A35="","",A35&amp;"#"&amp;B35)</f>
        <v/>
      </c>
      <c r="D35" s="0" t="str">
        <f aca="false">IF(A35="","",IFERROR(--'List 1'!B35,0))</f>
        <v/>
      </c>
      <c r="F35" s="0" t="str">
        <f aca="false">IF(TRIM('List 2'!A35&amp;'List 2'!C35&amp;'List 2'!D35)="","",LOWER(IF(OR(Comparison!$I$9="Item # + Part # + Description",Comparison!$I$9="Item # + Part #"),TRIM('List 2'!A35),"")&amp;"|"&amp;TRIM('List 2'!C35)&amp;"|"&amp;IF(OR(Comparison!$I$9="Item # + Part # + Description",Comparison!$I$9="Part # + Description"),TRIM('List 2'!D35),"")))</f>
        <v/>
      </c>
      <c r="G35" s="0" t="str">
        <f aca="false">IF(F35="","",SUMPRODUCT(--($F$2:F35=F35)))</f>
        <v/>
      </c>
      <c r="H35" s="0" t="str">
        <f aca="false">IF(F35="","",F35&amp;"#"&amp;G35)</f>
        <v/>
      </c>
      <c r="I35" s="0" t="str">
        <f aca="false">IF(F35="","",IFERROR(--'List 2'!B35,0))</f>
        <v/>
      </c>
      <c r="K35" s="0" t="str">
        <f aca="false">C35</f>
        <v/>
      </c>
      <c r="L35" s="0" t="str">
        <f aca="false">IF(K35="","",IF(ISNUMBER('List 1'!A35),'List 1'!A35,TRIM('List 1'!A35)))</f>
        <v/>
      </c>
      <c r="M35" s="0" t="str">
        <f aca="false">IF(K35="","",IF(ISNUMBER('List 1'!C35),'List 1'!C35,TRIM('List 1'!C35)))</f>
        <v/>
      </c>
      <c r="N35" s="0" t="str">
        <f aca="false">IF(K35="","",IF(ISNUMBER('List 1'!D35),'List 1'!D35,TRIM('List 1'!D35)))</f>
        <v/>
      </c>
      <c r="O35" s="0" t="str">
        <f aca="false">IF(K35="","",D35)</f>
        <v/>
      </c>
      <c r="P35" s="0" t="str">
        <f aca="false">IF(K35="","",IF(R35,SUMPRODUCT(--($H$2:$H$501=K35),$I$2:$I$501),0))</f>
        <v/>
      </c>
      <c r="Q35" s="0" t="str">
        <f aca="false">IF(K35="","",TRUE())</f>
        <v/>
      </c>
      <c r="R35" s="0" t="str">
        <f aca="false">IF(K35="","",SUMPRODUCT(--($H$2:$H$501=K35))&gt;0)</f>
        <v/>
      </c>
      <c r="S35" s="0" t="str">
        <f aca="false">IF(K35="","",IF(AND(Q35,R35),IF(O35=P35,"Match","Qty Different"),IF(Q35,"Only in List 1","Only in List 2")))</f>
        <v/>
      </c>
      <c r="T35" s="0" t="str">
        <f aca="false">IF(K35="","",IF(ISNUMBER(--L35),TEXT(--L35,"000000000000.000"),LOWER(L35)))</f>
        <v/>
      </c>
      <c r="U35" s="0" t="str">
        <f aca="false">IF(K35="","",IF(ISNUMBER(--M35),TEXT(--M35,"000000000000.000"),LOWER(M35)))</f>
        <v/>
      </c>
      <c r="V35" s="0" t="str">
        <f aca="false">IF(K35="","",LOWER(N35))</f>
        <v/>
      </c>
      <c r="W35" s="0" t="str">
        <f aca="false">IF(K35="","",B35)</f>
        <v/>
      </c>
      <c r="X35" s="0" t="str">
        <f aca="false">IF(K35="","",1+SUMPRODUCT(($K$2:$K$1001&lt;&gt;"")*(($T$2:$T$1001&lt;T35)+($T$2:$T$1001=T35)*(($U$2:$U$1001&lt;U35)+($U$2:$U$1001=U35)*(($V$2:$V$1001&lt;V35)+($V$2:$V$1001=V35)*(($W$2:$W$1001&lt;W35)+($W$2:$W$1001=W35)*(ROW($K$2:$K$1001)&lt;ROW(K35))))))))</f>
        <v/>
      </c>
    </row>
    <row r="36" customFormat="false" ht="15" hidden="false" customHeight="false" outlineLevel="0" collapsed="false">
      <c r="A36" s="0" t="str">
        <f aca="false">IF(TRIM('List 1'!A36&amp;'List 1'!C36&amp;'List 1'!D36)="","",LOWER(IF(OR(Comparison!$I$9="Item # + Part # + Description",Comparison!$I$9="Item # + Part #"),TRIM('List 1'!A36),"")&amp;"|"&amp;TRIM('List 1'!C36)&amp;"|"&amp;IF(OR(Comparison!$I$9="Item # + Part # + Description",Comparison!$I$9="Part # + Description"),TRIM('List 1'!D36),"")))</f>
        <v/>
      </c>
      <c r="B36" s="0" t="str">
        <f aca="false">IF(A36="","",SUMPRODUCT(--($A$2:A36=A36)))</f>
        <v/>
      </c>
      <c r="C36" s="0" t="str">
        <f aca="false">IF(A36="","",A36&amp;"#"&amp;B36)</f>
        <v/>
      </c>
      <c r="D36" s="0" t="str">
        <f aca="false">IF(A36="","",IFERROR(--'List 1'!B36,0))</f>
        <v/>
      </c>
      <c r="F36" s="0" t="str">
        <f aca="false">IF(TRIM('List 2'!A36&amp;'List 2'!C36&amp;'List 2'!D36)="","",LOWER(IF(OR(Comparison!$I$9="Item # + Part # + Description",Comparison!$I$9="Item # + Part #"),TRIM('List 2'!A36),"")&amp;"|"&amp;TRIM('List 2'!C36)&amp;"|"&amp;IF(OR(Comparison!$I$9="Item # + Part # + Description",Comparison!$I$9="Part # + Description"),TRIM('List 2'!D36),"")))</f>
        <v/>
      </c>
      <c r="G36" s="0" t="str">
        <f aca="false">IF(F36="","",SUMPRODUCT(--($F$2:F36=F36)))</f>
        <v/>
      </c>
      <c r="H36" s="0" t="str">
        <f aca="false">IF(F36="","",F36&amp;"#"&amp;G36)</f>
        <v/>
      </c>
      <c r="I36" s="0" t="str">
        <f aca="false">IF(F36="","",IFERROR(--'List 2'!B36,0))</f>
        <v/>
      </c>
      <c r="K36" s="0" t="str">
        <f aca="false">C36</f>
        <v/>
      </c>
      <c r="L36" s="0" t="str">
        <f aca="false">IF(K36="","",IF(ISNUMBER('List 1'!A36),'List 1'!A36,TRIM('List 1'!A36)))</f>
        <v/>
      </c>
      <c r="M36" s="0" t="str">
        <f aca="false">IF(K36="","",IF(ISNUMBER('List 1'!C36),'List 1'!C36,TRIM('List 1'!C36)))</f>
        <v/>
      </c>
      <c r="N36" s="0" t="str">
        <f aca="false">IF(K36="","",IF(ISNUMBER('List 1'!D36),'List 1'!D36,TRIM('List 1'!D36)))</f>
        <v/>
      </c>
      <c r="O36" s="0" t="str">
        <f aca="false">IF(K36="","",D36)</f>
        <v/>
      </c>
      <c r="P36" s="0" t="str">
        <f aca="false">IF(K36="","",IF(R36,SUMPRODUCT(--($H$2:$H$501=K36),$I$2:$I$501),0))</f>
        <v/>
      </c>
      <c r="Q36" s="0" t="str">
        <f aca="false">IF(K36="","",TRUE())</f>
        <v/>
      </c>
      <c r="R36" s="0" t="str">
        <f aca="false">IF(K36="","",SUMPRODUCT(--($H$2:$H$501=K36))&gt;0)</f>
        <v/>
      </c>
      <c r="S36" s="0" t="str">
        <f aca="false">IF(K36="","",IF(AND(Q36,R36),IF(O36=P36,"Match","Qty Different"),IF(Q36,"Only in List 1","Only in List 2")))</f>
        <v/>
      </c>
      <c r="T36" s="0" t="str">
        <f aca="false">IF(K36="","",IF(ISNUMBER(--L36),TEXT(--L36,"000000000000.000"),LOWER(L36)))</f>
        <v/>
      </c>
      <c r="U36" s="0" t="str">
        <f aca="false">IF(K36="","",IF(ISNUMBER(--M36),TEXT(--M36,"000000000000.000"),LOWER(M36)))</f>
        <v/>
      </c>
      <c r="V36" s="0" t="str">
        <f aca="false">IF(K36="","",LOWER(N36))</f>
        <v/>
      </c>
      <c r="W36" s="0" t="str">
        <f aca="false">IF(K36="","",B36)</f>
        <v/>
      </c>
      <c r="X36" s="0" t="str">
        <f aca="false">IF(K36="","",1+SUMPRODUCT(($K$2:$K$1001&lt;&gt;"")*(($T$2:$T$1001&lt;T36)+($T$2:$T$1001=T36)*(($U$2:$U$1001&lt;U36)+($U$2:$U$1001=U36)*(($V$2:$V$1001&lt;V36)+($V$2:$V$1001=V36)*(($W$2:$W$1001&lt;W36)+($W$2:$W$1001=W36)*(ROW($K$2:$K$1001)&lt;ROW(K36))))))))</f>
        <v/>
      </c>
    </row>
    <row r="37" customFormat="false" ht="15" hidden="false" customHeight="false" outlineLevel="0" collapsed="false">
      <c r="A37" s="0" t="str">
        <f aca="false">IF(TRIM('List 1'!A37&amp;'List 1'!C37&amp;'List 1'!D37)="","",LOWER(IF(OR(Comparison!$I$9="Item # + Part # + Description",Comparison!$I$9="Item # + Part #"),TRIM('List 1'!A37),"")&amp;"|"&amp;TRIM('List 1'!C37)&amp;"|"&amp;IF(OR(Comparison!$I$9="Item # + Part # + Description",Comparison!$I$9="Part # + Description"),TRIM('List 1'!D37),"")))</f>
        <v/>
      </c>
      <c r="B37" s="0" t="str">
        <f aca="false">IF(A37="","",SUMPRODUCT(--($A$2:A37=A37)))</f>
        <v/>
      </c>
      <c r="C37" s="0" t="str">
        <f aca="false">IF(A37="","",A37&amp;"#"&amp;B37)</f>
        <v/>
      </c>
      <c r="D37" s="0" t="str">
        <f aca="false">IF(A37="","",IFERROR(--'List 1'!B37,0))</f>
        <v/>
      </c>
      <c r="F37" s="0" t="str">
        <f aca="false">IF(TRIM('List 2'!A37&amp;'List 2'!C37&amp;'List 2'!D37)="","",LOWER(IF(OR(Comparison!$I$9="Item # + Part # + Description",Comparison!$I$9="Item # + Part #"),TRIM('List 2'!A37),"")&amp;"|"&amp;TRIM('List 2'!C37)&amp;"|"&amp;IF(OR(Comparison!$I$9="Item # + Part # + Description",Comparison!$I$9="Part # + Description"),TRIM('List 2'!D37),"")))</f>
        <v/>
      </c>
      <c r="G37" s="0" t="str">
        <f aca="false">IF(F37="","",SUMPRODUCT(--($F$2:F37=F37)))</f>
        <v/>
      </c>
      <c r="H37" s="0" t="str">
        <f aca="false">IF(F37="","",F37&amp;"#"&amp;G37)</f>
        <v/>
      </c>
      <c r="I37" s="0" t="str">
        <f aca="false">IF(F37="","",IFERROR(--'List 2'!B37,0))</f>
        <v/>
      </c>
      <c r="K37" s="0" t="str">
        <f aca="false">C37</f>
        <v/>
      </c>
      <c r="L37" s="0" t="str">
        <f aca="false">IF(K37="","",IF(ISNUMBER('List 1'!A37),'List 1'!A37,TRIM('List 1'!A37)))</f>
        <v/>
      </c>
      <c r="M37" s="0" t="str">
        <f aca="false">IF(K37="","",IF(ISNUMBER('List 1'!C37),'List 1'!C37,TRIM('List 1'!C37)))</f>
        <v/>
      </c>
      <c r="N37" s="0" t="str">
        <f aca="false">IF(K37="","",IF(ISNUMBER('List 1'!D37),'List 1'!D37,TRIM('List 1'!D37)))</f>
        <v/>
      </c>
      <c r="O37" s="0" t="str">
        <f aca="false">IF(K37="","",D37)</f>
        <v/>
      </c>
      <c r="P37" s="0" t="str">
        <f aca="false">IF(K37="","",IF(R37,SUMPRODUCT(--($H$2:$H$501=K37),$I$2:$I$501),0))</f>
        <v/>
      </c>
      <c r="Q37" s="0" t="str">
        <f aca="false">IF(K37="","",TRUE())</f>
        <v/>
      </c>
      <c r="R37" s="0" t="str">
        <f aca="false">IF(K37="","",SUMPRODUCT(--($H$2:$H$501=K37))&gt;0)</f>
        <v/>
      </c>
      <c r="S37" s="0" t="str">
        <f aca="false">IF(K37="","",IF(AND(Q37,R37),IF(O37=P37,"Match","Qty Different"),IF(Q37,"Only in List 1","Only in List 2")))</f>
        <v/>
      </c>
      <c r="T37" s="0" t="str">
        <f aca="false">IF(K37="","",IF(ISNUMBER(--L37),TEXT(--L37,"000000000000.000"),LOWER(L37)))</f>
        <v/>
      </c>
      <c r="U37" s="0" t="str">
        <f aca="false">IF(K37="","",IF(ISNUMBER(--M37),TEXT(--M37,"000000000000.000"),LOWER(M37)))</f>
        <v/>
      </c>
      <c r="V37" s="0" t="str">
        <f aca="false">IF(K37="","",LOWER(N37))</f>
        <v/>
      </c>
      <c r="W37" s="0" t="str">
        <f aca="false">IF(K37="","",B37)</f>
        <v/>
      </c>
      <c r="X37" s="0" t="str">
        <f aca="false">IF(K37="","",1+SUMPRODUCT(($K$2:$K$1001&lt;&gt;"")*(($T$2:$T$1001&lt;T37)+($T$2:$T$1001=T37)*(($U$2:$U$1001&lt;U37)+($U$2:$U$1001=U37)*(($V$2:$V$1001&lt;V37)+($V$2:$V$1001=V37)*(($W$2:$W$1001&lt;W37)+($W$2:$W$1001=W37)*(ROW($K$2:$K$1001)&lt;ROW(K37))))))))</f>
        <v/>
      </c>
    </row>
    <row r="38" customFormat="false" ht="15" hidden="false" customHeight="false" outlineLevel="0" collapsed="false">
      <c r="A38" s="0" t="str">
        <f aca="false">IF(TRIM('List 1'!A38&amp;'List 1'!C38&amp;'List 1'!D38)="","",LOWER(IF(OR(Comparison!$I$9="Item # + Part # + Description",Comparison!$I$9="Item # + Part #"),TRIM('List 1'!A38),"")&amp;"|"&amp;TRIM('List 1'!C38)&amp;"|"&amp;IF(OR(Comparison!$I$9="Item # + Part # + Description",Comparison!$I$9="Part # + Description"),TRIM('List 1'!D38),"")))</f>
        <v/>
      </c>
      <c r="B38" s="0" t="str">
        <f aca="false">IF(A38="","",SUMPRODUCT(--($A$2:A38=A38)))</f>
        <v/>
      </c>
      <c r="C38" s="0" t="str">
        <f aca="false">IF(A38="","",A38&amp;"#"&amp;B38)</f>
        <v/>
      </c>
      <c r="D38" s="0" t="str">
        <f aca="false">IF(A38="","",IFERROR(--'List 1'!B38,0))</f>
        <v/>
      </c>
      <c r="F38" s="0" t="str">
        <f aca="false">IF(TRIM('List 2'!A38&amp;'List 2'!C38&amp;'List 2'!D38)="","",LOWER(IF(OR(Comparison!$I$9="Item # + Part # + Description",Comparison!$I$9="Item # + Part #"),TRIM('List 2'!A38),"")&amp;"|"&amp;TRIM('List 2'!C38)&amp;"|"&amp;IF(OR(Comparison!$I$9="Item # + Part # + Description",Comparison!$I$9="Part # + Description"),TRIM('List 2'!D38),"")))</f>
        <v/>
      </c>
      <c r="G38" s="0" t="str">
        <f aca="false">IF(F38="","",SUMPRODUCT(--($F$2:F38=F38)))</f>
        <v/>
      </c>
      <c r="H38" s="0" t="str">
        <f aca="false">IF(F38="","",F38&amp;"#"&amp;G38)</f>
        <v/>
      </c>
      <c r="I38" s="0" t="str">
        <f aca="false">IF(F38="","",IFERROR(--'List 2'!B38,0))</f>
        <v/>
      </c>
      <c r="K38" s="0" t="str">
        <f aca="false">C38</f>
        <v/>
      </c>
      <c r="L38" s="0" t="str">
        <f aca="false">IF(K38="","",IF(ISNUMBER('List 1'!A38),'List 1'!A38,TRIM('List 1'!A38)))</f>
        <v/>
      </c>
      <c r="M38" s="0" t="str">
        <f aca="false">IF(K38="","",IF(ISNUMBER('List 1'!C38),'List 1'!C38,TRIM('List 1'!C38)))</f>
        <v/>
      </c>
      <c r="N38" s="0" t="str">
        <f aca="false">IF(K38="","",IF(ISNUMBER('List 1'!D38),'List 1'!D38,TRIM('List 1'!D38)))</f>
        <v/>
      </c>
      <c r="O38" s="0" t="str">
        <f aca="false">IF(K38="","",D38)</f>
        <v/>
      </c>
      <c r="P38" s="0" t="str">
        <f aca="false">IF(K38="","",IF(R38,SUMPRODUCT(--($H$2:$H$501=K38),$I$2:$I$501),0))</f>
        <v/>
      </c>
      <c r="Q38" s="0" t="str">
        <f aca="false">IF(K38="","",TRUE())</f>
        <v/>
      </c>
      <c r="R38" s="0" t="str">
        <f aca="false">IF(K38="","",SUMPRODUCT(--($H$2:$H$501=K38))&gt;0)</f>
        <v/>
      </c>
      <c r="S38" s="0" t="str">
        <f aca="false">IF(K38="","",IF(AND(Q38,R38),IF(O38=P38,"Match","Qty Different"),IF(Q38,"Only in List 1","Only in List 2")))</f>
        <v/>
      </c>
      <c r="T38" s="0" t="str">
        <f aca="false">IF(K38="","",IF(ISNUMBER(--L38),TEXT(--L38,"000000000000.000"),LOWER(L38)))</f>
        <v/>
      </c>
      <c r="U38" s="0" t="str">
        <f aca="false">IF(K38="","",IF(ISNUMBER(--M38),TEXT(--M38,"000000000000.000"),LOWER(M38)))</f>
        <v/>
      </c>
      <c r="V38" s="0" t="str">
        <f aca="false">IF(K38="","",LOWER(N38))</f>
        <v/>
      </c>
      <c r="W38" s="0" t="str">
        <f aca="false">IF(K38="","",B38)</f>
        <v/>
      </c>
      <c r="X38" s="0" t="str">
        <f aca="false">IF(K38="","",1+SUMPRODUCT(($K$2:$K$1001&lt;&gt;"")*(($T$2:$T$1001&lt;T38)+($T$2:$T$1001=T38)*(($U$2:$U$1001&lt;U38)+($U$2:$U$1001=U38)*(($V$2:$V$1001&lt;V38)+($V$2:$V$1001=V38)*(($W$2:$W$1001&lt;W38)+($W$2:$W$1001=W38)*(ROW($K$2:$K$1001)&lt;ROW(K38))))))))</f>
        <v/>
      </c>
    </row>
    <row r="39" customFormat="false" ht="15" hidden="false" customHeight="false" outlineLevel="0" collapsed="false">
      <c r="A39" s="0" t="str">
        <f aca="false">IF(TRIM('List 1'!A39&amp;'List 1'!C39&amp;'List 1'!D39)="","",LOWER(IF(OR(Comparison!$I$9="Item # + Part # + Description",Comparison!$I$9="Item # + Part #"),TRIM('List 1'!A39),"")&amp;"|"&amp;TRIM('List 1'!C39)&amp;"|"&amp;IF(OR(Comparison!$I$9="Item # + Part # + Description",Comparison!$I$9="Part # + Description"),TRIM('List 1'!D39),"")))</f>
        <v/>
      </c>
      <c r="B39" s="0" t="str">
        <f aca="false">IF(A39="","",SUMPRODUCT(--($A$2:A39=A39)))</f>
        <v/>
      </c>
      <c r="C39" s="0" t="str">
        <f aca="false">IF(A39="","",A39&amp;"#"&amp;B39)</f>
        <v/>
      </c>
      <c r="D39" s="0" t="str">
        <f aca="false">IF(A39="","",IFERROR(--'List 1'!B39,0))</f>
        <v/>
      </c>
      <c r="F39" s="0" t="str">
        <f aca="false">IF(TRIM('List 2'!A39&amp;'List 2'!C39&amp;'List 2'!D39)="","",LOWER(IF(OR(Comparison!$I$9="Item # + Part # + Description",Comparison!$I$9="Item # + Part #"),TRIM('List 2'!A39),"")&amp;"|"&amp;TRIM('List 2'!C39)&amp;"|"&amp;IF(OR(Comparison!$I$9="Item # + Part # + Description",Comparison!$I$9="Part # + Description"),TRIM('List 2'!D39),"")))</f>
        <v/>
      </c>
      <c r="G39" s="0" t="str">
        <f aca="false">IF(F39="","",SUMPRODUCT(--($F$2:F39=F39)))</f>
        <v/>
      </c>
      <c r="H39" s="0" t="str">
        <f aca="false">IF(F39="","",F39&amp;"#"&amp;G39)</f>
        <v/>
      </c>
      <c r="I39" s="0" t="str">
        <f aca="false">IF(F39="","",IFERROR(--'List 2'!B39,0))</f>
        <v/>
      </c>
      <c r="K39" s="0" t="str">
        <f aca="false">C39</f>
        <v/>
      </c>
      <c r="L39" s="0" t="str">
        <f aca="false">IF(K39="","",IF(ISNUMBER('List 1'!A39),'List 1'!A39,TRIM('List 1'!A39)))</f>
        <v/>
      </c>
      <c r="M39" s="0" t="str">
        <f aca="false">IF(K39="","",IF(ISNUMBER('List 1'!C39),'List 1'!C39,TRIM('List 1'!C39)))</f>
        <v/>
      </c>
      <c r="N39" s="0" t="str">
        <f aca="false">IF(K39="","",IF(ISNUMBER('List 1'!D39),'List 1'!D39,TRIM('List 1'!D39)))</f>
        <v/>
      </c>
      <c r="O39" s="0" t="str">
        <f aca="false">IF(K39="","",D39)</f>
        <v/>
      </c>
      <c r="P39" s="0" t="str">
        <f aca="false">IF(K39="","",IF(R39,SUMPRODUCT(--($H$2:$H$501=K39),$I$2:$I$501),0))</f>
        <v/>
      </c>
      <c r="Q39" s="0" t="str">
        <f aca="false">IF(K39="","",TRUE())</f>
        <v/>
      </c>
      <c r="R39" s="0" t="str">
        <f aca="false">IF(K39="","",SUMPRODUCT(--($H$2:$H$501=K39))&gt;0)</f>
        <v/>
      </c>
      <c r="S39" s="0" t="str">
        <f aca="false">IF(K39="","",IF(AND(Q39,R39),IF(O39=P39,"Match","Qty Different"),IF(Q39,"Only in List 1","Only in List 2")))</f>
        <v/>
      </c>
      <c r="T39" s="0" t="str">
        <f aca="false">IF(K39="","",IF(ISNUMBER(--L39),TEXT(--L39,"000000000000.000"),LOWER(L39)))</f>
        <v/>
      </c>
      <c r="U39" s="0" t="str">
        <f aca="false">IF(K39="","",IF(ISNUMBER(--M39),TEXT(--M39,"000000000000.000"),LOWER(M39)))</f>
        <v/>
      </c>
      <c r="V39" s="0" t="str">
        <f aca="false">IF(K39="","",LOWER(N39))</f>
        <v/>
      </c>
      <c r="W39" s="0" t="str">
        <f aca="false">IF(K39="","",B39)</f>
        <v/>
      </c>
      <c r="X39" s="0" t="str">
        <f aca="false">IF(K39="","",1+SUMPRODUCT(($K$2:$K$1001&lt;&gt;"")*(($T$2:$T$1001&lt;T39)+($T$2:$T$1001=T39)*(($U$2:$U$1001&lt;U39)+($U$2:$U$1001=U39)*(($V$2:$V$1001&lt;V39)+($V$2:$V$1001=V39)*(($W$2:$W$1001&lt;W39)+($W$2:$W$1001=W39)*(ROW($K$2:$K$1001)&lt;ROW(K39))))))))</f>
        <v/>
      </c>
    </row>
    <row r="40" customFormat="false" ht="15" hidden="false" customHeight="false" outlineLevel="0" collapsed="false">
      <c r="A40" s="0" t="str">
        <f aca="false">IF(TRIM('List 1'!A40&amp;'List 1'!C40&amp;'List 1'!D40)="","",LOWER(IF(OR(Comparison!$I$9="Item # + Part # + Description",Comparison!$I$9="Item # + Part #"),TRIM('List 1'!A40),"")&amp;"|"&amp;TRIM('List 1'!C40)&amp;"|"&amp;IF(OR(Comparison!$I$9="Item # + Part # + Description",Comparison!$I$9="Part # + Description"),TRIM('List 1'!D40),"")))</f>
        <v/>
      </c>
      <c r="B40" s="0" t="str">
        <f aca="false">IF(A40="","",SUMPRODUCT(--($A$2:A40=A40)))</f>
        <v/>
      </c>
      <c r="C40" s="0" t="str">
        <f aca="false">IF(A40="","",A40&amp;"#"&amp;B40)</f>
        <v/>
      </c>
      <c r="D40" s="0" t="str">
        <f aca="false">IF(A40="","",IFERROR(--'List 1'!B40,0))</f>
        <v/>
      </c>
      <c r="F40" s="0" t="str">
        <f aca="false">IF(TRIM('List 2'!A40&amp;'List 2'!C40&amp;'List 2'!D40)="","",LOWER(IF(OR(Comparison!$I$9="Item # + Part # + Description",Comparison!$I$9="Item # + Part #"),TRIM('List 2'!A40),"")&amp;"|"&amp;TRIM('List 2'!C40)&amp;"|"&amp;IF(OR(Comparison!$I$9="Item # + Part # + Description",Comparison!$I$9="Part # + Description"),TRIM('List 2'!D40),"")))</f>
        <v/>
      </c>
      <c r="G40" s="0" t="str">
        <f aca="false">IF(F40="","",SUMPRODUCT(--($F$2:F40=F40)))</f>
        <v/>
      </c>
      <c r="H40" s="0" t="str">
        <f aca="false">IF(F40="","",F40&amp;"#"&amp;G40)</f>
        <v/>
      </c>
      <c r="I40" s="0" t="str">
        <f aca="false">IF(F40="","",IFERROR(--'List 2'!B40,0))</f>
        <v/>
      </c>
      <c r="K40" s="0" t="str">
        <f aca="false">C40</f>
        <v/>
      </c>
      <c r="L40" s="0" t="str">
        <f aca="false">IF(K40="","",IF(ISNUMBER('List 1'!A40),'List 1'!A40,TRIM('List 1'!A40)))</f>
        <v/>
      </c>
      <c r="M40" s="0" t="str">
        <f aca="false">IF(K40="","",IF(ISNUMBER('List 1'!C40),'List 1'!C40,TRIM('List 1'!C40)))</f>
        <v/>
      </c>
      <c r="N40" s="0" t="str">
        <f aca="false">IF(K40="","",IF(ISNUMBER('List 1'!D40),'List 1'!D40,TRIM('List 1'!D40)))</f>
        <v/>
      </c>
      <c r="O40" s="0" t="str">
        <f aca="false">IF(K40="","",D40)</f>
        <v/>
      </c>
      <c r="P40" s="0" t="str">
        <f aca="false">IF(K40="","",IF(R40,SUMPRODUCT(--($H$2:$H$501=K40),$I$2:$I$501),0))</f>
        <v/>
      </c>
      <c r="Q40" s="0" t="str">
        <f aca="false">IF(K40="","",TRUE())</f>
        <v/>
      </c>
      <c r="R40" s="0" t="str">
        <f aca="false">IF(K40="","",SUMPRODUCT(--($H$2:$H$501=K40))&gt;0)</f>
        <v/>
      </c>
      <c r="S40" s="0" t="str">
        <f aca="false">IF(K40="","",IF(AND(Q40,R40),IF(O40=P40,"Match","Qty Different"),IF(Q40,"Only in List 1","Only in List 2")))</f>
        <v/>
      </c>
      <c r="T40" s="0" t="str">
        <f aca="false">IF(K40="","",IF(ISNUMBER(--L40),TEXT(--L40,"000000000000.000"),LOWER(L40)))</f>
        <v/>
      </c>
      <c r="U40" s="0" t="str">
        <f aca="false">IF(K40="","",IF(ISNUMBER(--M40),TEXT(--M40,"000000000000.000"),LOWER(M40)))</f>
        <v/>
      </c>
      <c r="V40" s="0" t="str">
        <f aca="false">IF(K40="","",LOWER(N40))</f>
        <v/>
      </c>
      <c r="W40" s="0" t="str">
        <f aca="false">IF(K40="","",B40)</f>
        <v/>
      </c>
      <c r="X40" s="0" t="str">
        <f aca="false">IF(K40="","",1+SUMPRODUCT(($K$2:$K$1001&lt;&gt;"")*(($T$2:$T$1001&lt;T40)+($T$2:$T$1001=T40)*(($U$2:$U$1001&lt;U40)+($U$2:$U$1001=U40)*(($V$2:$V$1001&lt;V40)+($V$2:$V$1001=V40)*(($W$2:$W$1001&lt;W40)+($W$2:$W$1001=W40)*(ROW($K$2:$K$1001)&lt;ROW(K40))))))))</f>
        <v/>
      </c>
    </row>
    <row r="41" customFormat="false" ht="15" hidden="false" customHeight="false" outlineLevel="0" collapsed="false">
      <c r="A41" s="0" t="str">
        <f aca="false">IF(TRIM('List 1'!A41&amp;'List 1'!C41&amp;'List 1'!D41)="","",LOWER(IF(OR(Comparison!$I$9="Item # + Part # + Description",Comparison!$I$9="Item # + Part #"),TRIM('List 1'!A41),"")&amp;"|"&amp;TRIM('List 1'!C41)&amp;"|"&amp;IF(OR(Comparison!$I$9="Item # + Part # + Description",Comparison!$I$9="Part # + Description"),TRIM('List 1'!D41),"")))</f>
        <v/>
      </c>
      <c r="B41" s="0" t="str">
        <f aca="false">IF(A41="","",SUMPRODUCT(--($A$2:A41=A41)))</f>
        <v/>
      </c>
      <c r="C41" s="0" t="str">
        <f aca="false">IF(A41="","",A41&amp;"#"&amp;B41)</f>
        <v/>
      </c>
      <c r="D41" s="0" t="str">
        <f aca="false">IF(A41="","",IFERROR(--'List 1'!B41,0))</f>
        <v/>
      </c>
      <c r="F41" s="0" t="str">
        <f aca="false">IF(TRIM('List 2'!A41&amp;'List 2'!C41&amp;'List 2'!D41)="","",LOWER(IF(OR(Comparison!$I$9="Item # + Part # + Description",Comparison!$I$9="Item # + Part #"),TRIM('List 2'!A41),"")&amp;"|"&amp;TRIM('List 2'!C41)&amp;"|"&amp;IF(OR(Comparison!$I$9="Item # + Part # + Description",Comparison!$I$9="Part # + Description"),TRIM('List 2'!D41),"")))</f>
        <v/>
      </c>
      <c r="G41" s="0" t="str">
        <f aca="false">IF(F41="","",SUMPRODUCT(--($F$2:F41=F41)))</f>
        <v/>
      </c>
      <c r="H41" s="0" t="str">
        <f aca="false">IF(F41="","",F41&amp;"#"&amp;G41)</f>
        <v/>
      </c>
      <c r="I41" s="0" t="str">
        <f aca="false">IF(F41="","",IFERROR(--'List 2'!B41,0))</f>
        <v/>
      </c>
      <c r="K41" s="0" t="str">
        <f aca="false">C41</f>
        <v/>
      </c>
      <c r="L41" s="0" t="str">
        <f aca="false">IF(K41="","",IF(ISNUMBER('List 1'!A41),'List 1'!A41,TRIM('List 1'!A41)))</f>
        <v/>
      </c>
      <c r="M41" s="0" t="str">
        <f aca="false">IF(K41="","",IF(ISNUMBER('List 1'!C41),'List 1'!C41,TRIM('List 1'!C41)))</f>
        <v/>
      </c>
      <c r="N41" s="0" t="str">
        <f aca="false">IF(K41="","",IF(ISNUMBER('List 1'!D41),'List 1'!D41,TRIM('List 1'!D41)))</f>
        <v/>
      </c>
      <c r="O41" s="0" t="str">
        <f aca="false">IF(K41="","",D41)</f>
        <v/>
      </c>
      <c r="P41" s="0" t="str">
        <f aca="false">IF(K41="","",IF(R41,SUMPRODUCT(--($H$2:$H$501=K41),$I$2:$I$501),0))</f>
        <v/>
      </c>
      <c r="Q41" s="0" t="str">
        <f aca="false">IF(K41="","",TRUE())</f>
        <v/>
      </c>
      <c r="R41" s="0" t="str">
        <f aca="false">IF(K41="","",SUMPRODUCT(--($H$2:$H$501=K41))&gt;0)</f>
        <v/>
      </c>
      <c r="S41" s="0" t="str">
        <f aca="false">IF(K41="","",IF(AND(Q41,R41),IF(O41=P41,"Match","Qty Different"),IF(Q41,"Only in List 1","Only in List 2")))</f>
        <v/>
      </c>
      <c r="T41" s="0" t="str">
        <f aca="false">IF(K41="","",IF(ISNUMBER(--L41),TEXT(--L41,"000000000000.000"),LOWER(L41)))</f>
        <v/>
      </c>
      <c r="U41" s="0" t="str">
        <f aca="false">IF(K41="","",IF(ISNUMBER(--M41),TEXT(--M41,"000000000000.000"),LOWER(M41)))</f>
        <v/>
      </c>
      <c r="V41" s="0" t="str">
        <f aca="false">IF(K41="","",LOWER(N41))</f>
        <v/>
      </c>
      <c r="W41" s="0" t="str">
        <f aca="false">IF(K41="","",B41)</f>
        <v/>
      </c>
      <c r="X41" s="0" t="str">
        <f aca="false">IF(K41="","",1+SUMPRODUCT(($K$2:$K$1001&lt;&gt;"")*(($T$2:$T$1001&lt;T41)+($T$2:$T$1001=T41)*(($U$2:$U$1001&lt;U41)+($U$2:$U$1001=U41)*(($V$2:$V$1001&lt;V41)+($V$2:$V$1001=V41)*(($W$2:$W$1001&lt;W41)+($W$2:$W$1001=W41)*(ROW($K$2:$K$1001)&lt;ROW(K41))))))))</f>
        <v/>
      </c>
    </row>
    <row r="42" customFormat="false" ht="15" hidden="false" customHeight="false" outlineLevel="0" collapsed="false">
      <c r="A42" s="0" t="str">
        <f aca="false">IF(TRIM('List 1'!A42&amp;'List 1'!C42&amp;'List 1'!D42)="","",LOWER(IF(OR(Comparison!$I$9="Item # + Part # + Description",Comparison!$I$9="Item # + Part #"),TRIM('List 1'!A42),"")&amp;"|"&amp;TRIM('List 1'!C42)&amp;"|"&amp;IF(OR(Comparison!$I$9="Item # + Part # + Description",Comparison!$I$9="Part # + Description"),TRIM('List 1'!D42),"")))</f>
        <v/>
      </c>
      <c r="B42" s="0" t="str">
        <f aca="false">IF(A42="","",SUMPRODUCT(--($A$2:A42=A42)))</f>
        <v/>
      </c>
      <c r="C42" s="0" t="str">
        <f aca="false">IF(A42="","",A42&amp;"#"&amp;B42)</f>
        <v/>
      </c>
      <c r="D42" s="0" t="str">
        <f aca="false">IF(A42="","",IFERROR(--'List 1'!B42,0))</f>
        <v/>
      </c>
      <c r="F42" s="0" t="str">
        <f aca="false">IF(TRIM('List 2'!A42&amp;'List 2'!C42&amp;'List 2'!D42)="","",LOWER(IF(OR(Comparison!$I$9="Item # + Part # + Description",Comparison!$I$9="Item # + Part #"),TRIM('List 2'!A42),"")&amp;"|"&amp;TRIM('List 2'!C42)&amp;"|"&amp;IF(OR(Comparison!$I$9="Item # + Part # + Description",Comparison!$I$9="Part # + Description"),TRIM('List 2'!D42),"")))</f>
        <v/>
      </c>
      <c r="G42" s="0" t="str">
        <f aca="false">IF(F42="","",SUMPRODUCT(--($F$2:F42=F42)))</f>
        <v/>
      </c>
      <c r="H42" s="0" t="str">
        <f aca="false">IF(F42="","",F42&amp;"#"&amp;G42)</f>
        <v/>
      </c>
      <c r="I42" s="0" t="str">
        <f aca="false">IF(F42="","",IFERROR(--'List 2'!B42,0))</f>
        <v/>
      </c>
      <c r="K42" s="0" t="str">
        <f aca="false">C42</f>
        <v/>
      </c>
      <c r="L42" s="0" t="str">
        <f aca="false">IF(K42="","",IF(ISNUMBER('List 1'!A42),'List 1'!A42,TRIM('List 1'!A42)))</f>
        <v/>
      </c>
      <c r="M42" s="0" t="str">
        <f aca="false">IF(K42="","",IF(ISNUMBER('List 1'!C42),'List 1'!C42,TRIM('List 1'!C42)))</f>
        <v/>
      </c>
      <c r="N42" s="0" t="str">
        <f aca="false">IF(K42="","",IF(ISNUMBER('List 1'!D42),'List 1'!D42,TRIM('List 1'!D42)))</f>
        <v/>
      </c>
      <c r="O42" s="0" t="str">
        <f aca="false">IF(K42="","",D42)</f>
        <v/>
      </c>
      <c r="P42" s="0" t="str">
        <f aca="false">IF(K42="","",IF(R42,SUMPRODUCT(--($H$2:$H$501=K42),$I$2:$I$501),0))</f>
        <v/>
      </c>
      <c r="Q42" s="0" t="str">
        <f aca="false">IF(K42="","",TRUE())</f>
        <v/>
      </c>
      <c r="R42" s="0" t="str">
        <f aca="false">IF(K42="","",SUMPRODUCT(--($H$2:$H$501=K42))&gt;0)</f>
        <v/>
      </c>
      <c r="S42" s="0" t="str">
        <f aca="false">IF(K42="","",IF(AND(Q42,R42),IF(O42=P42,"Match","Qty Different"),IF(Q42,"Only in List 1","Only in List 2")))</f>
        <v/>
      </c>
      <c r="T42" s="0" t="str">
        <f aca="false">IF(K42="","",IF(ISNUMBER(--L42),TEXT(--L42,"000000000000.000"),LOWER(L42)))</f>
        <v/>
      </c>
      <c r="U42" s="0" t="str">
        <f aca="false">IF(K42="","",IF(ISNUMBER(--M42),TEXT(--M42,"000000000000.000"),LOWER(M42)))</f>
        <v/>
      </c>
      <c r="V42" s="0" t="str">
        <f aca="false">IF(K42="","",LOWER(N42))</f>
        <v/>
      </c>
      <c r="W42" s="0" t="str">
        <f aca="false">IF(K42="","",B42)</f>
        <v/>
      </c>
      <c r="X42" s="0" t="str">
        <f aca="false">IF(K42="","",1+SUMPRODUCT(($K$2:$K$1001&lt;&gt;"")*(($T$2:$T$1001&lt;T42)+($T$2:$T$1001=T42)*(($U$2:$U$1001&lt;U42)+($U$2:$U$1001=U42)*(($V$2:$V$1001&lt;V42)+($V$2:$V$1001=V42)*(($W$2:$W$1001&lt;W42)+($W$2:$W$1001=W42)*(ROW($K$2:$K$1001)&lt;ROW(K42))))))))</f>
        <v/>
      </c>
    </row>
    <row r="43" customFormat="false" ht="15" hidden="false" customHeight="false" outlineLevel="0" collapsed="false">
      <c r="A43" s="0" t="str">
        <f aca="false">IF(TRIM('List 1'!A43&amp;'List 1'!C43&amp;'List 1'!D43)="","",LOWER(IF(OR(Comparison!$I$9="Item # + Part # + Description",Comparison!$I$9="Item # + Part #"),TRIM('List 1'!A43),"")&amp;"|"&amp;TRIM('List 1'!C43)&amp;"|"&amp;IF(OR(Comparison!$I$9="Item # + Part # + Description",Comparison!$I$9="Part # + Description"),TRIM('List 1'!D43),"")))</f>
        <v/>
      </c>
      <c r="B43" s="0" t="str">
        <f aca="false">IF(A43="","",SUMPRODUCT(--($A$2:A43=A43)))</f>
        <v/>
      </c>
      <c r="C43" s="0" t="str">
        <f aca="false">IF(A43="","",A43&amp;"#"&amp;B43)</f>
        <v/>
      </c>
      <c r="D43" s="0" t="str">
        <f aca="false">IF(A43="","",IFERROR(--'List 1'!B43,0))</f>
        <v/>
      </c>
      <c r="F43" s="0" t="str">
        <f aca="false">IF(TRIM('List 2'!A43&amp;'List 2'!C43&amp;'List 2'!D43)="","",LOWER(IF(OR(Comparison!$I$9="Item # + Part # + Description",Comparison!$I$9="Item # + Part #"),TRIM('List 2'!A43),"")&amp;"|"&amp;TRIM('List 2'!C43)&amp;"|"&amp;IF(OR(Comparison!$I$9="Item # + Part # + Description",Comparison!$I$9="Part # + Description"),TRIM('List 2'!D43),"")))</f>
        <v/>
      </c>
      <c r="G43" s="0" t="str">
        <f aca="false">IF(F43="","",SUMPRODUCT(--($F$2:F43=F43)))</f>
        <v/>
      </c>
      <c r="H43" s="0" t="str">
        <f aca="false">IF(F43="","",F43&amp;"#"&amp;G43)</f>
        <v/>
      </c>
      <c r="I43" s="0" t="str">
        <f aca="false">IF(F43="","",IFERROR(--'List 2'!B43,0))</f>
        <v/>
      </c>
      <c r="K43" s="0" t="str">
        <f aca="false">C43</f>
        <v/>
      </c>
      <c r="L43" s="0" t="str">
        <f aca="false">IF(K43="","",IF(ISNUMBER('List 1'!A43),'List 1'!A43,TRIM('List 1'!A43)))</f>
        <v/>
      </c>
      <c r="M43" s="0" t="str">
        <f aca="false">IF(K43="","",IF(ISNUMBER('List 1'!C43),'List 1'!C43,TRIM('List 1'!C43)))</f>
        <v/>
      </c>
      <c r="N43" s="0" t="str">
        <f aca="false">IF(K43="","",IF(ISNUMBER('List 1'!D43),'List 1'!D43,TRIM('List 1'!D43)))</f>
        <v/>
      </c>
      <c r="O43" s="0" t="str">
        <f aca="false">IF(K43="","",D43)</f>
        <v/>
      </c>
      <c r="P43" s="0" t="str">
        <f aca="false">IF(K43="","",IF(R43,SUMPRODUCT(--($H$2:$H$501=K43),$I$2:$I$501),0))</f>
        <v/>
      </c>
      <c r="Q43" s="0" t="str">
        <f aca="false">IF(K43="","",TRUE())</f>
        <v/>
      </c>
      <c r="R43" s="0" t="str">
        <f aca="false">IF(K43="","",SUMPRODUCT(--($H$2:$H$501=K43))&gt;0)</f>
        <v/>
      </c>
      <c r="S43" s="0" t="str">
        <f aca="false">IF(K43="","",IF(AND(Q43,R43),IF(O43=P43,"Match","Qty Different"),IF(Q43,"Only in List 1","Only in List 2")))</f>
        <v/>
      </c>
      <c r="T43" s="0" t="str">
        <f aca="false">IF(K43="","",IF(ISNUMBER(--L43),TEXT(--L43,"000000000000.000"),LOWER(L43)))</f>
        <v/>
      </c>
      <c r="U43" s="0" t="str">
        <f aca="false">IF(K43="","",IF(ISNUMBER(--M43),TEXT(--M43,"000000000000.000"),LOWER(M43)))</f>
        <v/>
      </c>
      <c r="V43" s="0" t="str">
        <f aca="false">IF(K43="","",LOWER(N43))</f>
        <v/>
      </c>
      <c r="W43" s="0" t="str">
        <f aca="false">IF(K43="","",B43)</f>
        <v/>
      </c>
      <c r="X43" s="0" t="str">
        <f aca="false">IF(K43="","",1+SUMPRODUCT(($K$2:$K$1001&lt;&gt;"")*(($T$2:$T$1001&lt;T43)+($T$2:$T$1001=T43)*(($U$2:$U$1001&lt;U43)+($U$2:$U$1001=U43)*(($V$2:$V$1001&lt;V43)+($V$2:$V$1001=V43)*(($W$2:$W$1001&lt;W43)+($W$2:$W$1001=W43)*(ROW($K$2:$K$1001)&lt;ROW(K43))))))))</f>
        <v/>
      </c>
    </row>
    <row r="44" customFormat="false" ht="15" hidden="false" customHeight="false" outlineLevel="0" collapsed="false">
      <c r="A44" s="0" t="str">
        <f aca="false">IF(TRIM('List 1'!A44&amp;'List 1'!C44&amp;'List 1'!D44)="","",LOWER(IF(OR(Comparison!$I$9="Item # + Part # + Description",Comparison!$I$9="Item # + Part #"),TRIM('List 1'!A44),"")&amp;"|"&amp;TRIM('List 1'!C44)&amp;"|"&amp;IF(OR(Comparison!$I$9="Item # + Part # + Description",Comparison!$I$9="Part # + Description"),TRIM('List 1'!D44),"")))</f>
        <v/>
      </c>
      <c r="B44" s="0" t="str">
        <f aca="false">IF(A44="","",SUMPRODUCT(--($A$2:A44=A44)))</f>
        <v/>
      </c>
      <c r="C44" s="0" t="str">
        <f aca="false">IF(A44="","",A44&amp;"#"&amp;B44)</f>
        <v/>
      </c>
      <c r="D44" s="0" t="str">
        <f aca="false">IF(A44="","",IFERROR(--'List 1'!B44,0))</f>
        <v/>
      </c>
      <c r="F44" s="0" t="str">
        <f aca="false">IF(TRIM('List 2'!A44&amp;'List 2'!C44&amp;'List 2'!D44)="","",LOWER(IF(OR(Comparison!$I$9="Item # + Part # + Description",Comparison!$I$9="Item # + Part #"),TRIM('List 2'!A44),"")&amp;"|"&amp;TRIM('List 2'!C44)&amp;"|"&amp;IF(OR(Comparison!$I$9="Item # + Part # + Description",Comparison!$I$9="Part # + Description"),TRIM('List 2'!D44),"")))</f>
        <v/>
      </c>
      <c r="G44" s="0" t="str">
        <f aca="false">IF(F44="","",SUMPRODUCT(--($F$2:F44=F44)))</f>
        <v/>
      </c>
      <c r="H44" s="0" t="str">
        <f aca="false">IF(F44="","",F44&amp;"#"&amp;G44)</f>
        <v/>
      </c>
      <c r="I44" s="0" t="str">
        <f aca="false">IF(F44="","",IFERROR(--'List 2'!B44,0))</f>
        <v/>
      </c>
      <c r="K44" s="0" t="str">
        <f aca="false">C44</f>
        <v/>
      </c>
      <c r="L44" s="0" t="str">
        <f aca="false">IF(K44="","",IF(ISNUMBER('List 1'!A44),'List 1'!A44,TRIM('List 1'!A44)))</f>
        <v/>
      </c>
      <c r="M44" s="0" t="str">
        <f aca="false">IF(K44="","",IF(ISNUMBER('List 1'!C44),'List 1'!C44,TRIM('List 1'!C44)))</f>
        <v/>
      </c>
      <c r="N44" s="0" t="str">
        <f aca="false">IF(K44="","",IF(ISNUMBER('List 1'!D44),'List 1'!D44,TRIM('List 1'!D44)))</f>
        <v/>
      </c>
      <c r="O44" s="0" t="str">
        <f aca="false">IF(K44="","",D44)</f>
        <v/>
      </c>
      <c r="P44" s="0" t="str">
        <f aca="false">IF(K44="","",IF(R44,SUMPRODUCT(--($H$2:$H$501=K44),$I$2:$I$501),0))</f>
        <v/>
      </c>
      <c r="Q44" s="0" t="str">
        <f aca="false">IF(K44="","",TRUE())</f>
        <v/>
      </c>
      <c r="R44" s="0" t="str">
        <f aca="false">IF(K44="","",SUMPRODUCT(--($H$2:$H$501=K44))&gt;0)</f>
        <v/>
      </c>
      <c r="S44" s="0" t="str">
        <f aca="false">IF(K44="","",IF(AND(Q44,R44),IF(O44=P44,"Match","Qty Different"),IF(Q44,"Only in List 1","Only in List 2")))</f>
        <v/>
      </c>
      <c r="T44" s="0" t="str">
        <f aca="false">IF(K44="","",IF(ISNUMBER(--L44),TEXT(--L44,"000000000000.000"),LOWER(L44)))</f>
        <v/>
      </c>
      <c r="U44" s="0" t="str">
        <f aca="false">IF(K44="","",IF(ISNUMBER(--M44),TEXT(--M44,"000000000000.000"),LOWER(M44)))</f>
        <v/>
      </c>
      <c r="V44" s="0" t="str">
        <f aca="false">IF(K44="","",LOWER(N44))</f>
        <v/>
      </c>
      <c r="W44" s="0" t="str">
        <f aca="false">IF(K44="","",B44)</f>
        <v/>
      </c>
      <c r="X44" s="0" t="str">
        <f aca="false">IF(K44="","",1+SUMPRODUCT(($K$2:$K$1001&lt;&gt;"")*(($T$2:$T$1001&lt;T44)+($T$2:$T$1001=T44)*(($U$2:$U$1001&lt;U44)+($U$2:$U$1001=U44)*(($V$2:$V$1001&lt;V44)+($V$2:$V$1001=V44)*(($W$2:$W$1001&lt;W44)+($W$2:$W$1001=W44)*(ROW($K$2:$K$1001)&lt;ROW(K44))))))))</f>
        <v/>
      </c>
    </row>
    <row r="45" customFormat="false" ht="15" hidden="false" customHeight="false" outlineLevel="0" collapsed="false">
      <c r="A45" s="0" t="str">
        <f aca="false">IF(TRIM('List 1'!A45&amp;'List 1'!C45&amp;'List 1'!D45)="","",LOWER(IF(OR(Comparison!$I$9="Item # + Part # + Description",Comparison!$I$9="Item # + Part #"),TRIM('List 1'!A45),"")&amp;"|"&amp;TRIM('List 1'!C45)&amp;"|"&amp;IF(OR(Comparison!$I$9="Item # + Part # + Description",Comparison!$I$9="Part # + Description"),TRIM('List 1'!D45),"")))</f>
        <v/>
      </c>
      <c r="B45" s="0" t="str">
        <f aca="false">IF(A45="","",SUMPRODUCT(--($A$2:A45=A45)))</f>
        <v/>
      </c>
      <c r="C45" s="0" t="str">
        <f aca="false">IF(A45="","",A45&amp;"#"&amp;B45)</f>
        <v/>
      </c>
      <c r="D45" s="0" t="str">
        <f aca="false">IF(A45="","",IFERROR(--'List 1'!B45,0))</f>
        <v/>
      </c>
      <c r="F45" s="0" t="str">
        <f aca="false">IF(TRIM('List 2'!A45&amp;'List 2'!C45&amp;'List 2'!D45)="","",LOWER(IF(OR(Comparison!$I$9="Item # + Part # + Description",Comparison!$I$9="Item # + Part #"),TRIM('List 2'!A45),"")&amp;"|"&amp;TRIM('List 2'!C45)&amp;"|"&amp;IF(OR(Comparison!$I$9="Item # + Part # + Description",Comparison!$I$9="Part # + Description"),TRIM('List 2'!D45),"")))</f>
        <v/>
      </c>
      <c r="G45" s="0" t="str">
        <f aca="false">IF(F45="","",SUMPRODUCT(--($F$2:F45=F45)))</f>
        <v/>
      </c>
      <c r="H45" s="0" t="str">
        <f aca="false">IF(F45="","",F45&amp;"#"&amp;G45)</f>
        <v/>
      </c>
      <c r="I45" s="0" t="str">
        <f aca="false">IF(F45="","",IFERROR(--'List 2'!B45,0))</f>
        <v/>
      </c>
      <c r="K45" s="0" t="str">
        <f aca="false">C45</f>
        <v/>
      </c>
      <c r="L45" s="0" t="str">
        <f aca="false">IF(K45="","",IF(ISNUMBER('List 1'!A45),'List 1'!A45,TRIM('List 1'!A45)))</f>
        <v/>
      </c>
      <c r="M45" s="0" t="str">
        <f aca="false">IF(K45="","",IF(ISNUMBER('List 1'!C45),'List 1'!C45,TRIM('List 1'!C45)))</f>
        <v/>
      </c>
      <c r="N45" s="0" t="str">
        <f aca="false">IF(K45="","",IF(ISNUMBER('List 1'!D45),'List 1'!D45,TRIM('List 1'!D45)))</f>
        <v/>
      </c>
      <c r="O45" s="0" t="str">
        <f aca="false">IF(K45="","",D45)</f>
        <v/>
      </c>
      <c r="P45" s="0" t="str">
        <f aca="false">IF(K45="","",IF(R45,SUMPRODUCT(--($H$2:$H$501=K45),$I$2:$I$501),0))</f>
        <v/>
      </c>
      <c r="Q45" s="0" t="str">
        <f aca="false">IF(K45="","",TRUE())</f>
        <v/>
      </c>
      <c r="R45" s="0" t="str">
        <f aca="false">IF(K45="","",SUMPRODUCT(--($H$2:$H$501=K45))&gt;0)</f>
        <v/>
      </c>
      <c r="S45" s="0" t="str">
        <f aca="false">IF(K45="","",IF(AND(Q45,R45),IF(O45=P45,"Match","Qty Different"),IF(Q45,"Only in List 1","Only in List 2")))</f>
        <v/>
      </c>
      <c r="T45" s="0" t="str">
        <f aca="false">IF(K45="","",IF(ISNUMBER(--L45),TEXT(--L45,"000000000000.000"),LOWER(L45)))</f>
        <v/>
      </c>
      <c r="U45" s="0" t="str">
        <f aca="false">IF(K45="","",IF(ISNUMBER(--M45),TEXT(--M45,"000000000000.000"),LOWER(M45)))</f>
        <v/>
      </c>
      <c r="V45" s="0" t="str">
        <f aca="false">IF(K45="","",LOWER(N45))</f>
        <v/>
      </c>
      <c r="W45" s="0" t="str">
        <f aca="false">IF(K45="","",B45)</f>
        <v/>
      </c>
      <c r="X45" s="0" t="str">
        <f aca="false">IF(K45="","",1+SUMPRODUCT(($K$2:$K$1001&lt;&gt;"")*(($T$2:$T$1001&lt;T45)+($T$2:$T$1001=T45)*(($U$2:$U$1001&lt;U45)+($U$2:$U$1001=U45)*(($V$2:$V$1001&lt;V45)+($V$2:$V$1001=V45)*(($W$2:$W$1001&lt;W45)+($W$2:$W$1001=W45)*(ROW($K$2:$K$1001)&lt;ROW(K45))))))))</f>
        <v/>
      </c>
    </row>
    <row r="46" customFormat="false" ht="15" hidden="false" customHeight="false" outlineLevel="0" collapsed="false">
      <c r="A46" s="0" t="str">
        <f aca="false">IF(TRIM('List 1'!A46&amp;'List 1'!C46&amp;'List 1'!D46)="","",LOWER(IF(OR(Comparison!$I$9="Item # + Part # + Description",Comparison!$I$9="Item # + Part #"),TRIM('List 1'!A46),"")&amp;"|"&amp;TRIM('List 1'!C46)&amp;"|"&amp;IF(OR(Comparison!$I$9="Item # + Part # + Description",Comparison!$I$9="Part # + Description"),TRIM('List 1'!D46),"")))</f>
        <v/>
      </c>
      <c r="B46" s="0" t="str">
        <f aca="false">IF(A46="","",SUMPRODUCT(--($A$2:A46=A46)))</f>
        <v/>
      </c>
      <c r="C46" s="0" t="str">
        <f aca="false">IF(A46="","",A46&amp;"#"&amp;B46)</f>
        <v/>
      </c>
      <c r="D46" s="0" t="str">
        <f aca="false">IF(A46="","",IFERROR(--'List 1'!B46,0))</f>
        <v/>
      </c>
      <c r="F46" s="0" t="str">
        <f aca="false">IF(TRIM('List 2'!A46&amp;'List 2'!C46&amp;'List 2'!D46)="","",LOWER(IF(OR(Comparison!$I$9="Item # + Part # + Description",Comparison!$I$9="Item # + Part #"),TRIM('List 2'!A46),"")&amp;"|"&amp;TRIM('List 2'!C46)&amp;"|"&amp;IF(OR(Comparison!$I$9="Item # + Part # + Description",Comparison!$I$9="Part # + Description"),TRIM('List 2'!D46),"")))</f>
        <v/>
      </c>
      <c r="G46" s="0" t="str">
        <f aca="false">IF(F46="","",SUMPRODUCT(--($F$2:F46=F46)))</f>
        <v/>
      </c>
      <c r="H46" s="0" t="str">
        <f aca="false">IF(F46="","",F46&amp;"#"&amp;G46)</f>
        <v/>
      </c>
      <c r="I46" s="0" t="str">
        <f aca="false">IF(F46="","",IFERROR(--'List 2'!B46,0))</f>
        <v/>
      </c>
      <c r="K46" s="0" t="str">
        <f aca="false">C46</f>
        <v/>
      </c>
      <c r="L46" s="0" t="str">
        <f aca="false">IF(K46="","",IF(ISNUMBER('List 1'!A46),'List 1'!A46,TRIM('List 1'!A46)))</f>
        <v/>
      </c>
      <c r="M46" s="0" t="str">
        <f aca="false">IF(K46="","",IF(ISNUMBER('List 1'!C46),'List 1'!C46,TRIM('List 1'!C46)))</f>
        <v/>
      </c>
      <c r="N46" s="0" t="str">
        <f aca="false">IF(K46="","",IF(ISNUMBER('List 1'!D46),'List 1'!D46,TRIM('List 1'!D46)))</f>
        <v/>
      </c>
      <c r="O46" s="0" t="str">
        <f aca="false">IF(K46="","",D46)</f>
        <v/>
      </c>
      <c r="P46" s="0" t="str">
        <f aca="false">IF(K46="","",IF(R46,SUMPRODUCT(--($H$2:$H$501=K46),$I$2:$I$501),0))</f>
        <v/>
      </c>
      <c r="Q46" s="0" t="str">
        <f aca="false">IF(K46="","",TRUE())</f>
        <v/>
      </c>
      <c r="R46" s="0" t="str">
        <f aca="false">IF(K46="","",SUMPRODUCT(--($H$2:$H$501=K46))&gt;0)</f>
        <v/>
      </c>
      <c r="S46" s="0" t="str">
        <f aca="false">IF(K46="","",IF(AND(Q46,R46),IF(O46=P46,"Match","Qty Different"),IF(Q46,"Only in List 1","Only in List 2")))</f>
        <v/>
      </c>
      <c r="T46" s="0" t="str">
        <f aca="false">IF(K46="","",IF(ISNUMBER(--L46),TEXT(--L46,"000000000000.000"),LOWER(L46)))</f>
        <v/>
      </c>
      <c r="U46" s="0" t="str">
        <f aca="false">IF(K46="","",IF(ISNUMBER(--M46),TEXT(--M46,"000000000000.000"),LOWER(M46)))</f>
        <v/>
      </c>
      <c r="V46" s="0" t="str">
        <f aca="false">IF(K46="","",LOWER(N46))</f>
        <v/>
      </c>
      <c r="W46" s="0" t="str">
        <f aca="false">IF(K46="","",B46)</f>
        <v/>
      </c>
      <c r="X46" s="0" t="str">
        <f aca="false">IF(K46="","",1+SUMPRODUCT(($K$2:$K$1001&lt;&gt;"")*(($T$2:$T$1001&lt;T46)+($T$2:$T$1001=T46)*(($U$2:$U$1001&lt;U46)+($U$2:$U$1001=U46)*(($V$2:$V$1001&lt;V46)+($V$2:$V$1001=V46)*(($W$2:$W$1001&lt;W46)+($W$2:$W$1001=W46)*(ROW($K$2:$K$1001)&lt;ROW(K46))))))))</f>
        <v/>
      </c>
    </row>
    <row r="47" customFormat="false" ht="15" hidden="false" customHeight="false" outlineLevel="0" collapsed="false">
      <c r="A47" s="0" t="str">
        <f aca="false">IF(TRIM('List 1'!A47&amp;'List 1'!C47&amp;'List 1'!D47)="","",LOWER(IF(OR(Comparison!$I$9="Item # + Part # + Description",Comparison!$I$9="Item # + Part #"),TRIM('List 1'!A47),"")&amp;"|"&amp;TRIM('List 1'!C47)&amp;"|"&amp;IF(OR(Comparison!$I$9="Item # + Part # + Description",Comparison!$I$9="Part # + Description"),TRIM('List 1'!D47),"")))</f>
        <v/>
      </c>
      <c r="B47" s="0" t="str">
        <f aca="false">IF(A47="","",SUMPRODUCT(--($A$2:A47=A47)))</f>
        <v/>
      </c>
      <c r="C47" s="0" t="str">
        <f aca="false">IF(A47="","",A47&amp;"#"&amp;B47)</f>
        <v/>
      </c>
      <c r="D47" s="0" t="str">
        <f aca="false">IF(A47="","",IFERROR(--'List 1'!B47,0))</f>
        <v/>
      </c>
      <c r="F47" s="0" t="str">
        <f aca="false">IF(TRIM('List 2'!A47&amp;'List 2'!C47&amp;'List 2'!D47)="","",LOWER(IF(OR(Comparison!$I$9="Item # + Part # + Description",Comparison!$I$9="Item # + Part #"),TRIM('List 2'!A47),"")&amp;"|"&amp;TRIM('List 2'!C47)&amp;"|"&amp;IF(OR(Comparison!$I$9="Item # + Part # + Description",Comparison!$I$9="Part # + Description"),TRIM('List 2'!D47),"")))</f>
        <v/>
      </c>
      <c r="G47" s="0" t="str">
        <f aca="false">IF(F47="","",SUMPRODUCT(--($F$2:F47=F47)))</f>
        <v/>
      </c>
      <c r="H47" s="0" t="str">
        <f aca="false">IF(F47="","",F47&amp;"#"&amp;G47)</f>
        <v/>
      </c>
      <c r="I47" s="0" t="str">
        <f aca="false">IF(F47="","",IFERROR(--'List 2'!B47,0))</f>
        <v/>
      </c>
      <c r="K47" s="0" t="str">
        <f aca="false">C47</f>
        <v/>
      </c>
      <c r="L47" s="0" t="str">
        <f aca="false">IF(K47="","",IF(ISNUMBER('List 1'!A47),'List 1'!A47,TRIM('List 1'!A47)))</f>
        <v/>
      </c>
      <c r="M47" s="0" t="str">
        <f aca="false">IF(K47="","",IF(ISNUMBER('List 1'!C47),'List 1'!C47,TRIM('List 1'!C47)))</f>
        <v/>
      </c>
      <c r="N47" s="0" t="str">
        <f aca="false">IF(K47="","",IF(ISNUMBER('List 1'!D47),'List 1'!D47,TRIM('List 1'!D47)))</f>
        <v/>
      </c>
      <c r="O47" s="0" t="str">
        <f aca="false">IF(K47="","",D47)</f>
        <v/>
      </c>
      <c r="P47" s="0" t="str">
        <f aca="false">IF(K47="","",IF(R47,SUMPRODUCT(--($H$2:$H$501=K47),$I$2:$I$501),0))</f>
        <v/>
      </c>
      <c r="Q47" s="0" t="str">
        <f aca="false">IF(K47="","",TRUE())</f>
        <v/>
      </c>
      <c r="R47" s="0" t="str">
        <f aca="false">IF(K47="","",SUMPRODUCT(--($H$2:$H$501=K47))&gt;0)</f>
        <v/>
      </c>
      <c r="S47" s="0" t="str">
        <f aca="false">IF(K47="","",IF(AND(Q47,R47),IF(O47=P47,"Match","Qty Different"),IF(Q47,"Only in List 1","Only in List 2")))</f>
        <v/>
      </c>
      <c r="T47" s="0" t="str">
        <f aca="false">IF(K47="","",IF(ISNUMBER(--L47),TEXT(--L47,"000000000000.000"),LOWER(L47)))</f>
        <v/>
      </c>
      <c r="U47" s="0" t="str">
        <f aca="false">IF(K47="","",IF(ISNUMBER(--M47),TEXT(--M47,"000000000000.000"),LOWER(M47)))</f>
        <v/>
      </c>
      <c r="V47" s="0" t="str">
        <f aca="false">IF(K47="","",LOWER(N47))</f>
        <v/>
      </c>
      <c r="W47" s="0" t="str">
        <f aca="false">IF(K47="","",B47)</f>
        <v/>
      </c>
      <c r="X47" s="0" t="str">
        <f aca="false">IF(K47="","",1+SUMPRODUCT(($K$2:$K$1001&lt;&gt;"")*(($T$2:$T$1001&lt;T47)+($T$2:$T$1001=T47)*(($U$2:$U$1001&lt;U47)+($U$2:$U$1001=U47)*(($V$2:$V$1001&lt;V47)+($V$2:$V$1001=V47)*(($W$2:$W$1001&lt;W47)+($W$2:$W$1001=W47)*(ROW($K$2:$K$1001)&lt;ROW(K47))))))))</f>
        <v/>
      </c>
    </row>
    <row r="48" customFormat="false" ht="15" hidden="false" customHeight="false" outlineLevel="0" collapsed="false">
      <c r="A48" s="0" t="str">
        <f aca="false">IF(TRIM('List 1'!A48&amp;'List 1'!C48&amp;'List 1'!D48)="","",LOWER(IF(OR(Comparison!$I$9="Item # + Part # + Description",Comparison!$I$9="Item # + Part #"),TRIM('List 1'!A48),"")&amp;"|"&amp;TRIM('List 1'!C48)&amp;"|"&amp;IF(OR(Comparison!$I$9="Item # + Part # + Description",Comparison!$I$9="Part # + Description"),TRIM('List 1'!D48),"")))</f>
        <v/>
      </c>
      <c r="B48" s="0" t="str">
        <f aca="false">IF(A48="","",SUMPRODUCT(--($A$2:A48=A48)))</f>
        <v/>
      </c>
      <c r="C48" s="0" t="str">
        <f aca="false">IF(A48="","",A48&amp;"#"&amp;B48)</f>
        <v/>
      </c>
      <c r="D48" s="0" t="str">
        <f aca="false">IF(A48="","",IFERROR(--'List 1'!B48,0))</f>
        <v/>
      </c>
      <c r="F48" s="0" t="str">
        <f aca="false">IF(TRIM('List 2'!A48&amp;'List 2'!C48&amp;'List 2'!D48)="","",LOWER(IF(OR(Comparison!$I$9="Item # + Part # + Description",Comparison!$I$9="Item # + Part #"),TRIM('List 2'!A48),"")&amp;"|"&amp;TRIM('List 2'!C48)&amp;"|"&amp;IF(OR(Comparison!$I$9="Item # + Part # + Description",Comparison!$I$9="Part # + Description"),TRIM('List 2'!D48),"")))</f>
        <v/>
      </c>
      <c r="G48" s="0" t="str">
        <f aca="false">IF(F48="","",SUMPRODUCT(--($F$2:F48=F48)))</f>
        <v/>
      </c>
      <c r="H48" s="0" t="str">
        <f aca="false">IF(F48="","",F48&amp;"#"&amp;G48)</f>
        <v/>
      </c>
      <c r="I48" s="0" t="str">
        <f aca="false">IF(F48="","",IFERROR(--'List 2'!B48,0))</f>
        <v/>
      </c>
      <c r="K48" s="0" t="str">
        <f aca="false">C48</f>
        <v/>
      </c>
      <c r="L48" s="0" t="str">
        <f aca="false">IF(K48="","",IF(ISNUMBER('List 1'!A48),'List 1'!A48,TRIM('List 1'!A48)))</f>
        <v/>
      </c>
      <c r="M48" s="0" t="str">
        <f aca="false">IF(K48="","",IF(ISNUMBER('List 1'!C48),'List 1'!C48,TRIM('List 1'!C48)))</f>
        <v/>
      </c>
      <c r="N48" s="0" t="str">
        <f aca="false">IF(K48="","",IF(ISNUMBER('List 1'!D48),'List 1'!D48,TRIM('List 1'!D48)))</f>
        <v/>
      </c>
      <c r="O48" s="0" t="str">
        <f aca="false">IF(K48="","",D48)</f>
        <v/>
      </c>
      <c r="P48" s="0" t="str">
        <f aca="false">IF(K48="","",IF(R48,SUMPRODUCT(--($H$2:$H$501=K48),$I$2:$I$501),0))</f>
        <v/>
      </c>
      <c r="Q48" s="0" t="str">
        <f aca="false">IF(K48="","",TRUE())</f>
        <v/>
      </c>
      <c r="R48" s="0" t="str">
        <f aca="false">IF(K48="","",SUMPRODUCT(--($H$2:$H$501=K48))&gt;0)</f>
        <v/>
      </c>
      <c r="S48" s="0" t="str">
        <f aca="false">IF(K48="","",IF(AND(Q48,R48),IF(O48=P48,"Match","Qty Different"),IF(Q48,"Only in List 1","Only in List 2")))</f>
        <v/>
      </c>
      <c r="T48" s="0" t="str">
        <f aca="false">IF(K48="","",IF(ISNUMBER(--L48),TEXT(--L48,"000000000000.000"),LOWER(L48)))</f>
        <v/>
      </c>
      <c r="U48" s="0" t="str">
        <f aca="false">IF(K48="","",IF(ISNUMBER(--M48),TEXT(--M48,"000000000000.000"),LOWER(M48)))</f>
        <v/>
      </c>
      <c r="V48" s="0" t="str">
        <f aca="false">IF(K48="","",LOWER(N48))</f>
        <v/>
      </c>
      <c r="W48" s="0" t="str">
        <f aca="false">IF(K48="","",B48)</f>
        <v/>
      </c>
      <c r="X48" s="0" t="str">
        <f aca="false">IF(K48="","",1+SUMPRODUCT(($K$2:$K$1001&lt;&gt;"")*(($T$2:$T$1001&lt;T48)+($T$2:$T$1001=T48)*(($U$2:$U$1001&lt;U48)+($U$2:$U$1001=U48)*(($V$2:$V$1001&lt;V48)+($V$2:$V$1001=V48)*(($W$2:$W$1001&lt;W48)+($W$2:$W$1001=W48)*(ROW($K$2:$K$1001)&lt;ROW(K48))))))))</f>
        <v/>
      </c>
    </row>
    <row r="49" customFormat="false" ht="15" hidden="false" customHeight="false" outlineLevel="0" collapsed="false">
      <c r="A49" s="0" t="str">
        <f aca="false">IF(TRIM('List 1'!A49&amp;'List 1'!C49&amp;'List 1'!D49)="","",LOWER(IF(OR(Comparison!$I$9="Item # + Part # + Description",Comparison!$I$9="Item # + Part #"),TRIM('List 1'!A49),"")&amp;"|"&amp;TRIM('List 1'!C49)&amp;"|"&amp;IF(OR(Comparison!$I$9="Item # + Part # + Description",Comparison!$I$9="Part # + Description"),TRIM('List 1'!D49),"")))</f>
        <v/>
      </c>
      <c r="B49" s="0" t="str">
        <f aca="false">IF(A49="","",SUMPRODUCT(--($A$2:A49=A49)))</f>
        <v/>
      </c>
      <c r="C49" s="0" t="str">
        <f aca="false">IF(A49="","",A49&amp;"#"&amp;B49)</f>
        <v/>
      </c>
      <c r="D49" s="0" t="str">
        <f aca="false">IF(A49="","",IFERROR(--'List 1'!B49,0))</f>
        <v/>
      </c>
      <c r="F49" s="0" t="str">
        <f aca="false">IF(TRIM('List 2'!A49&amp;'List 2'!C49&amp;'List 2'!D49)="","",LOWER(IF(OR(Comparison!$I$9="Item # + Part # + Description",Comparison!$I$9="Item # + Part #"),TRIM('List 2'!A49),"")&amp;"|"&amp;TRIM('List 2'!C49)&amp;"|"&amp;IF(OR(Comparison!$I$9="Item # + Part # + Description",Comparison!$I$9="Part # + Description"),TRIM('List 2'!D49),"")))</f>
        <v/>
      </c>
      <c r="G49" s="0" t="str">
        <f aca="false">IF(F49="","",SUMPRODUCT(--($F$2:F49=F49)))</f>
        <v/>
      </c>
      <c r="H49" s="0" t="str">
        <f aca="false">IF(F49="","",F49&amp;"#"&amp;G49)</f>
        <v/>
      </c>
      <c r="I49" s="0" t="str">
        <f aca="false">IF(F49="","",IFERROR(--'List 2'!B49,0))</f>
        <v/>
      </c>
      <c r="K49" s="0" t="str">
        <f aca="false">C49</f>
        <v/>
      </c>
      <c r="L49" s="0" t="str">
        <f aca="false">IF(K49="","",IF(ISNUMBER('List 1'!A49),'List 1'!A49,TRIM('List 1'!A49)))</f>
        <v/>
      </c>
      <c r="M49" s="0" t="str">
        <f aca="false">IF(K49="","",IF(ISNUMBER('List 1'!C49),'List 1'!C49,TRIM('List 1'!C49)))</f>
        <v/>
      </c>
      <c r="N49" s="0" t="str">
        <f aca="false">IF(K49="","",IF(ISNUMBER('List 1'!D49),'List 1'!D49,TRIM('List 1'!D49)))</f>
        <v/>
      </c>
      <c r="O49" s="0" t="str">
        <f aca="false">IF(K49="","",D49)</f>
        <v/>
      </c>
      <c r="P49" s="0" t="str">
        <f aca="false">IF(K49="","",IF(R49,SUMPRODUCT(--($H$2:$H$501=K49),$I$2:$I$501),0))</f>
        <v/>
      </c>
      <c r="Q49" s="0" t="str">
        <f aca="false">IF(K49="","",TRUE())</f>
        <v/>
      </c>
      <c r="R49" s="0" t="str">
        <f aca="false">IF(K49="","",SUMPRODUCT(--($H$2:$H$501=K49))&gt;0)</f>
        <v/>
      </c>
      <c r="S49" s="0" t="str">
        <f aca="false">IF(K49="","",IF(AND(Q49,R49),IF(O49=P49,"Match","Qty Different"),IF(Q49,"Only in List 1","Only in List 2")))</f>
        <v/>
      </c>
      <c r="T49" s="0" t="str">
        <f aca="false">IF(K49="","",IF(ISNUMBER(--L49),TEXT(--L49,"000000000000.000"),LOWER(L49)))</f>
        <v/>
      </c>
      <c r="U49" s="0" t="str">
        <f aca="false">IF(K49="","",IF(ISNUMBER(--M49),TEXT(--M49,"000000000000.000"),LOWER(M49)))</f>
        <v/>
      </c>
      <c r="V49" s="0" t="str">
        <f aca="false">IF(K49="","",LOWER(N49))</f>
        <v/>
      </c>
      <c r="W49" s="0" t="str">
        <f aca="false">IF(K49="","",B49)</f>
        <v/>
      </c>
      <c r="X49" s="0" t="str">
        <f aca="false">IF(K49="","",1+SUMPRODUCT(($K$2:$K$1001&lt;&gt;"")*(($T$2:$T$1001&lt;T49)+($T$2:$T$1001=T49)*(($U$2:$U$1001&lt;U49)+($U$2:$U$1001=U49)*(($V$2:$V$1001&lt;V49)+($V$2:$V$1001=V49)*(($W$2:$W$1001&lt;W49)+($W$2:$W$1001=W49)*(ROW($K$2:$K$1001)&lt;ROW(K49))))))))</f>
        <v/>
      </c>
    </row>
    <row r="50" customFormat="false" ht="15" hidden="false" customHeight="false" outlineLevel="0" collapsed="false">
      <c r="A50" s="0" t="str">
        <f aca="false">IF(TRIM('List 1'!A50&amp;'List 1'!C50&amp;'List 1'!D50)="","",LOWER(IF(OR(Comparison!$I$9="Item # + Part # + Description",Comparison!$I$9="Item # + Part #"),TRIM('List 1'!A50),"")&amp;"|"&amp;TRIM('List 1'!C50)&amp;"|"&amp;IF(OR(Comparison!$I$9="Item # + Part # + Description",Comparison!$I$9="Part # + Description"),TRIM('List 1'!D50),"")))</f>
        <v/>
      </c>
      <c r="B50" s="0" t="str">
        <f aca="false">IF(A50="","",SUMPRODUCT(--($A$2:A50=A50)))</f>
        <v/>
      </c>
      <c r="C50" s="0" t="str">
        <f aca="false">IF(A50="","",A50&amp;"#"&amp;B50)</f>
        <v/>
      </c>
      <c r="D50" s="0" t="str">
        <f aca="false">IF(A50="","",IFERROR(--'List 1'!B50,0))</f>
        <v/>
      </c>
      <c r="F50" s="0" t="str">
        <f aca="false">IF(TRIM('List 2'!A50&amp;'List 2'!C50&amp;'List 2'!D50)="","",LOWER(IF(OR(Comparison!$I$9="Item # + Part # + Description",Comparison!$I$9="Item # + Part #"),TRIM('List 2'!A50),"")&amp;"|"&amp;TRIM('List 2'!C50)&amp;"|"&amp;IF(OR(Comparison!$I$9="Item # + Part # + Description",Comparison!$I$9="Part # + Description"),TRIM('List 2'!D50),"")))</f>
        <v/>
      </c>
      <c r="G50" s="0" t="str">
        <f aca="false">IF(F50="","",SUMPRODUCT(--($F$2:F50=F50)))</f>
        <v/>
      </c>
      <c r="H50" s="0" t="str">
        <f aca="false">IF(F50="","",F50&amp;"#"&amp;G50)</f>
        <v/>
      </c>
      <c r="I50" s="0" t="str">
        <f aca="false">IF(F50="","",IFERROR(--'List 2'!B50,0))</f>
        <v/>
      </c>
      <c r="K50" s="0" t="str">
        <f aca="false">C50</f>
        <v/>
      </c>
      <c r="L50" s="0" t="str">
        <f aca="false">IF(K50="","",IF(ISNUMBER('List 1'!A50),'List 1'!A50,TRIM('List 1'!A50)))</f>
        <v/>
      </c>
      <c r="M50" s="0" t="str">
        <f aca="false">IF(K50="","",IF(ISNUMBER('List 1'!C50),'List 1'!C50,TRIM('List 1'!C50)))</f>
        <v/>
      </c>
      <c r="N50" s="0" t="str">
        <f aca="false">IF(K50="","",IF(ISNUMBER('List 1'!D50),'List 1'!D50,TRIM('List 1'!D50)))</f>
        <v/>
      </c>
      <c r="O50" s="0" t="str">
        <f aca="false">IF(K50="","",D50)</f>
        <v/>
      </c>
      <c r="P50" s="0" t="str">
        <f aca="false">IF(K50="","",IF(R50,SUMPRODUCT(--($H$2:$H$501=K50),$I$2:$I$501),0))</f>
        <v/>
      </c>
      <c r="Q50" s="0" t="str">
        <f aca="false">IF(K50="","",TRUE())</f>
        <v/>
      </c>
      <c r="R50" s="0" t="str">
        <f aca="false">IF(K50="","",SUMPRODUCT(--($H$2:$H$501=K50))&gt;0)</f>
        <v/>
      </c>
      <c r="S50" s="0" t="str">
        <f aca="false">IF(K50="","",IF(AND(Q50,R50),IF(O50=P50,"Match","Qty Different"),IF(Q50,"Only in List 1","Only in List 2")))</f>
        <v/>
      </c>
      <c r="T50" s="0" t="str">
        <f aca="false">IF(K50="","",IF(ISNUMBER(--L50),TEXT(--L50,"000000000000.000"),LOWER(L50)))</f>
        <v/>
      </c>
      <c r="U50" s="0" t="str">
        <f aca="false">IF(K50="","",IF(ISNUMBER(--M50),TEXT(--M50,"000000000000.000"),LOWER(M50)))</f>
        <v/>
      </c>
      <c r="V50" s="0" t="str">
        <f aca="false">IF(K50="","",LOWER(N50))</f>
        <v/>
      </c>
      <c r="W50" s="0" t="str">
        <f aca="false">IF(K50="","",B50)</f>
        <v/>
      </c>
      <c r="X50" s="0" t="str">
        <f aca="false">IF(K50="","",1+SUMPRODUCT(($K$2:$K$1001&lt;&gt;"")*(($T$2:$T$1001&lt;T50)+($T$2:$T$1001=T50)*(($U$2:$U$1001&lt;U50)+($U$2:$U$1001=U50)*(($V$2:$V$1001&lt;V50)+($V$2:$V$1001=V50)*(($W$2:$W$1001&lt;W50)+($W$2:$W$1001=W50)*(ROW($K$2:$K$1001)&lt;ROW(K50))))))))</f>
        <v/>
      </c>
    </row>
    <row r="51" customFormat="false" ht="15" hidden="false" customHeight="false" outlineLevel="0" collapsed="false">
      <c r="A51" s="0" t="str">
        <f aca="false">IF(TRIM('List 1'!A51&amp;'List 1'!C51&amp;'List 1'!D51)="","",LOWER(IF(OR(Comparison!$I$9="Item # + Part # + Description",Comparison!$I$9="Item # + Part #"),TRIM('List 1'!A51),"")&amp;"|"&amp;TRIM('List 1'!C51)&amp;"|"&amp;IF(OR(Comparison!$I$9="Item # + Part # + Description",Comparison!$I$9="Part # + Description"),TRIM('List 1'!D51),"")))</f>
        <v/>
      </c>
      <c r="B51" s="0" t="str">
        <f aca="false">IF(A51="","",SUMPRODUCT(--($A$2:A51=A51)))</f>
        <v/>
      </c>
      <c r="C51" s="0" t="str">
        <f aca="false">IF(A51="","",A51&amp;"#"&amp;B51)</f>
        <v/>
      </c>
      <c r="D51" s="0" t="str">
        <f aca="false">IF(A51="","",IFERROR(--'List 1'!B51,0))</f>
        <v/>
      </c>
      <c r="F51" s="0" t="str">
        <f aca="false">IF(TRIM('List 2'!A51&amp;'List 2'!C51&amp;'List 2'!D51)="","",LOWER(IF(OR(Comparison!$I$9="Item # + Part # + Description",Comparison!$I$9="Item # + Part #"),TRIM('List 2'!A51),"")&amp;"|"&amp;TRIM('List 2'!C51)&amp;"|"&amp;IF(OR(Comparison!$I$9="Item # + Part # + Description",Comparison!$I$9="Part # + Description"),TRIM('List 2'!D51),"")))</f>
        <v/>
      </c>
      <c r="G51" s="0" t="str">
        <f aca="false">IF(F51="","",SUMPRODUCT(--($F$2:F51=F51)))</f>
        <v/>
      </c>
      <c r="H51" s="0" t="str">
        <f aca="false">IF(F51="","",F51&amp;"#"&amp;G51)</f>
        <v/>
      </c>
      <c r="I51" s="0" t="str">
        <f aca="false">IF(F51="","",IFERROR(--'List 2'!B51,0))</f>
        <v/>
      </c>
      <c r="K51" s="0" t="str">
        <f aca="false">C51</f>
        <v/>
      </c>
      <c r="L51" s="0" t="str">
        <f aca="false">IF(K51="","",IF(ISNUMBER('List 1'!A51),'List 1'!A51,TRIM('List 1'!A51)))</f>
        <v/>
      </c>
      <c r="M51" s="0" t="str">
        <f aca="false">IF(K51="","",IF(ISNUMBER('List 1'!C51),'List 1'!C51,TRIM('List 1'!C51)))</f>
        <v/>
      </c>
      <c r="N51" s="0" t="str">
        <f aca="false">IF(K51="","",IF(ISNUMBER('List 1'!D51),'List 1'!D51,TRIM('List 1'!D51)))</f>
        <v/>
      </c>
      <c r="O51" s="0" t="str">
        <f aca="false">IF(K51="","",D51)</f>
        <v/>
      </c>
      <c r="P51" s="0" t="str">
        <f aca="false">IF(K51="","",IF(R51,SUMPRODUCT(--($H$2:$H$501=K51),$I$2:$I$501),0))</f>
        <v/>
      </c>
      <c r="Q51" s="0" t="str">
        <f aca="false">IF(K51="","",TRUE())</f>
        <v/>
      </c>
      <c r="R51" s="0" t="str">
        <f aca="false">IF(K51="","",SUMPRODUCT(--($H$2:$H$501=K51))&gt;0)</f>
        <v/>
      </c>
      <c r="S51" s="0" t="str">
        <f aca="false">IF(K51="","",IF(AND(Q51,R51),IF(O51=P51,"Match","Qty Different"),IF(Q51,"Only in List 1","Only in List 2")))</f>
        <v/>
      </c>
      <c r="T51" s="0" t="str">
        <f aca="false">IF(K51="","",IF(ISNUMBER(--L51),TEXT(--L51,"000000000000.000"),LOWER(L51)))</f>
        <v/>
      </c>
      <c r="U51" s="0" t="str">
        <f aca="false">IF(K51="","",IF(ISNUMBER(--M51),TEXT(--M51,"000000000000.000"),LOWER(M51)))</f>
        <v/>
      </c>
      <c r="V51" s="0" t="str">
        <f aca="false">IF(K51="","",LOWER(N51))</f>
        <v/>
      </c>
      <c r="W51" s="0" t="str">
        <f aca="false">IF(K51="","",B51)</f>
        <v/>
      </c>
      <c r="X51" s="0" t="str">
        <f aca="false">IF(K51="","",1+SUMPRODUCT(($K$2:$K$1001&lt;&gt;"")*(($T$2:$T$1001&lt;T51)+($T$2:$T$1001=T51)*(($U$2:$U$1001&lt;U51)+($U$2:$U$1001=U51)*(($V$2:$V$1001&lt;V51)+($V$2:$V$1001=V51)*(($W$2:$W$1001&lt;W51)+($W$2:$W$1001=W51)*(ROW($K$2:$K$1001)&lt;ROW(K51))))))))</f>
        <v/>
      </c>
    </row>
    <row r="52" customFormat="false" ht="15" hidden="false" customHeight="false" outlineLevel="0" collapsed="false">
      <c r="A52" s="0" t="str">
        <f aca="false">IF(TRIM('List 1'!A52&amp;'List 1'!C52&amp;'List 1'!D52)="","",LOWER(IF(OR(Comparison!$I$9="Item # + Part # + Description",Comparison!$I$9="Item # + Part #"),TRIM('List 1'!A52),"")&amp;"|"&amp;TRIM('List 1'!C52)&amp;"|"&amp;IF(OR(Comparison!$I$9="Item # + Part # + Description",Comparison!$I$9="Part # + Description"),TRIM('List 1'!D52),"")))</f>
        <v/>
      </c>
      <c r="B52" s="0" t="str">
        <f aca="false">IF(A52="","",SUMPRODUCT(--($A$2:A52=A52)))</f>
        <v/>
      </c>
      <c r="C52" s="0" t="str">
        <f aca="false">IF(A52="","",A52&amp;"#"&amp;B52)</f>
        <v/>
      </c>
      <c r="D52" s="0" t="str">
        <f aca="false">IF(A52="","",IFERROR(--'List 1'!B52,0))</f>
        <v/>
      </c>
      <c r="F52" s="0" t="str">
        <f aca="false">IF(TRIM('List 2'!A52&amp;'List 2'!C52&amp;'List 2'!D52)="","",LOWER(IF(OR(Comparison!$I$9="Item # + Part # + Description",Comparison!$I$9="Item # + Part #"),TRIM('List 2'!A52),"")&amp;"|"&amp;TRIM('List 2'!C52)&amp;"|"&amp;IF(OR(Comparison!$I$9="Item # + Part # + Description",Comparison!$I$9="Part # + Description"),TRIM('List 2'!D52),"")))</f>
        <v/>
      </c>
      <c r="G52" s="0" t="str">
        <f aca="false">IF(F52="","",SUMPRODUCT(--($F$2:F52=F52)))</f>
        <v/>
      </c>
      <c r="H52" s="0" t="str">
        <f aca="false">IF(F52="","",F52&amp;"#"&amp;G52)</f>
        <v/>
      </c>
      <c r="I52" s="0" t="str">
        <f aca="false">IF(F52="","",IFERROR(--'List 2'!B52,0))</f>
        <v/>
      </c>
      <c r="K52" s="0" t="str">
        <f aca="false">C52</f>
        <v/>
      </c>
      <c r="L52" s="0" t="str">
        <f aca="false">IF(K52="","",IF(ISNUMBER('List 1'!A52),'List 1'!A52,TRIM('List 1'!A52)))</f>
        <v/>
      </c>
      <c r="M52" s="0" t="str">
        <f aca="false">IF(K52="","",IF(ISNUMBER('List 1'!C52),'List 1'!C52,TRIM('List 1'!C52)))</f>
        <v/>
      </c>
      <c r="N52" s="0" t="str">
        <f aca="false">IF(K52="","",IF(ISNUMBER('List 1'!D52),'List 1'!D52,TRIM('List 1'!D52)))</f>
        <v/>
      </c>
      <c r="O52" s="0" t="str">
        <f aca="false">IF(K52="","",D52)</f>
        <v/>
      </c>
      <c r="P52" s="0" t="str">
        <f aca="false">IF(K52="","",IF(R52,SUMPRODUCT(--($H$2:$H$501=K52),$I$2:$I$501),0))</f>
        <v/>
      </c>
      <c r="Q52" s="0" t="str">
        <f aca="false">IF(K52="","",TRUE())</f>
        <v/>
      </c>
      <c r="R52" s="0" t="str">
        <f aca="false">IF(K52="","",SUMPRODUCT(--($H$2:$H$501=K52))&gt;0)</f>
        <v/>
      </c>
      <c r="S52" s="0" t="str">
        <f aca="false">IF(K52="","",IF(AND(Q52,R52),IF(O52=P52,"Match","Qty Different"),IF(Q52,"Only in List 1","Only in List 2")))</f>
        <v/>
      </c>
      <c r="T52" s="0" t="str">
        <f aca="false">IF(K52="","",IF(ISNUMBER(--L52),TEXT(--L52,"000000000000.000"),LOWER(L52)))</f>
        <v/>
      </c>
      <c r="U52" s="0" t="str">
        <f aca="false">IF(K52="","",IF(ISNUMBER(--M52),TEXT(--M52,"000000000000.000"),LOWER(M52)))</f>
        <v/>
      </c>
      <c r="V52" s="0" t="str">
        <f aca="false">IF(K52="","",LOWER(N52))</f>
        <v/>
      </c>
      <c r="W52" s="0" t="str">
        <f aca="false">IF(K52="","",B52)</f>
        <v/>
      </c>
      <c r="X52" s="0" t="str">
        <f aca="false">IF(K52="","",1+SUMPRODUCT(($K$2:$K$1001&lt;&gt;"")*(($T$2:$T$1001&lt;T52)+($T$2:$T$1001=T52)*(($U$2:$U$1001&lt;U52)+($U$2:$U$1001=U52)*(($V$2:$V$1001&lt;V52)+($V$2:$V$1001=V52)*(($W$2:$W$1001&lt;W52)+($W$2:$W$1001=W52)*(ROW($K$2:$K$1001)&lt;ROW(K52))))))))</f>
        <v/>
      </c>
    </row>
    <row r="53" customFormat="false" ht="15" hidden="false" customHeight="false" outlineLevel="0" collapsed="false">
      <c r="A53" s="0" t="str">
        <f aca="false">IF(TRIM('List 1'!A53&amp;'List 1'!C53&amp;'List 1'!D53)="","",LOWER(IF(OR(Comparison!$I$9="Item # + Part # + Description",Comparison!$I$9="Item # + Part #"),TRIM('List 1'!A53),"")&amp;"|"&amp;TRIM('List 1'!C53)&amp;"|"&amp;IF(OR(Comparison!$I$9="Item # + Part # + Description",Comparison!$I$9="Part # + Description"),TRIM('List 1'!D53),"")))</f>
        <v/>
      </c>
      <c r="B53" s="0" t="str">
        <f aca="false">IF(A53="","",SUMPRODUCT(--($A$2:A53=A53)))</f>
        <v/>
      </c>
      <c r="C53" s="0" t="str">
        <f aca="false">IF(A53="","",A53&amp;"#"&amp;B53)</f>
        <v/>
      </c>
      <c r="D53" s="0" t="str">
        <f aca="false">IF(A53="","",IFERROR(--'List 1'!B53,0))</f>
        <v/>
      </c>
      <c r="F53" s="0" t="str">
        <f aca="false">IF(TRIM('List 2'!A53&amp;'List 2'!C53&amp;'List 2'!D53)="","",LOWER(IF(OR(Comparison!$I$9="Item # + Part # + Description",Comparison!$I$9="Item # + Part #"),TRIM('List 2'!A53),"")&amp;"|"&amp;TRIM('List 2'!C53)&amp;"|"&amp;IF(OR(Comparison!$I$9="Item # + Part # + Description",Comparison!$I$9="Part # + Description"),TRIM('List 2'!D53),"")))</f>
        <v/>
      </c>
      <c r="G53" s="0" t="str">
        <f aca="false">IF(F53="","",SUMPRODUCT(--($F$2:F53=F53)))</f>
        <v/>
      </c>
      <c r="H53" s="0" t="str">
        <f aca="false">IF(F53="","",F53&amp;"#"&amp;G53)</f>
        <v/>
      </c>
      <c r="I53" s="0" t="str">
        <f aca="false">IF(F53="","",IFERROR(--'List 2'!B53,0))</f>
        <v/>
      </c>
      <c r="K53" s="0" t="str">
        <f aca="false">C53</f>
        <v/>
      </c>
      <c r="L53" s="0" t="str">
        <f aca="false">IF(K53="","",IF(ISNUMBER('List 1'!A53),'List 1'!A53,TRIM('List 1'!A53)))</f>
        <v/>
      </c>
      <c r="M53" s="0" t="str">
        <f aca="false">IF(K53="","",IF(ISNUMBER('List 1'!C53),'List 1'!C53,TRIM('List 1'!C53)))</f>
        <v/>
      </c>
      <c r="N53" s="0" t="str">
        <f aca="false">IF(K53="","",IF(ISNUMBER('List 1'!D53),'List 1'!D53,TRIM('List 1'!D53)))</f>
        <v/>
      </c>
      <c r="O53" s="0" t="str">
        <f aca="false">IF(K53="","",D53)</f>
        <v/>
      </c>
      <c r="P53" s="0" t="str">
        <f aca="false">IF(K53="","",IF(R53,SUMPRODUCT(--($H$2:$H$501=K53),$I$2:$I$501),0))</f>
        <v/>
      </c>
      <c r="Q53" s="0" t="str">
        <f aca="false">IF(K53="","",TRUE())</f>
        <v/>
      </c>
      <c r="R53" s="0" t="str">
        <f aca="false">IF(K53="","",SUMPRODUCT(--($H$2:$H$501=K53))&gt;0)</f>
        <v/>
      </c>
      <c r="S53" s="0" t="str">
        <f aca="false">IF(K53="","",IF(AND(Q53,R53),IF(O53=P53,"Match","Qty Different"),IF(Q53,"Only in List 1","Only in List 2")))</f>
        <v/>
      </c>
      <c r="T53" s="0" t="str">
        <f aca="false">IF(K53="","",IF(ISNUMBER(--L53),TEXT(--L53,"000000000000.000"),LOWER(L53)))</f>
        <v/>
      </c>
      <c r="U53" s="0" t="str">
        <f aca="false">IF(K53="","",IF(ISNUMBER(--M53),TEXT(--M53,"000000000000.000"),LOWER(M53)))</f>
        <v/>
      </c>
      <c r="V53" s="0" t="str">
        <f aca="false">IF(K53="","",LOWER(N53))</f>
        <v/>
      </c>
      <c r="W53" s="0" t="str">
        <f aca="false">IF(K53="","",B53)</f>
        <v/>
      </c>
      <c r="X53" s="0" t="str">
        <f aca="false">IF(K53="","",1+SUMPRODUCT(($K$2:$K$1001&lt;&gt;"")*(($T$2:$T$1001&lt;T53)+($T$2:$T$1001=T53)*(($U$2:$U$1001&lt;U53)+($U$2:$U$1001=U53)*(($V$2:$V$1001&lt;V53)+($V$2:$V$1001=V53)*(($W$2:$W$1001&lt;W53)+($W$2:$W$1001=W53)*(ROW($K$2:$K$1001)&lt;ROW(K53))))))))</f>
        <v/>
      </c>
    </row>
    <row r="54" customFormat="false" ht="15" hidden="false" customHeight="false" outlineLevel="0" collapsed="false">
      <c r="A54" s="0" t="str">
        <f aca="false">IF(TRIM('List 1'!A54&amp;'List 1'!C54&amp;'List 1'!D54)="","",LOWER(IF(OR(Comparison!$I$9="Item # + Part # + Description",Comparison!$I$9="Item # + Part #"),TRIM('List 1'!A54),"")&amp;"|"&amp;TRIM('List 1'!C54)&amp;"|"&amp;IF(OR(Comparison!$I$9="Item # + Part # + Description",Comparison!$I$9="Part # + Description"),TRIM('List 1'!D54),"")))</f>
        <v/>
      </c>
      <c r="B54" s="0" t="str">
        <f aca="false">IF(A54="","",SUMPRODUCT(--($A$2:A54=A54)))</f>
        <v/>
      </c>
      <c r="C54" s="0" t="str">
        <f aca="false">IF(A54="","",A54&amp;"#"&amp;B54)</f>
        <v/>
      </c>
      <c r="D54" s="0" t="str">
        <f aca="false">IF(A54="","",IFERROR(--'List 1'!B54,0))</f>
        <v/>
      </c>
      <c r="F54" s="0" t="str">
        <f aca="false">IF(TRIM('List 2'!A54&amp;'List 2'!C54&amp;'List 2'!D54)="","",LOWER(IF(OR(Comparison!$I$9="Item # + Part # + Description",Comparison!$I$9="Item # + Part #"),TRIM('List 2'!A54),"")&amp;"|"&amp;TRIM('List 2'!C54)&amp;"|"&amp;IF(OR(Comparison!$I$9="Item # + Part # + Description",Comparison!$I$9="Part # + Description"),TRIM('List 2'!D54),"")))</f>
        <v/>
      </c>
      <c r="G54" s="0" t="str">
        <f aca="false">IF(F54="","",SUMPRODUCT(--($F$2:F54=F54)))</f>
        <v/>
      </c>
      <c r="H54" s="0" t="str">
        <f aca="false">IF(F54="","",F54&amp;"#"&amp;G54)</f>
        <v/>
      </c>
      <c r="I54" s="0" t="str">
        <f aca="false">IF(F54="","",IFERROR(--'List 2'!B54,0))</f>
        <v/>
      </c>
      <c r="K54" s="0" t="str">
        <f aca="false">C54</f>
        <v/>
      </c>
      <c r="L54" s="0" t="str">
        <f aca="false">IF(K54="","",IF(ISNUMBER('List 1'!A54),'List 1'!A54,TRIM('List 1'!A54)))</f>
        <v/>
      </c>
      <c r="M54" s="0" t="str">
        <f aca="false">IF(K54="","",IF(ISNUMBER('List 1'!C54),'List 1'!C54,TRIM('List 1'!C54)))</f>
        <v/>
      </c>
      <c r="N54" s="0" t="str">
        <f aca="false">IF(K54="","",IF(ISNUMBER('List 1'!D54),'List 1'!D54,TRIM('List 1'!D54)))</f>
        <v/>
      </c>
      <c r="O54" s="0" t="str">
        <f aca="false">IF(K54="","",D54)</f>
        <v/>
      </c>
      <c r="P54" s="0" t="str">
        <f aca="false">IF(K54="","",IF(R54,SUMPRODUCT(--($H$2:$H$501=K54),$I$2:$I$501),0))</f>
        <v/>
      </c>
      <c r="Q54" s="0" t="str">
        <f aca="false">IF(K54="","",TRUE())</f>
        <v/>
      </c>
      <c r="R54" s="0" t="str">
        <f aca="false">IF(K54="","",SUMPRODUCT(--($H$2:$H$501=K54))&gt;0)</f>
        <v/>
      </c>
      <c r="S54" s="0" t="str">
        <f aca="false">IF(K54="","",IF(AND(Q54,R54),IF(O54=P54,"Match","Qty Different"),IF(Q54,"Only in List 1","Only in List 2")))</f>
        <v/>
      </c>
      <c r="T54" s="0" t="str">
        <f aca="false">IF(K54="","",IF(ISNUMBER(--L54),TEXT(--L54,"000000000000.000"),LOWER(L54)))</f>
        <v/>
      </c>
      <c r="U54" s="0" t="str">
        <f aca="false">IF(K54="","",IF(ISNUMBER(--M54),TEXT(--M54,"000000000000.000"),LOWER(M54)))</f>
        <v/>
      </c>
      <c r="V54" s="0" t="str">
        <f aca="false">IF(K54="","",LOWER(N54))</f>
        <v/>
      </c>
      <c r="W54" s="0" t="str">
        <f aca="false">IF(K54="","",B54)</f>
        <v/>
      </c>
      <c r="X54" s="0" t="str">
        <f aca="false">IF(K54="","",1+SUMPRODUCT(($K$2:$K$1001&lt;&gt;"")*(($T$2:$T$1001&lt;T54)+($T$2:$T$1001=T54)*(($U$2:$U$1001&lt;U54)+($U$2:$U$1001=U54)*(($V$2:$V$1001&lt;V54)+($V$2:$V$1001=V54)*(($W$2:$W$1001&lt;W54)+($W$2:$W$1001=W54)*(ROW($K$2:$K$1001)&lt;ROW(K54))))))))</f>
        <v/>
      </c>
    </row>
    <row r="55" customFormat="false" ht="15" hidden="false" customHeight="false" outlineLevel="0" collapsed="false">
      <c r="A55" s="0" t="str">
        <f aca="false">IF(TRIM('List 1'!A55&amp;'List 1'!C55&amp;'List 1'!D55)="","",LOWER(IF(OR(Comparison!$I$9="Item # + Part # + Description",Comparison!$I$9="Item # + Part #"),TRIM('List 1'!A55),"")&amp;"|"&amp;TRIM('List 1'!C55)&amp;"|"&amp;IF(OR(Comparison!$I$9="Item # + Part # + Description",Comparison!$I$9="Part # + Description"),TRIM('List 1'!D55),"")))</f>
        <v/>
      </c>
      <c r="B55" s="0" t="str">
        <f aca="false">IF(A55="","",SUMPRODUCT(--($A$2:A55=A55)))</f>
        <v/>
      </c>
      <c r="C55" s="0" t="str">
        <f aca="false">IF(A55="","",A55&amp;"#"&amp;B55)</f>
        <v/>
      </c>
      <c r="D55" s="0" t="str">
        <f aca="false">IF(A55="","",IFERROR(--'List 1'!B55,0))</f>
        <v/>
      </c>
      <c r="F55" s="0" t="str">
        <f aca="false">IF(TRIM('List 2'!A55&amp;'List 2'!C55&amp;'List 2'!D55)="","",LOWER(IF(OR(Comparison!$I$9="Item # + Part # + Description",Comparison!$I$9="Item # + Part #"),TRIM('List 2'!A55),"")&amp;"|"&amp;TRIM('List 2'!C55)&amp;"|"&amp;IF(OR(Comparison!$I$9="Item # + Part # + Description",Comparison!$I$9="Part # + Description"),TRIM('List 2'!D55),"")))</f>
        <v/>
      </c>
      <c r="G55" s="0" t="str">
        <f aca="false">IF(F55="","",SUMPRODUCT(--($F$2:F55=F55)))</f>
        <v/>
      </c>
      <c r="H55" s="0" t="str">
        <f aca="false">IF(F55="","",F55&amp;"#"&amp;G55)</f>
        <v/>
      </c>
      <c r="I55" s="0" t="str">
        <f aca="false">IF(F55="","",IFERROR(--'List 2'!B55,0))</f>
        <v/>
      </c>
      <c r="K55" s="0" t="str">
        <f aca="false">C55</f>
        <v/>
      </c>
      <c r="L55" s="0" t="str">
        <f aca="false">IF(K55="","",IF(ISNUMBER('List 1'!A55),'List 1'!A55,TRIM('List 1'!A55)))</f>
        <v/>
      </c>
      <c r="M55" s="0" t="str">
        <f aca="false">IF(K55="","",IF(ISNUMBER('List 1'!C55),'List 1'!C55,TRIM('List 1'!C55)))</f>
        <v/>
      </c>
      <c r="N55" s="0" t="str">
        <f aca="false">IF(K55="","",IF(ISNUMBER('List 1'!D55),'List 1'!D55,TRIM('List 1'!D55)))</f>
        <v/>
      </c>
      <c r="O55" s="0" t="str">
        <f aca="false">IF(K55="","",D55)</f>
        <v/>
      </c>
      <c r="P55" s="0" t="str">
        <f aca="false">IF(K55="","",IF(R55,SUMPRODUCT(--($H$2:$H$501=K55),$I$2:$I$501),0))</f>
        <v/>
      </c>
      <c r="Q55" s="0" t="str">
        <f aca="false">IF(K55="","",TRUE())</f>
        <v/>
      </c>
      <c r="R55" s="0" t="str">
        <f aca="false">IF(K55="","",SUMPRODUCT(--($H$2:$H$501=K55))&gt;0)</f>
        <v/>
      </c>
      <c r="S55" s="0" t="str">
        <f aca="false">IF(K55="","",IF(AND(Q55,R55),IF(O55=P55,"Match","Qty Different"),IF(Q55,"Only in List 1","Only in List 2")))</f>
        <v/>
      </c>
      <c r="T55" s="0" t="str">
        <f aca="false">IF(K55="","",IF(ISNUMBER(--L55),TEXT(--L55,"000000000000.000"),LOWER(L55)))</f>
        <v/>
      </c>
      <c r="U55" s="0" t="str">
        <f aca="false">IF(K55="","",IF(ISNUMBER(--M55),TEXT(--M55,"000000000000.000"),LOWER(M55)))</f>
        <v/>
      </c>
      <c r="V55" s="0" t="str">
        <f aca="false">IF(K55="","",LOWER(N55))</f>
        <v/>
      </c>
      <c r="W55" s="0" t="str">
        <f aca="false">IF(K55="","",B55)</f>
        <v/>
      </c>
      <c r="X55" s="0" t="str">
        <f aca="false">IF(K55="","",1+SUMPRODUCT(($K$2:$K$1001&lt;&gt;"")*(($T$2:$T$1001&lt;T55)+($T$2:$T$1001=T55)*(($U$2:$U$1001&lt;U55)+($U$2:$U$1001=U55)*(($V$2:$V$1001&lt;V55)+($V$2:$V$1001=V55)*(($W$2:$W$1001&lt;W55)+($W$2:$W$1001=W55)*(ROW($K$2:$K$1001)&lt;ROW(K55))))))))</f>
        <v/>
      </c>
    </row>
    <row r="56" customFormat="false" ht="15" hidden="false" customHeight="false" outlineLevel="0" collapsed="false">
      <c r="A56" s="0" t="str">
        <f aca="false">IF(TRIM('List 1'!A56&amp;'List 1'!C56&amp;'List 1'!D56)="","",LOWER(IF(OR(Comparison!$I$9="Item # + Part # + Description",Comparison!$I$9="Item # + Part #"),TRIM('List 1'!A56),"")&amp;"|"&amp;TRIM('List 1'!C56)&amp;"|"&amp;IF(OR(Comparison!$I$9="Item # + Part # + Description",Comparison!$I$9="Part # + Description"),TRIM('List 1'!D56),"")))</f>
        <v/>
      </c>
      <c r="B56" s="0" t="str">
        <f aca="false">IF(A56="","",SUMPRODUCT(--($A$2:A56=A56)))</f>
        <v/>
      </c>
      <c r="C56" s="0" t="str">
        <f aca="false">IF(A56="","",A56&amp;"#"&amp;B56)</f>
        <v/>
      </c>
      <c r="D56" s="0" t="str">
        <f aca="false">IF(A56="","",IFERROR(--'List 1'!B56,0))</f>
        <v/>
      </c>
      <c r="F56" s="0" t="str">
        <f aca="false">IF(TRIM('List 2'!A56&amp;'List 2'!C56&amp;'List 2'!D56)="","",LOWER(IF(OR(Comparison!$I$9="Item # + Part # + Description",Comparison!$I$9="Item # + Part #"),TRIM('List 2'!A56),"")&amp;"|"&amp;TRIM('List 2'!C56)&amp;"|"&amp;IF(OR(Comparison!$I$9="Item # + Part # + Description",Comparison!$I$9="Part # + Description"),TRIM('List 2'!D56),"")))</f>
        <v/>
      </c>
      <c r="G56" s="0" t="str">
        <f aca="false">IF(F56="","",SUMPRODUCT(--($F$2:F56=F56)))</f>
        <v/>
      </c>
      <c r="H56" s="0" t="str">
        <f aca="false">IF(F56="","",F56&amp;"#"&amp;G56)</f>
        <v/>
      </c>
      <c r="I56" s="0" t="str">
        <f aca="false">IF(F56="","",IFERROR(--'List 2'!B56,0))</f>
        <v/>
      </c>
      <c r="K56" s="0" t="str">
        <f aca="false">C56</f>
        <v/>
      </c>
      <c r="L56" s="0" t="str">
        <f aca="false">IF(K56="","",IF(ISNUMBER('List 1'!A56),'List 1'!A56,TRIM('List 1'!A56)))</f>
        <v/>
      </c>
      <c r="M56" s="0" t="str">
        <f aca="false">IF(K56="","",IF(ISNUMBER('List 1'!C56),'List 1'!C56,TRIM('List 1'!C56)))</f>
        <v/>
      </c>
      <c r="N56" s="0" t="str">
        <f aca="false">IF(K56="","",IF(ISNUMBER('List 1'!D56),'List 1'!D56,TRIM('List 1'!D56)))</f>
        <v/>
      </c>
      <c r="O56" s="0" t="str">
        <f aca="false">IF(K56="","",D56)</f>
        <v/>
      </c>
      <c r="P56" s="0" t="str">
        <f aca="false">IF(K56="","",IF(R56,SUMPRODUCT(--($H$2:$H$501=K56),$I$2:$I$501),0))</f>
        <v/>
      </c>
      <c r="Q56" s="0" t="str">
        <f aca="false">IF(K56="","",TRUE())</f>
        <v/>
      </c>
      <c r="R56" s="0" t="str">
        <f aca="false">IF(K56="","",SUMPRODUCT(--($H$2:$H$501=K56))&gt;0)</f>
        <v/>
      </c>
      <c r="S56" s="0" t="str">
        <f aca="false">IF(K56="","",IF(AND(Q56,R56),IF(O56=P56,"Match","Qty Different"),IF(Q56,"Only in List 1","Only in List 2")))</f>
        <v/>
      </c>
      <c r="T56" s="0" t="str">
        <f aca="false">IF(K56="","",IF(ISNUMBER(--L56),TEXT(--L56,"000000000000.000"),LOWER(L56)))</f>
        <v/>
      </c>
      <c r="U56" s="0" t="str">
        <f aca="false">IF(K56="","",IF(ISNUMBER(--M56),TEXT(--M56,"000000000000.000"),LOWER(M56)))</f>
        <v/>
      </c>
      <c r="V56" s="0" t="str">
        <f aca="false">IF(K56="","",LOWER(N56))</f>
        <v/>
      </c>
      <c r="W56" s="0" t="str">
        <f aca="false">IF(K56="","",B56)</f>
        <v/>
      </c>
      <c r="X56" s="0" t="str">
        <f aca="false">IF(K56="","",1+SUMPRODUCT(($K$2:$K$1001&lt;&gt;"")*(($T$2:$T$1001&lt;T56)+($T$2:$T$1001=T56)*(($U$2:$U$1001&lt;U56)+($U$2:$U$1001=U56)*(($V$2:$V$1001&lt;V56)+($V$2:$V$1001=V56)*(($W$2:$W$1001&lt;W56)+($W$2:$W$1001=W56)*(ROW($K$2:$K$1001)&lt;ROW(K56))))))))</f>
        <v/>
      </c>
    </row>
    <row r="57" customFormat="false" ht="15" hidden="false" customHeight="false" outlineLevel="0" collapsed="false">
      <c r="A57" s="0" t="str">
        <f aca="false">IF(TRIM('List 1'!A57&amp;'List 1'!C57&amp;'List 1'!D57)="","",LOWER(IF(OR(Comparison!$I$9="Item # + Part # + Description",Comparison!$I$9="Item # + Part #"),TRIM('List 1'!A57),"")&amp;"|"&amp;TRIM('List 1'!C57)&amp;"|"&amp;IF(OR(Comparison!$I$9="Item # + Part # + Description",Comparison!$I$9="Part # + Description"),TRIM('List 1'!D57),"")))</f>
        <v/>
      </c>
      <c r="B57" s="0" t="str">
        <f aca="false">IF(A57="","",SUMPRODUCT(--($A$2:A57=A57)))</f>
        <v/>
      </c>
      <c r="C57" s="0" t="str">
        <f aca="false">IF(A57="","",A57&amp;"#"&amp;B57)</f>
        <v/>
      </c>
      <c r="D57" s="0" t="str">
        <f aca="false">IF(A57="","",IFERROR(--'List 1'!B57,0))</f>
        <v/>
      </c>
      <c r="F57" s="0" t="str">
        <f aca="false">IF(TRIM('List 2'!A57&amp;'List 2'!C57&amp;'List 2'!D57)="","",LOWER(IF(OR(Comparison!$I$9="Item # + Part # + Description",Comparison!$I$9="Item # + Part #"),TRIM('List 2'!A57),"")&amp;"|"&amp;TRIM('List 2'!C57)&amp;"|"&amp;IF(OR(Comparison!$I$9="Item # + Part # + Description",Comparison!$I$9="Part # + Description"),TRIM('List 2'!D57),"")))</f>
        <v/>
      </c>
      <c r="G57" s="0" t="str">
        <f aca="false">IF(F57="","",SUMPRODUCT(--($F$2:F57=F57)))</f>
        <v/>
      </c>
      <c r="H57" s="0" t="str">
        <f aca="false">IF(F57="","",F57&amp;"#"&amp;G57)</f>
        <v/>
      </c>
      <c r="I57" s="0" t="str">
        <f aca="false">IF(F57="","",IFERROR(--'List 2'!B57,0))</f>
        <v/>
      </c>
      <c r="K57" s="0" t="str">
        <f aca="false">C57</f>
        <v/>
      </c>
      <c r="L57" s="0" t="str">
        <f aca="false">IF(K57="","",IF(ISNUMBER('List 1'!A57),'List 1'!A57,TRIM('List 1'!A57)))</f>
        <v/>
      </c>
      <c r="M57" s="0" t="str">
        <f aca="false">IF(K57="","",IF(ISNUMBER('List 1'!C57),'List 1'!C57,TRIM('List 1'!C57)))</f>
        <v/>
      </c>
      <c r="N57" s="0" t="str">
        <f aca="false">IF(K57="","",IF(ISNUMBER('List 1'!D57),'List 1'!D57,TRIM('List 1'!D57)))</f>
        <v/>
      </c>
      <c r="O57" s="0" t="str">
        <f aca="false">IF(K57="","",D57)</f>
        <v/>
      </c>
      <c r="P57" s="0" t="str">
        <f aca="false">IF(K57="","",IF(R57,SUMPRODUCT(--($H$2:$H$501=K57),$I$2:$I$501),0))</f>
        <v/>
      </c>
      <c r="Q57" s="0" t="str">
        <f aca="false">IF(K57="","",TRUE())</f>
        <v/>
      </c>
      <c r="R57" s="0" t="str">
        <f aca="false">IF(K57="","",SUMPRODUCT(--($H$2:$H$501=K57))&gt;0)</f>
        <v/>
      </c>
      <c r="S57" s="0" t="str">
        <f aca="false">IF(K57="","",IF(AND(Q57,R57),IF(O57=P57,"Match","Qty Different"),IF(Q57,"Only in List 1","Only in List 2")))</f>
        <v/>
      </c>
      <c r="T57" s="0" t="str">
        <f aca="false">IF(K57="","",IF(ISNUMBER(--L57),TEXT(--L57,"000000000000.000"),LOWER(L57)))</f>
        <v/>
      </c>
      <c r="U57" s="0" t="str">
        <f aca="false">IF(K57="","",IF(ISNUMBER(--M57),TEXT(--M57,"000000000000.000"),LOWER(M57)))</f>
        <v/>
      </c>
      <c r="V57" s="0" t="str">
        <f aca="false">IF(K57="","",LOWER(N57))</f>
        <v/>
      </c>
      <c r="W57" s="0" t="str">
        <f aca="false">IF(K57="","",B57)</f>
        <v/>
      </c>
      <c r="X57" s="0" t="str">
        <f aca="false">IF(K57="","",1+SUMPRODUCT(($K$2:$K$1001&lt;&gt;"")*(($T$2:$T$1001&lt;T57)+($T$2:$T$1001=T57)*(($U$2:$U$1001&lt;U57)+($U$2:$U$1001=U57)*(($V$2:$V$1001&lt;V57)+($V$2:$V$1001=V57)*(($W$2:$W$1001&lt;W57)+($W$2:$W$1001=W57)*(ROW($K$2:$K$1001)&lt;ROW(K57))))))))</f>
        <v/>
      </c>
    </row>
    <row r="58" customFormat="false" ht="15" hidden="false" customHeight="false" outlineLevel="0" collapsed="false">
      <c r="A58" s="0" t="str">
        <f aca="false">IF(TRIM('List 1'!A58&amp;'List 1'!C58&amp;'List 1'!D58)="","",LOWER(IF(OR(Comparison!$I$9="Item # + Part # + Description",Comparison!$I$9="Item # + Part #"),TRIM('List 1'!A58),"")&amp;"|"&amp;TRIM('List 1'!C58)&amp;"|"&amp;IF(OR(Comparison!$I$9="Item # + Part # + Description",Comparison!$I$9="Part # + Description"),TRIM('List 1'!D58),"")))</f>
        <v/>
      </c>
      <c r="B58" s="0" t="str">
        <f aca="false">IF(A58="","",SUMPRODUCT(--($A$2:A58=A58)))</f>
        <v/>
      </c>
      <c r="C58" s="0" t="str">
        <f aca="false">IF(A58="","",A58&amp;"#"&amp;B58)</f>
        <v/>
      </c>
      <c r="D58" s="0" t="str">
        <f aca="false">IF(A58="","",IFERROR(--'List 1'!B58,0))</f>
        <v/>
      </c>
      <c r="F58" s="0" t="str">
        <f aca="false">IF(TRIM('List 2'!A58&amp;'List 2'!C58&amp;'List 2'!D58)="","",LOWER(IF(OR(Comparison!$I$9="Item # + Part # + Description",Comparison!$I$9="Item # + Part #"),TRIM('List 2'!A58),"")&amp;"|"&amp;TRIM('List 2'!C58)&amp;"|"&amp;IF(OR(Comparison!$I$9="Item # + Part # + Description",Comparison!$I$9="Part # + Description"),TRIM('List 2'!D58),"")))</f>
        <v/>
      </c>
      <c r="G58" s="0" t="str">
        <f aca="false">IF(F58="","",SUMPRODUCT(--($F$2:F58=F58)))</f>
        <v/>
      </c>
      <c r="H58" s="0" t="str">
        <f aca="false">IF(F58="","",F58&amp;"#"&amp;G58)</f>
        <v/>
      </c>
      <c r="I58" s="0" t="str">
        <f aca="false">IF(F58="","",IFERROR(--'List 2'!B58,0))</f>
        <v/>
      </c>
      <c r="K58" s="0" t="str">
        <f aca="false">C58</f>
        <v/>
      </c>
      <c r="L58" s="0" t="str">
        <f aca="false">IF(K58="","",IF(ISNUMBER('List 1'!A58),'List 1'!A58,TRIM('List 1'!A58)))</f>
        <v/>
      </c>
      <c r="M58" s="0" t="str">
        <f aca="false">IF(K58="","",IF(ISNUMBER('List 1'!C58),'List 1'!C58,TRIM('List 1'!C58)))</f>
        <v/>
      </c>
      <c r="N58" s="0" t="str">
        <f aca="false">IF(K58="","",IF(ISNUMBER('List 1'!D58),'List 1'!D58,TRIM('List 1'!D58)))</f>
        <v/>
      </c>
      <c r="O58" s="0" t="str">
        <f aca="false">IF(K58="","",D58)</f>
        <v/>
      </c>
      <c r="P58" s="0" t="str">
        <f aca="false">IF(K58="","",IF(R58,SUMPRODUCT(--($H$2:$H$501=K58),$I$2:$I$501),0))</f>
        <v/>
      </c>
      <c r="Q58" s="0" t="str">
        <f aca="false">IF(K58="","",TRUE())</f>
        <v/>
      </c>
      <c r="R58" s="0" t="str">
        <f aca="false">IF(K58="","",SUMPRODUCT(--($H$2:$H$501=K58))&gt;0)</f>
        <v/>
      </c>
      <c r="S58" s="0" t="str">
        <f aca="false">IF(K58="","",IF(AND(Q58,R58),IF(O58=P58,"Match","Qty Different"),IF(Q58,"Only in List 1","Only in List 2")))</f>
        <v/>
      </c>
      <c r="T58" s="0" t="str">
        <f aca="false">IF(K58="","",IF(ISNUMBER(--L58),TEXT(--L58,"000000000000.000"),LOWER(L58)))</f>
        <v/>
      </c>
      <c r="U58" s="0" t="str">
        <f aca="false">IF(K58="","",IF(ISNUMBER(--M58),TEXT(--M58,"000000000000.000"),LOWER(M58)))</f>
        <v/>
      </c>
      <c r="V58" s="0" t="str">
        <f aca="false">IF(K58="","",LOWER(N58))</f>
        <v/>
      </c>
      <c r="W58" s="0" t="str">
        <f aca="false">IF(K58="","",B58)</f>
        <v/>
      </c>
      <c r="X58" s="0" t="str">
        <f aca="false">IF(K58="","",1+SUMPRODUCT(($K$2:$K$1001&lt;&gt;"")*(($T$2:$T$1001&lt;T58)+($T$2:$T$1001=T58)*(($U$2:$U$1001&lt;U58)+($U$2:$U$1001=U58)*(($V$2:$V$1001&lt;V58)+($V$2:$V$1001=V58)*(($W$2:$W$1001&lt;W58)+($W$2:$W$1001=W58)*(ROW($K$2:$K$1001)&lt;ROW(K58))))))))</f>
        <v/>
      </c>
    </row>
    <row r="59" customFormat="false" ht="15" hidden="false" customHeight="false" outlineLevel="0" collapsed="false">
      <c r="A59" s="0" t="str">
        <f aca="false">IF(TRIM('List 1'!A59&amp;'List 1'!C59&amp;'List 1'!D59)="","",LOWER(IF(OR(Comparison!$I$9="Item # + Part # + Description",Comparison!$I$9="Item # + Part #"),TRIM('List 1'!A59),"")&amp;"|"&amp;TRIM('List 1'!C59)&amp;"|"&amp;IF(OR(Comparison!$I$9="Item # + Part # + Description",Comparison!$I$9="Part # + Description"),TRIM('List 1'!D59),"")))</f>
        <v/>
      </c>
      <c r="B59" s="0" t="str">
        <f aca="false">IF(A59="","",SUMPRODUCT(--($A$2:A59=A59)))</f>
        <v/>
      </c>
      <c r="C59" s="0" t="str">
        <f aca="false">IF(A59="","",A59&amp;"#"&amp;B59)</f>
        <v/>
      </c>
      <c r="D59" s="0" t="str">
        <f aca="false">IF(A59="","",IFERROR(--'List 1'!B59,0))</f>
        <v/>
      </c>
      <c r="F59" s="0" t="str">
        <f aca="false">IF(TRIM('List 2'!A59&amp;'List 2'!C59&amp;'List 2'!D59)="","",LOWER(IF(OR(Comparison!$I$9="Item # + Part # + Description",Comparison!$I$9="Item # + Part #"),TRIM('List 2'!A59),"")&amp;"|"&amp;TRIM('List 2'!C59)&amp;"|"&amp;IF(OR(Comparison!$I$9="Item # + Part # + Description",Comparison!$I$9="Part # + Description"),TRIM('List 2'!D59),"")))</f>
        <v/>
      </c>
      <c r="G59" s="0" t="str">
        <f aca="false">IF(F59="","",SUMPRODUCT(--($F$2:F59=F59)))</f>
        <v/>
      </c>
      <c r="H59" s="0" t="str">
        <f aca="false">IF(F59="","",F59&amp;"#"&amp;G59)</f>
        <v/>
      </c>
      <c r="I59" s="0" t="str">
        <f aca="false">IF(F59="","",IFERROR(--'List 2'!B59,0))</f>
        <v/>
      </c>
      <c r="K59" s="0" t="str">
        <f aca="false">C59</f>
        <v/>
      </c>
      <c r="L59" s="0" t="str">
        <f aca="false">IF(K59="","",IF(ISNUMBER('List 1'!A59),'List 1'!A59,TRIM('List 1'!A59)))</f>
        <v/>
      </c>
      <c r="M59" s="0" t="str">
        <f aca="false">IF(K59="","",IF(ISNUMBER('List 1'!C59),'List 1'!C59,TRIM('List 1'!C59)))</f>
        <v/>
      </c>
      <c r="N59" s="0" t="str">
        <f aca="false">IF(K59="","",IF(ISNUMBER('List 1'!D59),'List 1'!D59,TRIM('List 1'!D59)))</f>
        <v/>
      </c>
      <c r="O59" s="0" t="str">
        <f aca="false">IF(K59="","",D59)</f>
        <v/>
      </c>
      <c r="P59" s="0" t="str">
        <f aca="false">IF(K59="","",IF(R59,SUMPRODUCT(--($H$2:$H$501=K59),$I$2:$I$501),0))</f>
        <v/>
      </c>
      <c r="Q59" s="0" t="str">
        <f aca="false">IF(K59="","",TRUE())</f>
        <v/>
      </c>
      <c r="R59" s="0" t="str">
        <f aca="false">IF(K59="","",SUMPRODUCT(--($H$2:$H$501=K59))&gt;0)</f>
        <v/>
      </c>
      <c r="S59" s="0" t="str">
        <f aca="false">IF(K59="","",IF(AND(Q59,R59),IF(O59=P59,"Match","Qty Different"),IF(Q59,"Only in List 1","Only in List 2")))</f>
        <v/>
      </c>
      <c r="T59" s="0" t="str">
        <f aca="false">IF(K59="","",IF(ISNUMBER(--L59),TEXT(--L59,"000000000000.000"),LOWER(L59)))</f>
        <v/>
      </c>
      <c r="U59" s="0" t="str">
        <f aca="false">IF(K59="","",IF(ISNUMBER(--M59),TEXT(--M59,"000000000000.000"),LOWER(M59)))</f>
        <v/>
      </c>
      <c r="V59" s="0" t="str">
        <f aca="false">IF(K59="","",LOWER(N59))</f>
        <v/>
      </c>
      <c r="W59" s="0" t="str">
        <f aca="false">IF(K59="","",B59)</f>
        <v/>
      </c>
      <c r="X59" s="0" t="str">
        <f aca="false">IF(K59="","",1+SUMPRODUCT(($K$2:$K$1001&lt;&gt;"")*(($T$2:$T$1001&lt;T59)+($T$2:$T$1001=T59)*(($U$2:$U$1001&lt;U59)+($U$2:$U$1001=U59)*(($V$2:$V$1001&lt;V59)+($V$2:$V$1001=V59)*(($W$2:$W$1001&lt;W59)+($W$2:$W$1001=W59)*(ROW($K$2:$K$1001)&lt;ROW(K59))))))))</f>
        <v/>
      </c>
    </row>
    <row r="60" customFormat="false" ht="15" hidden="false" customHeight="false" outlineLevel="0" collapsed="false">
      <c r="A60" s="0" t="str">
        <f aca="false">IF(TRIM('List 1'!A60&amp;'List 1'!C60&amp;'List 1'!D60)="","",LOWER(IF(OR(Comparison!$I$9="Item # + Part # + Description",Comparison!$I$9="Item # + Part #"),TRIM('List 1'!A60),"")&amp;"|"&amp;TRIM('List 1'!C60)&amp;"|"&amp;IF(OR(Comparison!$I$9="Item # + Part # + Description",Comparison!$I$9="Part # + Description"),TRIM('List 1'!D60),"")))</f>
        <v/>
      </c>
      <c r="B60" s="0" t="str">
        <f aca="false">IF(A60="","",SUMPRODUCT(--($A$2:A60=A60)))</f>
        <v/>
      </c>
      <c r="C60" s="0" t="str">
        <f aca="false">IF(A60="","",A60&amp;"#"&amp;B60)</f>
        <v/>
      </c>
      <c r="D60" s="0" t="str">
        <f aca="false">IF(A60="","",IFERROR(--'List 1'!B60,0))</f>
        <v/>
      </c>
      <c r="F60" s="0" t="str">
        <f aca="false">IF(TRIM('List 2'!A60&amp;'List 2'!C60&amp;'List 2'!D60)="","",LOWER(IF(OR(Comparison!$I$9="Item # + Part # + Description",Comparison!$I$9="Item # + Part #"),TRIM('List 2'!A60),"")&amp;"|"&amp;TRIM('List 2'!C60)&amp;"|"&amp;IF(OR(Comparison!$I$9="Item # + Part # + Description",Comparison!$I$9="Part # + Description"),TRIM('List 2'!D60),"")))</f>
        <v/>
      </c>
      <c r="G60" s="0" t="str">
        <f aca="false">IF(F60="","",SUMPRODUCT(--($F$2:F60=F60)))</f>
        <v/>
      </c>
      <c r="H60" s="0" t="str">
        <f aca="false">IF(F60="","",F60&amp;"#"&amp;G60)</f>
        <v/>
      </c>
      <c r="I60" s="0" t="str">
        <f aca="false">IF(F60="","",IFERROR(--'List 2'!B60,0))</f>
        <v/>
      </c>
      <c r="K60" s="0" t="str">
        <f aca="false">C60</f>
        <v/>
      </c>
      <c r="L60" s="0" t="str">
        <f aca="false">IF(K60="","",IF(ISNUMBER('List 1'!A60),'List 1'!A60,TRIM('List 1'!A60)))</f>
        <v/>
      </c>
      <c r="M60" s="0" t="str">
        <f aca="false">IF(K60="","",IF(ISNUMBER('List 1'!C60),'List 1'!C60,TRIM('List 1'!C60)))</f>
        <v/>
      </c>
      <c r="N60" s="0" t="str">
        <f aca="false">IF(K60="","",IF(ISNUMBER('List 1'!D60),'List 1'!D60,TRIM('List 1'!D60)))</f>
        <v/>
      </c>
      <c r="O60" s="0" t="str">
        <f aca="false">IF(K60="","",D60)</f>
        <v/>
      </c>
      <c r="P60" s="0" t="str">
        <f aca="false">IF(K60="","",IF(R60,SUMPRODUCT(--($H$2:$H$501=K60),$I$2:$I$501),0))</f>
        <v/>
      </c>
      <c r="Q60" s="0" t="str">
        <f aca="false">IF(K60="","",TRUE())</f>
        <v/>
      </c>
      <c r="R60" s="0" t="str">
        <f aca="false">IF(K60="","",SUMPRODUCT(--($H$2:$H$501=K60))&gt;0)</f>
        <v/>
      </c>
      <c r="S60" s="0" t="str">
        <f aca="false">IF(K60="","",IF(AND(Q60,R60),IF(O60=P60,"Match","Qty Different"),IF(Q60,"Only in List 1","Only in List 2")))</f>
        <v/>
      </c>
      <c r="T60" s="0" t="str">
        <f aca="false">IF(K60="","",IF(ISNUMBER(--L60),TEXT(--L60,"000000000000.000"),LOWER(L60)))</f>
        <v/>
      </c>
      <c r="U60" s="0" t="str">
        <f aca="false">IF(K60="","",IF(ISNUMBER(--M60),TEXT(--M60,"000000000000.000"),LOWER(M60)))</f>
        <v/>
      </c>
      <c r="V60" s="0" t="str">
        <f aca="false">IF(K60="","",LOWER(N60))</f>
        <v/>
      </c>
      <c r="W60" s="0" t="str">
        <f aca="false">IF(K60="","",B60)</f>
        <v/>
      </c>
      <c r="X60" s="0" t="str">
        <f aca="false">IF(K60="","",1+SUMPRODUCT(($K$2:$K$1001&lt;&gt;"")*(($T$2:$T$1001&lt;T60)+($T$2:$T$1001=T60)*(($U$2:$U$1001&lt;U60)+($U$2:$U$1001=U60)*(($V$2:$V$1001&lt;V60)+($V$2:$V$1001=V60)*(($W$2:$W$1001&lt;W60)+($W$2:$W$1001=W60)*(ROW($K$2:$K$1001)&lt;ROW(K60))))))))</f>
        <v/>
      </c>
    </row>
    <row r="61" customFormat="false" ht="15" hidden="false" customHeight="false" outlineLevel="0" collapsed="false">
      <c r="A61" s="0" t="str">
        <f aca="false">IF(TRIM('List 1'!A61&amp;'List 1'!C61&amp;'List 1'!D61)="","",LOWER(IF(OR(Comparison!$I$9="Item # + Part # + Description",Comparison!$I$9="Item # + Part #"),TRIM('List 1'!A61),"")&amp;"|"&amp;TRIM('List 1'!C61)&amp;"|"&amp;IF(OR(Comparison!$I$9="Item # + Part # + Description",Comparison!$I$9="Part # + Description"),TRIM('List 1'!D61),"")))</f>
        <v/>
      </c>
      <c r="B61" s="0" t="str">
        <f aca="false">IF(A61="","",SUMPRODUCT(--($A$2:A61=A61)))</f>
        <v/>
      </c>
      <c r="C61" s="0" t="str">
        <f aca="false">IF(A61="","",A61&amp;"#"&amp;B61)</f>
        <v/>
      </c>
      <c r="D61" s="0" t="str">
        <f aca="false">IF(A61="","",IFERROR(--'List 1'!B61,0))</f>
        <v/>
      </c>
      <c r="F61" s="0" t="str">
        <f aca="false">IF(TRIM('List 2'!A61&amp;'List 2'!C61&amp;'List 2'!D61)="","",LOWER(IF(OR(Comparison!$I$9="Item # + Part # + Description",Comparison!$I$9="Item # + Part #"),TRIM('List 2'!A61),"")&amp;"|"&amp;TRIM('List 2'!C61)&amp;"|"&amp;IF(OR(Comparison!$I$9="Item # + Part # + Description",Comparison!$I$9="Part # + Description"),TRIM('List 2'!D61),"")))</f>
        <v/>
      </c>
      <c r="G61" s="0" t="str">
        <f aca="false">IF(F61="","",SUMPRODUCT(--($F$2:F61=F61)))</f>
        <v/>
      </c>
      <c r="H61" s="0" t="str">
        <f aca="false">IF(F61="","",F61&amp;"#"&amp;G61)</f>
        <v/>
      </c>
      <c r="I61" s="0" t="str">
        <f aca="false">IF(F61="","",IFERROR(--'List 2'!B61,0))</f>
        <v/>
      </c>
      <c r="K61" s="0" t="str">
        <f aca="false">C61</f>
        <v/>
      </c>
      <c r="L61" s="0" t="str">
        <f aca="false">IF(K61="","",IF(ISNUMBER('List 1'!A61),'List 1'!A61,TRIM('List 1'!A61)))</f>
        <v/>
      </c>
      <c r="M61" s="0" t="str">
        <f aca="false">IF(K61="","",IF(ISNUMBER('List 1'!C61),'List 1'!C61,TRIM('List 1'!C61)))</f>
        <v/>
      </c>
      <c r="N61" s="0" t="str">
        <f aca="false">IF(K61="","",IF(ISNUMBER('List 1'!D61),'List 1'!D61,TRIM('List 1'!D61)))</f>
        <v/>
      </c>
      <c r="O61" s="0" t="str">
        <f aca="false">IF(K61="","",D61)</f>
        <v/>
      </c>
      <c r="P61" s="0" t="str">
        <f aca="false">IF(K61="","",IF(R61,SUMPRODUCT(--($H$2:$H$501=K61),$I$2:$I$501),0))</f>
        <v/>
      </c>
      <c r="Q61" s="0" t="str">
        <f aca="false">IF(K61="","",TRUE())</f>
        <v/>
      </c>
      <c r="R61" s="0" t="str">
        <f aca="false">IF(K61="","",SUMPRODUCT(--($H$2:$H$501=K61))&gt;0)</f>
        <v/>
      </c>
      <c r="S61" s="0" t="str">
        <f aca="false">IF(K61="","",IF(AND(Q61,R61),IF(O61=P61,"Match","Qty Different"),IF(Q61,"Only in List 1","Only in List 2")))</f>
        <v/>
      </c>
      <c r="T61" s="0" t="str">
        <f aca="false">IF(K61="","",IF(ISNUMBER(--L61),TEXT(--L61,"000000000000.000"),LOWER(L61)))</f>
        <v/>
      </c>
      <c r="U61" s="0" t="str">
        <f aca="false">IF(K61="","",IF(ISNUMBER(--M61),TEXT(--M61,"000000000000.000"),LOWER(M61)))</f>
        <v/>
      </c>
      <c r="V61" s="0" t="str">
        <f aca="false">IF(K61="","",LOWER(N61))</f>
        <v/>
      </c>
      <c r="W61" s="0" t="str">
        <f aca="false">IF(K61="","",B61)</f>
        <v/>
      </c>
      <c r="X61" s="0" t="str">
        <f aca="false">IF(K61="","",1+SUMPRODUCT(($K$2:$K$1001&lt;&gt;"")*(($T$2:$T$1001&lt;T61)+($T$2:$T$1001=T61)*(($U$2:$U$1001&lt;U61)+($U$2:$U$1001=U61)*(($V$2:$V$1001&lt;V61)+($V$2:$V$1001=V61)*(($W$2:$W$1001&lt;W61)+($W$2:$W$1001=W61)*(ROW($K$2:$K$1001)&lt;ROW(K61))))))))</f>
        <v/>
      </c>
    </row>
    <row r="62" customFormat="false" ht="15" hidden="false" customHeight="false" outlineLevel="0" collapsed="false">
      <c r="A62" s="0" t="str">
        <f aca="false">IF(TRIM('List 1'!A62&amp;'List 1'!C62&amp;'List 1'!D62)="","",LOWER(IF(OR(Comparison!$I$9="Item # + Part # + Description",Comparison!$I$9="Item # + Part #"),TRIM('List 1'!A62),"")&amp;"|"&amp;TRIM('List 1'!C62)&amp;"|"&amp;IF(OR(Comparison!$I$9="Item # + Part # + Description",Comparison!$I$9="Part # + Description"),TRIM('List 1'!D62),"")))</f>
        <v/>
      </c>
      <c r="B62" s="0" t="str">
        <f aca="false">IF(A62="","",SUMPRODUCT(--($A$2:A62=A62)))</f>
        <v/>
      </c>
      <c r="C62" s="0" t="str">
        <f aca="false">IF(A62="","",A62&amp;"#"&amp;B62)</f>
        <v/>
      </c>
      <c r="D62" s="0" t="str">
        <f aca="false">IF(A62="","",IFERROR(--'List 1'!B62,0))</f>
        <v/>
      </c>
      <c r="F62" s="0" t="str">
        <f aca="false">IF(TRIM('List 2'!A62&amp;'List 2'!C62&amp;'List 2'!D62)="","",LOWER(IF(OR(Comparison!$I$9="Item # + Part # + Description",Comparison!$I$9="Item # + Part #"),TRIM('List 2'!A62),"")&amp;"|"&amp;TRIM('List 2'!C62)&amp;"|"&amp;IF(OR(Comparison!$I$9="Item # + Part # + Description",Comparison!$I$9="Part # + Description"),TRIM('List 2'!D62),"")))</f>
        <v/>
      </c>
      <c r="G62" s="0" t="str">
        <f aca="false">IF(F62="","",SUMPRODUCT(--($F$2:F62=F62)))</f>
        <v/>
      </c>
      <c r="H62" s="0" t="str">
        <f aca="false">IF(F62="","",F62&amp;"#"&amp;G62)</f>
        <v/>
      </c>
      <c r="I62" s="0" t="str">
        <f aca="false">IF(F62="","",IFERROR(--'List 2'!B62,0))</f>
        <v/>
      </c>
      <c r="K62" s="0" t="str">
        <f aca="false">C62</f>
        <v/>
      </c>
      <c r="L62" s="0" t="str">
        <f aca="false">IF(K62="","",IF(ISNUMBER('List 1'!A62),'List 1'!A62,TRIM('List 1'!A62)))</f>
        <v/>
      </c>
      <c r="M62" s="0" t="str">
        <f aca="false">IF(K62="","",IF(ISNUMBER('List 1'!C62),'List 1'!C62,TRIM('List 1'!C62)))</f>
        <v/>
      </c>
      <c r="N62" s="0" t="str">
        <f aca="false">IF(K62="","",IF(ISNUMBER('List 1'!D62),'List 1'!D62,TRIM('List 1'!D62)))</f>
        <v/>
      </c>
      <c r="O62" s="0" t="str">
        <f aca="false">IF(K62="","",D62)</f>
        <v/>
      </c>
      <c r="P62" s="0" t="str">
        <f aca="false">IF(K62="","",IF(R62,SUMPRODUCT(--($H$2:$H$501=K62),$I$2:$I$501),0))</f>
        <v/>
      </c>
      <c r="Q62" s="0" t="str">
        <f aca="false">IF(K62="","",TRUE())</f>
        <v/>
      </c>
      <c r="R62" s="0" t="str">
        <f aca="false">IF(K62="","",SUMPRODUCT(--($H$2:$H$501=K62))&gt;0)</f>
        <v/>
      </c>
      <c r="S62" s="0" t="str">
        <f aca="false">IF(K62="","",IF(AND(Q62,R62),IF(O62=P62,"Match","Qty Different"),IF(Q62,"Only in List 1","Only in List 2")))</f>
        <v/>
      </c>
      <c r="T62" s="0" t="str">
        <f aca="false">IF(K62="","",IF(ISNUMBER(--L62),TEXT(--L62,"000000000000.000"),LOWER(L62)))</f>
        <v/>
      </c>
      <c r="U62" s="0" t="str">
        <f aca="false">IF(K62="","",IF(ISNUMBER(--M62),TEXT(--M62,"000000000000.000"),LOWER(M62)))</f>
        <v/>
      </c>
      <c r="V62" s="0" t="str">
        <f aca="false">IF(K62="","",LOWER(N62))</f>
        <v/>
      </c>
      <c r="W62" s="0" t="str">
        <f aca="false">IF(K62="","",B62)</f>
        <v/>
      </c>
      <c r="X62" s="0" t="str">
        <f aca="false">IF(K62="","",1+SUMPRODUCT(($K$2:$K$1001&lt;&gt;"")*(($T$2:$T$1001&lt;T62)+($T$2:$T$1001=T62)*(($U$2:$U$1001&lt;U62)+($U$2:$U$1001=U62)*(($V$2:$V$1001&lt;V62)+($V$2:$V$1001=V62)*(($W$2:$W$1001&lt;W62)+($W$2:$W$1001=W62)*(ROW($K$2:$K$1001)&lt;ROW(K62))))))))</f>
        <v/>
      </c>
    </row>
    <row r="63" customFormat="false" ht="15" hidden="false" customHeight="false" outlineLevel="0" collapsed="false">
      <c r="A63" s="0" t="str">
        <f aca="false">IF(TRIM('List 1'!A63&amp;'List 1'!C63&amp;'List 1'!D63)="","",LOWER(IF(OR(Comparison!$I$9="Item # + Part # + Description",Comparison!$I$9="Item # + Part #"),TRIM('List 1'!A63),"")&amp;"|"&amp;TRIM('List 1'!C63)&amp;"|"&amp;IF(OR(Comparison!$I$9="Item # + Part # + Description",Comparison!$I$9="Part # + Description"),TRIM('List 1'!D63),"")))</f>
        <v/>
      </c>
      <c r="B63" s="0" t="str">
        <f aca="false">IF(A63="","",SUMPRODUCT(--($A$2:A63=A63)))</f>
        <v/>
      </c>
      <c r="C63" s="0" t="str">
        <f aca="false">IF(A63="","",A63&amp;"#"&amp;B63)</f>
        <v/>
      </c>
      <c r="D63" s="0" t="str">
        <f aca="false">IF(A63="","",IFERROR(--'List 1'!B63,0))</f>
        <v/>
      </c>
      <c r="F63" s="0" t="str">
        <f aca="false">IF(TRIM('List 2'!A63&amp;'List 2'!C63&amp;'List 2'!D63)="","",LOWER(IF(OR(Comparison!$I$9="Item # + Part # + Description",Comparison!$I$9="Item # + Part #"),TRIM('List 2'!A63),"")&amp;"|"&amp;TRIM('List 2'!C63)&amp;"|"&amp;IF(OR(Comparison!$I$9="Item # + Part # + Description",Comparison!$I$9="Part # + Description"),TRIM('List 2'!D63),"")))</f>
        <v/>
      </c>
      <c r="G63" s="0" t="str">
        <f aca="false">IF(F63="","",SUMPRODUCT(--($F$2:F63=F63)))</f>
        <v/>
      </c>
      <c r="H63" s="0" t="str">
        <f aca="false">IF(F63="","",F63&amp;"#"&amp;G63)</f>
        <v/>
      </c>
      <c r="I63" s="0" t="str">
        <f aca="false">IF(F63="","",IFERROR(--'List 2'!B63,0))</f>
        <v/>
      </c>
      <c r="K63" s="0" t="str">
        <f aca="false">C63</f>
        <v/>
      </c>
      <c r="L63" s="0" t="str">
        <f aca="false">IF(K63="","",IF(ISNUMBER('List 1'!A63),'List 1'!A63,TRIM('List 1'!A63)))</f>
        <v/>
      </c>
      <c r="M63" s="0" t="str">
        <f aca="false">IF(K63="","",IF(ISNUMBER('List 1'!C63),'List 1'!C63,TRIM('List 1'!C63)))</f>
        <v/>
      </c>
      <c r="N63" s="0" t="str">
        <f aca="false">IF(K63="","",IF(ISNUMBER('List 1'!D63),'List 1'!D63,TRIM('List 1'!D63)))</f>
        <v/>
      </c>
      <c r="O63" s="0" t="str">
        <f aca="false">IF(K63="","",D63)</f>
        <v/>
      </c>
      <c r="P63" s="0" t="str">
        <f aca="false">IF(K63="","",IF(R63,SUMPRODUCT(--($H$2:$H$501=K63),$I$2:$I$501),0))</f>
        <v/>
      </c>
      <c r="Q63" s="0" t="str">
        <f aca="false">IF(K63="","",TRUE())</f>
        <v/>
      </c>
      <c r="R63" s="0" t="str">
        <f aca="false">IF(K63="","",SUMPRODUCT(--($H$2:$H$501=K63))&gt;0)</f>
        <v/>
      </c>
      <c r="S63" s="0" t="str">
        <f aca="false">IF(K63="","",IF(AND(Q63,R63),IF(O63=P63,"Match","Qty Different"),IF(Q63,"Only in List 1","Only in List 2")))</f>
        <v/>
      </c>
      <c r="T63" s="0" t="str">
        <f aca="false">IF(K63="","",IF(ISNUMBER(--L63),TEXT(--L63,"000000000000.000"),LOWER(L63)))</f>
        <v/>
      </c>
      <c r="U63" s="0" t="str">
        <f aca="false">IF(K63="","",IF(ISNUMBER(--M63),TEXT(--M63,"000000000000.000"),LOWER(M63)))</f>
        <v/>
      </c>
      <c r="V63" s="0" t="str">
        <f aca="false">IF(K63="","",LOWER(N63))</f>
        <v/>
      </c>
      <c r="W63" s="0" t="str">
        <f aca="false">IF(K63="","",B63)</f>
        <v/>
      </c>
      <c r="X63" s="0" t="str">
        <f aca="false">IF(K63="","",1+SUMPRODUCT(($K$2:$K$1001&lt;&gt;"")*(($T$2:$T$1001&lt;T63)+($T$2:$T$1001=T63)*(($U$2:$U$1001&lt;U63)+($U$2:$U$1001=U63)*(($V$2:$V$1001&lt;V63)+($V$2:$V$1001=V63)*(($W$2:$W$1001&lt;W63)+($W$2:$W$1001=W63)*(ROW($K$2:$K$1001)&lt;ROW(K63))))))))</f>
        <v/>
      </c>
    </row>
    <row r="64" customFormat="false" ht="15" hidden="false" customHeight="false" outlineLevel="0" collapsed="false">
      <c r="A64" s="0" t="str">
        <f aca="false">IF(TRIM('List 1'!A64&amp;'List 1'!C64&amp;'List 1'!D64)="","",LOWER(IF(OR(Comparison!$I$9="Item # + Part # + Description",Comparison!$I$9="Item # + Part #"),TRIM('List 1'!A64),"")&amp;"|"&amp;TRIM('List 1'!C64)&amp;"|"&amp;IF(OR(Comparison!$I$9="Item # + Part # + Description",Comparison!$I$9="Part # + Description"),TRIM('List 1'!D64),"")))</f>
        <v/>
      </c>
      <c r="B64" s="0" t="str">
        <f aca="false">IF(A64="","",SUMPRODUCT(--($A$2:A64=A64)))</f>
        <v/>
      </c>
      <c r="C64" s="0" t="str">
        <f aca="false">IF(A64="","",A64&amp;"#"&amp;B64)</f>
        <v/>
      </c>
      <c r="D64" s="0" t="str">
        <f aca="false">IF(A64="","",IFERROR(--'List 1'!B64,0))</f>
        <v/>
      </c>
      <c r="F64" s="0" t="str">
        <f aca="false">IF(TRIM('List 2'!A64&amp;'List 2'!C64&amp;'List 2'!D64)="","",LOWER(IF(OR(Comparison!$I$9="Item # + Part # + Description",Comparison!$I$9="Item # + Part #"),TRIM('List 2'!A64),"")&amp;"|"&amp;TRIM('List 2'!C64)&amp;"|"&amp;IF(OR(Comparison!$I$9="Item # + Part # + Description",Comparison!$I$9="Part # + Description"),TRIM('List 2'!D64),"")))</f>
        <v/>
      </c>
      <c r="G64" s="0" t="str">
        <f aca="false">IF(F64="","",SUMPRODUCT(--($F$2:F64=F64)))</f>
        <v/>
      </c>
      <c r="H64" s="0" t="str">
        <f aca="false">IF(F64="","",F64&amp;"#"&amp;G64)</f>
        <v/>
      </c>
      <c r="I64" s="0" t="str">
        <f aca="false">IF(F64="","",IFERROR(--'List 2'!B64,0))</f>
        <v/>
      </c>
      <c r="K64" s="0" t="str">
        <f aca="false">C64</f>
        <v/>
      </c>
      <c r="L64" s="0" t="str">
        <f aca="false">IF(K64="","",IF(ISNUMBER('List 1'!A64),'List 1'!A64,TRIM('List 1'!A64)))</f>
        <v/>
      </c>
      <c r="M64" s="0" t="str">
        <f aca="false">IF(K64="","",IF(ISNUMBER('List 1'!C64),'List 1'!C64,TRIM('List 1'!C64)))</f>
        <v/>
      </c>
      <c r="N64" s="0" t="str">
        <f aca="false">IF(K64="","",IF(ISNUMBER('List 1'!D64),'List 1'!D64,TRIM('List 1'!D64)))</f>
        <v/>
      </c>
      <c r="O64" s="0" t="str">
        <f aca="false">IF(K64="","",D64)</f>
        <v/>
      </c>
      <c r="P64" s="0" t="str">
        <f aca="false">IF(K64="","",IF(R64,SUMPRODUCT(--($H$2:$H$501=K64),$I$2:$I$501),0))</f>
        <v/>
      </c>
      <c r="Q64" s="0" t="str">
        <f aca="false">IF(K64="","",TRUE())</f>
        <v/>
      </c>
      <c r="R64" s="0" t="str">
        <f aca="false">IF(K64="","",SUMPRODUCT(--($H$2:$H$501=K64))&gt;0)</f>
        <v/>
      </c>
      <c r="S64" s="0" t="str">
        <f aca="false">IF(K64="","",IF(AND(Q64,R64),IF(O64=P64,"Match","Qty Different"),IF(Q64,"Only in List 1","Only in List 2")))</f>
        <v/>
      </c>
      <c r="T64" s="0" t="str">
        <f aca="false">IF(K64="","",IF(ISNUMBER(--L64),TEXT(--L64,"000000000000.000"),LOWER(L64)))</f>
        <v/>
      </c>
      <c r="U64" s="0" t="str">
        <f aca="false">IF(K64="","",IF(ISNUMBER(--M64),TEXT(--M64,"000000000000.000"),LOWER(M64)))</f>
        <v/>
      </c>
      <c r="V64" s="0" t="str">
        <f aca="false">IF(K64="","",LOWER(N64))</f>
        <v/>
      </c>
      <c r="W64" s="0" t="str">
        <f aca="false">IF(K64="","",B64)</f>
        <v/>
      </c>
      <c r="X64" s="0" t="str">
        <f aca="false">IF(K64="","",1+SUMPRODUCT(($K$2:$K$1001&lt;&gt;"")*(($T$2:$T$1001&lt;T64)+($T$2:$T$1001=T64)*(($U$2:$U$1001&lt;U64)+($U$2:$U$1001=U64)*(($V$2:$V$1001&lt;V64)+($V$2:$V$1001=V64)*(($W$2:$W$1001&lt;W64)+($W$2:$W$1001=W64)*(ROW($K$2:$K$1001)&lt;ROW(K64))))))))</f>
        <v/>
      </c>
    </row>
    <row r="65" customFormat="false" ht="15" hidden="false" customHeight="false" outlineLevel="0" collapsed="false">
      <c r="A65" s="0" t="str">
        <f aca="false">IF(TRIM('List 1'!A65&amp;'List 1'!C65&amp;'List 1'!D65)="","",LOWER(IF(OR(Comparison!$I$9="Item # + Part # + Description",Comparison!$I$9="Item # + Part #"),TRIM('List 1'!A65),"")&amp;"|"&amp;TRIM('List 1'!C65)&amp;"|"&amp;IF(OR(Comparison!$I$9="Item # + Part # + Description",Comparison!$I$9="Part # + Description"),TRIM('List 1'!D65),"")))</f>
        <v/>
      </c>
      <c r="B65" s="0" t="str">
        <f aca="false">IF(A65="","",SUMPRODUCT(--($A$2:A65=A65)))</f>
        <v/>
      </c>
      <c r="C65" s="0" t="str">
        <f aca="false">IF(A65="","",A65&amp;"#"&amp;B65)</f>
        <v/>
      </c>
      <c r="D65" s="0" t="str">
        <f aca="false">IF(A65="","",IFERROR(--'List 1'!B65,0))</f>
        <v/>
      </c>
      <c r="F65" s="0" t="str">
        <f aca="false">IF(TRIM('List 2'!A65&amp;'List 2'!C65&amp;'List 2'!D65)="","",LOWER(IF(OR(Comparison!$I$9="Item # + Part # + Description",Comparison!$I$9="Item # + Part #"),TRIM('List 2'!A65),"")&amp;"|"&amp;TRIM('List 2'!C65)&amp;"|"&amp;IF(OR(Comparison!$I$9="Item # + Part # + Description",Comparison!$I$9="Part # + Description"),TRIM('List 2'!D65),"")))</f>
        <v/>
      </c>
      <c r="G65" s="0" t="str">
        <f aca="false">IF(F65="","",SUMPRODUCT(--($F$2:F65=F65)))</f>
        <v/>
      </c>
      <c r="H65" s="0" t="str">
        <f aca="false">IF(F65="","",F65&amp;"#"&amp;G65)</f>
        <v/>
      </c>
      <c r="I65" s="0" t="str">
        <f aca="false">IF(F65="","",IFERROR(--'List 2'!B65,0))</f>
        <v/>
      </c>
      <c r="K65" s="0" t="str">
        <f aca="false">C65</f>
        <v/>
      </c>
      <c r="L65" s="0" t="str">
        <f aca="false">IF(K65="","",IF(ISNUMBER('List 1'!A65),'List 1'!A65,TRIM('List 1'!A65)))</f>
        <v/>
      </c>
      <c r="M65" s="0" t="str">
        <f aca="false">IF(K65="","",IF(ISNUMBER('List 1'!C65),'List 1'!C65,TRIM('List 1'!C65)))</f>
        <v/>
      </c>
      <c r="N65" s="0" t="str">
        <f aca="false">IF(K65="","",IF(ISNUMBER('List 1'!D65),'List 1'!D65,TRIM('List 1'!D65)))</f>
        <v/>
      </c>
      <c r="O65" s="0" t="str">
        <f aca="false">IF(K65="","",D65)</f>
        <v/>
      </c>
      <c r="P65" s="0" t="str">
        <f aca="false">IF(K65="","",IF(R65,SUMPRODUCT(--($H$2:$H$501=K65),$I$2:$I$501),0))</f>
        <v/>
      </c>
      <c r="Q65" s="0" t="str">
        <f aca="false">IF(K65="","",TRUE())</f>
        <v/>
      </c>
      <c r="R65" s="0" t="str">
        <f aca="false">IF(K65="","",SUMPRODUCT(--($H$2:$H$501=K65))&gt;0)</f>
        <v/>
      </c>
      <c r="S65" s="0" t="str">
        <f aca="false">IF(K65="","",IF(AND(Q65,R65),IF(O65=P65,"Match","Qty Different"),IF(Q65,"Only in List 1","Only in List 2")))</f>
        <v/>
      </c>
      <c r="T65" s="0" t="str">
        <f aca="false">IF(K65="","",IF(ISNUMBER(--L65),TEXT(--L65,"000000000000.000"),LOWER(L65)))</f>
        <v/>
      </c>
      <c r="U65" s="0" t="str">
        <f aca="false">IF(K65="","",IF(ISNUMBER(--M65),TEXT(--M65,"000000000000.000"),LOWER(M65)))</f>
        <v/>
      </c>
      <c r="V65" s="0" t="str">
        <f aca="false">IF(K65="","",LOWER(N65))</f>
        <v/>
      </c>
      <c r="W65" s="0" t="str">
        <f aca="false">IF(K65="","",B65)</f>
        <v/>
      </c>
      <c r="X65" s="0" t="str">
        <f aca="false">IF(K65="","",1+SUMPRODUCT(($K$2:$K$1001&lt;&gt;"")*(($T$2:$T$1001&lt;T65)+($T$2:$T$1001=T65)*(($U$2:$U$1001&lt;U65)+($U$2:$U$1001=U65)*(($V$2:$V$1001&lt;V65)+($V$2:$V$1001=V65)*(($W$2:$W$1001&lt;W65)+($W$2:$W$1001=W65)*(ROW($K$2:$K$1001)&lt;ROW(K65))))))))</f>
        <v/>
      </c>
    </row>
    <row r="66" customFormat="false" ht="15" hidden="false" customHeight="false" outlineLevel="0" collapsed="false">
      <c r="A66" s="0" t="str">
        <f aca="false">IF(TRIM('List 1'!A66&amp;'List 1'!C66&amp;'List 1'!D66)="","",LOWER(IF(OR(Comparison!$I$9="Item # + Part # + Description",Comparison!$I$9="Item # + Part #"),TRIM('List 1'!A66),"")&amp;"|"&amp;TRIM('List 1'!C66)&amp;"|"&amp;IF(OR(Comparison!$I$9="Item # + Part # + Description",Comparison!$I$9="Part # + Description"),TRIM('List 1'!D66),"")))</f>
        <v/>
      </c>
      <c r="B66" s="0" t="str">
        <f aca="false">IF(A66="","",SUMPRODUCT(--($A$2:A66=A66)))</f>
        <v/>
      </c>
      <c r="C66" s="0" t="str">
        <f aca="false">IF(A66="","",A66&amp;"#"&amp;B66)</f>
        <v/>
      </c>
      <c r="D66" s="0" t="str">
        <f aca="false">IF(A66="","",IFERROR(--'List 1'!B66,0))</f>
        <v/>
      </c>
      <c r="F66" s="0" t="str">
        <f aca="false">IF(TRIM('List 2'!A66&amp;'List 2'!C66&amp;'List 2'!D66)="","",LOWER(IF(OR(Comparison!$I$9="Item # + Part # + Description",Comparison!$I$9="Item # + Part #"),TRIM('List 2'!A66),"")&amp;"|"&amp;TRIM('List 2'!C66)&amp;"|"&amp;IF(OR(Comparison!$I$9="Item # + Part # + Description",Comparison!$I$9="Part # + Description"),TRIM('List 2'!D66),"")))</f>
        <v/>
      </c>
      <c r="G66" s="0" t="str">
        <f aca="false">IF(F66="","",SUMPRODUCT(--($F$2:F66=F66)))</f>
        <v/>
      </c>
      <c r="H66" s="0" t="str">
        <f aca="false">IF(F66="","",F66&amp;"#"&amp;G66)</f>
        <v/>
      </c>
      <c r="I66" s="0" t="str">
        <f aca="false">IF(F66="","",IFERROR(--'List 2'!B66,0))</f>
        <v/>
      </c>
      <c r="K66" s="0" t="str">
        <f aca="false">C66</f>
        <v/>
      </c>
      <c r="L66" s="0" t="str">
        <f aca="false">IF(K66="","",IF(ISNUMBER('List 1'!A66),'List 1'!A66,TRIM('List 1'!A66)))</f>
        <v/>
      </c>
      <c r="M66" s="0" t="str">
        <f aca="false">IF(K66="","",IF(ISNUMBER('List 1'!C66),'List 1'!C66,TRIM('List 1'!C66)))</f>
        <v/>
      </c>
      <c r="N66" s="0" t="str">
        <f aca="false">IF(K66="","",IF(ISNUMBER('List 1'!D66),'List 1'!D66,TRIM('List 1'!D66)))</f>
        <v/>
      </c>
      <c r="O66" s="0" t="str">
        <f aca="false">IF(K66="","",D66)</f>
        <v/>
      </c>
      <c r="P66" s="0" t="str">
        <f aca="false">IF(K66="","",IF(R66,SUMPRODUCT(--($H$2:$H$501=K66),$I$2:$I$501),0))</f>
        <v/>
      </c>
      <c r="Q66" s="0" t="str">
        <f aca="false">IF(K66="","",TRUE())</f>
        <v/>
      </c>
      <c r="R66" s="0" t="str">
        <f aca="false">IF(K66="","",SUMPRODUCT(--($H$2:$H$501=K66))&gt;0)</f>
        <v/>
      </c>
      <c r="S66" s="0" t="str">
        <f aca="false">IF(K66="","",IF(AND(Q66,R66),IF(O66=P66,"Match","Qty Different"),IF(Q66,"Only in List 1","Only in List 2")))</f>
        <v/>
      </c>
      <c r="T66" s="0" t="str">
        <f aca="false">IF(K66="","",IF(ISNUMBER(--L66),TEXT(--L66,"000000000000.000"),LOWER(L66)))</f>
        <v/>
      </c>
      <c r="U66" s="0" t="str">
        <f aca="false">IF(K66="","",IF(ISNUMBER(--M66),TEXT(--M66,"000000000000.000"),LOWER(M66)))</f>
        <v/>
      </c>
      <c r="V66" s="0" t="str">
        <f aca="false">IF(K66="","",LOWER(N66))</f>
        <v/>
      </c>
      <c r="W66" s="0" t="str">
        <f aca="false">IF(K66="","",B66)</f>
        <v/>
      </c>
      <c r="X66" s="0" t="str">
        <f aca="false">IF(K66="","",1+SUMPRODUCT(($K$2:$K$1001&lt;&gt;"")*(($T$2:$T$1001&lt;T66)+($T$2:$T$1001=T66)*(($U$2:$U$1001&lt;U66)+($U$2:$U$1001=U66)*(($V$2:$V$1001&lt;V66)+($V$2:$V$1001=V66)*(($W$2:$W$1001&lt;W66)+($W$2:$W$1001=W66)*(ROW($K$2:$K$1001)&lt;ROW(K66))))))))</f>
        <v/>
      </c>
    </row>
    <row r="67" customFormat="false" ht="15" hidden="false" customHeight="false" outlineLevel="0" collapsed="false">
      <c r="A67" s="0" t="str">
        <f aca="false">IF(TRIM('List 1'!A67&amp;'List 1'!C67&amp;'List 1'!D67)="","",LOWER(IF(OR(Comparison!$I$9="Item # + Part # + Description",Comparison!$I$9="Item # + Part #"),TRIM('List 1'!A67),"")&amp;"|"&amp;TRIM('List 1'!C67)&amp;"|"&amp;IF(OR(Comparison!$I$9="Item # + Part # + Description",Comparison!$I$9="Part # + Description"),TRIM('List 1'!D67),"")))</f>
        <v/>
      </c>
      <c r="B67" s="0" t="str">
        <f aca="false">IF(A67="","",SUMPRODUCT(--($A$2:A67=A67)))</f>
        <v/>
      </c>
      <c r="C67" s="0" t="str">
        <f aca="false">IF(A67="","",A67&amp;"#"&amp;B67)</f>
        <v/>
      </c>
      <c r="D67" s="0" t="str">
        <f aca="false">IF(A67="","",IFERROR(--'List 1'!B67,0))</f>
        <v/>
      </c>
      <c r="F67" s="0" t="str">
        <f aca="false">IF(TRIM('List 2'!A67&amp;'List 2'!C67&amp;'List 2'!D67)="","",LOWER(IF(OR(Comparison!$I$9="Item # + Part # + Description",Comparison!$I$9="Item # + Part #"),TRIM('List 2'!A67),"")&amp;"|"&amp;TRIM('List 2'!C67)&amp;"|"&amp;IF(OR(Comparison!$I$9="Item # + Part # + Description",Comparison!$I$9="Part # + Description"),TRIM('List 2'!D67),"")))</f>
        <v/>
      </c>
      <c r="G67" s="0" t="str">
        <f aca="false">IF(F67="","",SUMPRODUCT(--($F$2:F67=F67)))</f>
        <v/>
      </c>
      <c r="H67" s="0" t="str">
        <f aca="false">IF(F67="","",F67&amp;"#"&amp;G67)</f>
        <v/>
      </c>
      <c r="I67" s="0" t="str">
        <f aca="false">IF(F67="","",IFERROR(--'List 2'!B67,0))</f>
        <v/>
      </c>
      <c r="K67" s="0" t="str">
        <f aca="false">C67</f>
        <v/>
      </c>
      <c r="L67" s="0" t="str">
        <f aca="false">IF(K67="","",IF(ISNUMBER('List 1'!A67),'List 1'!A67,TRIM('List 1'!A67)))</f>
        <v/>
      </c>
      <c r="M67" s="0" t="str">
        <f aca="false">IF(K67="","",IF(ISNUMBER('List 1'!C67),'List 1'!C67,TRIM('List 1'!C67)))</f>
        <v/>
      </c>
      <c r="N67" s="0" t="str">
        <f aca="false">IF(K67="","",IF(ISNUMBER('List 1'!D67),'List 1'!D67,TRIM('List 1'!D67)))</f>
        <v/>
      </c>
      <c r="O67" s="0" t="str">
        <f aca="false">IF(K67="","",D67)</f>
        <v/>
      </c>
      <c r="P67" s="0" t="str">
        <f aca="false">IF(K67="","",IF(R67,SUMPRODUCT(--($H$2:$H$501=K67),$I$2:$I$501),0))</f>
        <v/>
      </c>
      <c r="Q67" s="0" t="str">
        <f aca="false">IF(K67="","",TRUE())</f>
        <v/>
      </c>
      <c r="R67" s="0" t="str">
        <f aca="false">IF(K67="","",SUMPRODUCT(--($H$2:$H$501=K67))&gt;0)</f>
        <v/>
      </c>
      <c r="S67" s="0" t="str">
        <f aca="false">IF(K67="","",IF(AND(Q67,R67),IF(O67=P67,"Match","Qty Different"),IF(Q67,"Only in List 1","Only in List 2")))</f>
        <v/>
      </c>
      <c r="T67" s="0" t="str">
        <f aca="false">IF(K67="","",IF(ISNUMBER(--L67),TEXT(--L67,"000000000000.000"),LOWER(L67)))</f>
        <v/>
      </c>
      <c r="U67" s="0" t="str">
        <f aca="false">IF(K67="","",IF(ISNUMBER(--M67),TEXT(--M67,"000000000000.000"),LOWER(M67)))</f>
        <v/>
      </c>
      <c r="V67" s="0" t="str">
        <f aca="false">IF(K67="","",LOWER(N67))</f>
        <v/>
      </c>
      <c r="W67" s="0" t="str">
        <f aca="false">IF(K67="","",B67)</f>
        <v/>
      </c>
      <c r="X67" s="0" t="str">
        <f aca="false">IF(K67="","",1+SUMPRODUCT(($K$2:$K$1001&lt;&gt;"")*(($T$2:$T$1001&lt;T67)+($T$2:$T$1001=T67)*(($U$2:$U$1001&lt;U67)+($U$2:$U$1001=U67)*(($V$2:$V$1001&lt;V67)+($V$2:$V$1001=V67)*(($W$2:$W$1001&lt;W67)+($W$2:$W$1001=W67)*(ROW($K$2:$K$1001)&lt;ROW(K67))))))))</f>
        <v/>
      </c>
    </row>
    <row r="68" customFormat="false" ht="15" hidden="false" customHeight="false" outlineLevel="0" collapsed="false">
      <c r="A68" s="0" t="str">
        <f aca="false">IF(TRIM('List 1'!A68&amp;'List 1'!C68&amp;'List 1'!D68)="","",LOWER(IF(OR(Comparison!$I$9="Item # + Part # + Description",Comparison!$I$9="Item # + Part #"),TRIM('List 1'!A68),"")&amp;"|"&amp;TRIM('List 1'!C68)&amp;"|"&amp;IF(OR(Comparison!$I$9="Item # + Part # + Description",Comparison!$I$9="Part # + Description"),TRIM('List 1'!D68),"")))</f>
        <v/>
      </c>
      <c r="B68" s="0" t="str">
        <f aca="false">IF(A68="","",SUMPRODUCT(--($A$2:A68=A68)))</f>
        <v/>
      </c>
      <c r="C68" s="0" t="str">
        <f aca="false">IF(A68="","",A68&amp;"#"&amp;B68)</f>
        <v/>
      </c>
      <c r="D68" s="0" t="str">
        <f aca="false">IF(A68="","",IFERROR(--'List 1'!B68,0))</f>
        <v/>
      </c>
      <c r="F68" s="0" t="str">
        <f aca="false">IF(TRIM('List 2'!A68&amp;'List 2'!C68&amp;'List 2'!D68)="","",LOWER(IF(OR(Comparison!$I$9="Item # + Part # + Description",Comparison!$I$9="Item # + Part #"),TRIM('List 2'!A68),"")&amp;"|"&amp;TRIM('List 2'!C68)&amp;"|"&amp;IF(OR(Comparison!$I$9="Item # + Part # + Description",Comparison!$I$9="Part # + Description"),TRIM('List 2'!D68),"")))</f>
        <v/>
      </c>
      <c r="G68" s="0" t="str">
        <f aca="false">IF(F68="","",SUMPRODUCT(--($F$2:F68=F68)))</f>
        <v/>
      </c>
      <c r="H68" s="0" t="str">
        <f aca="false">IF(F68="","",F68&amp;"#"&amp;G68)</f>
        <v/>
      </c>
      <c r="I68" s="0" t="str">
        <f aca="false">IF(F68="","",IFERROR(--'List 2'!B68,0))</f>
        <v/>
      </c>
      <c r="K68" s="0" t="str">
        <f aca="false">C68</f>
        <v/>
      </c>
      <c r="L68" s="0" t="str">
        <f aca="false">IF(K68="","",IF(ISNUMBER('List 1'!A68),'List 1'!A68,TRIM('List 1'!A68)))</f>
        <v/>
      </c>
      <c r="M68" s="0" t="str">
        <f aca="false">IF(K68="","",IF(ISNUMBER('List 1'!C68),'List 1'!C68,TRIM('List 1'!C68)))</f>
        <v/>
      </c>
      <c r="N68" s="0" t="str">
        <f aca="false">IF(K68="","",IF(ISNUMBER('List 1'!D68),'List 1'!D68,TRIM('List 1'!D68)))</f>
        <v/>
      </c>
      <c r="O68" s="0" t="str">
        <f aca="false">IF(K68="","",D68)</f>
        <v/>
      </c>
      <c r="P68" s="0" t="str">
        <f aca="false">IF(K68="","",IF(R68,SUMPRODUCT(--($H$2:$H$501=K68),$I$2:$I$501),0))</f>
        <v/>
      </c>
      <c r="Q68" s="0" t="str">
        <f aca="false">IF(K68="","",TRUE())</f>
        <v/>
      </c>
      <c r="R68" s="0" t="str">
        <f aca="false">IF(K68="","",SUMPRODUCT(--($H$2:$H$501=K68))&gt;0)</f>
        <v/>
      </c>
      <c r="S68" s="0" t="str">
        <f aca="false">IF(K68="","",IF(AND(Q68,R68),IF(O68=P68,"Match","Qty Different"),IF(Q68,"Only in List 1","Only in List 2")))</f>
        <v/>
      </c>
      <c r="T68" s="0" t="str">
        <f aca="false">IF(K68="","",IF(ISNUMBER(--L68),TEXT(--L68,"000000000000.000"),LOWER(L68)))</f>
        <v/>
      </c>
      <c r="U68" s="0" t="str">
        <f aca="false">IF(K68="","",IF(ISNUMBER(--M68),TEXT(--M68,"000000000000.000"),LOWER(M68)))</f>
        <v/>
      </c>
      <c r="V68" s="0" t="str">
        <f aca="false">IF(K68="","",LOWER(N68))</f>
        <v/>
      </c>
      <c r="W68" s="0" t="str">
        <f aca="false">IF(K68="","",B68)</f>
        <v/>
      </c>
      <c r="X68" s="0" t="str">
        <f aca="false">IF(K68="","",1+SUMPRODUCT(($K$2:$K$1001&lt;&gt;"")*(($T$2:$T$1001&lt;T68)+($T$2:$T$1001=T68)*(($U$2:$U$1001&lt;U68)+($U$2:$U$1001=U68)*(($V$2:$V$1001&lt;V68)+($V$2:$V$1001=V68)*(($W$2:$W$1001&lt;W68)+($W$2:$W$1001=W68)*(ROW($K$2:$K$1001)&lt;ROW(K68))))))))</f>
        <v/>
      </c>
    </row>
    <row r="69" customFormat="false" ht="15" hidden="false" customHeight="false" outlineLevel="0" collapsed="false">
      <c r="A69" s="0" t="str">
        <f aca="false">IF(TRIM('List 1'!A69&amp;'List 1'!C69&amp;'List 1'!D69)="","",LOWER(IF(OR(Comparison!$I$9="Item # + Part # + Description",Comparison!$I$9="Item # + Part #"),TRIM('List 1'!A69),"")&amp;"|"&amp;TRIM('List 1'!C69)&amp;"|"&amp;IF(OR(Comparison!$I$9="Item # + Part # + Description",Comparison!$I$9="Part # + Description"),TRIM('List 1'!D69),"")))</f>
        <v/>
      </c>
      <c r="B69" s="0" t="str">
        <f aca="false">IF(A69="","",SUMPRODUCT(--($A$2:A69=A69)))</f>
        <v/>
      </c>
      <c r="C69" s="0" t="str">
        <f aca="false">IF(A69="","",A69&amp;"#"&amp;B69)</f>
        <v/>
      </c>
      <c r="D69" s="0" t="str">
        <f aca="false">IF(A69="","",IFERROR(--'List 1'!B69,0))</f>
        <v/>
      </c>
      <c r="F69" s="0" t="str">
        <f aca="false">IF(TRIM('List 2'!A69&amp;'List 2'!C69&amp;'List 2'!D69)="","",LOWER(IF(OR(Comparison!$I$9="Item # + Part # + Description",Comparison!$I$9="Item # + Part #"),TRIM('List 2'!A69),"")&amp;"|"&amp;TRIM('List 2'!C69)&amp;"|"&amp;IF(OR(Comparison!$I$9="Item # + Part # + Description",Comparison!$I$9="Part # + Description"),TRIM('List 2'!D69),"")))</f>
        <v/>
      </c>
      <c r="G69" s="0" t="str">
        <f aca="false">IF(F69="","",SUMPRODUCT(--($F$2:F69=F69)))</f>
        <v/>
      </c>
      <c r="H69" s="0" t="str">
        <f aca="false">IF(F69="","",F69&amp;"#"&amp;G69)</f>
        <v/>
      </c>
      <c r="I69" s="0" t="str">
        <f aca="false">IF(F69="","",IFERROR(--'List 2'!B69,0))</f>
        <v/>
      </c>
      <c r="K69" s="0" t="str">
        <f aca="false">C69</f>
        <v/>
      </c>
      <c r="L69" s="0" t="str">
        <f aca="false">IF(K69="","",IF(ISNUMBER('List 1'!A69),'List 1'!A69,TRIM('List 1'!A69)))</f>
        <v/>
      </c>
      <c r="M69" s="0" t="str">
        <f aca="false">IF(K69="","",IF(ISNUMBER('List 1'!C69),'List 1'!C69,TRIM('List 1'!C69)))</f>
        <v/>
      </c>
      <c r="N69" s="0" t="str">
        <f aca="false">IF(K69="","",IF(ISNUMBER('List 1'!D69),'List 1'!D69,TRIM('List 1'!D69)))</f>
        <v/>
      </c>
      <c r="O69" s="0" t="str">
        <f aca="false">IF(K69="","",D69)</f>
        <v/>
      </c>
      <c r="P69" s="0" t="str">
        <f aca="false">IF(K69="","",IF(R69,SUMPRODUCT(--($H$2:$H$501=K69),$I$2:$I$501),0))</f>
        <v/>
      </c>
      <c r="Q69" s="0" t="str">
        <f aca="false">IF(K69="","",TRUE())</f>
        <v/>
      </c>
      <c r="R69" s="0" t="str">
        <f aca="false">IF(K69="","",SUMPRODUCT(--($H$2:$H$501=K69))&gt;0)</f>
        <v/>
      </c>
      <c r="S69" s="0" t="str">
        <f aca="false">IF(K69="","",IF(AND(Q69,R69),IF(O69=P69,"Match","Qty Different"),IF(Q69,"Only in List 1","Only in List 2")))</f>
        <v/>
      </c>
      <c r="T69" s="0" t="str">
        <f aca="false">IF(K69="","",IF(ISNUMBER(--L69),TEXT(--L69,"000000000000.000"),LOWER(L69)))</f>
        <v/>
      </c>
      <c r="U69" s="0" t="str">
        <f aca="false">IF(K69="","",IF(ISNUMBER(--M69),TEXT(--M69,"000000000000.000"),LOWER(M69)))</f>
        <v/>
      </c>
      <c r="V69" s="0" t="str">
        <f aca="false">IF(K69="","",LOWER(N69))</f>
        <v/>
      </c>
      <c r="W69" s="0" t="str">
        <f aca="false">IF(K69="","",B69)</f>
        <v/>
      </c>
      <c r="X69" s="0" t="str">
        <f aca="false">IF(K69="","",1+SUMPRODUCT(($K$2:$K$1001&lt;&gt;"")*(($T$2:$T$1001&lt;T69)+($T$2:$T$1001=T69)*(($U$2:$U$1001&lt;U69)+($U$2:$U$1001=U69)*(($V$2:$V$1001&lt;V69)+($V$2:$V$1001=V69)*(($W$2:$W$1001&lt;W69)+($W$2:$W$1001=W69)*(ROW($K$2:$K$1001)&lt;ROW(K69))))))))</f>
        <v/>
      </c>
    </row>
    <row r="70" customFormat="false" ht="15" hidden="false" customHeight="false" outlineLevel="0" collapsed="false">
      <c r="A70" s="0" t="str">
        <f aca="false">IF(TRIM('List 1'!A70&amp;'List 1'!C70&amp;'List 1'!D70)="","",LOWER(IF(OR(Comparison!$I$9="Item # + Part # + Description",Comparison!$I$9="Item # + Part #"),TRIM('List 1'!A70),"")&amp;"|"&amp;TRIM('List 1'!C70)&amp;"|"&amp;IF(OR(Comparison!$I$9="Item # + Part # + Description",Comparison!$I$9="Part # + Description"),TRIM('List 1'!D70),"")))</f>
        <v/>
      </c>
      <c r="B70" s="0" t="str">
        <f aca="false">IF(A70="","",SUMPRODUCT(--($A$2:A70=A70)))</f>
        <v/>
      </c>
      <c r="C70" s="0" t="str">
        <f aca="false">IF(A70="","",A70&amp;"#"&amp;B70)</f>
        <v/>
      </c>
      <c r="D70" s="0" t="str">
        <f aca="false">IF(A70="","",IFERROR(--'List 1'!B70,0))</f>
        <v/>
      </c>
      <c r="F70" s="0" t="str">
        <f aca="false">IF(TRIM('List 2'!A70&amp;'List 2'!C70&amp;'List 2'!D70)="","",LOWER(IF(OR(Comparison!$I$9="Item # + Part # + Description",Comparison!$I$9="Item # + Part #"),TRIM('List 2'!A70),"")&amp;"|"&amp;TRIM('List 2'!C70)&amp;"|"&amp;IF(OR(Comparison!$I$9="Item # + Part # + Description",Comparison!$I$9="Part # + Description"),TRIM('List 2'!D70),"")))</f>
        <v/>
      </c>
      <c r="G70" s="0" t="str">
        <f aca="false">IF(F70="","",SUMPRODUCT(--($F$2:F70=F70)))</f>
        <v/>
      </c>
      <c r="H70" s="0" t="str">
        <f aca="false">IF(F70="","",F70&amp;"#"&amp;G70)</f>
        <v/>
      </c>
      <c r="I70" s="0" t="str">
        <f aca="false">IF(F70="","",IFERROR(--'List 2'!B70,0))</f>
        <v/>
      </c>
      <c r="K70" s="0" t="str">
        <f aca="false">C70</f>
        <v/>
      </c>
      <c r="L70" s="0" t="str">
        <f aca="false">IF(K70="","",IF(ISNUMBER('List 1'!A70),'List 1'!A70,TRIM('List 1'!A70)))</f>
        <v/>
      </c>
      <c r="M70" s="0" t="str">
        <f aca="false">IF(K70="","",IF(ISNUMBER('List 1'!C70),'List 1'!C70,TRIM('List 1'!C70)))</f>
        <v/>
      </c>
      <c r="N70" s="0" t="str">
        <f aca="false">IF(K70="","",IF(ISNUMBER('List 1'!D70),'List 1'!D70,TRIM('List 1'!D70)))</f>
        <v/>
      </c>
      <c r="O70" s="0" t="str">
        <f aca="false">IF(K70="","",D70)</f>
        <v/>
      </c>
      <c r="P70" s="0" t="str">
        <f aca="false">IF(K70="","",IF(R70,SUMPRODUCT(--($H$2:$H$501=K70),$I$2:$I$501),0))</f>
        <v/>
      </c>
      <c r="Q70" s="0" t="str">
        <f aca="false">IF(K70="","",TRUE())</f>
        <v/>
      </c>
      <c r="R70" s="0" t="str">
        <f aca="false">IF(K70="","",SUMPRODUCT(--($H$2:$H$501=K70))&gt;0)</f>
        <v/>
      </c>
      <c r="S70" s="0" t="str">
        <f aca="false">IF(K70="","",IF(AND(Q70,R70),IF(O70=P70,"Match","Qty Different"),IF(Q70,"Only in List 1","Only in List 2")))</f>
        <v/>
      </c>
      <c r="T70" s="0" t="str">
        <f aca="false">IF(K70="","",IF(ISNUMBER(--L70),TEXT(--L70,"000000000000.000"),LOWER(L70)))</f>
        <v/>
      </c>
      <c r="U70" s="0" t="str">
        <f aca="false">IF(K70="","",IF(ISNUMBER(--M70),TEXT(--M70,"000000000000.000"),LOWER(M70)))</f>
        <v/>
      </c>
      <c r="V70" s="0" t="str">
        <f aca="false">IF(K70="","",LOWER(N70))</f>
        <v/>
      </c>
      <c r="W70" s="0" t="str">
        <f aca="false">IF(K70="","",B70)</f>
        <v/>
      </c>
      <c r="X70" s="0" t="str">
        <f aca="false">IF(K70="","",1+SUMPRODUCT(($K$2:$K$1001&lt;&gt;"")*(($T$2:$T$1001&lt;T70)+($T$2:$T$1001=T70)*(($U$2:$U$1001&lt;U70)+($U$2:$U$1001=U70)*(($V$2:$V$1001&lt;V70)+($V$2:$V$1001=V70)*(($W$2:$W$1001&lt;W70)+($W$2:$W$1001=W70)*(ROW($K$2:$K$1001)&lt;ROW(K70))))))))</f>
        <v/>
      </c>
    </row>
    <row r="71" customFormat="false" ht="15" hidden="false" customHeight="false" outlineLevel="0" collapsed="false">
      <c r="A71" s="0" t="str">
        <f aca="false">IF(TRIM('List 1'!A71&amp;'List 1'!C71&amp;'List 1'!D71)="","",LOWER(IF(OR(Comparison!$I$9="Item # + Part # + Description",Comparison!$I$9="Item # + Part #"),TRIM('List 1'!A71),"")&amp;"|"&amp;TRIM('List 1'!C71)&amp;"|"&amp;IF(OR(Comparison!$I$9="Item # + Part # + Description",Comparison!$I$9="Part # + Description"),TRIM('List 1'!D71),"")))</f>
        <v/>
      </c>
      <c r="B71" s="0" t="str">
        <f aca="false">IF(A71="","",SUMPRODUCT(--($A$2:A71=A71)))</f>
        <v/>
      </c>
      <c r="C71" s="0" t="str">
        <f aca="false">IF(A71="","",A71&amp;"#"&amp;B71)</f>
        <v/>
      </c>
      <c r="D71" s="0" t="str">
        <f aca="false">IF(A71="","",IFERROR(--'List 1'!B71,0))</f>
        <v/>
      </c>
      <c r="F71" s="0" t="str">
        <f aca="false">IF(TRIM('List 2'!A71&amp;'List 2'!C71&amp;'List 2'!D71)="","",LOWER(IF(OR(Comparison!$I$9="Item # + Part # + Description",Comparison!$I$9="Item # + Part #"),TRIM('List 2'!A71),"")&amp;"|"&amp;TRIM('List 2'!C71)&amp;"|"&amp;IF(OR(Comparison!$I$9="Item # + Part # + Description",Comparison!$I$9="Part # + Description"),TRIM('List 2'!D71),"")))</f>
        <v/>
      </c>
      <c r="G71" s="0" t="str">
        <f aca="false">IF(F71="","",SUMPRODUCT(--($F$2:F71=F71)))</f>
        <v/>
      </c>
      <c r="H71" s="0" t="str">
        <f aca="false">IF(F71="","",F71&amp;"#"&amp;G71)</f>
        <v/>
      </c>
      <c r="I71" s="0" t="str">
        <f aca="false">IF(F71="","",IFERROR(--'List 2'!B71,0))</f>
        <v/>
      </c>
      <c r="K71" s="0" t="str">
        <f aca="false">C71</f>
        <v/>
      </c>
      <c r="L71" s="0" t="str">
        <f aca="false">IF(K71="","",IF(ISNUMBER('List 1'!A71),'List 1'!A71,TRIM('List 1'!A71)))</f>
        <v/>
      </c>
      <c r="M71" s="0" t="str">
        <f aca="false">IF(K71="","",IF(ISNUMBER('List 1'!C71),'List 1'!C71,TRIM('List 1'!C71)))</f>
        <v/>
      </c>
      <c r="N71" s="0" t="str">
        <f aca="false">IF(K71="","",IF(ISNUMBER('List 1'!D71),'List 1'!D71,TRIM('List 1'!D71)))</f>
        <v/>
      </c>
      <c r="O71" s="0" t="str">
        <f aca="false">IF(K71="","",D71)</f>
        <v/>
      </c>
      <c r="P71" s="0" t="str">
        <f aca="false">IF(K71="","",IF(R71,SUMPRODUCT(--($H$2:$H$501=K71),$I$2:$I$501),0))</f>
        <v/>
      </c>
      <c r="Q71" s="0" t="str">
        <f aca="false">IF(K71="","",TRUE())</f>
        <v/>
      </c>
      <c r="R71" s="0" t="str">
        <f aca="false">IF(K71="","",SUMPRODUCT(--($H$2:$H$501=K71))&gt;0)</f>
        <v/>
      </c>
      <c r="S71" s="0" t="str">
        <f aca="false">IF(K71="","",IF(AND(Q71,R71),IF(O71=P71,"Match","Qty Different"),IF(Q71,"Only in List 1","Only in List 2")))</f>
        <v/>
      </c>
      <c r="T71" s="0" t="str">
        <f aca="false">IF(K71="","",IF(ISNUMBER(--L71),TEXT(--L71,"000000000000.000"),LOWER(L71)))</f>
        <v/>
      </c>
      <c r="U71" s="0" t="str">
        <f aca="false">IF(K71="","",IF(ISNUMBER(--M71),TEXT(--M71,"000000000000.000"),LOWER(M71)))</f>
        <v/>
      </c>
      <c r="V71" s="0" t="str">
        <f aca="false">IF(K71="","",LOWER(N71))</f>
        <v/>
      </c>
      <c r="W71" s="0" t="str">
        <f aca="false">IF(K71="","",B71)</f>
        <v/>
      </c>
      <c r="X71" s="0" t="str">
        <f aca="false">IF(K71="","",1+SUMPRODUCT(($K$2:$K$1001&lt;&gt;"")*(($T$2:$T$1001&lt;T71)+($T$2:$T$1001=T71)*(($U$2:$U$1001&lt;U71)+($U$2:$U$1001=U71)*(($V$2:$V$1001&lt;V71)+($V$2:$V$1001=V71)*(($W$2:$W$1001&lt;W71)+($W$2:$W$1001=W71)*(ROW($K$2:$K$1001)&lt;ROW(K71))))))))</f>
        <v/>
      </c>
    </row>
    <row r="72" customFormat="false" ht="15" hidden="false" customHeight="false" outlineLevel="0" collapsed="false">
      <c r="A72" s="0" t="str">
        <f aca="false">IF(TRIM('List 1'!A72&amp;'List 1'!C72&amp;'List 1'!D72)="","",LOWER(IF(OR(Comparison!$I$9="Item # + Part # + Description",Comparison!$I$9="Item # + Part #"),TRIM('List 1'!A72),"")&amp;"|"&amp;TRIM('List 1'!C72)&amp;"|"&amp;IF(OR(Comparison!$I$9="Item # + Part # + Description",Comparison!$I$9="Part # + Description"),TRIM('List 1'!D72),"")))</f>
        <v/>
      </c>
      <c r="B72" s="0" t="str">
        <f aca="false">IF(A72="","",SUMPRODUCT(--($A$2:A72=A72)))</f>
        <v/>
      </c>
      <c r="C72" s="0" t="str">
        <f aca="false">IF(A72="","",A72&amp;"#"&amp;B72)</f>
        <v/>
      </c>
      <c r="D72" s="0" t="str">
        <f aca="false">IF(A72="","",IFERROR(--'List 1'!B72,0))</f>
        <v/>
      </c>
      <c r="F72" s="0" t="str">
        <f aca="false">IF(TRIM('List 2'!A72&amp;'List 2'!C72&amp;'List 2'!D72)="","",LOWER(IF(OR(Comparison!$I$9="Item # + Part # + Description",Comparison!$I$9="Item # + Part #"),TRIM('List 2'!A72),"")&amp;"|"&amp;TRIM('List 2'!C72)&amp;"|"&amp;IF(OR(Comparison!$I$9="Item # + Part # + Description",Comparison!$I$9="Part # + Description"),TRIM('List 2'!D72),"")))</f>
        <v/>
      </c>
      <c r="G72" s="0" t="str">
        <f aca="false">IF(F72="","",SUMPRODUCT(--($F$2:F72=F72)))</f>
        <v/>
      </c>
      <c r="H72" s="0" t="str">
        <f aca="false">IF(F72="","",F72&amp;"#"&amp;G72)</f>
        <v/>
      </c>
      <c r="I72" s="0" t="str">
        <f aca="false">IF(F72="","",IFERROR(--'List 2'!B72,0))</f>
        <v/>
      </c>
      <c r="K72" s="0" t="str">
        <f aca="false">C72</f>
        <v/>
      </c>
      <c r="L72" s="0" t="str">
        <f aca="false">IF(K72="","",IF(ISNUMBER('List 1'!A72),'List 1'!A72,TRIM('List 1'!A72)))</f>
        <v/>
      </c>
      <c r="M72" s="0" t="str">
        <f aca="false">IF(K72="","",IF(ISNUMBER('List 1'!C72),'List 1'!C72,TRIM('List 1'!C72)))</f>
        <v/>
      </c>
      <c r="N72" s="0" t="str">
        <f aca="false">IF(K72="","",IF(ISNUMBER('List 1'!D72),'List 1'!D72,TRIM('List 1'!D72)))</f>
        <v/>
      </c>
      <c r="O72" s="0" t="str">
        <f aca="false">IF(K72="","",D72)</f>
        <v/>
      </c>
      <c r="P72" s="0" t="str">
        <f aca="false">IF(K72="","",IF(R72,SUMPRODUCT(--($H$2:$H$501=K72),$I$2:$I$501),0))</f>
        <v/>
      </c>
      <c r="Q72" s="0" t="str">
        <f aca="false">IF(K72="","",TRUE())</f>
        <v/>
      </c>
      <c r="R72" s="0" t="str">
        <f aca="false">IF(K72="","",SUMPRODUCT(--($H$2:$H$501=K72))&gt;0)</f>
        <v/>
      </c>
      <c r="S72" s="0" t="str">
        <f aca="false">IF(K72="","",IF(AND(Q72,R72),IF(O72=P72,"Match","Qty Different"),IF(Q72,"Only in List 1","Only in List 2")))</f>
        <v/>
      </c>
      <c r="T72" s="0" t="str">
        <f aca="false">IF(K72="","",IF(ISNUMBER(--L72),TEXT(--L72,"000000000000.000"),LOWER(L72)))</f>
        <v/>
      </c>
      <c r="U72" s="0" t="str">
        <f aca="false">IF(K72="","",IF(ISNUMBER(--M72),TEXT(--M72,"000000000000.000"),LOWER(M72)))</f>
        <v/>
      </c>
      <c r="V72" s="0" t="str">
        <f aca="false">IF(K72="","",LOWER(N72))</f>
        <v/>
      </c>
      <c r="W72" s="0" t="str">
        <f aca="false">IF(K72="","",B72)</f>
        <v/>
      </c>
      <c r="X72" s="0" t="str">
        <f aca="false">IF(K72="","",1+SUMPRODUCT(($K$2:$K$1001&lt;&gt;"")*(($T$2:$T$1001&lt;T72)+($T$2:$T$1001=T72)*(($U$2:$U$1001&lt;U72)+($U$2:$U$1001=U72)*(($V$2:$V$1001&lt;V72)+($V$2:$V$1001=V72)*(($W$2:$W$1001&lt;W72)+($W$2:$W$1001=W72)*(ROW($K$2:$K$1001)&lt;ROW(K72))))))))</f>
        <v/>
      </c>
    </row>
    <row r="73" customFormat="false" ht="15" hidden="false" customHeight="false" outlineLevel="0" collapsed="false">
      <c r="A73" s="0" t="str">
        <f aca="false">IF(TRIM('List 1'!A73&amp;'List 1'!C73&amp;'List 1'!D73)="","",LOWER(IF(OR(Comparison!$I$9="Item # + Part # + Description",Comparison!$I$9="Item # + Part #"),TRIM('List 1'!A73),"")&amp;"|"&amp;TRIM('List 1'!C73)&amp;"|"&amp;IF(OR(Comparison!$I$9="Item # + Part # + Description",Comparison!$I$9="Part # + Description"),TRIM('List 1'!D73),"")))</f>
        <v/>
      </c>
      <c r="B73" s="0" t="str">
        <f aca="false">IF(A73="","",SUMPRODUCT(--($A$2:A73=A73)))</f>
        <v/>
      </c>
      <c r="C73" s="0" t="str">
        <f aca="false">IF(A73="","",A73&amp;"#"&amp;B73)</f>
        <v/>
      </c>
      <c r="D73" s="0" t="str">
        <f aca="false">IF(A73="","",IFERROR(--'List 1'!B73,0))</f>
        <v/>
      </c>
      <c r="F73" s="0" t="str">
        <f aca="false">IF(TRIM('List 2'!A73&amp;'List 2'!C73&amp;'List 2'!D73)="","",LOWER(IF(OR(Comparison!$I$9="Item # + Part # + Description",Comparison!$I$9="Item # + Part #"),TRIM('List 2'!A73),"")&amp;"|"&amp;TRIM('List 2'!C73)&amp;"|"&amp;IF(OR(Comparison!$I$9="Item # + Part # + Description",Comparison!$I$9="Part # + Description"),TRIM('List 2'!D73),"")))</f>
        <v/>
      </c>
      <c r="G73" s="0" t="str">
        <f aca="false">IF(F73="","",SUMPRODUCT(--($F$2:F73=F73)))</f>
        <v/>
      </c>
      <c r="H73" s="0" t="str">
        <f aca="false">IF(F73="","",F73&amp;"#"&amp;G73)</f>
        <v/>
      </c>
      <c r="I73" s="0" t="str">
        <f aca="false">IF(F73="","",IFERROR(--'List 2'!B73,0))</f>
        <v/>
      </c>
      <c r="K73" s="0" t="str">
        <f aca="false">C73</f>
        <v/>
      </c>
      <c r="L73" s="0" t="str">
        <f aca="false">IF(K73="","",IF(ISNUMBER('List 1'!A73),'List 1'!A73,TRIM('List 1'!A73)))</f>
        <v/>
      </c>
      <c r="M73" s="0" t="str">
        <f aca="false">IF(K73="","",IF(ISNUMBER('List 1'!C73),'List 1'!C73,TRIM('List 1'!C73)))</f>
        <v/>
      </c>
      <c r="N73" s="0" t="str">
        <f aca="false">IF(K73="","",IF(ISNUMBER('List 1'!D73),'List 1'!D73,TRIM('List 1'!D73)))</f>
        <v/>
      </c>
      <c r="O73" s="0" t="str">
        <f aca="false">IF(K73="","",D73)</f>
        <v/>
      </c>
      <c r="P73" s="0" t="str">
        <f aca="false">IF(K73="","",IF(R73,SUMPRODUCT(--($H$2:$H$501=K73),$I$2:$I$501),0))</f>
        <v/>
      </c>
      <c r="Q73" s="0" t="str">
        <f aca="false">IF(K73="","",TRUE())</f>
        <v/>
      </c>
      <c r="R73" s="0" t="str">
        <f aca="false">IF(K73="","",SUMPRODUCT(--($H$2:$H$501=K73))&gt;0)</f>
        <v/>
      </c>
      <c r="S73" s="0" t="str">
        <f aca="false">IF(K73="","",IF(AND(Q73,R73),IF(O73=P73,"Match","Qty Different"),IF(Q73,"Only in List 1","Only in List 2")))</f>
        <v/>
      </c>
      <c r="T73" s="0" t="str">
        <f aca="false">IF(K73="","",IF(ISNUMBER(--L73),TEXT(--L73,"000000000000.000"),LOWER(L73)))</f>
        <v/>
      </c>
      <c r="U73" s="0" t="str">
        <f aca="false">IF(K73="","",IF(ISNUMBER(--M73),TEXT(--M73,"000000000000.000"),LOWER(M73)))</f>
        <v/>
      </c>
      <c r="V73" s="0" t="str">
        <f aca="false">IF(K73="","",LOWER(N73))</f>
        <v/>
      </c>
      <c r="W73" s="0" t="str">
        <f aca="false">IF(K73="","",B73)</f>
        <v/>
      </c>
      <c r="X73" s="0" t="str">
        <f aca="false">IF(K73="","",1+SUMPRODUCT(($K$2:$K$1001&lt;&gt;"")*(($T$2:$T$1001&lt;T73)+($T$2:$T$1001=T73)*(($U$2:$U$1001&lt;U73)+($U$2:$U$1001=U73)*(($V$2:$V$1001&lt;V73)+($V$2:$V$1001=V73)*(($W$2:$W$1001&lt;W73)+($W$2:$W$1001=W73)*(ROW($K$2:$K$1001)&lt;ROW(K73))))))))</f>
        <v/>
      </c>
    </row>
    <row r="74" customFormat="false" ht="15" hidden="false" customHeight="false" outlineLevel="0" collapsed="false">
      <c r="A74" s="0" t="str">
        <f aca="false">IF(TRIM('List 1'!A74&amp;'List 1'!C74&amp;'List 1'!D74)="","",LOWER(IF(OR(Comparison!$I$9="Item # + Part # + Description",Comparison!$I$9="Item # + Part #"),TRIM('List 1'!A74),"")&amp;"|"&amp;TRIM('List 1'!C74)&amp;"|"&amp;IF(OR(Comparison!$I$9="Item # + Part # + Description",Comparison!$I$9="Part # + Description"),TRIM('List 1'!D74),"")))</f>
        <v/>
      </c>
      <c r="B74" s="0" t="str">
        <f aca="false">IF(A74="","",SUMPRODUCT(--($A$2:A74=A74)))</f>
        <v/>
      </c>
      <c r="C74" s="0" t="str">
        <f aca="false">IF(A74="","",A74&amp;"#"&amp;B74)</f>
        <v/>
      </c>
      <c r="D74" s="0" t="str">
        <f aca="false">IF(A74="","",IFERROR(--'List 1'!B74,0))</f>
        <v/>
      </c>
      <c r="F74" s="0" t="str">
        <f aca="false">IF(TRIM('List 2'!A74&amp;'List 2'!C74&amp;'List 2'!D74)="","",LOWER(IF(OR(Comparison!$I$9="Item # + Part # + Description",Comparison!$I$9="Item # + Part #"),TRIM('List 2'!A74),"")&amp;"|"&amp;TRIM('List 2'!C74)&amp;"|"&amp;IF(OR(Comparison!$I$9="Item # + Part # + Description",Comparison!$I$9="Part # + Description"),TRIM('List 2'!D74),"")))</f>
        <v/>
      </c>
      <c r="G74" s="0" t="str">
        <f aca="false">IF(F74="","",SUMPRODUCT(--($F$2:F74=F74)))</f>
        <v/>
      </c>
      <c r="H74" s="0" t="str">
        <f aca="false">IF(F74="","",F74&amp;"#"&amp;G74)</f>
        <v/>
      </c>
      <c r="I74" s="0" t="str">
        <f aca="false">IF(F74="","",IFERROR(--'List 2'!B74,0))</f>
        <v/>
      </c>
      <c r="K74" s="0" t="str">
        <f aca="false">C74</f>
        <v/>
      </c>
      <c r="L74" s="0" t="str">
        <f aca="false">IF(K74="","",IF(ISNUMBER('List 1'!A74),'List 1'!A74,TRIM('List 1'!A74)))</f>
        <v/>
      </c>
      <c r="M74" s="0" t="str">
        <f aca="false">IF(K74="","",IF(ISNUMBER('List 1'!C74),'List 1'!C74,TRIM('List 1'!C74)))</f>
        <v/>
      </c>
      <c r="N74" s="0" t="str">
        <f aca="false">IF(K74="","",IF(ISNUMBER('List 1'!D74),'List 1'!D74,TRIM('List 1'!D74)))</f>
        <v/>
      </c>
      <c r="O74" s="0" t="str">
        <f aca="false">IF(K74="","",D74)</f>
        <v/>
      </c>
      <c r="P74" s="0" t="str">
        <f aca="false">IF(K74="","",IF(R74,SUMPRODUCT(--($H$2:$H$501=K74),$I$2:$I$501),0))</f>
        <v/>
      </c>
      <c r="Q74" s="0" t="str">
        <f aca="false">IF(K74="","",TRUE())</f>
        <v/>
      </c>
      <c r="R74" s="0" t="str">
        <f aca="false">IF(K74="","",SUMPRODUCT(--($H$2:$H$501=K74))&gt;0)</f>
        <v/>
      </c>
      <c r="S74" s="0" t="str">
        <f aca="false">IF(K74="","",IF(AND(Q74,R74),IF(O74=P74,"Match","Qty Different"),IF(Q74,"Only in List 1","Only in List 2")))</f>
        <v/>
      </c>
      <c r="T74" s="0" t="str">
        <f aca="false">IF(K74="","",IF(ISNUMBER(--L74),TEXT(--L74,"000000000000.000"),LOWER(L74)))</f>
        <v/>
      </c>
      <c r="U74" s="0" t="str">
        <f aca="false">IF(K74="","",IF(ISNUMBER(--M74),TEXT(--M74,"000000000000.000"),LOWER(M74)))</f>
        <v/>
      </c>
      <c r="V74" s="0" t="str">
        <f aca="false">IF(K74="","",LOWER(N74))</f>
        <v/>
      </c>
      <c r="W74" s="0" t="str">
        <f aca="false">IF(K74="","",B74)</f>
        <v/>
      </c>
      <c r="X74" s="0" t="str">
        <f aca="false">IF(K74="","",1+SUMPRODUCT(($K$2:$K$1001&lt;&gt;"")*(($T$2:$T$1001&lt;T74)+($T$2:$T$1001=T74)*(($U$2:$U$1001&lt;U74)+($U$2:$U$1001=U74)*(($V$2:$V$1001&lt;V74)+($V$2:$V$1001=V74)*(($W$2:$W$1001&lt;W74)+($W$2:$W$1001=W74)*(ROW($K$2:$K$1001)&lt;ROW(K74))))))))</f>
        <v/>
      </c>
    </row>
    <row r="75" customFormat="false" ht="15" hidden="false" customHeight="false" outlineLevel="0" collapsed="false">
      <c r="A75" s="0" t="str">
        <f aca="false">IF(TRIM('List 1'!A75&amp;'List 1'!C75&amp;'List 1'!D75)="","",LOWER(IF(OR(Comparison!$I$9="Item # + Part # + Description",Comparison!$I$9="Item # + Part #"),TRIM('List 1'!A75),"")&amp;"|"&amp;TRIM('List 1'!C75)&amp;"|"&amp;IF(OR(Comparison!$I$9="Item # + Part # + Description",Comparison!$I$9="Part # + Description"),TRIM('List 1'!D75),"")))</f>
        <v/>
      </c>
      <c r="B75" s="0" t="str">
        <f aca="false">IF(A75="","",SUMPRODUCT(--($A$2:A75=A75)))</f>
        <v/>
      </c>
      <c r="C75" s="0" t="str">
        <f aca="false">IF(A75="","",A75&amp;"#"&amp;B75)</f>
        <v/>
      </c>
      <c r="D75" s="0" t="str">
        <f aca="false">IF(A75="","",IFERROR(--'List 1'!B75,0))</f>
        <v/>
      </c>
      <c r="F75" s="0" t="str">
        <f aca="false">IF(TRIM('List 2'!A75&amp;'List 2'!C75&amp;'List 2'!D75)="","",LOWER(IF(OR(Comparison!$I$9="Item # + Part # + Description",Comparison!$I$9="Item # + Part #"),TRIM('List 2'!A75),"")&amp;"|"&amp;TRIM('List 2'!C75)&amp;"|"&amp;IF(OR(Comparison!$I$9="Item # + Part # + Description",Comparison!$I$9="Part # + Description"),TRIM('List 2'!D75),"")))</f>
        <v/>
      </c>
      <c r="G75" s="0" t="str">
        <f aca="false">IF(F75="","",SUMPRODUCT(--($F$2:F75=F75)))</f>
        <v/>
      </c>
      <c r="H75" s="0" t="str">
        <f aca="false">IF(F75="","",F75&amp;"#"&amp;G75)</f>
        <v/>
      </c>
      <c r="I75" s="0" t="str">
        <f aca="false">IF(F75="","",IFERROR(--'List 2'!B75,0))</f>
        <v/>
      </c>
      <c r="K75" s="0" t="str">
        <f aca="false">C75</f>
        <v/>
      </c>
      <c r="L75" s="0" t="str">
        <f aca="false">IF(K75="","",IF(ISNUMBER('List 1'!A75),'List 1'!A75,TRIM('List 1'!A75)))</f>
        <v/>
      </c>
      <c r="M75" s="0" t="str">
        <f aca="false">IF(K75="","",IF(ISNUMBER('List 1'!C75),'List 1'!C75,TRIM('List 1'!C75)))</f>
        <v/>
      </c>
      <c r="N75" s="0" t="str">
        <f aca="false">IF(K75="","",IF(ISNUMBER('List 1'!D75),'List 1'!D75,TRIM('List 1'!D75)))</f>
        <v/>
      </c>
      <c r="O75" s="0" t="str">
        <f aca="false">IF(K75="","",D75)</f>
        <v/>
      </c>
      <c r="P75" s="0" t="str">
        <f aca="false">IF(K75="","",IF(R75,SUMPRODUCT(--($H$2:$H$501=K75),$I$2:$I$501),0))</f>
        <v/>
      </c>
      <c r="Q75" s="0" t="str">
        <f aca="false">IF(K75="","",TRUE())</f>
        <v/>
      </c>
      <c r="R75" s="0" t="str">
        <f aca="false">IF(K75="","",SUMPRODUCT(--($H$2:$H$501=K75))&gt;0)</f>
        <v/>
      </c>
      <c r="S75" s="0" t="str">
        <f aca="false">IF(K75="","",IF(AND(Q75,R75),IF(O75=P75,"Match","Qty Different"),IF(Q75,"Only in List 1","Only in List 2")))</f>
        <v/>
      </c>
      <c r="T75" s="0" t="str">
        <f aca="false">IF(K75="","",IF(ISNUMBER(--L75),TEXT(--L75,"000000000000.000"),LOWER(L75)))</f>
        <v/>
      </c>
      <c r="U75" s="0" t="str">
        <f aca="false">IF(K75="","",IF(ISNUMBER(--M75),TEXT(--M75,"000000000000.000"),LOWER(M75)))</f>
        <v/>
      </c>
      <c r="V75" s="0" t="str">
        <f aca="false">IF(K75="","",LOWER(N75))</f>
        <v/>
      </c>
      <c r="W75" s="0" t="str">
        <f aca="false">IF(K75="","",B75)</f>
        <v/>
      </c>
      <c r="X75" s="0" t="str">
        <f aca="false">IF(K75="","",1+SUMPRODUCT(($K$2:$K$1001&lt;&gt;"")*(($T$2:$T$1001&lt;T75)+($T$2:$T$1001=T75)*(($U$2:$U$1001&lt;U75)+($U$2:$U$1001=U75)*(($V$2:$V$1001&lt;V75)+($V$2:$V$1001=V75)*(($W$2:$W$1001&lt;W75)+($W$2:$W$1001=W75)*(ROW($K$2:$K$1001)&lt;ROW(K75))))))))</f>
        <v/>
      </c>
    </row>
    <row r="76" customFormat="false" ht="15" hidden="false" customHeight="false" outlineLevel="0" collapsed="false">
      <c r="A76" s="0" t="str">
        <f aca="false">IF(TRIM('List 1'!A76&amp;'List 1'!C76&amp;'List 1'!D76)="","",LOWER(IF(OR(Comparison!$I$9="Item # + Part # + Description",Comparison!$I$9="Item # + Part #"),TRIM('List 1'!A76),"")&amp;"|"&amp;TRIM('List 1'!C76)&amp;"|"&amp;IF(OR(Comparison!$I$9="Item # + Part # + Description",Comparison!$I$9="Part # + Description"),TRIM('List 1'!D76),"")))</f>
        <v/>
      </c>
      <c r="B76" s="0" t="str">
        <f aca="false">IF(A76="","",SUMPRODUCT(--($A$2:A76=A76)))</f>
        <v/>
      </c>
      <c r="C76" s="0" t="str">
        <f aca="false">IF(A76="","",A76&amp;"#"&amp;B76)</f>
        <v/>
      </c>
      <c r="D76" s="0" t="str">
        <f aca="false">IF(A76="","",IFERROR(--'List 1'!B76,0))</f>
        <v/>
      </c>
      <c r="F76" s="0" t="str">
        <f aca="false">IF(TRIM('List 2'!A76&amp;'List 2'!C76&amp;'List 2'!D76)="","",LOWER(IF(OR(Comparison!$I$9="Item # + Part # + Description",Comparison!$I$9="Item # + Part #"),TRIM('List 2'!A76),"")&amp;"|"&amp;TRIM('List 2'!C76)&amp;"|"&amp;IF(OR(Comparison!$I$9="Item # + Part # + Description",Comparison!$I$9="Part # + Description"),TRIM('List 2'!D76),"")))</f>
        <v/>
      </c>
      <c r="G76" s="0" t="str">
        <f aca="false">IF(F76="","",SUMPRODUCT(--($F$2:F76=F76)))</f>
        <v/>
      </c>
      <c r="H76" s="0" t="str">
        <f aca="false">IF(F76="","",F76&amp;"#"&amp;G76)</f>
        <v/>
      </c>
      <c r="I76" s="0" t="str">
        <f aca="false">IF(F76="","",IFERROR(--'List 2'!B76,0))</f>
        <v/>
      </c>
      <c r="K76" s="0" t="str">
        <f aca="false">C76</f>
        <v/>
      </c>
      <c r="L76" s="0" t="str">
        <f aca="false">IF(K76="","",IF(ISNUMBER('List 1'!A76),'List 1'!A76,TRIM('List 1'!A76)))</f>
        <v/>
      </c>
      <c r="M76" s="0" t="str">
        <f aca="false">IF(K76="","",IF(ISNUMBER('List 1'!C76),'List 1'!C76,TRIM('List 1'!C76)))</f>
        <v/>
      </c>
      <c r="N76" s="0" t="str">
        <f aca="false">IF(K76="","",IF(ISNUMBER('List 1'!D76),'List 1'!D76,TRIM('List 1'!D76)))</f>
        <v/>
      </c>
      <c r="O76" s="0" t="str">
        <f aca="false">IF(K76="","",D76)</f>
        <v/>
      </c>
      <c r="P76" s="0" t="str">
        <f aca="false">IF(K76="","",IF(R76,SUMPRODUCT(--($H$2:$H$501=K76),$I$2:$I$501),0))</f>
        <v/>
      </c>
      <c r="Q76" s="0" t="str">
        <f aca="false">IF(K76="","",TRUE())</f>
        <v/>
      </c>
      <c r="R76" s="0" t="str">
        <f aca="false">IF(K76="","",SUMPRODUCT(--($H$2:$H$501=K76))&gt;0)</f>
        <v/>
      </c>
      <c r="S76" s="0" t="str">
        <f aca="false">IF(K76="","",IF(AND(Q76,R76),IF(O76=P76,"Match","Qty Different"),IF(Q76,"Only in List 1","Only in List 2")))</f>
        <v/>
      </c>
      <c r="T76" s="0" t="str">
        <f aca="false">IF(K76="","",IF(ISNUMBER(--L76),TEXT(--L76,"000000000000.000"),LOWER(L76)))</f>
        <v/>
      </c>
      <c r="U76" s="0" t="str">
        <f aca="false">IF(K76="","",IF(ISNUMBER(--M76),TEXT(--M76,"000000000000.000"),LOWER(M76)))</f>
        <v/>
      </c>
      <c r="V76" s="0" t="str">
        <f aca="false">IF(K76="","",LOWER(N76))</f>
        <v/>
      </c>
      <c r="W76" s="0" t="str">
        <f aca="false">IF(K76="","",B76)</f>
        <v/>
      </c>
      <c r="X76" s="0" t="str">
        <f aca="false">IF(K76="","",1+SUMPRODUCT(($K$2:$K$1001&lt;&gt;"")*(($T$2:$T$1001&lt;T76)+($T$2:$T$1001=T76)*(($U$2:$U$1001&lt;U76)+($U$2:$U$1001=U76)*(($V$2:$V$1001&lt;V76)+($V$2:$V$1001=V76)*(($W$2:$W$1001&lt;W76)+($W$2:$W$1001=W76)*(ROW($K$2:$K$1001)&lt;ROW(K76))))))))</f>
        <v/>
      </c>
    </row>
    <row r="77" customFormat="false" ht="15" hidden="false" customHeight="false" outlineLevel="0" collapsed="false">
      <c r="A77" s="0" t="str">
        <f aca="false">IF(TRIM('List 1'!A77&amp;'List 1'!C77&amp;'List 1'!D77)="","",LOWER(IF(OR(Comparison!$I$9="Item # + Part # + Description",Comparison!$I$9="Item # + Part #"),TRIM('List 1'!A77),"")&amp;"|"&amp;TRIM('List 1'!C77)&amp;"|"&amp;IF(OR(Comparison!$I$9="Item # + Part # + Description",Comparison!$I$9="Part # + Description"),TRIM('List 1'!D77),"")))</f>
        <v/>
      </c>
      <c r="B77" s="0" t="str">
        <f aca="false">IF(A77="","",SUMPRODUCT(--($A$2:A77=A77)))</f>
        <v/>
      </c>
      <c r="C77" s="0" t="str">
        <f aca="false">IF(A77="","",A77&amp;"#"&amp;B77)</f>
        <v/>
      </c>
      <c r="D77" s="0" t="str">
        <f aca="false">IF(A77="","",IFERROR(--'List 1'!B77,0))</f>
        <v/>
      </c>
      <c r="F77" s="0" t="str">
        <f aca="false">IF(TRIM('List 2'!A77&amp;'List 2'!C77&amp;'List 2'!D77)="","",LOWER(IF(OR(Comparison!$I$9="Item # + Part # + Description",Comparison!$I$9="Item # + Part #"),TRIM('List 2'!A77),"")&amp;"|"&amp;TRIM('List 2'!C77)&amp;"|"&amp;IF(OR(Comparison!$I$9="Item # + Part # + Description",Comparison!$I$9="Part # + Description"),TRIM('List 2'!D77),"")))</f>
        <v/>
      </c>
      <c r="G77" s="0" t="str">
        <f aca="false">IF(F77="","",SUMPRODUCT(--($F$2:F77=F77)))</f>
        <v/>
      </c>
      <c r="H77" s="0" t="str">
        <f aca="false">IF(F77="","",F77&amp;"#"&amp;G77)</f>
        <v/>
      </c>
      <c r="I77" s="0" t="str">
        <f aca="false">IF(F77="","",IFERROR(--'List 2'!B77,0))</f>
        <v/>
      </c>
      <c r="K77" s="0" t="str">
        <f aca="false">C77</f>
        <v/>
      </c>
      <c r="L77" s="0" t="str">
        <f aca="false">IF(K77="","",IF(ISNUMBER('List 1'!A77),'List 1'!A77,TRIM('List 1'!A77)))</f>
        <v/>
      </c>
      <c r="M77" s="0" t="str">
        <f aca="false">IF(K77="","",IF(ISNUMBER('List 1'!C77),'List 1'!C77,TRIM('List 1'!C77)))</f>
        <v/>
      </c>
      <c r="N77" s="0" t="str">
        <f aca="false">IF(K77="","",IF(ISNUMBER('List 1'!D77),'List 1'!D77,TRIM('List 1'!D77)))</f>
        <v/>
      </c>
      <c r="O77" s="0" t="str">
        <f aca="false">IF(K77="","",D77)</f>
        <v/>
      </c>
      <c r="P77" s="0" t="str">
        <f aca="false">IF(K77="","",IF(R77,SUMPRODUCT(--($H$2:$H$501=K77),$I$2:$I$501),0))</f>
        <v/>
      </c>
      <c r="Q77" s="0" t="str">
        <f aca="false">IF(K77="","",TRUE())</f>
        <v/>
      </c>
      <c r="R77" s="0" t="str">
        <f aca="false">IF(K77="","",SUMPRODUCT(--($H$2:$H$501=K77))&gt;0)</f>
        <v/>
      </c>
      <c r="S77" s="0" t="str">
        <f aca="false">IF(K77="","",IF(AND(Q77,R77),IF(O77=P77,"Match","Qty Different"),IF(Q77,"Only in List 1","Only in List 2")))</f>
        <v/>
      </c>
      <c r="T77" s="0" t="str">
        <f aca="false">IF(K77="","",IF(ISNUMBER(--L77),TEXT(--L77,"000000000000.000"),LOWER(L77)))</f>
        <v/>
      </c>
      <c r="U77" s="0" t="str">
        <f aca="false">IF(K77="","",IF(ISNUMBER(--M77),TEXT(--M77,"000000000000.000"),LOWER(M77)))</f>
        <v/>
      </c>
      <c r="V77" s="0" t="str">
        <f aca="false">IF(K77="","",LOWER(N77))</f>
        <v/>
      </c>
      <c r="W77" s="0" t="str">
        <f aca="false">IF(K77="","",B77)</f>
        <v/>
      </c>
      <c r="X77" s="0" t="str">
        <f aca="false">IF(K77="","",1+SUMPRODUCT(($K$2:$K$1001&lt;&gt;"")*(($T$2:$T$1001&lt;T77)+($T$2:$T$1001=T77)*(($U$2:$U$1001&lt;U77)+($U$2:$U$1001=U77)*(($V$2:$V$1001&lt;V77)+($V$2:$V$1001=V77)*(($W$2:$W$1001&lt;W77)+($W$2:$W$1001=W77)*(ROW($K$2:$K$1001)&lt;ROW(K77))))))))</f>
        <v/>
      </c>
    </row>
    <row r="78" customFormat="false" ht="15" hidden="false" customHeight="false" outlineLevel="0" collapsed="false">
      <c r="A78" s="0" t="str">
        <f aca="false">IF(TRIM('List 1'!A78&amp;'List 1'!C78&amp;'List 1'!D78)="","",LOWER(IF(OR(Comparison!$I$9="Item # + Part # + Description",Comparison!$I$9="Item # + Part #"),TRIM('List 1'!A78),"")&amp;"|"&amp;TRIM('List 1'!C78)&amp;"|"&amp;IF(OR(Comparison!$I$9="Item # + Part # + Description",Comparison!$I$9="Part # + Description"),TRIM('List 1'!D78),"")))</f>
        <v/>
      </c>
      <c r="B78" s="0" t="str">
        <f aca="false">IF(A78="","",SUMPRODUCT(--($A$2:A78=A78)))</f>
        <v/>
      </c>
      <c r="C78" s="0" t="str">
        <f aca="false">IF(A78="","",A78&amp;"#"&amp;B78)</f>
        <v/>
      </c>
      <c r="D78" s="0" t="str">
        <f aca="false">IF(A78="","",IFERROR(--'List 1'!B78,0))</f>
        <v/>
      </c>
      <c r="F78" s="0" t="str">
        <f aca="false">IF(TRIM('List 2'!A78&amp;'List 2'!C78&amp;'List 2'!D78)="","",LOWER(IF(OR(Comparison!$I$9="Item # + Part # + Description",Comparison!$I$9="Item # + Part #"),TRIM('List 2'!A78),"")&amp;"|"&amp;TRIM('List 2'!C78)&amp;"|"&amp;IF(OR(Comparison!$I$9="Item # + Part # + Description",Comparison!$I$9="Part # + Description"),TRIM('List 2'!D78),"")))</f>
        <v/>
      </c>
      <c r="G78" s="0" t="str">
        <f aca="false">IF(F78="","",SUMPRODUCT(--($F$2:F78=F78)))</f>
        <v/>
      </c>
      <c r="H78" s="0" t="str">
        <f aca="false">IF(F78="","",F78&amp;"#"&amp;G78)</f>
        <v/>
      </c>
      <c r="I78" s="0" t="str">
        <f aca="false">IF(F78="","",IFERROR(--'List 2'!B78,0))</f>
        <v/>
      </c>
      <c r="K78" s="0" t="str">
        <f aca="false">C78</f>
        <v/>
      </c>
      <c r="L78" s="0" t="str">
        <f aca="false">IF(K78="","",IF(ISNUMBER('List 1'!A78),'List 1'!A78,TRIM('List 1'!A78)))</f>
        <v/>
      </c>
      <c r="M78" s="0" t="str">
        <f aca="false">IF(K78="","",IF(ISNUMBER('List 1'!C78),'List 1'!C78,TRIM('List 1'!C78)))</f>
        <v/>
      </c>
      <c r="N78" s="0" t="str">
        <f aca="false">IF(K78="","",IF(ISNUMBER('List 1'!D78),'List 1'!D78,TRIM('List 1'!D78)))</f>
        <v/>
      </c>
      <c r="O78" s="0" t="str">
        <f aca="false">IF(K78="","",D78)</f>
        <v/>
      </c>
      <c r="P78" s="0" t="str">
        <f aca="false">IF(K78="","",IF(R78,SUMPRODUCT(--($H$2:$H$501=K78),$I$2:$I$501),0))</f>
        <v/>
      </c>
      <c r="Q78" s="0" t="str">
        <f aca="false">IF(K78="","",TRUE())</f>
        <v/>
      </c>
      <c r="R78" s="0" t="str">
        <f aca="false">IF(K78="","",SUMPRODUCT(--($H$2:$H$501=K78))&gt;0)</f>
        <v/>
      </c>
      <c r="S78" s="0" t="str">
        <f aca="false">IF(K78="","",IF(AND(Q78,R78),IF(O78=P78,"Match","Qty Different"),IF(Q78,"Only in List 1","Only in List 2")))</f>
        <v/>
      </c>
      <c r="T78" s="0" t="str">
        <f aca="false">IF(K78="","",IF(ISNUMBER(--L78),TEXT(--L78,"000000000000.000"),LOWER(L78)))</f>
        <v/>
      </c>
      <c r="U78" s="0" t="str">
        <f aca="false">IF(K78="","",IF(ISNUMBER(--M78),TEXT(--M78,"000000000000.000"),LOWER(M78)))</f>
        <v/>
      </c>
      <c r="V78" s="0" t="str">
        <f aca="false">IF(K78="","",LOWER(N78))</f>
        <v/>
      </c>
      <c r="W78" s="0" t="str">
        <f aca="false">IF(K78="","",B78)</f>
        <v/>
      </c>
      <c r="X78" s="0" t="str">
        <f aca="false">IF(K78="","",1+SUMPRODUCT(($K$2:$K$1001&lt;&gt;"")*(($T$2:$T$1001&lt;T78)+($T$2:$T$1001=T78)*(($U$2:$U$1001&lt;U78)+($U$2:$U$1001=U78)*(($V$2:$V$1001&lt;V78)+($V$2:$V$1001=V78)*(($W$2:$W$1001&lt;W78)+($W$2:$W$1001=W78)*(ROW($K$2:$K$1001)&lt;ROW(K78))))))))</f>
        <v/>
      </c>
    </row>
    <row r="79" customFormat="false" ht="15" hidden="false" customHeight="false" outlineLevel="0" collapsed="false">
      <c r="A79" s="0" t="str">
        <f aca="false">IF(TRIM('List 1'!A79&amp;'List 1'!C79&amp;'List 1'!D79)="","",LOWER(IF(OR(Comparison!$I$9="Item # + Part # + Description",Comparison!$I$9="Item # + Part #"),TRIM('List 1'!A79),"")&amp;"|"&amp;TRIM('List 1'!C79)&amp;"|"&amp;IF(OR(Comparison!$I$9="Item # + Part # + Description",Comparison!$I$9="Part # + Description"),TRIM('List 1'!D79),"")))</f>
        <v/>
      </c>
      <c r="B79" s="0" t="str">
        <f aca="false">IF(A79="","",SUMPRODUCT(--($A$2:A79=A79)))</f>
        <v/>
      </c>
      <c r="C79" s="0" t="str">
        <f aca="false">IF(A79="","",A79&amp;"#"&amp;B79)</f>
        <v/>
      </c>
      <c r="D79" s="0" t="str">
        <f aca="false">IF(A79="","",IFERROR(--'List 1'!B79,0))</f>
        <v/>
      </c>
      <c r="F79" s="0" t="str">
        <f aca="false">IF(TRIM('List 2'!A79&amp;'List 2'!C79&amp;'List 2'!D79)="","",LOWER(IF(OR(Comparison!$I$9="Item # + Part # + Description",Comparison!$I$9="Item # + Part #"),TRIM('List 2'!A79),"")&amp;"|"&amp;TRIM('List 2'!C79)&amp;"|"&amp;IF(OR(Comparison!$I$9="Item # + Part # + Description",Comparison!$I$9="Part # + Description"),TRIM('List 2'!D79),"")))</f>
        <v/>
      </c>
      <c r="G79" s="0" t="str">
        <f aca="false">IF(F79="","",SUMPRODUCT(--($F$2:F79=F79)))</f>
        <v/>
      </c>
      <c r="H79" s="0" t="str">
        <f aca="false">IF(F79="","",F79&amp;"#"&amp;G79)</f>
        <v/>
      </c>
      <c r="I79" s="0" t="str">
        <f aca="false">IF(F79="","",IFERROR(--'List 2'!B79,0))</f>
        <v/>
      </c>
      <c r="K79" s="0" t="str">
        <f aca="false">C79</f>
        <v/>
      </c>
      <c r="L79" s="0" t="str">
        <f aca="false">IF(K79="","",IF(ISNUMBER('List 1'!A79),'List 1'!A79,TRIM('List 1'!A79)))</f>
        <v/>
      </c>
      <c r="M79" s="0" t="str">
        <f aca="false">IF(K79="","",IF(ISNUMBER('List 1'!C79),'List 1'!C79,TRIM('List 1'!C79)))</f>
        <v/>
      </c>
      <c r="N79" s="0" t="str">
        <f aca="false">IF(K79="","",IF(ISNUMBER('List 1'!D79),'List 1'!D79,TRIM('List 1'!D79)))</f>
        <v/>
      </c>
      <c r="O79" s="0" t="str">
        <f aca="false">IF(K79="","",D79)</f>
        <v/>
      </c>
      <c r="P79" s="0" t="str">
        <f aca="false">IF(K79="","",IF(R79,SUMPRODUCT(--($H$2:$H$501=K79),$I$2:$I$501),0))</f>
        <v/>
      </c>
      <c r="Q79" s="0" t="str">
        <f aca="false">IF(K79="","",TRUE())</f>
        <v/>
      </c>
      <c r="R79" s="0" t="str">
        <f aca="false">IF(K79="","",SUMPRODUCT(--($H$2:$H$501=K79))&gt;0)</f>
        <v/>
      </c>
      <c r="S79" s="0" t="str">
        <f aca="false">IF(K79="","",IF(AND(Q79,R79),IF(O79=P79,"Match","Qty Different"),IF(Q79,"Only in List 1","Only in List 2")))</f>
        <v/>
      </c>
      <c r="T79" s="0" t="str">
        <f aca="false">IF(K79="","",IF(ISNUMBER(--L79),TEXT(--L79,"000000000000.000"),LOWER(L79)))</f>
        <v/>
      </c>
      <c r="U79" s="0" t="str">
        <f aca="false">IF(K79="","",IF(ISNUMBER(--M79),TEXT(--M79,"000000000000.000"),LOWER(M79)))</f>
        <v/>
      </c>
      <c r="V79" s="0" t="str">
        <f aca="false">IF(K79="","",LOWER(N79))</f>
        <v/>
      </c>
      <c r="W79" s="0" t="str">
        <f aca="false">IF(K79="","",B79)</f>
        <v/>
      </c>
      <c r="X79" s="0" t="str">
        <f aca="false">IF(K79="","",1+SUMPRODUCT(($K$2:$K$1001&lt;&gt;"")*(($T$2:$T$1001&lt;T79)+($T$2:$T$1001=T79)*(($U$2:$U$1001&lt;U79)+($U$2:$U$1001=U79)*(($V$2:$V$1001&lt;V79)+($V$2:$V$1001=V79)*(($W$2:$W$1001&lt;W79)+($W$2:$W$1001=W79)*(ROW($K$2:$K$1001)&lt;ROW(K79))))))))</f>
        <v/>
      </c>
    </row>
    <row r="80" customFormat="false" ht="15" hidden="false" customHeight="false" outlineLevel="0" collapsed="false">
      <c r="A80" s="0" t="str">
        <f aca="false">IF(TRIM('List 1'!A80&amp;'List 1'!C80&amp;'List 1'!D80)="","",LOWER(IF(OR(Comparison!$I$9="Item # + Part # + Description",Comparison!$I$9="Item # + Part #"),TRIM('List 1'!A80),"")&amp;"|"&amp;TRIM('List 1'!C80)&amp;"|"&amp;IF(OR(Comparison!$I$9="Item # + Part # + Description",Comparison!$I$9="Part # + Description"),TRIM('List 1'!D80),"")))</f>
        <v/>
      </c>
      <c r="B80" s="0" t="str">
        <f aca="false">IF(A80="","",SUMPRODUCT(--($A$2:A80=A80)))</f>
        <v/>
      </c>
      <c r="C80" s="0" t="str">
        <f aca="false">IF(A80="","",A80&amp;"#"&amp;B80)</f>
        <v/>
      </c>
      <c r="D80" s="0" t="str">
        <f aca="false">IF(A80="","",IFERROR(--'List 1'!B80,0))</f>
        <v/>
      </c>
      <c r="F80" s="0" t="str">
        <f aca="false">IF(TRIM('List 2'!A80&amp;'List 2'!C80&amp;'List 2'!D80)="","",LOWER(IF(OR(Comparison!$I$9="Item # + Part # + Description",Comparison!$I$9="Item # + Part #"),TRIM('List 2'!A80),"")&amp;"|"&amp;TRIM('List 2'!C80)&amp;"|"&amp;IF(OR(Comparison!$I$9="Item # + Part # + Description",Comparison!$I$9="Part # + Description"),TRIM('List 2'!D80),"")))</f>
        <v/>
      </c>
      <c r="G80" s="0" t="str">
        <f aca="false">IF(F80="","",SUMPRODUCT(--($F$2:F80=F80)))</f>
        <v/>
      </c>
      <c r="H80" s="0" t="str">
        <f aca="false">IF(F80="","",F80&amp;"#"&amp;G80)</f>
        <v/>
      </c>
      <c r="I80" s="0" t="str">
        <f aca="false">IF(F80="","",IFERROR(--'List 2'!B80,0))</f>
        <v/>
      </c>
      <c r="K80" s="0" t="str">
        <f aca="false">C80</f>
        <v/>
      </c>
      <c r="L80" s="0" t="str">
        <f aca="false">IF(K80="","",IF(ISNUMBER('List 1'!A80),'List 1'!A80,TRIM('List 1'!A80)))</f>
        <v/>
      </c>
      <c r="M80" s="0" t="str">
        <f aca="false">IF(K80="","",IF(ISNUMBER('List 1'!C80),'List 1'!C80,TRIM('List 1'!C80)))</f>
        <v/>
      </c>
      <c r="N80" s="0" t="str">
        <f aca="false">IF(K80="","",IF(ISNUMBER('List 1'!D80),'List 1'!D80,TRIM('List 1'!D80)))</f>
        <v/>
      </c>
      <c r="O80" s="0" t="str">
        <f aca="false">IF(K80="","",D80)</f>
        <v/>
      </c>
      <c r="P80" s="0" t="str">
        <f aca="false">IF(K80="","",IF(R80,SUMPRODUCT(--($H$2:$H$501=K80),$I$2:$I$501),0))</f>
        <v/>
      </c>
      <c r="Q80" s="0" t="str">
        <f aca="false">IF(K80="","",TRUE())</f>
        <v/>
      </c>
      <c r="R80" s="0" t="str">
        <f aca="false">IF(K80="","",SUMPRODUCT(--($H$2:$H$501=K80))&gt;0)</f>
        <v/>
      </c>
      <c r="S80" s="0" t="str">
        <f aca="false">IF(K80="","",IF(AND(Q80,R80),IF(O80=P80,"Match","Qty Different"),IF(Q80,"Only in List 1","Only in List 2")))</f>
        <v/>
      </c>
      <c r="T80" s="0" t="str">
        <f aca="false">IF(K80="","",IF(ISNUMBER(--L80),TEXT(--L80,"000000000000.000"),LOWER(L80)))</f>
        <v/>
      </c>
      <c r="U80" s="0" t="str">
        <f aca="false">IF(K80="","",IF(ISNUMBER(--M80),TEXT(--M80,"000000000000.000"),LOWER(M80)))</f>
        <v/>
      </c>
      <c r="V80" s="0" t="str">
        <f aca="false">IF(K80="","",LOWER(N80))</f>
        <v/>
      </c>
      <c r="W80" s="0" t="str">
        <f aca="false">IF(K80="","",B80)</f>
        <v/>
      </c>
      <c r="X80" s="0" t="str">
        <f aca="false">IF(K80="","",1+SUMPRODUCT(($K$2:$K$1001&lt;&gt;"")*(($T$2:$T$1001&lt;T80)+($T$2:$T$1001=T80)*(($U$2:$U$1001&lt;U80)+($U$2:$U$1001=U80)*(($V$2:$V$1001&lt;V80)+($V$2:$V$1001=V80)*(($W$2:$W$1001&lt;W80)+($W$2:$W$1001=W80)*(ROW($K$2:$K$1001)&lt;ROW(K80))))))))</f>
        <v/>
      </c>
    </row>
    <row r="81" customFormat="false" ht="15" hidden="false" customHeight="false" outlineLevel="0" collapsed="false">
      <c r="A81" s="0" t="str">
        <f aca="false">IF(TRIM('List 1'!A81&amp;'List 1'!C81&amp;'List 1'!D81)="","",LOWER(IF(OR(Comparison!$I$9="Item # + Part # + Description",Comparison!$I$9="Item # + Part #"),TRIM('List 1'!A81),"")&amp;"|"&amp;TRIM('List 1'!C81)&amp;"|"&amp;IF(OR(Comparison!$I$9="Item # + Part # + Description",Comparison!$I$9="Part # + Description"),TRIM('List 1'!D81),"")))</f>
        <v/>
      </c>
      <c r="B81" s="0" t="str">
        <f aca="false">IF(A81="","",SUMPRODUCT(--($A$2:A81=A81)))</f>
        <v/>
      </c>
      <c r="C81" s="0" t="str">
        <f aca="false">IF(A81="","",A81&amp;"#"&amp;B81)</f>
        <v/>
      </c>
      <c r="D81" s="0" t="str">
        <f aca="false">IF(A81="","",IFERROR(--'List 1'!B81,0))</f>
        <v/>
      </c>
      <c r="F81" s="0" t="str">
        <f aca="false">IF(TRIM('List 2'!A81&amp;'List 2'!C81&amp;'List 2'!D81)="","",LOWER(IF(OR(Comparison!$I$9="Item # + Part # + Description",Comparison!$I$9="Item # + Part #"),TRIM('List 2'!A81),"")&amp;"|"&amp;TRIM('List 2'!C81)&amp;"|"&amp;IF(OR(Comparison!$I$9="Item # + Part # + Description",Comparison!$I$9="Part # + Description"),TRIM('List 2'!D81),"")))</f>
        <v/>
      </c>
      <c r="G81" s="0" t="str">
        <f aca="false">IF(F81="","",SUMPRODUCT(--($F$2:F81=F81)))</f>
        <v/>
      </c>
      <c r="H81" s="0" t="str">
        <f aca="false">IF(F81="","",F81&amp;"#"&amp;G81)</f>
        <v/>
      </c>
      <c r="I81" s="0" t="str">
        <f aca="false">IF(F81="","",IFERROR(--'List 2'!B81,0))</f>
        <v/>
      </c>
      <c r="K81" s="0" t="str">
        <f aca="false">C81</f>
        <v/>
      </c>
      <c r="L81" s="0" t="str">
        <f aca="false">IF(K81="","",IF(ISNUMBER('List 1'!A81),'List 1'!A81,TRIM('List 1'!A81)))</f>
        <v/>
      </c>
      <c r="M81" s="0" t="str">
        <f aca="false">IF(K81="","",IF(ISNUMBER('List 1'!C81),'List 1'!C81,TRIM('List 1'!C81)))</f>
        <v/>
      </c>
      <c r="N81" s="0" t="str">
        <f aca="false">IF(K81="","",IF(ISNUMBER('List 1'!D81),'List 1'!D81,TRIM('List 1'!D81)))</f>
        <v/>
      </c>
      <c r="O81" s="0" t="str">
        <f aca="false">IF(K81="","",D81)</f>
        <v/>
      </c>
      <c r="P81" s="0" t="str">
        <f aca="false">IF(K81="","",IF(R81,SUMPRODUCT(--($H$2:$H$501=K81),$I$2:$I$501),0))</f>
        <v/>
      </c>
      <c r="Q81" s="0" t="str">
        <f aca="false">IF(K81="","",TRUE())</f>
        <v/>
      </c>
      <c r="R81" s="0" t="str">
        <f aca="false">IF(K81="","",SUMPRODUCT(--($H$2:$H$501=K81))&gt;0)</f>
        <v/>
      </c>
      <c r="S81" s="0" t="str">
        <f aca="false">IF(K81="","",IF(AND(Q81,R81),IF(O81=P81,"Match","Qty Different"),IF(Q81,"Only in List 1","Only in List 2")))</f>
        <v/>
      </c>
      <c r="T81" s="0" t="str">
        <f aca="false">IF(K81="","",IF(ISNUMBER(--L81),TEXT(--L81,"000000000000.000"),LOWER(L81)))</f>
        <v/>
      </c>
      <c r="U81" s="0" t="str">
        <f aca="false">IF(K81="","",IF(ISNUMBER(--M81),TEXT(--M81,"000000000000.000"),LOWER(M81)))</f>
        <v/>
      </c>
      <c r="V81" s="0" t="str">
        <f aca="false">IF(K81="","",LOWER(N81))</f>
        <v/>
      </c>
      <c r="W81" s="0" t="str">
        <f aca="false">IF(K81="","",B81)</f>
        <v/>
      </c>
      <c r="X81" s="0" t="str">
        <f aca="false">IF(K81="","",1+SUMPRODUCT(($K$2:$K$1001&lt;&gt;"")*(($T$2:$T$1001&lt;T81)+($T$2:$T$1001=T81)*(($U$2:$U$1001&lt;U81)+($U$2:$U$1001=U81)*(($V$2:$V$1001&lt;V81)+($V$2:$V$1001=V81)*(($W$2:$W$1001&lt;W81)+($W$2:$W$1001=W81)*(ROW($K$2:$K$1001)&lt;ROW(K81))))))))</f>
        <v/>
      </c>
    </row>
    <row r="82" customFormat="false" ht="15" hidden="false" customHeight="false" outlineLevel="0" collapsed="false">
      <c r="A82" s="0" t="str">
        <f aca="false">IF(TRIM('List 1'!A82&amp;'List 1'!C82&amp;'List 1'!D82)="","",LOWER(IF(OR(Comparison!$I$9="Item # + Part # + Description",Comparison!$I$9="Item # + Part #"),TRIM('List 1'!A82),"")&amp;"|"&amp;TRIM('List 1'!C82)&amp;"|"&amp;IF(OR(Comparison!$I$9="Item # + Part # + Description",Comparison!$I$9="Part # + Description"),TRIM('List 1'!D82),"")))</f>
        <v/>
      </c>
      <c r="B82" s="0" t="str">
        <f aca="false">IF(A82="","",SUMPRODUCT(--($A$2:A82=A82)))</f>
        <v/>
      </c>
      <c r="C82" s="0" t="str">
        <f aca="false">IF(A82="","",A82&amp;"#"&amp;B82)</f>
        <v/>
      </c>
      <c r="D82" s="0" t="str">
        <f aca="false">IF(A82="","",IFERROR(--'List 1'!B82,0))</f>
        <v/>
      </c>
      <c r="F82" s="0" t="str">
        <f aca="false">IF(TRIM('List 2'!A82&amp;'List 2'!C82&amp;'List 2'!D82)="","",LOWER(IF(OR(Comparison!$I$9="Item # + Part # + Description",Comparison!$I$9="Item # + Part #"),TRIM('List 2'!A82),"")&amp;"|"&amp;TRIM('List 2'!C82)&amp;"|"&amp;IF(OR(Comparison!$I$9="Item # + Part # + Description",Comparison!$I$9="Part # + Description"),TRIM('List 2'!D82),"")))</f>
        <v/>
      </c>
      <c r="G82" s="0" t="str">
        <f aca="false">IF(F82="","",SUMPRODUCT(--($F$2:F82=F82)))</f>
        <v/>
      </c>
      <c r="H82" s="0" t="str">
        <f aca="false">IF(F82="","",F82&amp;"#"&amp;G82)</f>
        <v/>
      </c>
      <c r="I82" s="0" t="str">
        <f aca="false">IF(F82="","",IFERROR(--'List 2'!B82,0))</f>
        <v/>
      </c>
      <c r="K82" s="0" t="str">
        <f aca="false">C82</f>
        <v/>
      </c>
      <c r="L82" s="0" t="str">
        <f aca="false">IF(K82="","",IF(ISNUMBER('List 1'!A82),'List 1'!A82,TRIM('List 1'!A82)))</f>
        <v/>
      </c>
      <c r="M82" s="0" t="str">
        <f aca="false">IF(K82="","",IF(ISNUMBER('List 1'!C82),'List 1'!C82,TRIM('List 1'!C82)))</f>
        <v/>
      </c>
      <c r="N82" s="0" t="str">
        <f aca="false">IF(K82="","",IF(ISNUMBER('List 1'!D82),'List 1'!D82,TRIM('List 1'!D82)))</f>
        <v/>
      </c>
      <c r="O82" s="0" t="str">
        <f aca="false">IF(K82="","",D82)</f>
        <v/>
      </c>
      <c r="P82" s="0" t="str">
        <f aca="false">IF(K82="","",IF(R82,SUMPRODUCT(--($H$2:$H$501=K82),$I$2:$I$501),0))</f>
        <v/>
      </c>
      <c r="Q82" s="0" t="str">
        <f aca="false">IF(K82="","",TRUE())</f>
        <v/>
      </c>
      <c r="R82" s="0" t="str">
        <f aca="false">IF(K82="","",SUMPRODUCT(--($H$2:$H$501=K82))&gt;0)</f>
        <v/>
      </c>
      <c r="S82" s="0" t="str">
        <f aca="false">IF(K82="","",IF(AND(Q82,R82),IF(O82=P82,"Match","Qty Different"),IF(Q82,"Only in List 1","Only in List 2")))</f>
        <v/>
      </c>
      <c r="T82" s="0" t="str">
        <f aca="false">IF(K82="","",IF(ISNUMBER(--L82),TEXT(--L82,"000000000000.000"),LOWER(L82)))</f>
        <v/>
      </c>
      <c r="U82" s="0" t="str">
        <f aca="false">IF(K82="","",IF(ISNUMBER(--M82),TEXT(--M82,"000000000000.000"),LOWER(M82)))</f>
        <v/>
      </c>
      <c r="V82" s="0" t="str">
        <f aca="false">IF(K82="","",LOWER(N82))</f>
        <v/>
      </c>
      <c r="W82" s="0" t="str">
        <f aca="false">IF(K82="","",B82)</f>
        <v/>
      </c>
      <c r="X82" s="0" t="str">
        <f aca="false">IF(K82="","",1+SUMPRODUCT(($K$2:$K$1001&lt;&gt;"")*(($T$2:$T$1001&lt;T82)+($T$2:$T$1001=T82)*(($U$2:$U$1001&lt;U82)+($U$2:$U$1001=U82)*(($V$2:$V$1001&lt;V82)+($V$2:$V$1001=V82)*(($W$2:$W$1001&lt;W82)+($W$2:$W$1001=W82)*(ROW($K$2:$K$1001)&lt;ROW(K82))))))))</f>
        <v/>
      </c>
    </row>
    <row r="83" customFormat="false" ht="15" hidden="false" customHeight="false" outlineLevel="0" collapsed="false">
      <c r="A83" s="0" t="str">
        <f aca="false">IF(TRIM('List 1'!A83&amp;'List 1'!C83&amp;'List 1'!D83)="","",LOWER(IF(OR(Comparison!$I$9="Item # + Part # + Description",Comparison!$I$9="Item # + Part #"),TRIM('List 1'!A83),"")&amp;"|"&amp;TRIM('List 1'!C83)&amp;"|"&amp;IF(OR(Comparison!$I$9="Item # + Part # + Description",Comparison!$I$9="Part # + Description"),TRIM('List 1'!D83),"")))</f>
        <v/>
      </c>
      <c r="B83" s="0" t="str">
        <f aca="false">IF(A83="","",SUMPRODUCT(--($A$2:A83=A83)))</f>
        <v/>
      </c>
      <c r="C83" s="0" t="str">
        <f aca="false">IF(A83="","",A83&amp;"#"&amp;B83)</f>
        <v/>
      </c>
      <c r="D83" s="0" t="str">
        <f aca="false">IF(A83="","",IFERROR(--'List 1'!B83,0))</f>
        <v/>
      </c>
      <c r="F83" s="0" t="str">
        <f aca="false">IF(TRIM('List 2'!A83&amp;'List 2'!C83&amp;'List 2'!D83)="","",LOWER(IF(OR(Comparison!$I$9="Item # + Part # + Description",Comparison!$I$9="Item # + Part #"),TRIM('List 2'!A83),"")&amp;"|"&amp;TRIM('List 2'!C83)&amp;"|"&amp;IF(OR(Comparison!$I$9="Item # + Part # + Description",Comparison!$I$9="Part # + Description"),TRIM('List 2'!D83),"")))</f>
        <v/>
      </c>
      <c r="G83" s="0" t="str">
        <f aca="false">IF(F83="","",SUMPRODUCT(--($F$2:F83=F83)))</f>
        <v/>
      </c>
      <c r="H83" s="0" t="str">
        <f aca="false">IF(F83="","",F83&amp;"#"&amp;G83)</f>
        <v/>
      </c>
      <c r="I83" s="0" t="str">
        <f aca="false">IF(F83="","",IFERROR(--'List 2'!B83,0))</f>
        <v/>
      </c>
      <c r="K83" s="0" t="str">
        <f aca="false">C83</f>
        <v/>
      </c>
      <c r="L83" s="0" t="str">
        <f aca="false">IF(K83="","",IF(ISNUMBER('List 1'!A83),'List 1'!A83,TRIM('List 1'!A83)))</f>
        <v/>
      </c>
      <c r="M83" s="0" t="str">
        <f aca="false">IF(K83="","",IF(ISNUMBER('List 1'!C83),'List 1'!C83,TRIM('List 1'!C83)))</f>
        <v/>
      </c>
      <c r="N83" s="0" t="str">
        <f aca="false">IF(K83="","",IF(ISNUMBER('List 1'!D83),'List 1'!D83,TRIM('List 1'!D83)))</f>
        <v/>
      </c>
      <c r="O83" s="0" t="str">
        <f aca="false">IF(K83="","",D83)</f>
        <v/>
      </c>
      <c r="P83" s="0" t="str">
        <f aca="false">IF(K83="","",IF(R83,SUMPRODUCT(--($H$2:$H$501=K83),$I$2:$I$501),0))</f>
        <v/>
      </c>
      <c r="Q83" s="0" t="str">
        <f aca="false">IF(K83="","",TRUE())</f>
        <v/>
      </c>
      <c r="R83" s="0" t="str">
        <f aca="false">IF(K83="","",SUMPRODUCT(--($H$2:$H$501=K83))&gt;0)</f>
        <v/>
      </c>
      <c r="S83" s="0" t="str">
        <f aca="false">IF(K83="","",IF(AND(Q83,R83),IF(O83=P83,"Match","Qty Different"),IF(Q83,"Only in List 1","Only in List 2")))</f>
        <v/>
      </c>
      <c r="T83" s="0" t="str">
        <f aca="false">IF(K83="","",IF(ISNUMBER(--L83),TEXT(--L83,"000000000000.000"),LOWER(L83)))</f>
        <v/>
      </c>
      <c r="U83" s="0" t="str">
        <f aca="false">IF(K83="","",IF(ISNUMBER(--M83),TEXT(--M83,"000000000000.000"),LOWER(M83)))</f>
        <v/>
      </c>
      <c r="V83" s="0" t="str">
        <f aca="false">IF(K83="","",LOWER(N83))</f>
        <v/>
      </c>
      <c r="W83" s="0" t="str">
        <f aca="false">IF(K83="","",B83)</f>
        <v/>
      </c>
      <c r="X83" s="0" t="str">
        <f aca="false">IF(K83="","",1+SUMPRODUCT(($K$2:$K$1001&lt;&gt;"")*(($T$2:$T$1001&lt;T83)+($T$2:$T$1001=T83)*(($U$2:$U$1001&lt;U83)+($U$2:$U$1001=U83)*(($V$2:$V$1001&lt;V83)+($V$2:$V$1001=V83)*(($W$2:$W$1001&lt;W83)+($W$2:$W$1001=W83)*(ROW($K$2:$K$1001)&lt;ROW(K83))))))))</f>
        <v/>
      </c>
    </row>
    <row r="84" customFormat="false" ht="15" hidden="false" customHeight="false" outlineLevel="0" collapsed="false">
      <c r="A84" s="0" t="str">
        <f aca="false">IF(TRIM('List 1'!A84&amp;'List 1'!C84&amp;'List 1'!D84)="","",LOWER(IF(OR(Comparison!$I$9="Item # + Part # + Description",Comparison!$I$9="Item # + Part #"),TRIM('List 1'!A84),"")&amp;"|"&amp;TRIM('List 1'!C84)&amp;"|"&amp;IF(OR(Comparison!$I$9="Item # + Part # + Description",Comparison!$I$9="Part # + Description"),TRIM('List 1'!D84),"")))</f>
        <v/>
      </c>
      <c r="B84" s="0" t="str">
        <f aca="false">IF(A84="","",SUMPRODUCT(--($A$2:A84=A84)))</f>
        <v/>
      </c>
      <c r="C84" s="0" t="str">
        <f aca="false">IF(A84="","",A84&amp;"#"&amp;B84)</f>
        <v/>
      </c>
      <c r="D84" s="0" t="str">
        <f aca="false">IF(A84="","",IFERROR(--'List 1'!B84,0))</f>
        <v/>
      </c>
      <c r="F84" s="0" t="str">
        <f aca="false">IF(TRIM('List 2'!A84&amp;'List 2'!C84&amp;'List 2'!D84)="","",LOWER(IF(OR(Comparison!$I$9="Item # + Part # + Description",Comparison!$I$9="Item # + Part #"),TRIM('List 2'!A84),"")&amp;"|"&amp;TRIM('List 2'!C84)&amp;"|"&amp;IF(OR(Comparison!$I$9="Item # + Part # + Description",Comparison!$I$9="Part # + Description"),TRIM('List 2'!D84),"")))</f>
        <v/>
      </c>
      <c r="G84" s="0" t="str">
        <f aca="false">IF(F84="","",SUMPRODUCT(--($F$2:F84=F84)))</f>
        <v/>
      </c>
      <c r="H84" s="0" t="str">
        <f aca="false">IF(F84="","",F84&amp;"#"&amp;G84)</f>
        <v/>
      </c>
      <c r="I84" s="0" t="str">
        <f aca="false">IF(F84="","",IFERROR(--'List 2'!B84,0))</f>
        <v/>
      </c>
      <c r="K84" s="0" t="str">
        <f aca="false">C84</f>
        <v/>
      </c>
      <c r="L84" s="0" t="str">
        <f aca="false">IF(K84="","",IF(ISNUMBER('List 1'!A84),'List 1'!A84,TRIM('List 1'!A84)))</f>
        <v/>
      </c>
      <c r="M84" s="0" t="str">
        <f aca="false">IF(K84="","",IF(ISNUMBER('List 1'!C84),'List 1'!C84,TRIM('List 1'!C84)))</f>
        <v/>
      </c>
      <c r="N84" s="0" t="str">
        <f aca="false">IF(K84="","",IF(ISNUMBER('List 1'!D84),'List 1'!D84,TRIM('List 1'!D84)))</f>
        <v/>
      </c>
      <c r="O84" s="0" t="str">
        <f aca="false">IF(K84="","",D84)</f>
        <v/>
      </c>
      <c r="P84" s="0" t="str">
        <f aca="false">IF(K84="","",IF(R84,SUMPRODUCT(--($H$2:$H$501=K84),$I$2:$I$501),0))</f>
        <v/>
      </c>
      <c r="Q84" s="0" t="str">
        <f aca="false">IF(K84="","",TRUE())</f>
        <v/>
      </c>
      <c r="R84" s="0" t="str">
        <f aca="false">IF(K84="","",SUMPRODUCT(--($H$2:$H$501=K84))&gt;0)</f>
        <v/>
      </c>
      <c r="S84" s="0" t="str">
        <f aca="false">IF(K84="","",IF(AND(Q84,R84),IF(O84=P84,"Match","Qty Different"),IF(Q84,"Only in List 1","Only in List 2")))</f>
        <v/>
      </c>
      <c r="T84" s="0" t="str">
        <f aca="false">IF(K84="","",IF(ISNUMBER(--L84),TEXT(--L84,"000000000000.000"),LOWER(L84)))</f>
        <v/>
      </c>
      <c r="U84" s="0" t="str">
        <f aca="false">IF(K84="","",IF(ISNUMBER(--M84),TEXT(--M84,"000000000000.000"),LOWER(M84)))</f>
        <v/>
      </c>
      <c r="V84" s="0" t="str">
        <f aca="false">IF(K84="","",LOWER(N84))</f>
        <v/>
      </c>
      <c r="W84" s="0" t="str">
        <f aca="false">IF(K84="","",B84)</f>
        <v/>
      </c>
      <c r="X84" s="0" t="str">
        <f aca="false">IF(K84="","",1+SUMPRODUCT(($K$2:$K$1001&lt;&gt;"")*(($T$2:$T$1001&lt;T84)+($T$2:$T$1001=T84)*(($U$2:$U$1001&lt;U84)+($U$2:$U$1001=U84)*(($V$2:$V$1001&lt;V84)+($V$2:$V$1001=V84)*(($W$2:$W$1001&lt;W84)+($W$2:$W$1001=W84)*(ROW($K$2:$K$1001)&lt;ROW(K84))))))))</f>
        <v/>
      </c>
    </row>
    <row r="85" customFormat="false" ht="15" hidden="false" customHeight="false" outlineLevel="0" collapsed="false">
      <c r="A85" s="0" t="str">
        <f aca="false">IF(TRIM('List 1'!A85&amp;'List 1'!C85&amp;'List 1'!D85)="","",LOWER(IF(OR(Comparison!$I$9="Item # + Part # + Description",Comparison!$I$9="Item # + Part #"),TRIM('List 1'!A85),"")&amp;"|"&amp;TRIM('List 1'!C85)&amp;"|"&amp;IF(OR(Comparison!$I$9="Item # + Part # + Description",Comparison!$I$9="Part # + Description"),TRIM('List 1'!D85),"")))</f>
        <v/>
      </c>
      <c r="B85" s="0" t="str">
        <f aca="false">IF(A85="","",SUMPRODUCT(--($A$2:A85=A85)))</f>
        <v/>
      </c>
      <c r="C85" s="0" t="str">
        <f aca="false">IF(A85="","",A85&amp;"#"&amp;B85)</f>
        <v/>
      </c>
      <c r="D85" s="0" t="str">
        <f aca="false">IF(A85="","",IFERROR(--'List 1'!B85,0))</f>
        <v/>
      </c>
      <c r="F85" s="0" t="str">
        <f aca="false">IF(TRIM('List 2'!A85&amp;'List 2'!C85&amp;'List 2'!D85)="","",LOWER(IF(OR(Comparison!$I$9="Item # + Part # + Description",Comparison!$I$9="Item # + Part #"),TRIM('List 2'!A85),"")&amp;"|"&amp;TRIM('List 2'!C85)&amp;"|"&amp;IF(OR(Comparison!$I$9="Item # + Part # + Description",Comparison!$I$9="Part # + Description"),TRIM('List 2'!D85),"")))</f>
        <v/>
      </c>
      <c r="G85" s="0" t="str">
        <f aca="false">IF(F85="","",SUMPRODUCT(--($F$2:F85=F85)))</f>
        <v/>
      </c>
      <c r="H85" s="0" t="str">
        <f aca="false">IF(F85="","",F85&amp;"#"&amp;G85)</f>
        <v/>
      </c>
      <c r="I85" s="0" t="str">
        <f aca="false">IF(F85="","",IFERROR(--'List 2'!B85,0))</f>
        <v/>
      </c>
      <c r="K85" s="0" t="str">
        <f aca="false">C85</f>
        <v/>
      </c>
      <c r="L85" s="0" t="str">
        <f aca="false">IF(K85="","",IF(ISNUMBER('List 1'!A85),'List 1'!A85,TRIM('List 1'!A85)))</f>
        <v/>
      </c>
      <c r="M85" s="0" t="str">
        <f aca="false">IF(K85="","",IF(ISNUMBER('List 1'!C85),'List 1'!C85,TRIM('List 1'!C85)))</f>
        <v/>
      </c>
      <c r="N85" s="0" t="str">
        <f aca="false">IF(K85="","",IF(ISNUMBER('List 1'!D85),'List 1'!D85,TRIM('List 1'!D85)))</f>
        <v/>
      </c>
      <c r="O85" s="0" t="str">
        <f aca="false">IF(K85="","",D85)</f>
        <v/>
      </c>
      <c r="P85" s="0" t="str">
        <f aca="false">IF(K85="","",IF(R85,SUMPRODUCT(--($H$2:$H$501=K85),$I$2:$I$501),0))</f>
        <v/>
      </c>
      <c r="Q85" s="0" t="str">
        <f aca="false">IF(K85="","",TRUE())</f>
        <v/>
      </c>
      <c r="R85" s="0" t="str">
        <f aca="false">IF(K85="","",SUMPRODUCT(--($H$2:$H$501=K85))&gt;0)</f>
        <v/>
      </c>
      <c r="S85" s="0" t="str">
        <f aca="false">IF(K85="","",IF(AND(Q85,R85),IF(O85=P85,"Match","Qty Different"),IF(Q85,"Only in List 1","Only in List 2")))</f>
        <v/>
      </c>
      <c r="T85" s="0" t="str">
        <f aca="false">IF(K85="","",IF(ISNUMBER(--L85),TEXT(--L85,"000000000000.000"),LOWER(L85)))</f>
        <v/>
      </c>
      <c r="U85" s="0" t="str">
        <f aca="false">IF(K85="","",IF(ISNUMBER(--M85),TEXT(--M85,"000000000000.000"),LOWER(M85)))</f>
        <v/>
      </c>
      <c r="V85" s="0" t="str">
        <f aca="false">IF(K85="","",LOWER(N85))</f>
        <v/>
      </c>
      <c r="W85" s="0" t="str">
        <f aca="false">IF(K85="","",B85)</f>
        <v/>
      </c>
      <c r="X85" s="0" t="str">
        <f aca="false">IF(K85="","",1+SUMPRODUCT(($K$2:$K$1001&lt;&gt;"")*(($T$2:$T$1001&lt;T85)+($T$2:$T$1001=T85)*(($U$2:$U$1001&lt;U85)+($U$2:$U$1001=U85)*(($V$2:$V$1001&lt;V85)+($V$2:$V$1001=V85)*(($W$2:$W$1001&lt;W85)+($W$2:$W$1001=W85)*(ROW($K$2:$K$1001)&lt;ROW(K85))))))))</f>
        <v/>
      </c>
    </row>
    <row r="86" customFormat="false" ht="15" hidden="false" customHeight="false" outlineLevel="0" collapsed="false">
      <c r="A86" s="0" t="str">
        <f aca="false">IF(TRIM('List 1'!A86&amp;'List 1'!C86&amp;'List 1'!D86)="","",LOWER(IF(OR(Comparison!$I$9="Item # + Part # + Description",Comparison!$I$9="Item # + Part #"),TRIM('List 1'!A86),"")&amp;"|"&amp;TRIM('List 1'!C86)&amp;"|"&amp;IF(OR(Comparison!$I$9="Item # + Part # + Description",Comparison!$I$9="Part # + Description"),TRIM('List 1'!D86),"")))</f>
        <v/>
      </c>
      <c r="B86" s="0" t="str">
        <f aca="false">IF(A86="","",SUMPRODUCT(--($A$2:A86=A86)))</f>
        <v/>
      </c>
      <c r="C86" s="0" t="str">
        <f aca="false">IF(A86="","",A86&amp;"#"&amp;B86)</f>
        <v/>
      </c>
      <c r="D86" s="0" t="str">
        <f aca="false">IF(A86="","",IFERROR(--'List 1'!B86,0))</f>
        <v/>
      </c>
      <c r="F86" s="0" t="str">
        <f aca="false">IF(TRIM('List 2'!A86&amp;'List 2'!C86&amp;'List 2'!D86)="","",LOWER(IF(OR(Comparison!$I$9="Item # + Part # + Description",Comparison!$I$9="Item # + Part #"),TRIM('List 2'!A86),"")&amp;"|"&amp;TRIM('List 2'!C86)&amp;"|"&amp;IF(OR(Comparison!$I$9="Item # + Part # + Description",Comparison!$I$9="Part # + Description"),TRIM('List 2'!D86),"")))</f>
        <v/>
      </c>
      <c r="G86" s="0" t="str">
        <f aca="false">IF(F86="","",SUMPRODUCT(--($F$2:F86=F86)))</f>
        <v/>
      </c>
      <c r="H86" s="0" t="str">
        <f aca="false">IF(F86="","",F86&amp;"#"&amp;G86)</f>
        <v/>
      </c>
      <c r="I86" s="0" t="str">
        <f aca="false">IF(F86="","",IFERROR(--'List 2'!B86,0))</f>
        <v/>
      </c>
      <c r="K86" s="0" t="str">
        <f aca="false">C86</f>
        <v/>
      </c>
      <c r="L86" s="0" t="str">
        <f aca="false">IF(K86="","",IF(ISNUMBER('List 1'!A86),'List 1'!A86,TRIM('List 1'!A86)))</f>
        <v/>
      </c>
      <c r="M86" s="0" t="str">
        <f aca="false">IF(K86="","",IF(ISNUMBER('List 1'!C86),'List 1'!C86,TRIM('List 1'!C86)))</f>
        <v/>
      </c>
      <c r="N86" s="0" t="str">
        <f aca="false">IF(K86="","",IF(ISNUMBER('List 1'!D86),'List 1'!D86,TRIM('List 1'!D86)))</f>
        <v/>
      </c>
      <c r="O86" s="0" t="str">
        <f aca="false">IF(K86="","",D86)</f>
        <v/>
      </c>
      <c r="P86" s="0" t="str">
        <f aca="false">IF(K86="","",IF(R86,SUMPRODUCT(--($H$2:$H$501=K86),$I$2:$I$501),0))</f>
        <v/>
      </c>
      <c r="Q86" s="0" t="str">
        <f aca="false">IF(K86="","",TRUE())</f>
        <v/>
      </c>
      <c r="R86" s="0" t="str">
        <f aca="false">IF(K86="","",SUMPRODUCT(--($H$2:$H$501=K86))&gt;0)</f>
        <v/>
      </c>
      <c r="S86" s="0" t="str">
        <f aca="false">IF(K86="","",IF(AND(Q86,R86),IF(O86=P86,"Match","Qty Different"),IF(Q86,"Only in List 1","Only in List 2")))</f>
        <v/>
      </c>
      <c r="T86" s="0" t="str">
        <f aca="false">IF(K86="","",IF(ISNUMBER(--L86),TEXT(--L86,"000000000000.000"),LOWER(L86)))</f>
        <v/>
      </c>
      <c r="U86" s="0" t="str">
        <f aca="false">IF(K86="","",IF(ISNUMBER(--M86),TEXT(--M86,"000000000000.000"),LOWER(M86)))</f>
        <v/>
      </c>
      <c r="V86" s="0" t="str">
        <f aca="false">IF(K86="","",LOWER(N86))</f>
        <v/>
      </c>
      <c r="W86" s="0" t="str">
        <f aca="false">IF(K86="","",B86)</f>
        <v/>
      </c>
      <c r="X86" s="0" t="str">
        <f aca="false">IF(K86="","",1+SUMPRODUCT(($K$2:$K$1001&lt;&gt;"")*(($T$2:$T$1001&lt;T86)+($T$2:$T$1001=T86)*(($U$2:$U$1001&lt;U86)+($U$2:$U$1001=U86)*(($V$2:$V$1001&lt;V86)+($V$2:$V$1001=V86)*(($W$2:$W$1001&lt;W86)+($W$2:$W$1001=W86)*(ROW($K$2:$K$1001)&lt;ROW(K86))))))))</f>
        <v/>
      </c>
    </row>
    <row r="87" customFormat="false" ht="15" hidden="false" customHeight="false" outlineLevel="0" collapsed="false">
      <c r="A87" s="0" t="str">
        <f aca="false">IF(TRIM('List 1'!A87&amp;'List 1'!C87&amp;'List 1'!D87)="","",LOWER(IF(OR(Comparison!$I$9="Item # + Part # + Description",Comparison!$I$9="Item # + Part #"),TRIM('List 1'!A87),"")&amp;"|"&amp;TRIM('List 1'!C87)&amp;"|"&amp;IF(OR(Comparison!$I$9="Item # + Part # + Description",Comparison!$I$9="Part # + Description"),TRIM('List 1'!D87),"")))</f>
        <v/>
      </c>
      <c r="B87" s="0" t="str">
        <f aca="false">IF(A87="","",SUMPRODUCT(--($A$2:A87=A87)))</f>
        <v/>
      </c>
      <c r="C87" s="0" t="str">
        <f aca="false">IF(A87="","",A87&amp;"#"&amp;B87)</f>
        <v/>
      </c>
      <c r="D87" s="0" t="str">
        <f aca="false">IF(A87="","",IFERROR(--'List 1'!B87,0))</f>
        <v/>
      </c>
      <c r="F87" s="0" t="str">
        <f aca="false">IF(TRIM('List 2'!A87&amp;'List 2'!C87&amp;'List 2'!D87)="","",LOWER(IF(OR(Comparison!$I$9="Item # + Part # + Description",Comparison!$I$9="Item # + Part #"),TRIM('List 2'!A87),"")&amp;"|"&amp;TRIM('List 2'!C87)&amp;"|"&amp;IF(OR(Comparison!$I$9="Item # + Part # + Description",Comparison!$I$9="Part # + Description"),TRIM('List 2'!D87),"")))</f>
        <v/>
      </c>
      <c r="G87" s="0" t="str">
        <f aca="false">IF(F87="","",SUMPRODUCT(--($F$2:F87=F87)))</f>
        <v/>
      </c>
      <c r="H87" s="0" t="str">
        <f aca="false">IF(F87="","",F87&amp;"#"&amp;G87)</f>
        <v/>
      </c>
      <c r="I87" s="0" t="str">
        <f aca="false">IF(F87="","",IFERROR(--'List 2'!B87,0))</f>
        <v/>
      </c>
      <c r="K87" s="0" t="str">
        <f aca="false">C87</f>
        <v/>
      </c>
      <c r="L87" s="0" t="str">
        <f aca="false">IF(K87="","",IF(ISNUMBER('List 1'!A87),'List 1'!A87,TRIM('List 1'!A87)))</f>
        <v/>
      </c>
      <c r="M87" s="0" t="str">
        <f aca="false">IF(K87="","",IF(ISNUMBER('List 1'!C87),'List 1'!C87,TRIM('List 1'!C87)))</f>
        <v/>
      </c>
      <c r="N87" s="0" t="str">
        <f aca="false">IF(K87="","",IF(ISNUMBER('List 1'!D87),'List 1'!D87,TRIM('List 1'!D87)))</f>
        <v/>
      </c>
      <c r="O87" s="0" t="str">
        <f aca="false">IF(K87="","",D87)</f>
        <v/>
      </c>
      <c r="P87" s="0" t="str">
        <f aca="false">IF(K87="","",IF(R87,SUMPRODUCT(--($H$2:$H$501=K87),$I$2:$I$501),0))</f>
        <v/>
      </c>
      <c r="Q87" s="0" t="str">
        <f aca="false">IF(K87="","",TRUE())</f>
        <v/>
      </c>
      <c r="R87" s="0" t="str">
        <f aca="false">IF(K87="","",SUMPRODUCT(--($H$2:$H$501=K87))&gt;0)</f>
        <v/>
      </c>
      <c r="S87" s="0" t="str">
        <f aca="false">IF(K87="","",IF(AND(Q87,R87),IF(O87=P87,"Match","Qty Different"),IF(Q87,"Only in List 1","Only in List 2")))</f>
        <v/>
      </c>
      <c r="T87" s="0" t="str">
        <f aca="false">IF(K87="","",IF(ISNUMBER(--L87),TEXT(--L87,"000000000000.000"),LOWER(L87)))</f>
        <v/>
      </c>
      <c r="U87" s="0" t="str">
        <f aca="false">IF(K87="","",IF(ISNUMBER(--M87),TEXT(--M87,"000000000000.000"),LOWER(M87)))</f>
        <v/>
      </c>
      <c r="V87" s="0" t="str">
        <f aca="false">IF(K87="","",LOWER(N87))</f>
        <v/>
      </c>
      <c r="W87" s="0" t="str">
        <f aca="false">IF(K87="","",B87)</f>
        <v/>
      </c>
      <c r="X87" s="0" t="str">
        <f aca="false">IF(K87="","",1+SUMPRODUCT(($K$2:$K$1001&lt;&gt;"")*(($T$2:$T$1001&lt;T87)+($T$2:$T$1001=T87)*(($U$2:$U$1001&lt;U87)+($U$2:$U$1001=U87)*(($V$2:$V$1001&lt;V87)+($V$2:$V$1001=V87)*(($W$2:$W$1001&lt;W87)+($W$2:$W$1001=W87)*(ROW($K$2:$K$1001)&lt;ROW(K87))))))))</f>
        <v/>
      </c>
    </row>
    <row r="88" customFormat="false" ht="15" hidden="false" customHeight="false" outlineLevel="0" collapsed="false">
      <c r="A88" s="0" t="str">
        <f aca="false">IF(TRIM('List 1'!A88&amp;'List 1'!C88&amp;'List 1'!D88)="","",LOWER(IF(OR(Comparison!$I$9="Item # + Part # + Description",Comparison!$I$9="Item # + Part #"),TRIM('List 1'!A88),"")&amp;"|"&amp;TRIM('List 1'!C88)&amp;"|"&amp;IF(OR(Comparison!$I$9="Item # + Part # + Description",Comparison!$I$9="Part # + Description"),TRIM('List 1'!D88),"")))</f>
        <v/>
      </c>
      <c r="B88" s="0" t="str">
        <f aca="false">IF(A88="","",SUMPRODUCT(--($A$2:A88=A88)))</f>
        <v/>
      </c>
      <c r="C88" s="0" t="str">
        <f aca="false">IF(A88="","",A88&amp;"#"&amp;B88)</f>
        <v/>
      </c>
      <c r="D88" s="0" t="str">
        <f aca="false">IF(A88="","",IFERROR(--'List 1'!B88,0))</f>
        <v/>
      </c>
      <c r="F88" s="0" t="str">
        <f aca="false">IF(TRIM('List 2'!A88&amp;'List 2'!C88&amp;'List 2'!D88)="","",LOWER(IF(OR(Comparison!$I$9="Item # + Part # + Description",Comparison!$I$9="Item # + Part #"),TRIM('List 2'!A88),"")&amp;"|"&amp;TRIM('List 2'!C88)&amp;"|"&amp;IF(OR(Comparison!$I$9="Item # + Part # + Description",Comparison!$I$9="Part # + Description"),TRIM('List 2'!D88),"")))</f>
        <v/>
      </c>
      <c r="G88" s="0" t="str">
        <f aca="false">IF(F88="","",SUMPRODUCT(--($F$2:F88=F88)))</f>
        <v/>
      </c>
      <c r="H88" s="0" t="str">
        <f aca="false">IF(F88="","",F88&amp;"#"&amp;G88)</f>
        <v/>
      </c>
      <c r="I88" s="0" t="str">
        <f aca="false">IF(F88="","",IFERROR(--'List 2'!B88,0))</f>
        <v/>
      </c>
      <c r="K88" s="0" t="str">
        <f aca="false">C88</f>
        <v/>
      </c>
      <c r="L88" s="0" t="str">
        <f aca="false">IF(K88="","",IF(ISNUMBER('List 1'!A88),'List 1'!A88,TRIM('List 1'!A88)))</f>
        <v/>
      </c>
      <c r="M88" s="0" t="str">
        <f aca="false">IF(K88="","",IF(ISNUMBER('List 1'!C88),'List 1'!C88,TRIM('List 1'!C88)))</f>
        <v/>
      </c>
      <c r="N88" s="0" t="str">
        <f aca="false">IF(K88="","",IF(ISNUMBER('List 1'!D88),'List 1'!D88,TRIM('List 1'!D88)))</f>
        <v/>
      </c>
      <c r="O88" s="0" t="str">
        <f aca="false">IF(K88="","",D88)</f>
        <v/>
      </c>
      <c r="P88" s="0" t="str">
        <f aca="false">IF(K88="","",IF(R88,SUMPRODUCT(--($H$2:$H$501=K88),$I$2:$I$501),0))</f>
        <v/>
      </c>
      <c r="Q88" s="0" t="str">
        <f aca="false">IF(K88="","",TRUE())</f>
        <v/>
      </c>
      <c r="R88" s="0" t="str">
        <f aca="false">IF(K88="","",SUMPRODUCT(--($H$2:$H$501=K88))&gt;0)</f>
        <v/>
      </c>
      <c r="S88" s="0" t="str">
        <f aca="false">IF(K88="","",IF(AND(Q88,R88),IF(O88=P88,"Match","Qty Different"),IF(Q88,"Only in List 1","Only in List 2")))</f>
        <v/>
      </c>
      <c r="T88" s="0" t="str">
        <f aca="false">IF(K88="","",IF(ISNUMBER(--L88),TEXT(--L88,"000000000000.000"),LOWER(L88)))</f>
        <v/>
      </c>
      <c r="U88" s="0" t="str">
        <f aca="false">IF(K88="","",IF(ISNUMBER(--M88),TEXT(--M88,"000000000000.000"),LOWER(M88)))</f>
        <v/>
      </c>
      <c r="V88" s="0" t="str">
        <f aca="false">IF(K88="","",LOWER(N88))</f>
        <v/>
      </c>
      <c r="W88" s="0" t="str">
        <f aca="false">IF(K88="","",B88)</f>
        <v/>
      </c>
      <c r="X88" s="0" t="str">
        <f aca="false">IF(K88="","",1+SUMPRODUCT(($K$2:$K$1001&lt;&gt;"")*(($T$2:$T$1001&lt;T88)+($T$2:$T$1001=T88)*(($U$2:$U$1001&lt;U88)+($U$2:$U$1001=U88)*(($V$2:$V$1001&lt;V88)+($V$2:$V$1001=V88)*(($W$2:$W$1001&lt;W88)+($W$2:$W$1001=W88)*(ROW($K$2:$K$1001)&lt;ROW(K88))))))))</f>
        <v/>
      </c>
    </row>
    <row r="89" customFormat="false" ht="15" hidden="false" customHeight="false" outlineLevel="0" collapsed="false">
      <c r="A89" s="0" t="str">
        <f aca="false">IF(TRIM('List 1'!A89&amp;'List 1'!C89&amp;'List 1'!D89)="","",LOWER(IF(OR(Comparison!$I$9="Item # + Part # + Description",Comparison!$I$9="Item # + Part #"),TRIM('List 1'!A89),"")&amp;"|"&amp;TRIM('List 1'!C89)&amp;"|"&amp;IF(OR(Comparison!$I$9="Item # + Part # + Description",Comparison!$I$9="Part # + Description"),TRIM('List 1'!D89),"")))</f>
        <v/>
      </c>
      <c r="B89" s="0" t="str">
        <f aca="false">IF(A89="","",SUMPRODUCT(--($A$2:A89=A89)))</f>
        <v/>
      </c>
      <c r="C89" s="0" t="str">
        <f aca="false">IF(A89="","",A89&amp;"#"&amp;B89)</f>
        <v/>
      </c>
      <c r="D89" s="0" t="str">
        <f aca="false">IF(A89="","",IFERROR(--'List 1'!B89,0))</f>
        <v/>
      </c>
      <c r="F89" s="0" t="str">
        <f aca="false">IF(TRIM('List 2'!A89&amp;'List 2'!C89&amp;'List 2'!D89)="","",LOWER(IF(OR(Comparison!$I$9="Item # + Part # + Description",Comparison!$I$9="Item # + Part #"),TRIM('List 2'!A89),"")&amp;"|"&amp;TRIM('List 2'!C89)&amp;"|"&amp;IF(OR(Comparison!$I$9="Item # + Part # + Description",Comparison!$I$9="Part # + Description"),TRIM('List 2'!D89),"")))</f>
        <v/>
      </c>
      <c r="G89" s="0" t="str">
        <f aca="false">IF(F89="","",SUMPRODUCT(--($F$2:F89=F89)))</f>
        <v/>
      </c>
      <c r="H89" s="0" t="str">
        <f aca="false">IF(F89="","",F89&amp;"#"&amp;G89)</f>
        <v/>
      </c>
      <c r="I89" s="0" t="str">
        <f aca="false">IF(F89="","",IFERROR(--'List 2'!B89,0))</f>
        <v/>
      </c>
      <c r="K89" s="0" t="str">
        <f aca="false">C89</f>
        <v/>
      </c>
      <c r="L89" s="0" t="str">
        <f aca="false">IF(K89="","",IF(ISNUMBER('List 1'!A89),'List 1'!A89,TRIM('List 1'!A89)))</f>
        <v/>
      </c>
      <c r="M89" s="0" t="str">
        <f aca="false">IF(K89="","",IF(ISNUMBER('List 1'!C89),'List 1'!C89,TRIM('List 1'!C89)))</f>
        <v/>
      </c>
      <c r="N89" s="0" t="str">
        <f aca="false">IF(K89="","",IF(ISNUMBER('List 1'!D89),'List 1'!D89,TRIM('List 1'!D89)))</f>
        <v/>
      </c>
      <c r="O89" s="0" t="str">
        <f aca="false">IF(K89="","",D89)</f>
        <v/>
      </c>
      <c r="P89" s="0" t="str">
        <f aca="false">IF(K89="","",IF(R89,SUMPRODUCT(--($H$2:$H$501=K89),$I$2:$I$501),0))</f>
        <v/>
      </c>
      <c r="Q89" s="0" t="str">
        <f aca="false">IF(K89="","",TRUE())</f>
        <v/>
      </c>
      <c r="R89" s="0" t="str">
        <f aca="false">IF(K89="","",SUMPRODUCT(--($H$2:$H$501=K89))&gt;0)</f>
        <v/>
      </c>
      <c r="S89" s="0" t="str">
        <f aca="false">IF(K89="","",IF(AND(Q89,R89),IF(O89=P89,"Match","Qty Different"),IF(Q89,"Only in List 1","Only in List 2")))</f>
        <v/>
      </c>
      <c r="T89" s="0" t="str">
        <f aca="false">IF(K89="","",IF(ISNUMBER(--L89),TEXT(--L89,"000000000000.000"),LOWER(L89)))</f>
        <v/>
      </c>
      <c r="U89" s="0" t="str">
        <f aca="false">IF(K89="","",IF(ISNUMBER(--M89),TEXT(--M89,"000000000000.000"),LOWER(M89)))</f>
        <v/>
      </c>
      <c r="V89" s="0" t="str">
        <f aca="false">IF(K89="","",LOWER(N89))</f>
        <v/>
      </c>
      <c r="W89" s="0" t="str">
        <f aca="false">IF(K89="","",B89)</f>
        <v/>
      </c>
      <c r="X89" s="0" t="str">
        <f aca="false">IF(K89="","",1+SUMPRODUCT(($K$2:$K$1001&lt;&gt;"")*(($T$2:$T$1001&lt;T89)+($T$2:$T$1001=T89)*(($U$2:$U$1001&lt;U89)+($U$2:$U$1001=U89)*(($V$2:$V$1001&lt;V89)+($V$2:$V$1001=V89)*(($W$2:$W$1001&lt;W89)+($W$2:$W$1001=W89)*(ROW($K$2:$K$1001)&lt;ROW(K89))))))))</f>
        <v/>
      </c>
    </row>
    <row r="90" customFormat="false" ht="15" hidden="false" customHeight="false" outlineLevel="0" collapsed="false">
      <c r="A90" s="0" t="str">
        <f aca="false">IF(TRIM('List 1'!A90&amp;'List 1'!C90&amp;'List 1'!D90)="","",LOWER(IF(OR(Comparison!$I$9="Item # + Part # + Description",Comparison!$I$9="Item # + Part #"),TRIM('List 1'!A90),"")&amp;"|"&amp;TRIM('List 1'!C90)&amp;"|"&amp;IF(OR(Comparison!$I$9="Item # + Part # + Description",Comparison!$I$9="Part # + Description"),TRIM('List 1'!D90),"")))</f>
        <v/>
      </c>
      <c r="B90" s="0" t="str">
        <f aca="false">IF(A90="","",SUMPRODUCT(--($A$2:A90=A90)))</f>
        <v/>
      </c>
      <c r="C90" s="0" t="str">
        <f aca="false">IF(A90="","",A90&amp;"#"&amp;B90)</f>
        <v/>
      </c>
      <c r="D90" s="0" t="str">
        <f aca="false">IF(A90="","",IFERROR(--'List 1'!B90,0))</f>
        <v/>
      </c>
      <c r="F90" s="0" t="str">
        <f aca="false">IF(TRIM('List 2'!A90&amp;'List 2'!C90&amp;'List 2'!D90)="","",LOWER(IF(OR(Comparison!$I$9="Item # + Part # + Description",Comparison!$I$9="Item # + Part #"),TRIM('List 2'!A90),"")&amp;"|"&amp;TRIM('List 2'!C90)&amp;"|"&amp;IF(OR(Comparison!$I$9="Item # + Part # + Description",Comparison!$I$9="Part # + Description"),TRIM('List 2'!D90),"")))</f>
        <v/>
      </c>
      <c r="G90" s="0" t="str">
        <f aca="false">IF(F90="","",SUMPRODUCT(--($F$2:F90=F90)))</f>
        <v/>
      </c>
      <c r="H90" s="0" t="str">
        <f aca="false">IF(F90="","",F90&amp;"#"&amp;G90)</f>
        <v/>
      </c>
      <c r="I90" s="0" t="str">
        <f aca="false">IF(F90="","",IFERROR(--'List 2'!B90,0))</f>
        <v/>
      </c>
      <c r="K90" s="0" t="str">
        <f aca="false">C90</f>
        <v/>
      </c>
      <c r="L90" s="0" t="str">
        <f aca="false">IF(K90="","",IF(ISNUMBER('List 1'!A90),'List 1'!A90,TRIM('List 1'!A90)))</f>
        <v/>
      </c>
      <c r="M90" s="0" t="str">
        <f aca="false">IF(K90="","",IF(ISNUMBER('List 1'!C90),'List 1'!C90,TRIM('List 1'!C90)))</f>
        <v/>
      </c>
      <c r="N90" s="0" t="str">
        <f aca="false">IF(K90="","",IF(ISNUMBER('List 1'!D90),'List 1'!D90,TRIM('List 1'!D90)))</f>
        <v/>
      </c>
      <c r="O90" s="0" t="str">
        <f aca="false">IF(K90="","",D90)</f>
        <v/>
      </c>
      <c r="P90" s="0" t="str">
        <f aca="false">IF(K90="","",IF(R90,SUMPRODUCT(--($H$2:$H$501=K90),$I$2:$I$501),0))</f>
        <v/>
      </c>
      <c r="Q90" s="0" t="str">
        <f aca="false">IF(K90="","",TRUE())</f>
        <v/>
      </c>
      <c r="R90" s="0" t="str">
        <f aca="false">IF(K90="","",SUMPRODUCT(--($H$2:$H$501=K90))&gt;0)</f>
        <v/>
      </c>
      <c r="S90" s="0" t="str">
        <f aca="false">IF(K90="","",IF(AND(Q90,R90),IF(O90=P90,"Match","Qty Different"),IF(Q90,"Only in List 1","Only in List 2")))</f>
        <v/>
      </c>
      <c r="T90" s="0" t="str">
        <f aca="false">IF(K90="","",IF(ISNUMBER(--L90),TEXT(--L90,"000000000000.000"),LOWER(L90)))</f>
        <v/>
      </c>
      <c r="U90" s="0" t="str">
        <f aca="false">IF(K90="","",IF(ISNUMBER(--M90),TEXT(--M90,"000000000000.000"),LOWER(M90)))</f>
        <v/>
      </c>
      <c r="V90" s="0" t="str">
        <f aca="false">IF(K90="","",LOWER(N90))</f>
        <v/>
      </c>
      <c r="W90" s="0" t="str">
        <f aca="false">IF(K90="","",B90)</f>
        <v/>
      </c>
      <c r="X90" s="0" t="str">
        <f aca="false">IF(K90="","",1+SUMPRODUCT(($K$2:$K$1001&lt;&gt;"")*(($T$2:$T$1001&lt;T90)+($T$2:$T$1001=T90)*(($U$2:$U$1001&lt;U90)+($U$2:$U$1001=U90)*(($V$2:$V$1001&lt;V90)+($V$2:$V$1001=V90)*(($W$2:$W$1001&lt;W90)+($W$2:$W$1001=W90)*(ROW($K$2:$K$1001)&lt;ROW(K90))))))))</f>
        <v/>
      </c>
    </row>
    <row r="91" customFormat="false" ht="15" hidden="false" customHeight="false" outlineLevel="0" collapsed="false">
      <c r="A91" s="0" t="str">
        <f aca="false">IF(TRIM('List 1'!A91&amp;'List 1'!C91&amp;'List 1'!D91)="","",LOWER(IF(OR(Comparison!$I$9="Item # + Part # + Description",Comparison!$I$9="Item # + Part #"),TRIM('List 1'!A91),"")&amp;"|"&amp;TRIM('List 1'!C91)&amp;"|"&amp;IF(OR(Comparison!$I$9="Item # + Part # + Description",Comparison!$I$9="Part # + Description"),TRIM('List 1'!D91),"")))</f>
        <v/>
      </c>
      <c r="B91" s="0" t="str">
        <f aca="false">IF(A91="","",SUMPRODUCT(--($A$2:A91=A91)))</f>
        <v/>
      </c>
      <c r="C91" s="0" t="str">
        <f aca="false">IF(A91="","",A91&amp;"#"&amp;B91)</f>
        <v/>
      </c>
      <c r="D91" s="0" t="str">
        <f aca="false">IF(A91="","",IFERROR(--'List 1'!B91,0))</f>
        <v/>
      </c>
      <c r="F91" s="0" t="str">
        <f aca="false">IF(TRIM('List 2'!A91&amp;'List 2'!C91&amp;'List 2'!D91)="","",LOWER(IF(OR(Comparison!$I$9="Item # + Part # + Description",Comparison!$I$9="Item # + Part #"),TRIM('List 2'!A91),"")&amp;"|"&amp;TRIM('List 2'!C91)&amp;"|"&amp;IF(OR(Comparison!$I$9="Item # + Part # + Description",Comparison!$I$9="Part # + Description"),TRIM('List 2'!D91),"")))</f>
        <v/>
      </c>
      <c r="G91" s="0" t="str">
        <f aca="false">IF(F91="","",SUMPRODUCT(--($F$2:F91=F91)))</f>
        <v/>
      </c>
      <c r="H91" s="0" t="str">
        <f aca="false">IF(F91="","",F91&amp;"#"&amp;G91)</f>
        <v/>
      </c>
      <c r="I91" s="0" t="str">
        <f aca="false">IF(F91="","",IFERROR(--'List 2'!B91,0))</f>
        <v/>
      </c>
      <c r="K91" s="0" t="str">
        <f aca="false">C91</f>
        <v/>
      </c>
      <c r="L91" s="0" t="str">
        <f aca="false">IF(K91="","",IF(ISNUMBER('List 1'!A91),'List 1'!A91,TRIM('List 1'!A91)))</f>
        <v/>
      </c>
      <c r="M91" s="0" t="str">
        <f aca="false">IF(K91="","",IF(ISNUMBER('List 1'!C91),'List 1'!C91,TRIM('List 1'!C91)))</f>
        <v/>
      </c>
      <c r="N91" s="0" t="str">
        <f aca="false">IF(K91="","",IF(ISNUMBER('List 1'!D91),'List 1'!D91,TRIM('List 1'!D91)))</f>
        <v/>
      </c>
      <c r="O91" s="0" t="str">
        <f aca="false">IF(K91="","",D91)</f>
        <v/>
      </c>
      <c r="P91" s="0" t="str">
        <f aca="false">IF(K91="","",IF(R91,SUMPRODUCT(--($H$2:$H$501=K91),$I$2:$I$501),0))</f>
        <v/>
      </c>
      <c r="Q91" s="0" t="str">
        <f aca="false">IF(K91="","",TRUE())</f>
        <v/>
      </c>
      <c r="R91" s="0" t="str">
        <f aca="false">IF(K91="","",SUMPRODUCT(--($H$2:$H$501=K91))&gt;0)</f>
        <v/>
      </c>
      <c r="S91" s="0" t="str">
        <f aca="false">IF(K91="","",IF(AND(Q91,R91),IF(O91=P91,"Match","Qty Different"),IF(Q91,"Only in List 1","Only in List 2")))</f>
        <v/>
      </c>
      <c r="T91" s="0" t="str">
        <f aca="false">IF(K91="","",IF(ISNUMBER(--L91),TEXT(--L91,"000000000000.000"),LOWER(L91)))</f>
        <v/>
      </c>
      <c r="U91" s="0" t="str">
        <f aca="false">IF(K91="","",IF(ISNUMBER(--M91),TEXT(--M91,"000000000000.000"),LOWER(M91)))</f>
        <v/>
      </c>
      <c r="V91" s="0" t="str">
        <f aca="false">IF(K91="","",LOWER(N91))</f>
        <v/>
      </c>
      <c r="W91" s="0" t="str">
        <f aca="false">IF(K91="","",B91)</f>
        <v/>
      </c>
      <c r="X91" s="0" t="str">
        <f aca="false">IF(K91="","",1+SUMPRODUCT(($K$2:$K$1001&lt;&gt;"")*(($T$2:$T$1001&lt;T91)+($T$2:$T$1001=T91)*(($U$2:$U$1001&lt;U91)+($U$2:$U$1001=U91)*(($V$2:$V$1001&lt;V91)+($V$2:$V$1001=V91)*(($W$2:$W$1001&lt;W91)+($W$2:$W$1001=W91)*(ROW($K$2:$K$1001)&lt;ROW(K91))))))))</f>
        <v/>
      </c>
    </row>
    <row r="92" customFormat="false" ht="15" hidden="false" customHeight="false" outlineLevel="0" collapsed="false">
      <c r="A92" s="0" t="str">
        <f aca="false">IF(TRIM('List 1'!A92&amp;'List 1'!C92&amp;'List 1'!D92)="","",LOWER(IF(OR(Comparison!$I$9="Item # + Part # + Description",Comparison!$I$9="Item # + Part #"),TRIM('List 1'!A92),"")&amp;"|"&amp;TRIM('List 1'!C92)&amp;"|"&amp;IF(OR(Comparison!$I$9="Item # + Part # + Description",Comparison!$I$9="Part # + Description"),TRIM('List 1'!D92),"")))</f>
        <v/>
      </c>
      <c r="B92" s="0" t="str">
        <f aca="false">IF(A92="","",SUMPRODUCT(--($A$2:A92=A92)))</f>
        <v/>
      </c>
      <c r="C92" s="0" t="str">
        <f aca="false">IF(A92="","",A92&amp;"#"&amp;B92)</f>
        <v/>
      </c>
      <c r="D92" s="0" t="str">
        <f aca="false">IF(A92="","",IFERROR(--'List 1'!B92,0))</f>
        <v/>
      </c>
      <c r="F92" s="0" t="str">
        <f aca="false">IF(TRIM('List 2'!A92&amp;'List 2'!C92&amp;'List 2'!D92)="","",LOWER(IF(OR(Comparison!$I$9="Item # + Part # + Description",Comparison!$I$9="Item # + Part #"),TRIM('List 2'!A92),"")&amp;"|"&amp;TRIM('List 2'!C92)&amp;"|"&amp;IF(OR(Comparison!$I$9="Item # + Part # + Description",Comparison!$I$9="Part # + Description"),TRIM('List 2'!D92),"")))</f>
        <v/>
      </c>
      <c r="G92" s="0" t="str">
        <f aca="false">IF(F92="","",SUMPRODUCT(--($F$2:F92=F92)))</f>
        <v/>
      </c>
      <c r="H92" s="0" t="str">
        <f aca="false">IF(F92="","",F92&amp;"#"&amp;G92)</f>
        <v/>
      </c>
      <c r="I92" s="0" t="str">
        <f aca="false">IF(F92="","",IFERROR(--'List 2'!B92,0))</f>
        <v/>
      </c>
      <c r="K92" s="0" t="str">
        <f aca="false">C92</f>
        <v/>
      </c>
      <c r="L92" s="0" t="str">
        <f aca="false">IF(K92="","",IF(ISNUMBER('List 1'!A92),'List 1'!A92,TRIM('List 1'!A92)))</f>
        <v/>
      </c>
      <c r="M92" s="0" t="str">
        <f aca="false">IF(K92="","",IF(ISNUMBER('List 1'!C92),'List 1'!C92,TRIM('List 1'!C92)))</f>
        <v/>
      </c>
      <c r="N92" s="0" t="str">
        <f aca="false">IF(K92="","",IF(ISNUMBER('List 1'!D92),'List 1'!D92,TRIM('List 1'!D92)))</f>
        <v/>
      </c>
      <c r="O92" s="0" t="str">
        <f aca="false">IF(K92="","",D92)</f>
        <v/>
      </c>
      <c r="P92" s="0" t="str">
        <f aca="false">IF(K92="","",IF(R92,SUMPRODUCT(--($H$2:$H$501=K92),$I$2:$I$501),0))</f>
        <v/>
      </c>
      <c r="Q92" s="0" t="str">
        <f aca="false">IF(K92="","",TRUE())</f>
        <v/>
      </c>
      <c r="R92" s="0" t="str">
        <f aca="false">IF(K92="","",SUMPRODUCT(--($H$2:$H$501=K92))&gt;0)</f>
        <v/>
      </c>
      <c r="S92" s="0" t="str">
        <f aca="false">IF(K92="","",IF(AND(Q92,R92),IF(O92=P92,"Match","Qty Different"),IF(Q92,"Only in List 1","Only in List 2")))</f>
        <v/>
      </c>
      <c r="T92" s="0" t="str">
        <f aca="false">IF(K92="","",IF(ISNUMBER(--L92),TEXT(--L92,"000000000000.000"),LOWER(L92)))</f>
        <v/>
      </c>
      <c r="U92" s="0" t="str">
        <f aca="false">IF(K92="","",IF(ISNUMBER(--M92),TEXT(--M92,"000000000000.000"),LOWER(M92)))</f>
        <v/>
      </c>
      <c r="V92" s="0" t="str">
        <f aca="false">IF(K92="","",LOWER(N92))</f>
        <v/>
      </c>
      <c r="W92" s="0" t="str">
        <f aca="false">IF(K92="","",B92)</f>
        <v/>
      </c>
      <c r="X92" s="0" t="str">
        <f aca="false">IF(K92="","",1+SUMPRODUCT(($K$2:$K$1001&lt;&gt;"")*(($T$2:$T$1001&lt;T92)+($T$2:$T$1001=T92)*(($U$2:$U$1001&lt;U92)+($U$2:$U$1001=U92)*(($V$2:$V$1001&lt;V92)+($V$2:$V$1001=V92)*(($W$2:$W$1001&lt;W92)+($W$2:$W$1001=W92)*(ROW($K$2:$K$1001)&lt;ROW(K92))))))))</f>
        <v/>
      </c>
    </row>
    <row r="93" customFormat="false" ht="15" hidden="false" customHeight="false" outlineLevel="0" collapsed="false">
      <c r="A93" s="0" t="str">
        <f aca="false">IF(TRIM('List 1'!A93&amp;'List 1'!C93&amp;'List 1'!D93)="","",LOWER(IF(OR(Comparison!$I$9="Item # + Part # + Description",Comparison!$I$9="Item # + Part #"),TRIM('List 1'!A93),"")&amp;"|"&amp;TRIM('List 1'!C93)&amp;"|"&amp;IF(OR(Comparison!$I$9="Item # + Part # + Description",Comparison!$I$9="Part # + Description"),TRIM('List 1'!D93),"")))</f>
        <v/>
      </c>
      <c r="B93" s="0" t="str">
        <f aca="false">IF(A93="","",SUMPRODUCT(--($A$2:A93=A93)))</f>
        <v/>
      </c>
      <c r="C93" s="0" t="str">
        <f aca="false">IF(A93="","",A93&amp;"#"&amp;B93)</f>
        <v/>
      </c>
      <c r="D93" s="0" t="str">
        <f aca="false">IF(A93="","",IFERROR(--'List 1'!B93,0))</f>
        <v/>
      </c>
      <c r="F93" s="0" t="str">
        <f aca="false">IF(TRIM('List 2'!A93&amp;'List 2'!C93&amp;'List 2'!D93)="","",LOWER(IF(OR(Comparison!$I$9="Item # + Part # + Description",Comparison!$I$9="Item # + Part #"),TRIM('List 2'!A93),"")&amp;"|"&amp;TRIM('List 2'!C93)&amp;"|"&amp;IF(OR(Comparison!$I$9="Item # + Part # + Description",Comparison!$I$9="Part # + Description"),TRIM('List 2'!D93),"")))</f>
        <v/>
      </c>
      <c r="G93" s="0" t="str">
        <f aca="false">IF(F93="","",SUMPRODUCT(--($F$2:F93=F93)))</f>
        <v/>
      </c>
      <c r="H93" s="0" t="str">
        <f aca="false">IF(F93="","",F93&amp;"#"&amp;G93)</f>
        <v/>
      </c>
      <c r="I93" s="0" t="str">
        <f aca="false">IF(F93="","",IFERROR(--'List 2'!B93,0))</f>
        <v/>
      </c>
      <c r="K93" s="0" t="str">
        <f aca="false">C93</f>
        <v/>
      </c>
      <c r="L93" s="0" t="str">
        <f aca="false">IF(K93="","",IF(ISNUMBER('List 1'!A93),'List 1'!A93,TRIM('List 1'!A93)))</f>
        <v/>
      </c>
      <c r="M93" s="0" t="str">
        <f aca="false">IF(K93="","",IF(ISNUMBER('List 1'!C93),'List 1'!C93,TRIM('List 1'!C93)))</f>
        <v/>
      </c>
      <c r="N93" s="0" t="str">
        <f aca="false">IF(K93="","",IF(ISNUMBER('List 1'!D93),'List 1'!D93,TRIM('List 1'!D93)))</f>
        <v/>
      </c>
      <c r="O93" s="0" t="str">
        <f aca="false">IF(K93="","",D93)</f>
        <v/>
      </c>
      <c r="P93" s="0" t="str">
        <f aca="false">IF(K93="","",IF(R93,SUMPRODUCT(--($H$2:$H$501=K93),$I$2:$I$501),0))</f>
        <v/>
      </c>
      <c r="Q93" s="0" t="str">
        <f aca="false">IF(K93="","",TRUE())</f>
        <v/>
      </c>
      <c r="R93" s="0" t="str">
        <f aca="false">IF(K93="","",SUMPRODUCT(--($H$2:$H$501=K93))&gt;0)</f>
        <v/>
      </c>
      <c r="S93" s="0" t="str">
        <f aca="false">IF(K93="","",IF(AND(Q93,R93),IF(O93=P93,"Match","Qty Different"),IF(Q93,"Only in List 1","Only in List 2")))</f>
        <v/>
      </c>
      <c r="T93" s="0" t="str">
        <f aca="false">IF(K93="","",IF(ISNUMBER(--L93),TEXT(--L93,"000000000000.000"),LOWER(L93)))</f>
        <v/>
      </c>
      <c r="U93" s="0" t="str">
        <f aca="false">IF(K93="","",IF(ISNUMBER(--M93),TEXT(--M93,"000000000000.000"),LOWER(M93)))</f>
        <v/>
      </c>
      <c r="V93" s="0" t="str">
        <f aca="false">IF(K93="","",LOWER(N93))</f>
        <v/>
      </c>
      <c r="W93" s="0" t="str">
        <f aca="false">IF(K93="","",B93)</f>
        <v/>
      </c>
      <c r="X93" s="0" t="str">
        <f aca="false">IF(K93="","",1+SUMPRODUCT(($K$2:$K$1001&lt;&gt;"")*(($T$2:$T$1001&lt;T93)+($T$2:$T$1001=T93)*(($U$2:$U$1001&lt;U93)+($U$2:$U$1001=U93)*(($V$2:$V$1001&lt;V93)+($V$2:$V$1001=V93)*(($W$2:$W$1001&lt;W93)+($W$2:$W$1001=W93)*(ROW($K$2:$K$1001)&lt;ROW(K93))))))))</f>
        <v/>
      </c>
    </row>
    <row r="94" customFormat="false" ht="15" hidden="false" customHeight="false" outlineLevel="0" collapsed="false">
      <c r="A94" s="0" t="str">
        <f aca="false">IF(TRIM('List 1'!A94&amp;'List 1'!C94&amp;'List 1'!D94)="","",LOWER(IF(OR(Comparison!$I$9="Item # + Part # + Description",Comparison!$I$9="Item # + Part #"),TRIM('List 1'!A94),"")&amp;"|"&amp;TRIM('List 1'!C94)&amp;"|"&amp;IF(OR(Comparison!$I$9="Item # + Part # + Description",Comparison!$I$9="Part # + Description"),TRIM('List 1'!D94),"")))</f>
        <v/>
      </c>
      <c r="B94" s="0" t="str">
        <f aca="false">IF(A94="","",SUMPRODUCT(--($A$2:A94=A94)))</f>
        <v/>
      </c>
      <c r="C94" s="0" t="str">
        <f aca="false">IF(A94="","",A94&amp;"#"&amp;B94)</f>
        <v/>
      </c>
      <c r="D94" s="0" t="str">
        <f aca="false">IF(A94="","",IFERROR(--'List 1'!B94,0))</f>
        <v/>
      </c>
      <c r="F94" s="0" t="str">
        <f aca="false">IF(TRIM('List 2'!A94&amp;'List 2'!C94&amp;'List 2'!D94)="","",LOWER(IF(OR(Comparison!$I$9="Item # + Part # + Description",Comparison!$I$9="Item # + Part #"),TRIM('List 2'!A94),"")&amp;"|"&amp;TRIM('List 2'!C94)&amp;"|"&amp;IF(OR(Comparison!$I$9="Item # + Part # + Description",Comparison!$I$9="Part # + Description"),TRIM('List 2'!D94),"")))</f>
        <v/>
      </c>
      <c r="G94" s="0" t="str">
        <f aca="false">IF(F94="","",SUMPRODUCT(--($F$2:F94=F94)))</f>
        <v/>
      </c>
      <c r="H94" s="0" t="str">
        <f aca="false">IF(F94="","",F94&amp;"#"&amp;G94)</f>
        <v/>
      </c>
      <c r="I94" s="0" t="str">
        <f aca="false">IF(F94="","",IFERROR(--'List 2'!B94,0))</f>
        <v/>
      </c>
      <c r="K94" s="0" t="str">
        <f aca="false">C94</f>
        <v/>
      </c>
      <c r="L94" s="0" t="str">
        <f aca="false">IF(K94="","",IF(ISNUMBER('List 1'!A94),'List 1'!A94,TRIM('List 1'!A94)))</f>
        <v/>
      </c>
      <c r="M94" s="0" t="str">
        <f aca="false">IF(K94="","",IF(ISNUMBER('List 1'!C94),'List 1'!C94,TRIM('List 1'!C94)))</f>
        <v/>
      </c>
      <c r="N94" s="0" t="str">
        <f aca="false">IF(K94="","",IF(ISNUMBER('List 1'!D94),'List 1'!D94,TRIM('List 1'!D94)))</f>
        <v/>
      </c>
      <c r="O94" s="0" t="str">
        <f aca="false">IF(K94="","",D94)</f>
        <v/>
      </c>
      <c r="P94" s="0" t="str">
        <f aca="false">IF(K94="","",IF(R94,SUMPRODUCT(--($H$2:$H$501=K94),$I$2:$I$501),0))</f>
        <v/>
      </c>
      <c r="Q94" s="0" t="str">
        <f aca="false">IF(K94="","",TRUE())</f>
        <v/>
      </c>
      <c r="R94" s="0" t="str">
        <f aca="false">IF(K94="","",SUMPRODUCT(--($H$2:$H$501=K94))&gt;0)</f>
        <v/>
      </c>
      <c r="S94" s="0" t="str">
        <f aca="false">IF(K94="","",IF(AND(Q94,R94),IF(O94=P94,"Match","Qty Different"),IF(Q94,"Only in List 1","Only in List 2")))</f>
        <v/>
      </c>
      <c r="T94" s="0" t="str">
        <f aca="false">IF(K94="","",IF(ISNUMBER(--L94),TEXT(--L94,"000000000000.000"),LOWER(L94)))</f>
        <v/>
      </c>
      <c r="U94" s="0" t="str">
        <f aca="false">IF(K94="","",IF(ISNUMBER(--M94),TEXT(--M94,"000000000000.000"),LOWER(M94)))</f>
        <v/>
      </c>
      <c r="V94" s="0" t="str">
        <f aca="false">IF(K94="","",LOWER(N94))</f>
        <v/>
      </c>
      <c r="W94" s="0" t="str">
        <f aca="false">IF(K94="","",B94)</f>
        <v/>
      </c>
      <c r="X94" s="0" t="str">
        <f aca="false">IF(K94="","",1+SUMPRODUCT(($K$2:$K$1001&lt;&gt;"")*(($T$2:$T$1001&lt;T94)+($T$2:$T$1001=T94)*(($U$2:$U$1001&lt;U94)+($U$2:$U$1001=U94)*(($V$2:$V$1001&lt;V94)+($V$2:$V$1001=V94)*(($W$2:$W$1001&lt;W94)+($W$2:$W$1001=W94)*(ROW($K$2:$K$1001)&lt;ROW(K94))))))))</f>
        <v/>
      </c>
    </row>
    <row r="95" customFormat="false" ht="15" hidden="false" customHeight="false" outlineLevel="0" collapsed="false">
      <c r="A95" s="0" t="str">
        <f aca="false">IF(TRIM('List 1'!A95&amp;'List 1'!C95&amp;'List 1'!D95)="","",LOWER(IF(OR(Comparison!$I$9="Item # + Part # + Description",Comparison!$I$9="Item # + Part #"),TRIM('List 1'!A95),"")&amp;"|"&amp;TRIM('List 1'!C95)&amp;"|"&amp;IF(OR(Comparison!$I$9="Item # + Part # + Description",Comparison!$I$9="Part # + Description"),TRIM('List 1'!D95),"")))</f>
        <v/>
      </c>
      <c r="B95" s="0" t="str">
        <f aca="false">IF(A95="","",SUMPRODUCT(--($A$2:A95=A95)))</f>
        <v/>
      </c>
      <c r="C95" s="0" t="str">
        <f aca="false">IF(A95="","",A95&amp;"#"&amp;B95)</f>
        <v/>
      </c>
      <c r="D95" s="0" t="str">
        <f aca="false">IF(A95="","",IFERROR(--'List 1'!B95,0))</f>
        <v/>
      </c>
      <c r="F95" s="0" t="str">
        <f aca="false">IF(TRIM('List 2'!A95&amp;'List 2'!C95&amp;'List 2'!D95)="","",LOWER(IF(OR(Comparison!$I$9="Item # + Part # + Description",Comparison!$I$9="Item # + Part #"),TRIM('List 2'!A95),"")&amp;"|"&amp;TRIM('List 2'!C95)&amp;"|"&amp;IF(OR(Comparison!$I$9="Item # + Part # + Description",Comparison!$I$9="Part # + Description"),TRIM('List 2'!D95),"")))</f>
        <v/>
      </c>
      <c r="G95" s="0" t="str">
        <f aca="false">IF(F95="","",SUMPRODUCT(--($F$2:F95=F95)))</f>
        <v/>
      </c>
      <c r="H95" s="0" t="str">
        <f aca="false">IF(F95="","",F95&amp;"#"&amp;G95)</f>
        <v/>
      </c>
      <c r="I95" s="0" t="str">
        <f aca="false">IF(F95="","",IFERROR(--'List 2'!B95,0))</f>
        <v/>
      </c>
      <c r="K95" s="0" t="str">
        <f aca="false">C95</f>
        <v/>
      </c>
      <c r="L95" s="0" t="str">
        <f aca="false">IF(K95="","",IF(ISNUMBER('List 1'!A95),'List 1'!A95,TRIM('List 1'!A95)))</f>
        <v/>
      </c>
      <c r="M95" s="0" t="str">
        <f aca="false">IF(K95="","",IF(ISNUMBER('List 1'!C95),'List 1'!C95,TRIM('List 1'!C95)))</f>
        <v/>
      </c>
      <c r="N95" s="0" t="str">
        <f aca="false">IF(K95="","",IF(ISNUMBER('List 1'!D95),'List 1'!D95,TRIM('List 1'!D95)))</f>
        <v/>
      </c>
      <c r="O95" s="0" t="str">
        <f aca="false">IF(K95="","",D95)</f>
        <v/>
      </c>
      <c r="P95" s="0" t="str">
        <f aca="false">IF(K95="","",IF(R95,SUMPRODUCT(--($H$2:$H$501=K95),$I$2:$I$501),0))</f>
        <v/>
      </c>
      <c r="Q95" s="0" t="str">
        <f aca="false">IF(K95="","",TRUE())</f>
        <v/>
      </c>
      <c r="R95" s="0" t="str">
        <f aca="false">IF(K95="","",SUMPRODUCT(--($H$2:$H$501=K95))&gt;0)</f>
        <v/>
      </c>
      <c r="S95" s="0" t="str">
        <f aca="false">IF(K95="","",IF(AND(Q95,R95),IF(O95=P95,"Match","Qty Different"),IF(Q95,"Only in List 1","Only in List 2")))</f>
        <v/>
      </c>
      <c r="T95" s="0" t="str">
        <f aca="false">IF(K95="","",IF(ISNUMBER(--L95),TEXT(--L95,"000000000000.000"),LOWER(L95)))</f>
        <v/>
      </c>
      <c r="U95" s="0" t="str">
        <f aca="false">IF(K95="","",IF(ISNUMBER(--M95),TEXT(--M95,"000000000000.000"),LOWER(M95)))</f>
        <v/>
      </c>
      <c r="V95" s="0" t="str">
        <f aca="false">IF(K95="","",LOWER(N95))</f>
        <v/>
      </c>
      <c r="W95" s="0" t="str">
        <f aca="false">IF(K95="","",B95)</f>
        <v/>
      </c>
      <c r="X95" s="0" t="str">
        <f aca="false">IF(K95="","",1+SUMPRODUCT(($K$2:$K$1001&lt;&gt;"")*(($T$2:$T$1001&lt;T95)+($T$2:$T$1001=T95)*(($U$2:$U$1001&lt;U95)+($U$2:$U$1001=U95)*(($V$2:$V$1001&lt;V95)+($V$2:$V$1001=V95)*(($W$2:$W$1001&lt;W95)+($W$2:$W$1001=W95)*(ROW($K$2:$K$1001)&lt;ROW(K95))))))))</f>
        <v/>
      </c>
    </row>
    <row r="96" customFormat="false" ht="15" hidden="false" customHeight="false" outlineLevel="0" collapsed="false">
      <c r="A96" s="0" t="str">
        <f aca="false">IF(TRIM('List 1'!A96&amp;'List 1'!C96&amp;'List 1'!D96)="","",LOWER(IF(OR(Comparison!$I$9="Item # + Part # + Description",Comparison!$I$9="Item # + Part #"),TRIM('List 1'!A96),"")&amp;"|"&amp;TRIM('List 1'!C96)&amp;"|"&amp;IF(OR(Comparison!$I$9="Item # + Part # + Description",Comparison!$I$9="Part # + Description"),TRIM('List 1'!D96),"")))</f>
        <v/>
      </c>
      <c r="B96" s="0" t="str">
        <f aca="false">IF(A96="","",SUMPRODUCT(--($A$2:A96=A96)))</f>
        <v/>
      </c>
      <c r="C96" s="0" t="str">
        <f aca="false">IF(A96="","",A96&amp;"#"&amp;B96)</f>
        <v/>
      </c>
      <c r="D96" s="0" t="str">
        <f aca="false">IF(A96="","",IFERROR(--'List 1'!B96,0))</f>
        <v/>
      </c>
      <c r="F96" s="0" t="str">
        <f aca="false">IF(TRIM('List 2'!A96&amp;'List 2'!C96&amp;'List 2'!D96)="","",LOWER(IF(OR(Comparison!$I$9="Item # + Part # + Description",Comparison!$I$9="Item # + Part #"),TRIM('List 2'!A96),"")&amp;"|"&amp;TRIM('List 2'!C96)&amp;"|"&amp;IF(OR(Comparison!$I$9="Item # + Part # + Description",Comparison!$I$9="Part # + Description"),TRIM('List 2'!D96),"")))</f>
        <v/>
      </c>
      <c r="G96" s="0" t="str">
        <f aca="false">IF(F96="","",SUMPRODUCT(--($F$2:F96=F96)))</f>
        <v/>
      </c>
      <c r="H96" s="0" t="str">
        <f aca="false">IF(F96="","",F96&amp;"#"&amp;G96)</f>
        <v/>
      </c>
      <c r="I96" s="0" t="str">
        <f aca="false">IF(F96="","",IFERROR(--'List 2'!B96,0))</f>
        <v/>
      </c>
      <c r="K96" s="0" t="str">
        <f aca="false">C96</f>
        <v/>
      </c>
      <c r="L96" s="0" t="str">
        <f aca="false">IF(K96="","",IF(ISNUMBER('List 1'!A96),'List 1'!A96,TRIM('List 1'!A96)))</f>
        <v/>
      </c>
      <c r="M96" s="0" t="str">
        <f aca="false">IF(K96="","",IF(ISNUMBER('List 1'!C96),'List 1'!C96,TRIM('List 1'!C96)))</f>
        <v/>
      </c>
      <c r="N96" s="0" t="str">
        <f aca="false">IF(K96="","",IF(ISNUMBER('List 1'!D96),'List 1'!D96,TRIM('List 1'!D96)))</f>
        <v/>
      </c>
      <c r="O96" s="0" t="str">
        <f aca="false">IF(K96="","",D96)</f>
        <v/>
      </c>
      <c r="P96" s="0" t="str">
        <f aca="false">IF(K96="","",IF(R96,SUMPRODUCT(--($H$2:$H$501=K96),$I$2:$I$501),0))</f>
        <v/>
      </c>
      <c r="Q96" s="0" t="str">
        <f aca="false">IF(K96="","",TRUE())</f>
        <v/>
      </c>
      <c r="R96" s="0" t="str">
        <f aca="false">IF(K96="","",SUMPRODUCT(--($H$2:$H$501=K96))&gt;0)</f>
        <v/>
      </c>
      <c r="S96" s="0" t="str">
        <f aca="false">IF(K96="","",IF(AND(Q96,R96),IF(O96=P96,"Match","Qty Different"),IF(Q96,"Only in List 1","Only in List 2")))</f>
        <v/>
      </c>
      <c r="T96" s="0" t="str">
        <f aca="false">IF(K96="","",IF(ISNUMBER(--L96),TEXT(--L96,"000000000000.000"),LOWER(L96)))</f>
        <v/>
      </c>
      <c r="U96" s="0" t="str">
        <f aca="false">IF(K96="","",IF(ISNUMBER(--M96),TEXT(--M96,"000000000000.000"),LOWER(M96)))</f>
        <v/>
      </c>
      <c r="V96" s="0" t="str">
        <f aca="false">IF(K96="","",LOWER(N96))</f>
        <v/>
      </c>
      <c r="W96" s="0" t="str">
        <f aca="false">IF(K96="","",B96)</f>
        <v/>
      </c>
      <c r="X96" s="0" t="str">
        <f aca="false">IF(K96="","",1+SUMPRODUCT(($K$2:$K$1001&lt;&gt;"")*(($T$2:$T$1001&lt;T96)+($T$2:$T$1001=T96)*(($U$2:$U$1001&lt;U96)+($U$2:$U$1001=U96)*(($V$2:$V$1001&lt;V96)+($V$2:$V$1001=V96)*(($W$2:$W$1001&lt;W96)+($W$2:$W$1001=W96)*(ROW($K$2:$K$1001)&lt;ROW(K96))))))))</f>
        <v/>
      </c>
    </row>
    <row r="97" customFormat="false" ht="15" hidden="false" customHeight="false" outlineLevel="0" collapsed="false">
      <c r="A97" s="0" t="str">
        <f aca="false">IF(TRIM('List 1'!A97&amp;'List 1'!C97&amp;'List 1'!D97)="","",LOWER(IF(OR(Comparison!$I$9="Item # + Part # + Description",Comparison!$I$9="Item # + Part #"),TRIM('List 1'!A97),"")&amp;"|"&amp;TRIM('List 1'!C97)&amp;"|"&amp;IF(OR(Comparison!$I$9="Item # + Part # + Description",Comparison!$I$9="Part # + Description"),TRIM('List 1'!D97),"")))</f>
        <v/>
      </c>
      <c r="B97" s="0" t="str">
        <f aca="false">IF(A97="","",SUMPRODUCT(--($A$2:A97=A97)))</f>
        <v/>
      </c>
      <c r="C97" s="0" t="str">
        <f aca="false">IF(A97="","",A97&amp;"#"&amp;B97)</f>
        <v/>
      </c>
      <c r="D97" s="0" t="str">
        <f aca="false">IF(A97="","",IFERROR(--'List 1'!B97,0))</f>
        <v/>
      </c>
      <c r="F97" s="0" t="str">
        <f aca="false">IF(TRIM('List 2'!A97&amp;'List 2'!C97&amp;'List 2'!D97)="","",LOWER(IF(OR(Comparison!$I$9="Item # + Part # + Description",Comparison!$I$9="Item # + Part #"),TRIM('List 2'!A97),"")&amp;"|"&amp;TRIM('List 2'!C97)&amp;"|"&amp;IF(OR(Comparison!$I$9="Item # + Part # + Description",Comparison!$I$9="Part # + Description"),TRIM('List 2'!D97),"")))</f>
        <v/>
      </c>
      <c r="G97" s="0" t="str">
        <f aca="false">IF(F97="","",SUMPRODUCT(--($F$2:F97=F97)))</f>
        <v/>
      </c>
      <c r="H97" s="0" t="str">
        <f aca="false">IF(F97="","",F97&amp;"#"&amp;G97)</f>
        <v/>
      </c>
      <c r="I97" s="0" t="str">
        <f aca="false">IF(F97="","",IFERROR(--'List 2'!B97,0))</f>
        <v/>
      </c>
      <c r="K97" s="0" t="str">
        <f aca="false">C97</f>
        <v/>
      </c>
      <c r="L97" s="0" t="str">
        <f aca="false">IF(K97="","",IF(ISNUMBER('List 1'!A97),'List 1'!A97,TRIM('List 1'!A97)))</f>
        <v/>
      </c>
      <c r="M97" s="0" t="str">
        <f aca="false">IF(K97="","",IF(ISNUMBER('List 1'!C97),'List 1'!C97,TRIM('List 1'!C97)))</f>
        <v/>
      </c>
      <c r="N97" s="0" t="str">
        <f aca="false">IF(K97="","",IF(ISNUMBER('List 1'!D97),'List 1'!D97,TRIM('List 1'!D97)))</f>
        <v/>
      </c>
      <c r="O97" s="0" t="str">
        <f aca="false">IF(K97="","",D97)</f>
        <v/>
      </c>
      <c r="P97" s="0" t="str">
        <f aca="false">IF(K97="","",IF(R97,SUMPRODUCT(--($H$2:$H$501=K97),$I$2:$I$501),0))</f>
        <v/>
      </c>
      <c r="Q97" s="0" t="str">
        <f aca="false">IF(K97="","",TRUE())</f>
        <v/>
      </c>
      <c r="R97" s="0" t="str">
        <f aca="false">IF(K97="","",SUMPRODUCT(--($H$2:$H$501=K97))&gt;0)</f>
        <v/>
      </c>
      <c r="S97" s="0" t="str">
        <f aca="false">IF(K97="","",IF(AND(Q97,R97),IF(O97=P97,"Match","Qty Different"),IF(Q97,"Only in List 1","Only in List 2")))</f>
        <v/>
      </c>
      <c r="T97" s="0" t="str">
        <f aca="false">IF(K97="","",IF(ISNUMBER(--L97),TEXT(--L97,"000000000000.000"),LOWER(L97)))</f>
        <v/>
      </c>
      <c r="U97" s="0" t="str">
        <f aca="false">IF(K97="","",IF(ISNUMBER(--M97),TEXT(--M97,"000000000000.000"),LOWER(M97)))</f>
        <v/>
      </c>
      <c r="V97" s="0" t="str">
        <f aca="false">IF(K97="","",LOWER(N97))</f>
        <v/>
      </c>
      <c r="W97" s="0" t="str">
        <f aca="false">IF(K97="","",B97)</f>
        <v/>
      </c>
      <c r="X97" s="0" t="str">
        <f aca="false">IF(K97="","",1+SUMPRODUCT(($K$2:$K$1001&lt;&gt;"")*(($T$2:$T$1001&lt;T97)+($T$2:$T$1001=T97)*(($U$2:$U$1001&lt;U97)+($U$2:$U$1001=U97)*(($V$2:$V$1001&lt;V97)+($V$2:$V$1001=V97)*(($W$2:$W$1001&lt;W97)+($W$2:$W$1001=W97)*(ROW($K$2:$K$1001)&lt;ROW(K97))))))))</f>
        <v/>
      </c>
    </row>
    <row r="98" customFormat="false" ht="15" hidden="false" customHeight="false" outlineLevel="0" collapsed="false">
      <c r="A98" s="0" t="str">
        <f aca="false">IF(TRIM('List 1'!A98&amp;'List 1'!C98&amp;'List 1'!D98)="","",LOWER(IF(OR(Comparison!$I$9="Item # + Part # + Description",Comparison!$I$9="Item # + Part #"),TRIM('List 1'!A98),"")&amp;"|"&amp;TRIM('List 1'!C98)&amp;"|"&amp;IF(OR(Comparison!$I$9="Item # + Part # + Description",Comparison!$I$9="Part # + Description"),TRIM('List 1'!D98),"")))</f>
        <v/>
      </c>
      <c r="B98" s="0" t="str">
        <f aca="false">IF(A98="","",SUMPRODUCT(--($A$2:A98=A98)))</f>
        <v/>
      </c>
      <c r="C98" s="0" t="str">
        <f aca="false">IF(A98="","",A98&amp;"#"&amp;B98)</f>
        <v/>
      </c>
      <c r="D98" s="0" t="str">
        <f aca="false">IF(A98="","",IFERROR(--'List 1'!B98,0))</f>
        <v/>
      </c>
      <c r="F98" s="0" t="str">
        <f aca="false">IF(TRIM('List 2'!A98&amp;'List 2'!C98&amp;'List 2'!D98)="","",LOWER(IF(OR(Comparison!$I$9="Item # + Part # + Description",Comparison!$I$9="Item # + Part #"),TRIM('List 2'!A98),"")&amp;"|"&amp;TRIM('List 2'!C98)&amp;"|"&amp;IF(OR(Comparison!$I$9="Item # + Part # + Description",Comparison!$I$9="Part # + Description"),TRIM('List 2'!D98),"")))</f>
        <v/>
      </c>
      <c r="G98" s="0" t="str">
        <f aca="false">IF(F98="","",SUMPRODUCT(--($F$2:F98=F98)))</f>
        <v/>
      </c>
      <c r="H98" s="0" t="str">
        <f aca="false">IF(F98="","",F98&amp;"#"&amp;G98)</f>
        <v/>
      </c>
      <c r="I98" s="0" t="str">
        <f aca="false">IF(F98="","",IFERROR(--'List 2'!B98,0))</f>
        <v/>
      </c>
      <c r="K98" s="0" t="str">
        <f aca="false">C98</f>
        <v/>
      </c>
      <c r="L98" s="0" t="str">
        <f aca="false">IF(K98="","",IF(ISNUMBER('List 1'!A98),'List 1'!A98,TRIM('List 1'!A98)))</f>
        <v/>
      </c>
      <c r="M98" s="0" t="str">
        <f aca="false">IF(K98="","",IF(ISNUMBER('List 1'!C98),'List 1'!C98,TRIM('List 1'!C98)))</f>
        <v/>
      </c>
      <c r="N98" s="0" t="str">
        <f aca="false">IF(K98="","",IF(ISNUMBER('List 1'!D98),'List 1'!D98,TRIM('List 1'!D98)))</f>
        <v/>
      </c>
      <c r="O98" s="0" t="str">
        <f aca="false">IF(K98="","",D98)</f>
        <v/>
      </c>
      <c r="P98" s="0" t="str">
        <f aca="false">IF(K98="","",IF(R98,SUMPRODUCT(--($H$2:$H$501=K98),$I$2:$I$501),0))</f>
        <v/>
      </c>
      <c r="Q98" s="0" t="str">
        <f aca="false">IF(K98="","",TRUE())</f>
        <v/>
      </c>
      <c r="R98" s="0" t="str">
        <f aca="false">IF(K98="","",SUMPRODUCT(--($H$2:$H$501=K98))&gt;0)</f>
        <v/>
      </c>
      <c r="S98" s="0" t="str">
        <f aca="false">IF(K98="","",IF(AND(Q98,R98),IF(O98=P98,"Match","Qty Different"),IF(Q98,"Only in List 1","Only in List 2")))</f>
        <v/>
      </c>
      <c r="T98" s="0" t="str">
        <f aca="false">IF(K98="","",IF(ISNUMBER(--L98),TEXT(--L98,"000000000000.000"),LOWER(L98)))</f>
        <v/>
      </c>
      <c r="U98" s="0" t="str">
        <f aca="false">IF(K98="","",IF(ISNUMBER(--M98),TEXT(--M98,"000000000000.000"),LOWER(M98)))</f>
        <v/>
      </c>
      <c r="V98" s="0" t="str">
        <f aca="false">IF(K98="","",LOWER(N98))</f>
        <v/>
      </c>
      <c r="W98" s="0" t="str">
        <f aca="false">IF(K98="","",B98)</f>
        <v/>
      </c>
      <c r="X98" s="0" t="str">
        <f aca="false">IF(K98="","",1+SUMPRODUCT(($K$2:$K$1001&lt;&gt;"")*(($T$2:$T$1001&lt;T98)+($T$2:$T$1001=T98)*(($U$2:$U$1001&lt;U98)+($U$2:$U$1001=U98)*(($V$2:$V$1001&lt;V98)+($V$2:$V$1001=V98)*(($W$2:$W$1001&lt;W98)+($W$2:$W$1001=W98)*(ROW($K$2:$K$1001)&lt;ROW(K98))))))))</f>
        <v/>
      </c>
    </row>
    <row r="99" customFormat="false" ht="15" hidden="false" customHeight="false" outlineLevel="0" collapsed="false">
      <c r="A99" s="0" t="str">
        <f aca="false">IF(TRIM('List 1'!A99&amp;'List 1'!C99&amp;'List 1'!D99)="","",LOWER(IF(OR(Comparison!$I$9="Item # + Part # + Description",Comparison!$I$9="Item # + Part #"),TRIM('List 1'!A99),"")&amp;"|"&amp;TRIM('List 1'!C99)&amp;"|"&amp;IF(OR(Comparison!$I$9="Item # + Part # + Description",Comparison!$I$9="Part # + Description"),TRIM('List 1'!D99),"")))</f>
        <v/>
      </c>
      <c r="B99" s="0" t="str">
        <f aca="false">IF(A99="","",SUMPRODUCT(--($A$2:A99=A99)))</f>
        <v/>
      </c>
      <c r="C99" s="0" t="str">
        <f aca="false">IF(A99="","",A99&amp;"#"&amp;B99)</f>
        <v/>
      </c>
      <c r="D99" s="0" t="str">
        <f aca="false">IF(A99="","",IFERROR(--'List 1'!B99,0))</f>
        <v/>
      </c>
      <c r="F99" s="0" t="str">
        <f aca="false">IF(TRIM('List 2'!A99&amp;'List 2'!C99&amp;'List 2'!D99)="","",LOWER(IF(OR(Comparison!$I$9="Item # + Part # + Description",Comparison!$I$9="Item # + Part #"),TRIM('List 2'!A99),"")&amp;"|"&amp;TRIM('List 2'!C99)&amp;"|"&amp;IF(OR(Comparison!$I$9="Item # + Part # + Description",Comparison!$I$9="Part # + Description"),TRIM('List 2'!D99),"")))</f>
        <v/>
      </c>
      <c r="G99" s="0" t="str">
        <f aca="false">IF(F99="","",SUMPRODUCT(--($F$2:F99=F99)))</f>
        <v/>
      </c>
      <c r="H99" s="0" t="str">
        <f aca="false">IF(F99="","",F99&amp;"#"&amp;G99)</f>
        <v/>
      </c>
      <c r="I99" s="0" t="str">
        <f aca="false">IF(F99="","",IFERROR(--'List 2'!B99,0))</f>
        <v/>
      </c>
      <c r="K99" s="0" t="str">
        <f aca="false">C99</f>
        <v/>
      </c>
      <c r="L99" s="0" t="str">
        <f aca="false">IF(K99="","",IF(ISNUMBER('List 1'!A99),'List 1'!A99,TRIM('List 1'!A99)))</f>
        <v/>
      </c>
      <c r="M99" s="0" t="str">
        <f aca="false">IF(K99="","",IF(ISNUMBER('List 1'!C99),'List 1'!C99,TRIM('List 1'!C99)))</f>
        <v/>
      </c>
      <c r="N99" s="0" t="str">
        <f aca="false">IF(K99="","",IF(ISNUMBER('List 1'!D99),'List 1'!D99,TRIM('List 1'!D99)))</f>
        <v/>
      </c>
      <c r="O99" s="0" t="str">
        <f aca="false">IF(K99="","",D99)</f>
        <v/>
      </c>
      <c r="P99" s="0" t="str">
        <f aca="false">IF(K99="","",IF(R99,SUMPRODUCT(--($H$2:$H$501=K99),$I$2:$I$501),0))</f>
        <v/>
      </c>
      <c r="Q99" s="0" t="str">
        <f aca="false">IF(K99="","",TRUE())</f>
        <v/>
      </c>
      <c r="R99" s="0" t="str">
        <f aca="false">IF(K99="","",SUMPRODUCT(--($H$2:$H$501=K99))&gt;0)</f>
        <v/>
      </c>
      <c r="S99" s="0" t="str">
        <f aca="false">IF(K99="","",IF(AND(Q99,R99),IF(O99=P99,"Match","Qty Different"),IF(Q99,"Only in List 1","Only in List 2")))</f>
        <v/>
      </c>
      <c r="T99" s="0" t="str">
        <f aca="false">IF(K99="","",IF(ISNUMBER(--L99),TEXT(--L99,"000000000000.000"),LOWER(L99)))</f>
        <v/>
      </c>
      <c r="U99" s="0" t="str">
        <f aca="false">IF(K99="","",IF(ISNUMBER(--M99),TEXT(--M99,"000000000000.000"),LOWER(M99)))</f>
        <v/>
      </c>
      <c r="V99" s="0" t="str">
        <f aca="false">IF(K99="","",LOWER(N99))</f>
        <v/>
      </c>
      <c r="W99" s="0" t="str">
        <f aca="false">IF(K99="","",B99)</f>
        <v/>
      </c>
      <c r="X99" s="0" t="str">
        <f aca="false">IF(K99="","",1+SUMPRODUCT(($K$2:$K$1001&lt;&gt;"")*(($T$2:$T$1001&lt;T99)+($T$2:$T$1001=T99)*(($U$2:$U$1001&lt;U99)+($U$2:$U$1001=U99)*(($V$2:$V$1001&lt;V99)+($V$2:$V$1001=V99)*(($W$2:$W$1001&lt;W99)+($W$2:$W$1001=W99)*(ROW($K$2:$K$1001)&lt;ROW(K99))))))))</f>
        <v/>
      </c>
    </row>
    <row r="100" customFormat="false" ht="15" hidden="false" customHeight="false" outlineLevel="0" collapsed="false">
      <c r="A100" s="0" t="str">
        <f aca="false">IF(TRIM('List 1'!A100&amp;'List 1'!C100&amp;'List 1'!D100)="","",LOWER(IF(OR(Comparison!$I$9="Item # + Part # + Description",Comparison!$I$9="Item # + Part #"),TRIM('List 1'!A100),"")&amp;"|"&amp;TRIM('List 1'!C100)&amp;"|"&amp;IF(OR(Comparison!$I$9="Item # + Part # + Description",Comparison!$I$9="Part # + Description"),TRIM('List 1'!D100),"")))</f>
        <v/>
      </c>
      <c r="B100" s="0" t="str">
        <f aca="false">IF(A100="","",SUMPRODUCT(--($A$2:A100=A100)))</f>
        <v/>
      </c>
      <c r="C100" s="0" t="str">
        <f aca="false">IF(A100="","",A100&amp;"#"&amp;B100)</f>
        <v/>
      </c>
      <c r="D100" s="0" t="str">
        <f aca="false">IF(A100="","",IFERROR(--'List 1'!B100,0))</f>
        <v/>
      </c>
      <c r="F100" s="0" t="str">
        <f aca="false">IF(TRIM('List 2'!A100&amp;'List 2'!C100&amp;'List 2'!D100)="","",LOWER(IF(OR(Comparison!$I$9="Item # + Part # + Description",Comparison!$I$9="Item # + Part #"),TRIM('List 2'!A100),"")&amp;"|"&amp;TRIM('List 2'!C100)&amp;"|"&amp;IF(OR(Comparison!$I$9="Item # + Part # + Description",Comparison!$I$9="Part # + Description"),TRIM('List 2'!D100),"")))</f>
        <v/>
      </c>
      <c r="G100" s="0" t="str">
        <f aca="false">IF(F100="","",SUMPRODUCT(--($F$2:F100=F100)))</f>
        <v/>
      </c>
      <c r="H100" s="0" t="str">
        <f aca="false">IF(F100="","",F100&amp;"#"&amp;G100)</f>
        <v/>
      </c>
      <c r="I100" s="0" t="str">
        <f aca="false">IF(F100="","",IFERROR(--'List 2'!B100,0))</f>
        <v/>
      </c>
      <c r="K100" s="0" t="str">
        <f aca="false">C100</f>
        <v/>
      </c>
      <c r="L100" s="0" t="str">
        <f aca="false">IF(K100="","",IF(ISNUMBER('List 1'!A100),'List 1'!A100,TRIM('List 1'!A100)))</f>
        <v/>
      </c>
      <c r="M100" s="0" t="str">
        <f aca="false">IF(K100="","",IF(ISNUMBER('List 1'!C100),'List 1'!C100,TRIM('List 1'!C100)))</f>
        <v/>
      </c>
      <c r="N100" s="0" t="str">
        <f aca="false">IF(K100="","",IF(ISNUMBER('List 1'!D100),'List 1'!D100,TRIM('List 1'!D100)))</f>
        <v/>
      </c>
      <c r="O100" s="0" t="str">
        <f aca="false">IF(K100="","",D100)</f>
        <v/>
      </c>
      <c r="P100" s="0" t="str">
        <f aca="false">IF(K100="","",IF(R100,SUMPRODUCT(--($H$2:$H$501=K100),$I$2:$I$501),0))</f>
        <v/>
      </c>
      <c r="Q100" s="0" t="str">
        <f aca="false">IF(K100="","",TRUE())</f>
        <v/>
      </c>
      <c r="R100" s="0" t="str">
        <f aca="false">IF(K100="","",SUMPRODUCT(--($H$2:$H$501=K100))&gt;0)</f>
        <v/>
      </c>
      <c r="S100" s="0" t="str">
        <f aca="false">IF(K100="","",IF(AND(Q100,R100),IF(O100=P100,"Match","Qty Different"),IF(Q100,"Only in List 1","Only in List 2")))</f>
        <v/>
      </c>
      <c r="T100" s="0" t="str">
        <f aca="false">IF(K100="","",IF(ISNUMBER(--L100),TEXT(--L100,"000000000000.000"),LOWER(L100)))</f>
        <v/>
      </c>
      <c r="U100" s="0" t="str">
        <f aca="false">IF(K100="","",IF(ISNUMBER(--M100),TEXT(--M100,"000000000000.000"),LOWER(M100)))</f>
        <v/>
      </c>
      <c r="V100" s="0" t="str">
        <f aca="false">IF(K100="","",LOWER(N100))</f>
        <v/>
      </c>
      <c r="W100" s="0" t="str">
        <f aca="false">IF(K100="","",B100)</f>
        <v/>
      </c>
      <c r="X100" s="0" t="str">
        <f aca="false">IF(K100="","",1+SUMPRODUCT(($K$2:$K$1001&lt;&gt;"")*(($T$2:$T$1001&lt;T100)+($T$2:$T$1001=T100)*(($U$2:$U$1001&lt;U100)+($U$2:$U$1001=U100)*(($V$2:$V$1001&lt;V100)+($V$2:$V$1001=V100)*(($W$2:$W$1001&lt;W100)+($W$2:$W$1001=W100)*(ROW($K$2:$K$1001)&lt;ROW(K100))))))))</f>
        <v/>
      </c>
    </row>
    <row r="101" customFormat="false" ht="15" hidden="false" customHeight="false" outlineLevel="0" collapsed="false">
      <c r="A101" s="0" t="str">
        <f aca="false">IF(TRIM('List 1'!A101&amp;'List 1'!C101&amp;'List 1'!D101)="","",LOWER(IF(OR(Comparison!$I$9="Item # + Part # + Description",Comparison!$I$9="Item # + Part #"),TRIM('List 1'!A101),"")&amp;"|"&amp;TRIM('List 1'!C101)&amp;"|"&amp;IF(OR(Comparison!$I$9="Item # + Part # + Description",Comparison!$I$9="Part # + Description"),TRIM('List 1'!D101),"")))</f>
        <v/>
      </c>
      <c r="B101" s="0" t="str">
        <f aca="false">IF(A101="","",SUMPRODUCT(--($A$2:A101=A101)))</f>
        <v/>
      </c>
      <c r="C101" s="0" t="str">
        <f aca="false">IF(A101="","",A101&amp;"#"&amp;B101)</f>
        <v/>
      </c>
      <c r="D101" s="0" t="str">
        <f aca="false">IF(A101="","",IFERROR(--'List 1'!B101,0))</f>
        <v/>
      </c>
      <c r="F101" s="0" t="str">
        <f aca="false">IF(TRIM('List 2'!A101&amp;'List 2'!C101&amp;'List 2'!D101)="","",LOWER(IF(OR(Comparison!$I$9="Item # + Part # + Description",Comparison!$I$9="Item # + Part #"),TRIM('List 2'!A101),"")&amp;"|"&amp;TRIM('List 2'!C101)&amp;"|"&amp;IF(OR(Comparison!$I$9="Item # + Part # + Description",Comparison!$I$9="Part # + Description"),TRIM('List 2'!D101),"")))</f>
        <v/>
      </c>
      <c r="G101" s="0" t="str">
        <f aca="false">IF(F101="","",SUMPRODUCT(--($F$2:F101=F101)))</f>
        <v/>
      </c>
      <c r="H101" s="0" t="str">
        <f aca="false">IF(F101="","",F101&amp;"#"&amp;G101)</f>
        <v/>
      </c>
      <c r="I101" s="0" t="str">
        <f aca="false">IF(F101="","",IFERROR(--'List 2'!B101,0))</f>
        <v/>
      </c>
      <c r="K101" s="0" t="str">
        <f aca="false">C101</f>
        <v/>
      </c>
      <c r="L101" s="0" t="str">
        <f aca="false">IF(K101="","",IF(ISNUMBER('List 1'!A101),'List 1'!A101,TRIM('List 1'!A101)))</f>
        <v/>
      </c>
      <c r="M101" s="0" t="str">
        <f aca="false">IF(K101="","",IF(ISNUMBER('List 1'!C101),'List 1'!C101,TRIM('List 1'!C101)))</f>
        <v/>
      </c>
      <c r="N101" s="0" t="str">
        <f aca="false">IF(K101="","",IF(ISNUMBER('List 1'!D101),'List 1'!D101,TRIM('List 1'!D101)))</f>
        <v/>
      </c>
      <c r="O101" s="0" t="str">
        <f aca="false">IF(K101="","",D101)</f>
        <v/>
      </c>
      <c r="P101" s="0" t="str">
        <f aca="false">IF(K101="","",IF(R101,SUMPRODUCT(--($H$2:$H$501=K101),$I$2:$I$501),0))</f>
        <v/>
      </c>
      <c r="Q101" s="0" t="str">
        <f aca="false">IF(K101="","",TRUE())</f>
        <v/>
      </c>
      <c r="R101" s="0" t="str">
        <f aca="false">IF(K101="","",SUMPRODUCT(--($H$2:$H$501=K101))&gt;0)</f>
        <v/>
      </c>
      <c r="S101" s="0" t="str">
        <f aca="false">IF(K101="","",IF(AND(Q101,R101),IF(O101=P101,"Match","Qty Different"),IF(Q101,"Only in List 1","Only in List 2")))</f>
        <v/>
      </c>
      <c r="T101" s="0" t="str">
        <f aca="false">IF(K101="","",IF(ISNUMBER(--L101),TEXT(--L101,"000000000000.000"),LOWER(L101)))</f>
        <v/>
      </c>
      <c r="U101" s="0" t="str">
        <f aca="false">IF(K101="","",IF(ISNUMBER(--M101),TEXT(--M101,"000000000000.000"),LOWER(M101)))</f>
        <v/>
      </c>
      <c r="V101" s="0" t="str">
        <f aca="false">IF(K101="","",LOWER(N101))</f>
        <v/>
      </c>
      <c r="W101" s="0" t="str">
        <f aca="false">IF(K101="","",B101)</f>
        <v/>
      </c>
      <c r="X101" s="0" t="str">
        <f aca="false">IF(K101="","",1+SUMPRODUCT(($K$2:$K$1001&lt;&gt;"")*(($T$2:$T$1001&lt;T101)+($T$2:$T$1001=T101)*(($U$2:$U$1001&lt;U101)+($U$2:$U$1001=U101)*(($V$2:$V$1001&lt;V101)+($V$2:$V$1001=V101)*(($W$2:$W$1001&lt;W101)+($W$2:$W$1001=W101)*(ROW($K$2:$K$1001)&lt;ROW(K101))))))))</f>
        <v/>
      </c>
    </row>
    <row r="102" customFormat="false" ht="15" hidden="false" customHeight="false" outlineLevel="0" collapsed="false">
      <c r="A102" s="0" t="str">
        <f aca="false">IF(TRIM('List 1'!A102&amp;'List 1'!C102&amp;'List 1'!D102)="","",LOWER(IF(OR(Comparison!$I$9="Item # + Part # + Description",Comparison!$I$9="Item # + Part #"),TRIM('List 1'!A102),"")&amp;"|"&amp;TRIM('List 1'!C102)&amp;"|"&amp;IF(OR(Comparison!$I$9="Item # + Part # + Description",Comparison!$I$9="Part # + Description"),TRIM('List 1'!D102),"")))</f>
        <v/>
      </c>
      <c r="B102" s="0" t="str">
        <f aca="false">IF(A102="","",SUMPRODUCT(--($A$2:A102=A102)))</f>
        <v/>
      </c>
      <c r="C102" s="0" t="str">
        <f aca="false">IF(A102="","",A102&amp;"#"&amp;B102)</f>
        <v/>
      </c>
      <c r="D102" s="0" t="str">
        <f aca="false">IF(A102="","",IFERROR(--'List 1'!B102,0))</f>
        <v/>
      </c>
      <c r="F102" s="0" t="str">
        <f aca="false">IF(TRIM('List 2'!A102&amp;'List 2'!C102&amp;'List 2'!D102)="","",LOWER(IF(OR(Comparison!$I$9="Item # + Part # + Description",Comparison!$I$9="Item # + Part #"),TRIM('List 2'!A102),"")&amp;"|"&amp;TRIM('List 2'!C102)&amp;"|"&amp;IF(OR(Comparison!$I$9="Item # + Part # + Description",Comparison!$I$9="Part # + Description"),TRIM('List 2'!D102),"")))</f>
        <v/>
      </c>
      <c r="G102" s="0" t="str">
        <f aca="false">IF(F102="","",SUMPRODUCT(--($F$2:F102=F102)))</f>
        <v/>
      </c>
      <c r="H102" s="0" t="str">
        <f aca="false">IF(F102="","",F102&amp;"#"&amp;G102)</f>
        <v/>
      </c>
      <c r="I102" s="0" t="str">
        <f aca="false">IF(F102="","",IFERROR(--'List 2'!B102,0))</f>
        <v/>
      </c>
      <c r="K102" s="0" t="str">
        <f aca="false">C102</f>
        <v/>
      </c>
      <c r="L102" s="0" t="str">
        <f aca="false">IF(K102="","",IF(ISNUMBER('List 1'!A102),'List 1'!A102,TRIM('List 1'!A102)))</f>
        <v/>
      </c>
      <c r="M102" s="0" t="str">
        <f aca="false">IF(K102="","",IF(ISNUMBER('List 1'!C102),'List 1'!C102,TRIM('List 1'!C102)))</f>
        <v/>
      </c>
      <c r="N102" s="0" t="str">
        <f aca="false">IF(K102="","",IF(ISNUMBER('List 1'!D102),'List 1'!D102,TRIM('List 1'!D102)))</f>
        <v/>
      </c>
      <c r="O102" s="0" t="str">
        <f aca="false">IF(K102="","",D102)</f>
        <v/>
      </c>
      <c r="P102" s="0" t="str">
        <f aca="false">IF(K102="","",IF(R102,SUMPRODUCT(--($H$2:$H$501=K102),$I$2:$I$501),0))</f>
        <v/>
      </c>
      <c r="Q102" s="0" t="str">
        <f aca="false">IF(K102="","",TRUE())</f>
        <v/>
      </c>
      <c r="R102" s="0" t="str">
        <f aca="false">IF(K102="","",SUMPRODUCT(--($H$2:$H$501=K102))&gt;0)</f>
        <v/>
      </c>
      <c r="S102" s="0" t="str">
        <f aca="false">IF(K102="","",IF(AND(Q102,R102),IF(O102=P102,"Match","Qty Different"),IF(Q102,"Only in List 1","Only in List 2")))</f>
        <v/>
      </c>
      <c r="T102" s="0" t="str">
        <f aca="false">IF(K102="","",IF(ISNUMBER(--L102),TEXT(--L102,"000000000000.000"),LOWER(L102)))</f>
        <v/>
      </c>
      <c r="U102" s="0" t="str">
        <f aca="false">IF(K102="","",IF(ISNUMBER(--M102),TEXT(--M102,"000000000000.000"),LOWER(M102)))</f>
        <v/>
      </c>
      <c r="V102" s="0" t="str">
        <f aca="false">IF(K102="","",LOWER(N102))</f>
        <v/>
      </c>
      <c r="W102" s="0" t="str">
        <f aca="false">IF(K102="","",B102)</f>
        <v/>
      </c>
      <c r="X102" s="0" t="str">
        <f aca="false">IF(K102="","",1+SUMPRODUCT(($K$2:$K$1001&lt;&gt;"")*(($T$2:$T$1001&lt;T102)+($T$2:$T$1001=T102)*(($U$2:$U$1001&lt;U102)+($U$2:$U$1001=U102)*(($V$2:$V$1001&lt;V102)+($V$2:$V$1001=V102)*(($W$2:$W$1001&lt;W102)+($W$2:$W$1001=W102)*(ROW($K$2:$K$1001)&lt;ROW(K102))))))))</f>
        <v/>
      </c>
    </row>
    <row r="103" customFormat="false" ht="15" hidden="false" customHeight="false" outlineLevel="0" collapsed="false">
      <c r="A103" s="0" t="str">
        <f aca="false">IF(TRIM('List 1'!A103&amp;'List 1'!C103&amp;'List 1'!D103)="","",LOWER(IF(OR(Comparison!$I$9="Item # + Part # + Description",Comparison!$I$9="Item # + Part #"),TRIM('List 1'!A103),"")&amp;"|"&amp;TRIM('List 1'!C103)&amp;"|"&amp;IF(OR(Comparison!$I$9="Item # + Part # + Description",Comparison!$I$9="Part # + Description"),TRIM('List 1'!D103),"")))</f>
        <v/>
      </c>
      <c r="B103" s="0" t="str">
        <f aca="false">IF(A103="","",SUMPRODUCT(--($A$2:A103=A103)))</f>
        <v/>
      </c>
      <c r="C103" s="0" t="str">
        <f aca="false">IF(A103="","",A103&amp;"#"&amp;B103)</f>
        <v/>
      </c>
      <c r="D103" s="0" t="str">
        <f aca="false">IF(A103="","",IFERROR(--'List 1'!B103,0))</f>
        <v/>
      </c>
      <c r="F103" s="0" t="str">
        <f aca="false">IF(TRIM('List 2'!A103&amp;'List 2'!C103&amp;'List 2'!D103)="","",LOWER(IF(OR(Comparison!$I$9="Item # + Part # + Description",Comparison!$I$9="Item # + Part #"),TRIM('List 2'!A103),"")&amp;"|"&amp;TRIM('List 2'!C103)&amp;"|"&amp;IF(OR(Comparison!$I$9="Item # + Part # + Description",Comparison!$I$9="Part # + Description"),TRIM('List 2'!D103),"")))</f>
        <v/>
      </c>
      <c r="G103" s="0" t="str">
        <f aca="false">IF(F103="","",SUMPRODUCT(--($F$2:F103=F103)))</f>
        <v/>
      </c>
      <c r="H103" s="0" t="str">
        <f aca="false">IF(F103="","",F103&amp;"#"&amp;G103)</f>
        <v/>
      </c>
      <c r="I103" s="0" t="str">
        <f aca="false">IF(F103="","",IFERROR(--'List 2'!B103,0))</f>
        <v/>
      </c>
      <c r="K103" s="0" t="str">
        <f aca="false">C103</f>
        <v/>
      </c>
      <c r="L103" s="0" t="str">
        <f aca="false">IF(K103="","",IF(ISNUMBER('List 1'!A103),'List 1'!A103,TRIM('List 1'!A103)))</f>
        <v/>
      </c>
      <c r="M103" s="0" t="str">
        <f aca="false">IF(K103="","",IF(ISNUMBER('List 1'!C103),'List 1'!C103,TRIM('List 1'!C103)))</f>
        <v/>
      </c>
      <c r="N103" s="0" t="str">
        <f aca="false">IF(K103="","",IF(ISNUMBER('List 1'!D103),'List 1'!D103,TRIM('List 1'!D103)))</f>
        <v/>
      </c>
      <c r="O103" s="0" t="str">
        <f aca="false">IF(K103="","",D103)</f>
        <v/>
      </c>
      <c r="P103" s="0" t="str">
        <f aca="false">IF(K103="","",IF(R103,SUMPRODUCT(--($H$2:$H$501=K103),$I$2:$I$501),0))</f>
        <v/>
      </c>
      <c r="Q103" s="0" t="str">
        <f aca="false">IF(K103="","",TRUE())</f>
        <v/>
      </c>
      <c r="R103" s="0" t="str">
        <f aca="false">IF(K103="","",SUMPRODUCT(--($H$2:$H$501=K103))&gt;0)</f>
        <v/>
      </c>
      <c r="S103" s="0" t="str">
        <f aca="false">IF(K103="","",IF(AND(Q103,R103),IF(O103=P103,"Match","Qty Different"),IF(Q103,"Only in List 1","Only in List 2")))</f>
        <v/>
      </c>
      <c r="T103" s="0" t="str">
        <f aca="false">IF(K103="","",IF(ISNUMBER(--L103),TEXT(--L103,"000000000000.000"),LOWER(L103)))</f>
        <v/>
      </c>
      <c r="U103" s="0" t="str">
        <f aca="false">IF(K103="","",IF(ISNUMBER(--M103),TEXT(--M103,"000000000000.000"),LOWER(M103)))</f>
        <v/>
      </c>
      <c r="V103" s="0" t="str">
        <f aca="false">IF(K103="","",LOWER(N103))</f>
        <v/>
      </c>
      <c r="W103" s="0" t="str">
        <f aca="false">IF(K103="","",B103)</f>
        <v/>
      </c>
      <c r="X103" s="0" t="str">
        <f aca="false">IF(K103="","",1+SUMPRODUCT(($K$2:$K$1001&lt;&gt;"")*(($T$2:$T$1001&lt;T103)+($T$2:$T$1001=T103)*(($U$2:$U$1001&lt;U103)+($U$2:$U$1001=U103)*(($V$2:$V$1001&lt;V103)+($V$2:$V$1001=V103)*(($W$2:$W$1001&lt;W103)+($W$2:$W$1001=W103)*(ROW($K$2:$K$1001)&lt;ROW(K103))))))))</f>
        <v/>
      </c>
    </row>
    <row r="104" customFormat="false" ht="15" hidden="false" customHeight="false" outlineLevel="0" collapsed="false">
      <c r="A104" s="0" t="str">
        <f aca="false">IF(TRIM('List 1'!A104&amp;'List 1'!C104&amp;'List 1'!D104)="","",LOWER(IF(OR(Comparison!$I$9="Item # + Part # + Description",Comparison!$I$9="Item # + Part #"),TRIM('List 1'!A104),"")&amp;"|"&amp;TRIM('List 1'!C104)&amp;"|"&amp;IF(OR(Comparison!$I$9="Item # + Part # + Description",Comparison!$I$9="Part # + Description"),TRIM('List 1'!D104),"")))</f>
        <v/>
      </c>
      <c r="B104" s="0" t="str">
        <f aca="false">IF(A104="","",SUMPRODUCT(--($A$2:A104=A104)))</f>
        <v/>
      </c>
      <c r="C104" s="0" t="str">
        <f aca="false">IF(A104="","",A104&amp;"#"&amp;B104)</f>
        <v/>
      </c>
      <c r="D104" s="0" t="str">
        <f aca="false">IF(A104="","",IFERROR(--'List 1'!B104,0))</f>
        <v/>
      </c>
      <c r="F104" s="0" t="str">
        <f aca="false">IF(TRIM('List 2'!A104&amp;'List 2'!C104&amp;'List 2'!D104)="","",LOWER(IF(OR(Comparison!$I$9="Item # + Part # + Description",Comparison!$I$9="Item # + Part #"),TRIM('List 2'!A104),"")&amp;"|"&amp;TRIM('List 2'!C104)&amp;"|"&amp;IF(OR(Comparison!$I$9="Item # + Part # + Description",Comparison!$I$9="Part # + Description"),TRIM('List 2'!D104),"")))</f>
        <v/>
      </c>
      <c r="G104" s="0" t="str">
        <f aca="false">IF(F104="","",SUMPRODUCT(--($F$2:F104=F104)))</f>
        <v/>
      </c>
      <c r="H104" s="0" t="str">
        <f aca="false">IF(F104="","",F104&amp;"#"&amp;G104)</f>
        <v/>
      </c>
      <c r="I104" s="0" t="str">
        <f aca="false">IF(F104="","",IFERROR(--'List 2'!B104,0))</f>
        <v/>
      </c>
      <c r="K104" s="0" t="str">
        <f aca="false">C104</f>
        <v/>
      </c>
      <c r="L104" s="0" t="str">
        <f aca="false">IF(K104="","",IF(ISNUMBER('List 1'!A104),'List 1'!A104,TRIM('List 1'!A104)))</f>
        <v/>
      </c>
      <c r="M104" s="0" t="str">
        <f aca="false">IF(K104="","",IF(ISNUMBER('List 1'!C104),'List 1'!C104,TRIM('List 1'!C104)))</f>
        <v/>
      </c>
      <c r="N104" s="0" t="str">
        <f aca="false">IF(K104="","",IF(ISNUMBER('List 1'!D104),'List 1'!D104,TRIM('List 1'!D104)))</f>
        <v/>
      </c>
      <c r="O104" s="0" t="str">
        <f aca="false">IF(K104="","",D104)</f>
        <v/>
      </c>
      <c r="P104" s="0" t="str">
        <f aca="false">IF(K104="","",IF(R104,SUMPRODUCT(--($H$2:$H$501=K104),$I$2:$I$501),0))</f>
        <v/>
      </c>
      <c r="Q104" s="0" t="str">
        <f aca="false">IF(K104="","",TRUE())</f>
        <v/>
      </c>
      <c r="R104" s="0" t="str">
        <f aca="false">IF(K104="","",SUMPRODUCT(--($H$2:$H$501=K104))&gt;0)</f>
        <v/>
      </c>
      <c r="S104" s="0" t="str">
        <f aca="false">IF(K104="","",IF(AND(Q104,R104),IF(O104=P104,"Match","Qty Different"),IF(Q104,"Only in List 1","Only in List 2")))</f>
        <v/>
      </c>
      <c r="T104" s="0" t="str">
        <f aca="false">IF(K104="","",IF(ISNUMBER(--L104),TEXT(--L104,"000000000000.000"),LOWER(L104)))</f>
        <v/>
      </c>
      <c r="U104" s="0" t="str">
        <f aca="false">IF(K104="","",IF(ISNUMBER(--M104),TEXT(--M104,"000000000000.000"),LOWER(M104)))</f>
        <v/>
      </c>
      <c r="V104" s="0" t="str">
        <f aca="false">IF(K104="","",LOWER(N104))</f>
        <v/>
      </c>
      <c r="W104" s="0" t="str">
        <f aca="false">IF(K104="","",B104)</f>
        <v/>
      </c>
      <c r="X104" s="0" t="str">
        <f aca="false">IF(K104="","",1+SUMPRODUCT(($K$2:$K$1001&lt;&gt;"")*(($T$2:$T$1001&lt;T104)+($T$2:$T$1001=T104)*(($U$2:$U$1001&lt;U104)+($U$2:$U$1001=U104)*(($V$2:$V$1001&lt;V104)+($V$2:$V$1001=V104)*(($W$2:$W$1001&lt;W104)+($W$2:$W$1001=W104)*(ROW($K$2:$K$1001)&lt;ROW(K104))))))))</f>
        <v/>
      </c>
    </row>
    <row r="105" customFormat="false" ht="15" hidden="false" customHeight="false" outlineLevel="0" collapsed="false">
      <c r="A105" s="0" t="str">
        <f aca="false">IF(TRIM('List 1'!A105&amp;'List 1'!C105&amp;'List 1'!D105)="","",LOWER(IF(OR(Comparison!$I$9="Item # + Part # + Description",Comparison!$I$9="Item # + Part #"),TRIM('List 1'!A105),"")&amp;"|"&amp;TRIM('List 1'!C105)&amp;"|"&amp;IF(OR(Comparison!$I$9="Item # + Part # + Description",Comparison!$I$9="Part # + Description"),TRIM('List 1'!D105),"")))</f>
        <v/>
      </c>
      <c r="B105" s="0" t="str">
        <f aca="false">IF(A105="","",SUMPRODUCT(--($A$2:A105=A105)))</f>
        <v/>
      </c>
      <c r="C105" s="0" t="str">
        <f aca="false">IF(A105="","",A105&amp;"#"&amp;B105)</f>
        <v/>
      </c>
      <c r="D105" s="0" t="str">
        <f aca="false">IF(A105="","",IFERROR(--'List 1'!B105,0))</f>
        <v/>
      </c>
      <c r="F105" s="0" t="str">
        <f aca="false">IF(TRIM('List 2'!A105&amp;'List 2'!C105&amp;'List 2'!D105)="","",LOWER(IF(OR(Comparison!$I$9="Item # + Part # + Description",Comparison!$I$9="Item # + Part #"),TRIM('List 2'!A105),"")&amp;"|"&amp;TRIM('List 2'!C105)&amp;"|"&amp;IF(OR(Comparison!$I$9="Item # + Part # + Description",Comparison!$I$9="Part # + Description"),TRIM('List 2'!D105),"")))</f>
        <v/>
      </c>
      <c r="G105" s="0" t="str">
        <f aca="false">IF(F105="","",SUMPRODUCT(--($F$2:F105=F105)))</f>
        <v/>
      </c>
      <c r="H105" s="0" t="str">
        <f aca="false">IF(F105="","",F105&amp;"#"&amp;G105)</f>
        <v/>
      </c>
      <c r="I105" s="0" t="str">
        <f aca="false">IF(F105="","",IFERROR(--'List 2'!B105,0))</f>
        <v/>
      </c>
      <c r="K105" s="0" t="str">
        <f aca="false">C105</f>
        <v/>
      </c>
      <c r="L105" s="0" t="str">
        <f aca="false">IF(K105="","",IF(ISNUMBER('List 1'!A105),'List 1'!A105,TRIM('List 1'!A105)))</f>
        <v/>
      </c>
      <c r="M105" s="0" t="str">
        <f aca="false">IF(K105="","",IF(ISNUMBER('List 1'!C105),'List 1'!C105,TRIM('List 1'!C105)))</f>
        <v/>
      </c>
      <c r="N105" s="0" t="str">
        <f aca="false">IF(K105="","",IF(ISNUMBER('List 1'!D105),'List 1'!D105,TRIM('List 1'!D105)))</f>
        <v/>
      </c>
      <c r="O105" s="0" t="str">
        <f aca="false">IF(K105="","",D105)</f>
        <v/>
      </c>
      <c r="P105" s="0" t="str">
        <f aca="false">IF(K105="","",IF(R105,SUMPRODUCT(--($H$2:$H$501=K105),$I$2:$I$501),0))</f>
        <v/>
      </c>
      <c r="Q105" s="0" t="str">
        <f aca="false">IF(K105="","",TRUE())</f>
        <v/>
      </c>
      <c r="R105" s="0" t="str">
        <f aca="false">IF(K105="","",SUMPRODUCT(--($H$2:$H$501=K105))&gt;0)</f>
        <v/>
      </c>
      <c r="S105" s="0" t="str">
        <f aca="false">IF(K105="","",IF(AND(Q105,R105),IF(O105=P105,"Match","Qty Different"),IF(Q105,"Only in List 1","Only in List 2")))</f>
        <v/>
      </c>
      <c r="T105" s="0" t="str">
        <f aca="false">IF(K105="","",IF(ISNUMBER(--L105),TEXT(--L105,"000000000000.000"),LOWER(L105)))</f>
        <v/>
      </c>
      <c r="U105" s="0" t="str">
        <f aca="false">IF(K105="","",IF(ISNUMBER(--M105),TEXT(--M105,"000000000000.000"),LOWER(M105)))</f>
        <v/>
      </c>
      <c r="V105" s="0" t="str">
        <f aca="false">IF(K105="","",LOWER(N105))</f>
        <v/>
      </c>
      <c r="W105" s="0" t="str">
        <f aca="false">IF(K105="","",B105)</f>
        <v/>
      </c>
      <c r="X105" s="0" t="str">
        <f aca="false">IF(K105="","",1+SUMPRODUCT(($K$2:$K$1001&lt;&gt;"")*(($T$2:$T$1001&lt;T105)+($T$2:$T$1001=T105)*(($U$2:$U$1001&lt;U105)+($U$2:$U$1001=U105)*(($V$2:$V$1001&lt;V105)+($V$2:$V$1001=V105)*(($W$2:$W$1001&lt;W105)+($W$2:$W$1001=W105)*(ROW($K$2:$K$1001)&lt;ROW(K105))))))))</f>
        <v/>
      </c>
    </row>
    <row r="106" customFormat="false" ht="15" hidden="false" customHeight="false" outlineLevel="0" collapsed="false">
      <c r="A106" s="0" t="str">
        <f aca="false">IF(TRIM('List 1'!A106&amp;'List 1'!C106&amp;'List 1'!D106)="","",LOWER(IF(OR(Comparison!$I$9="Item # + Part # + Description",Comparison!$I$9="Item # + Part #"),TRIM('List 1'!A106),"")&amp;"|"&amp;TRIM('List 1'!C106)&amp;"|"&amp;IF(OR(Comparison!$I$9="Item # + Part # + Description",Comparison!$I$9="Part # + Description"),TRIM('List 1'!D106),"")))</f>
        <v/>
      </c>
      <c r="B106" s="0" t="str">
        <f aca="false">IF(A106="","",SUMPRODUCT(--($A$2:A106=A106)))</f>
        <v/>
      </c>
      <c r="C106" s="0" t="str">
        <f aca="false">IF(A106="","",A106&amp;"#"&amp;B106)</f>
        <v/>
      </c>
      <c r="D106" s="0" t="str">
        <f aca="false">IF(A106="","",IFERROR(--'List 1'!B106,0))</f>
        <v/>
      </c>
      <c r="F106" s="0" t="str">
        <f aca="false">IF(TRIM('List 2'!A106&amp;'List 2'!C106&amp;'List 2'!D106)="","",LOWER(IF(OR(Comparison!$I$9="Item # + Part # + Description",Comparison!$I$9="Item # + Part #"),TRIM('List 2'!A106),"")&amp;"|"&amp;TRIM('List 2'!C106)&amp;"|"&amp;IF(OR(Comparison!$I$9="Item # + Part # + Description",Comparison!$I$9="Part # + Description"),TRIM('List 2'!D106),"")))</f>
        <v/>
      </c>
      <c r="G106" s="0" t="str">
        <f aca="false">IF(F106="","",SUMPRODUCT(--($F$2:F106=F106)))</f>
        <v/>
      </c>
      <c r="H106" s="0" t="str">
        <f aca="false">IF(F106="","",F106&amp;"#"&amp;G106)</f>
        <v/>
      </c>
      <c r="I106" s="0" t="str">
        <f aca="false">IF(F106="","",IFERROR(--'List 2'!B106,0))</f>
        <v/>
      </c>
      <c r="K106" s="0" t="str">
        <f aca="false">C106</f>
        <v/>
      </c>
      <c r="L106" s="0" t="str">
        <f aca="false">IF(K106="","",IF(ISNUMBER('List 1'!A106),'List 1'!A106,TRIM('List 1'!A106)))</f>
        <v/>
      </c>
      <c r="M106" s="0" t="str">
        <f aca="false">IF(K106="","",IF(ISNUMBER('List 1'!C106),'List 1'!C106,TRIM('List 1'!C106)))</f>
        <v/>
      </c>
      <c r="N106" s="0" t="str">
        <f aca="false">IF(K106="","",IF(ISNUMBER('List 1'!D106),'List 1'!D106,TRIM('List 1'!D106)))</f>
        <v/>
      </c>
      <c r="O106" s="0" t="str">
        <f aca="false">IF(K106="","",D106)</f>
        <v/>
      </c>
      <c r="P106" s="0" t="str">
        <f aca="false">IF(K106="","",IF(R106,SUMPRODUCT(--($H$2:$H$501=K106),$I$2:$I$501),0))</f>
        <v/>
      </c>
      <c r="Q106" s="0" t="str">
        <f aca="false">IF(K106="","",TRUE())</f>
        <v/>
      </c>
      <c r="R106" s="0" t="str">
        <f aca="false">IF(K106="","",SUMPRODUCT(--($H$2:$H$501=K106))&gt;0)</f>
        <v/>
      </c>
      <c r="S106" s="0" t="str">
        <f aca="false">IF(K106="","",IF(AND(Q106,R106),IF(O106=P106,"Match","Qty Different"),IF(Q106,"Only in List 1","Only in List 2")))</f>
        <v/>
      </c>
      <c r="T106" s="0" t="str">
        <f aca="false">IF(K106="","",IF(ISNUMBER(--L106),TEXT(--L106,"000000000000.000"),LOWER(L106)))</f>
        <v/>
      </c>
      <c r="U106" s="0" t="str">
        <f aca="false">IF(K106="","",IF(ISNUMBER(--M106),TEXT(--M106,"000000000000.000"),LOWER(M106)))</f>
        <v/>
      </c>
      <c r="V106" s="0" t="str">
        <f aca="false">IF(K106="","",LOWER(N106))</f>
        <v/>
      </c>
      <c r="W106" s="0" t="str">
        <f aca="false">IF(K106="","",B106)</f>
        <v/>
      </c>
      <c r="X106" s="0" t="str">
        <f aca="false">IF(K106="","",1+SUMPRODUCT(($K$2:$K$1001&lt;&gt;"")*(($T$2:$T$1001&lt;T106)+($T$2:$T$1001=T106)*(($U$2:$U$1001&lt;U106)+($U$2:$U$1001=U106)*(($V$2:$V$1001&lt;V106)+($V$2:$V$1001=V106)*(($W$2:$W$1001&lt;W106)+($W$2:$W$1001=W106)*(ROW($K$2:$K$1001)&lt;ROW(K106))))))))</f>
        <v/>
      </c>
    </row>
    <row r="107" customFormat="false" ht="15" hidden="false" customHeight="false" outlineLevel="0" collapsed="false">
      <c r="A107" s="0" t="str">
        <f aca="false">IF(TRIM('List 1'!A107&amp;'List 1'!C107&amp;'List 1'!D107)="","",LOWER(IF(OR(Comparison!$I$9="Item # + Part # + Description",Comparison!$I$9="Item # + Part #"),TRIM('List 1'!A107),"")&amp;"|"&amp;TRIM('List 1'!C107)&amp;"|"&amp;IF(OR(Comparison!$I$9="Item # + Part # + Description",Comparison!$I$9="Part # + Description"),TRIM('List 1'!D107),"")))</f>
        <v/>
      </c>
      <c r="B107" s="0" t="str">
        <f aca="false">IF(A107="","",SUMPRODUCT(--($A$2:A107=A107)))</f>
        <v/>
      </c>
      <c r="C107" s="0" t="str">
        <f aca="false">IF(A107="","",A107&amp;"#"&amp;B107)</f>
        <v/>
      </c>
      <c r="D107" s="0" t="str">
        <f aca="false">IF(A107="","",IFERROR(--'List 1'!B107,0))</f>
        <v/>
      </c>
      <c r="F107" s="0" t="str">
        <f aca="false">IF(TRIM('List 2'!A107&amp;'List 2'!C107&amp;'List 2'!D107)="","",LOWER(IF(OR(Comparison!$I$9="Item # + Part # + Description",Comparison!$I$9="Item # + Part #"),TRIM('List 2'!A107),"")&amp;"|"&amp;TRIM('List 2'!C107)&amp;"|"&amp;IF(OR(Comparison!$I$9="Item # + Part # + Description",Comparison!$I$9="Part # + Description"),TRIM('List 2'!D107),"")))</f>
        <v/>
      </c>
      <c r="G107" s="0" t="str">
        <f aca="false">IF(F107="","",SUMPRODUCT(--($F$2:F107=F107)))</f>
        <v/>
      </c>
      <c r="H107" s="0" t="str">
        <f aca="false">IF(F107="","",F107&amp;"#"&amp;G107)</f>
        <v/>
      </c>
      <c r="I107" s="0" t="str">
        <f aca="false">IF(F107="","",IFERROR(--'List 2'!B107,0))</f>
        <v/>
      </c>
      <c r="K107" s="0" t="str">
        <f aca="false">C107</f>
        <v/>
      </c>
      <c r="L107" s="0" t="str">
        <f aca="false">IF(K107="","",IF(ISNUMBER('List 1'!A107),'List 1'!A107,TRIM('List 1'!A107)))</f>
        <v/>
      </c>
      <c r="M107" s="0" t="str">
        <f aca="false">IF(K107="","",IF(ISNUMBER('List 1'!C107),'List 1'!C107,TRIM('List 1'!C107)))</f>
        <v/>
      </c>
      <c r="N107" s="0" t="str">
        <f aca="false">IF(K107="","",IF(ISNUMBER('List 1'!D107),'List 1'!D107,TRIM('List 1'!D107)))</f>
        <v/>
      </c>
      <c r="O107" s="0" t="str">
        <f aca="false">IF(K107="","",D107)</f>
        <v/>
      </c>
      <c r="P107" s="0" t="str">
        <f aca="false">IF(K107="","",IF(R107,SUMPRODUCT(--($H$2:$H$501=K107),$I$2:$I$501),0))</f>
        <v/>
      </c>
      <c r="Q107" s="0" t="str">
        <f aca="false">IF(K107="","",TRUE())</f>
        <v/>
      </c>
      <c r="R107" s="0" t="str">
        <f aca="false">IF(K107="","",SUMPRODUCT(--($H$2:$H$501=K107))&gt;0)</f>
        <v/>
      </c>
      <c r="S107" s="0" t="str">
        <f aca="false">IF(K107="","",IF(AND(Q107,R107),IF(O107=P107,"Match","Qty Different"),IF(Q107,"Only in List 1","Only in List 2")))</f>
        <v/>
      </c>
      <c r="T107" s="0" t="str">
        <f aca="false">IF(K107="","",IF(ISNUMBER(--L107),TEXT(--L107,"000000000000.000"),LOWER(L107)))</f>
        <v/>
      </c>
      <c r="U107" s="0" t="str">
        <f aca="false">IF(K107="","",IF(ISNUMBER(--M107),TEXT(--M107,"000000000000.000"),LOWER(M107)))</f>
        <v/>
      </c>
      <c r="V107" s="0" t="str">
        <f aca="false">IF(K107="","",LOWER(N107))</f>
        <v/>
      </c>
      <c r="W107" s="0" t="str">
        <f aca="false">IF(K107="","",B107)</f>
        <v/>
      </c>
      <c r="X107" s="0" t="str">
        <f aca="false">IF(K107="","",1+SUMPRODUCT(($K$2:$K$1001&lt;&gt;"")*(($T$2:$T$1001&lt;T107)+($T$2:$T$1001=T107)*(($U$2:$U$1001&lt;U107)+($U$2:$U$1001=U107)*(($V$2:$V$1001&lt;V107)+($V$2:$V$1001=V107)*(($W$2:$W$1001&lt;W107)+($W$2:$W$1001=W107)*(ROW($K$2:$K$1001)&lt;ROW(K107))))))))</f>
        <v/>
      </c>
    </row>
    <row r="108" customFormat="false" ht="15" hidden="false" customHeight="false" outlineLevel="0" collapsed="false">
      <c r="A108" s="0" t="str">
        <f aca="false">IF(TRIM('List 1'!A108&amp;'List 1'!C108&amp;'List 1'!D108)="","",LOWER(IF(OR(Comparison!$I$9="Item # + Part # + Description",Comparison!$I$9="Item # + Part #"),TRIM('List 1'!A108),"")&amp;"|"&amp;TRIM('List 1'!C108)&amp;"|"&amp;IF(OR(Comparison!$I$9="Item # + Part # + Description",Comparison!$I$9="Part # + Description"),TRIM('List 1'!D108),"")))</f>
        <v/>
      </c>
      <c r="B108" s="0" t="str">
        <f aca="false">IF(A108="","",SUMPRODUCT(--($A$2:A108=A108)))</f>
        <v/>
      </c>
      <c r="C108" s="0" t="str">
        <f aca="false">IF(A108="","",A108&amp;"#"&amp;B108)</f>
        <v/>
      </c>
      <c r="D108" s="0" t="str">
        <f aca="false">IF(A108="","",IFERROR(--'List 1'!B108,0))</f>
        <v/>
      </c>
      <c r="F108" s="0" t="str">
        <f aca="false">IF(TRIM('List 2'!A108&amp;'List 2'!C108&amp;'List 2'!D108)="","",LOWER(IF(OR(Comparison!$I$9="Item # + Part # + Description",Comparison!$I$9="Item # + Part #"),TRIM('List 2'!A108),"")&amp;"|"&amp;TRIM('List 2'!C108)&amp;"|"&amp;IF(OR(Comparison!$I$9="Item # + Part # + Description",Comparison!$I$9="Part # + Description"),TRIM('List 2'!D108),"")))</f>
        <v/>
      </c>
      <c r="G108" s="0" t="str">
        <f aca="false">IF(F108="","",SUMPRODUCT(--($F$2:F108=F108)))</f>
        <v/>
      </c>
      <c r="H108" s="0" t="str">
        <f aca="false">IF(F108="","",F108&amp;"#"&amp;G108)</f>
        <v/>
      </c>
      <c r="I108" s="0" t="str">
        <f aca="false">IF(F108="","",IFERROR(--'List 2'!B108,0))</f>
        <v/>
      </c>
      <c r="K108" s="0" t="str">
        <f aca="false">C108</f>
        <v/>
      </c>
      <c r="L108" s="0" t="str">
        <f aca="false">IF(K108="","",IF(ISNUMBER('List 1'!A108),'List 1'!A108,TRIM('List 1'!A108)))</f>
        <v/>
      </c>
      <c r="M108" s="0" t="str">
        <f aca="false">IF(K108="","",IF(ISNUMBER('List 1'!C108),'List 1'!C108,TRIM('List 1'!C108)))</f>
        <v/>
      </c>
      <c r="N108" s="0" t="str">
        <f aca="false">IF(K108="","",IF(ISNUMBER('List 1'!D108),'List 1'!D108,TRIM('List 1'!D108)))</f>
        <v/>
      </c>
      <c r="O108" s="0" t="str">
        <f aca="false">IF(K108="","",D108)</f>
        <v/>
      </c>
      <c r="P108" s="0" t="str">
        <f aca="false">IF(K108="","",IF(R108,SUMPRODUCT(--($H$2:$H$501=K108),$I$2:$I$501),0))</f>
        <v/>
      </c>
      <c r="Q108" s="0" t="str">
        <f aca="false">IF(K108="","",TRUE())</f>
        <v/>
      </c>
      <c r="R108" s="0" t="str">
        <f aca="false">IF(K108="","",SUMPRODUCT(--($H$2:$H$501=K108))&gt;0)</f>
        <v/>
      </c>
      <c r="S108" s="0" t="str">
        <f aca="false">IF(K108="","",IF(AND(Q108,R108),IF(O108=P108,"Match","Qty Different"),IF(Q108,"Only in List 1","Only in List 2")))</f>
        <v/>
      </c>
      <c r="T108" s="0" t="str">
        <f aca="false">IF(K108="","",IF(ISNUMBER(--L108),TEXT(--L108,"000000000000.000"),LOWER(L108)))</f>
        <v/>
      </c>
      <c r="U108" s="0" t="str">
        <f aca="false">IF(K108="","",IF(ISNUMBER(--M108),TEXT(--M108,"000000000000.000"),LOWER(M108)))</f>
        <v/>
      </c>
      <c r="V108" s="0" t="str">
        <f aca="false">IF(K108="","",LOWER(N108))</f>
        <v/>
      </c>
      <c r="W108" s="0" t="str">
        <f aca="false">IF(K108="","",B108)</f>
        <v/>
      </c>
      <c r="X108" s="0" t="str">
        <f aca="false">IF(K108="","",1+SUMPRODUCT(($K$2:$K$1001&lt;&gt;"")*(($T$2:$T$1001&lt;T108)+($T$2:$T$1001=T108)*(($U$2:$U$1001&lt;U108)+($U$2:$U$1001=U108)*(($V$2:$V$1001&lt;V108)+($V$2:$V$1001=V108)*(($W$2:$W$1001&lt;W108)+($W$2:$W$1001=W108)*(ROW($K$2:$K$1001)&lt;ROW(K108))))))))</f>
        <v/>
      </c>
    </row>
    <row r="109" customFormat="false" ht="15" hidden="false" customHeight="false" outlineLevel="0" collapsed="false">
      <c r="A109" s="0" t="str">
        <f aca="false">IF(TRIM('List 1'!A109&amp;'List 1'!C109&amp;'List 1'!D109)="","",LOWER(IF(OR(Comparison!$I$9="Item # + Part # + Description",Comparison!$I$9="Item # + Part #"),TRIM('List 1'!A109),"")&amp;"|"&amp;TRIM('List 1'!C109)&amp;"|"&amp;IF(OR(Comparison!$I$9="Item # + Part # + Description",Comparison!$I$9="Part # + Description"),TRIM('List 1'!D109),"")))</f>
        <v/>
      </c>
      <c r="B109" s="0" t="str">
        <f aca="false">IF(A109="","",SUMPRODUCT(--($A$2:A109=A109)))</f>
        <v/>
      </c>
      <c r="C109" s="0" t="str">
        <f aca="false">IF(A109="","",A109&amp;"#"&amp;B109)</f>
        <v/>
      </c>
      <c r="D109" s="0" t="str">
        <f aca="false">IF(A109="","",IFERROR(--'List 1'!B109,0))</f>
        <v/>
      </c>
      <c r="F109" s="0" t="str">
        <f aca="false">IF(TRIM('List 2'!A109&amp;'List 2'!C109&amp;'List 2'!D109)="","",LOWER(IF(OR(Comparison!$I$9="Item # + Part # + Description",Comparison!$I$9="Item # + Part #"),TRIM('List 2'!A109),"")&amp;"|"&amp;TRIM('List 2'!C109)&amp;"|"&amp;IF(OR(Comparison!$I$9="Item # + Part # + Description",Comparison!$I$9="Part # + Description"),TRIM('List 2'!D109),"")))</f>
        <v/>
      </c>
      <c r="G109" s="0" t="str">
        <f aca="false">IF(F109="","",SUMPRODUCT(--($F$2:F109=F109)))</f>
        <v/>
      </c>
      <c r="H109" s="0" t="str">
        <f aca="false">IF(F109="","",F109&amp;"#"&amp;G109)</f>
        <v/>
      </c>
      <c r="I109" s="0" t="str">
        <f aca="false">IF(F109="","",IFERROR(--'List 2'!B109,0))</f>
        <v/>
      </c>
      <c r="K109" s="0" t="str">
        <f aca="false">C109</f>
        <v/>
      </c>
      <c r="L109" s="0" t="str">
        <f aca="false">IF(K109="","",IF(ISNUMBER('List 1'!A109),'List 1'!A109,TRIM('List 1'!A109)))</f>
        <v/>
      </c>
      <c r="M109" s="0" t="str">
        <f aca="false">IF(K109="","",IF(ISNUMBER('List 1'!C109),'List 1'!C109,TRIM('List 1'!C109)))</f>
        <v/>
      </c>
      <c r="N109" s="0" t="str">
        <f aca="false">IF(K109="","",IF(ISNUMBER('List 1'!D109),'List 1'!D109,TRIM('List 1'!D109)))</f>
        <v/>
      </c>
      <c r="O109" s="0" t="str">
        <f aca="false">IF(K109="","",D109)</f>
        <v/>
      </c>
      <c r="P109" s="0" t="str">
        <f aca="false">IF(K109="","",IF(R109,SUMPRODUCT(--($H$2:$H$501=K109),$I$2:$I$501),0))</f>
        <v/>
      </c>
      <c r="Q109" s="0" t="str">
        <f aca="false">IF(K109="","",TRUE())</f>
        <v/>
      </c>
      <c r="R109" s="0" t="str">
        <f aca="false">IF(K109="","",SUMPRODUCT(--($H$2:$H$501=K109))&gt;0)</f>
        <v/>
      </c>
      <c r="S109" s="0" t="str">
        <f aca="false">IF(K109="","",IF(AND(Q109,R109),IF(O109=P109,"Match","Qty Different"),IF(Q109,"Only in List 1","Only in List 2")))</f>
        <v/>
      </c>
      <c r="T109" s="0" t="str">
        <f aca="false">IF(K109="","",IF(ISNUMBER(--L109),TEXT(--L109,"000000000000.000"),LOWER(L109)))</f>
        <v/>
      </c>
      <c r="U109" s="0" t="str">
        <f aca="false">IF(K109="","",IF(ISNUMBER(--M109),TEXT(--M109,"000000000000.000"),LOWER(M109)))</f>
        <v/>
      </c>
      <c r="V109" s="0" t="str">
        <f aca="false">IF(K109="","",LOWER(N109))</f>
        <v/>
      </c>
      <c r="W109" s="0" t="str">
        <f aca="false">IF(K109="","",B109)</f>
        <v/>
      </c>
      <c r="X109" s="0" t="str">
        <f aca="false">IF(K109="","",1+SUMPRODUCT(($K$2:$K$1001&lt;&gt;"")*(($T$2:$T$1001&lt;T109)+($T$2:$T$1001=T109)*(($U$2:$U$1001&lt;U109)+($U$2:$U$1001=U109)*(($V$2:$V$1001&lt;V109)+($V$2:$V$1001=V109)*(($W$2:$W$1001&lt;W109)+($W$2:$W$1001=W109)*(ROW($K$2:$K$1001)&lt;ROW(K109))))))))</f>
        <v/>
      </c>
    </row>
    <row r="110" customFormat="false" ht="15" hidden="false" customHeight="false" outlineLevel="0" collapsed="false">
      <c r="A110" s="0" t="str">
        <f aca="false">IF(TRIM('List 1'!A110&amp;'List 1'!C110&amp;'List 1'!D110)="","",LOWER(IF(OR(Comparison!$I$9="Item # + Part # + Description",Comparison!$I$9="Item # + Part #"),TRIM('List 1'!A110),"")&amp;"|"&amp;TRIM('List 1'!C110)&amp;"|"&amp;IF(OR(Comparison!$I$9="Item # + Part # + Description",Comparison!$I$9="Part # + Description"),TRIM('List 1'!D110),"")))</f>
        <v/>
      </c>
      <c r="B110" s="0" t="str">
        <f aca="false">IF(A110="","",SUMPRODUCT(--($A$2:A110=A110)))</f>
        <v/>
      </c>
      <c r="C110" s="0" t="str">
        <f aca="false">IF(A110="","",A110&amp;"#"&amp;B110)</f>
        <v/>
      </c>
      <c r="D110" s="0" t="str">
        <f aca="false">IF(A110="","",IFERROR(--'List 1'!B110,0))</f>
        <v/>
      </c>
      <c r="F110" s="0" t="str">
        <f aca="false">IF(TRIM('List 2'!A110&amp;'List 2'!C110&amp;'List 2'!D110)="","",LOWER(IF(OR(Comparison!$I$9="Item # + Part # + Description",Comparison!$I$9="Item # + Part #"),TRIM('List 2'!A110),"")&amp;"|"&amp;TRIM('List 2'!C110)&amp;"|"&amp;IF(OR(Comparison!$I$9="Item # + Part # + Description",Comparison!$I$9="Part # + Description"),TRIM('List 2'!D110),"")))</f>
        <v/>
      </c>
      <c r="G110" s="0" t="str">
        <f aca="false">IF(F110="","",SUMPRODUCT(--($F$2:F110=F110)))</f>
        <v/>
      </c>
      <c r="H110" s="0" t="str">
        <f aca="false">IF(F110="","",F110&amp;"#"&amp;G110)</f>
        <v/>
      </c>
      <c r="I110" s="0" t="str">
        <f aca="false">IF(F110="","",IFERROR(--'List 2'!B110,0))</f>
        <v/>
      </c>
      <c r="K110" s="0" t="str">
        <f aca="false">C110</f>
        <v/>
      </c>
      <c r="L110" s="0" t="str">
        <f aca="false">IF(K110="","",IF(ISNUMBER('List 1'!A110),'List 1'!A110,TRIM('List 1'!A110)))</f>
        <v/>
      </c>
      <c r="M110" s="0" t="str">
        <f aca="false">IF(K110="","",IF(ISNUMBER('List 1'!C110),'List 1'!C110,TRIM('List 1'!C110)))</f>
        <v/>
      </c>
      <c r="N110" s="0" t="str">
        <f aca="false">IF(K110="","",IF(ISNUMBER('List 1'!D110),'List 1'!D110,TRIM('List 1'!D110)))</f>
        <v/>
      </c>
      <c r="O110" s="0" t="str">
        <f aca="false">IF(K110="","",D110)</f>
        <v/>
      </c>
      <c r="P110" s="0" t="str">
        <f aca="false">IF(K110="","",IF(R110,SUMPRODUCT(--($H$2:$H$501=K110),$I$2:$I$501),0))</f>
        <v/>
      </c>
      <c r="Q110" s="0" t="str">
        <f aca="false">IF(K110="","",TRUE())</f>
        <v/>
      </c>
      <c r="R110" s="0" t="str">
        <f aca="false">IF(K110="","",SUMPRODUCT(--($H$2:$H$501=K110))&gt;0)</f>
        <v/>
      </c>
      <c r="S110" s="0" t="str">
        <f aca="false">IF(K110="","",IF(AND(Q110,R110),IF(O110=P110,"Match","Qty Different"),IF(Q110,"Only in List 1","Only in List 2")))</f>
        <v/>
      </c>
      <c r="T110" s="0" t="str">
        <f aca="false">IF(K110="","",IF(ISNUMBER(--L110),TEXT(--L110,"000000000000.000"),LOWER(L110)))</f>
        <v/>
      </c>
      <c r="U110" s="0" t="str">
        <f aca="false">IF(K110="","",IF(ISNUMBER(--M110),TEXT(--M110,"000000000000.000"),LOWER(M110)))</f>
        <v/>
      </c>
      <c r="V110" s="0" t="str">
        <f aca="false">IF(K110="","",LOWER(N110))</f>
        <v/>
      </c>
      <c r="W110" s="0" t="str">
        <f aca="false">IF(K110="","",B110)</f>
        <v/>
      </c>
      <c r="X110" s="0" t="str">
        <f aca="false">IF(K110="","",1+SUMPRODUCT(($K$2:$K$1001&lt;&gt;"")*(($T$2:$T$1001&lt;T110)+($T$2:$T$1001=T110)*(($U$2:$U$1001&lt;U110)+($U$2:$U$1001=U110)*(($V$2:$V$1001&lt;V110)+($V$2:$V$1001=V110)*(($W$2:$W$1001&lt;W110)+($W$2:$W$1001=W110)*(ROW($K$2:$K$1001)&lt;ROW(K110))))))))</f>
        <v/>
      </c>
    </row>
    <row r="111" customFormat="false" ht="15" hidden="false" customHeight="false" outlineLevel="0" collapsed="false">
      <c r="A111" s="0" t="str">
        <f aca="false">IF(TRIM('List 1'!A111&amp;'List 1'!C111&amp;'List 1'!D111)="","",LOWER(IF(OR(Comparison!$I$9="Item # + Part # + Description",Comparison!$I$9="Item # + Part #"),TRIM('List 1'!A111),"")&amp;"|"&amp;TRIM('List 1'!C111)&amp;"|"&amp;IF(OR(Comparison!$I$9="Item # + Part # + Description",Comparison!$I$9="Part # + Description"),TRIM('List 1'!D111),"")))</f>
        <v/>
      </c>
      <c r="B111" s="0" t="str">
        <f aca="false">IF(A111="","",SUMPRODUCT(--($A$2:A111=A111)))</f>
        <v/>
      </c>
      <c r="C111" s="0" t="str">
        <f aca="false">IF(A111="","",A111&amp;"#"&amp;B111)</f>
        <v/>
      </c>
      <c r="D111" s="0" t="str">
        <f aca="false">IF(A111="","",IFERROR(--'List 1'!B111,0))</f>
        <v/>
      </c>
      <c r="F111" s="0" t="str">
        <f aca="false">IF(TRIM('List 2'!A111&amp;'List 2'!C111&amp;'List 2'!D111)="","",LOWER(IF(OR(Comparison!$I$9="Item # + Part # + Description",Comparison!$I$9="Item # + Part #"),TRIM('List 2'!A111),"")&amp;"|"&amp;TRIM('List 2'!C111)&amp;"|"&amp;IF(OR(Comparison!$I$9="Item # + Part # + Description",Comparison!$I$9="Part # + Description"),TRIM('List 2'!D111),"")))</f>
        <v/>
      </c>
      <c r="G111" s="0" t="str">
        <f aca="false">IF(F111="","",SUMPRODUCT(--($F$2:F111=F111)))</f>
        <v/>
      </c>
      <c r="H111" s="0" t="str">
        <f aca="false">IF(F111="","",F111&amp;"#"&amp;G111)</f>
        <v/>
      </c>
      <c r="I111" s="0" t="str">
        <f aca="false">IF(F111="","",IFERROR(--'List 2'!B111,0))</f>
        <v/>
      </c>
      <c r="K111" s="0" t="str">
        <f aca="false">C111</f>
        <v/>
      </c>
      <c r="L111" s="0" t="str">
        <f aca="false">IF(K111="","",IF(ISNUMBER('List 1'!A111),'List 1'!A111,TRIM('List 1'!A111)))</f>
        <v/>
      </c>
      <c r="M111" s="0" t="str">
        <f aca="false">IF(K111="","",IF(ISNUMBER('List 1'!C111),'List 1'!C111,TRIM('List 1'!C111)))</f>
        <v/>
      </c>
      <c r="N111" s="0" t="str">
        <f aca="false">IF(K111="","",IF(ISNUMBER('List 1'!D111),'List 1'!D111,TRIM('List 1'!D111)))</f>
        <v/>
      </c>
      <c r="O111" s="0" t="str">
        <f aca="false">IF(K111="","",D111)</f>
        <v/>
      </c>
      <c r="P111" s="0" t="str">
        <f aca="false">IF(K111="","",IF(R111,SUMPRODUCT(--($H$2:$H$501=K111),$I$2:$I$501),0))</f>
        <v/>
      </c>
      <c r="Q111" s="0" t="str">
        <f aca="false">IF(K111="","",TRUE())</f>
        <v/>
      </c>
      <c r="R111" s="0" t="str">
        <f aca="false">IF(K111="","",SUMPRODUCT(--($H$2:$H$501=K111))&gt;0)</f>
        <v/>
      </c>
      <c r="S111" s="0" t="str">
        <f aca="false">IF(K111="","",IF(AND(Q111,R111),IF(O111=P111,"Match","Qty Different"),IF(Q111,"Only in List 1","Only in List 2")))</f>
        <v/>
      </c>
      <c r="T111" s="0" t="str">
        <f aca="false">IF(K111="","",IF(ISNUMBER(--L111),TEXT(--L111,"000000000000.000"),LOWER(L111)))</f>
        <v/>
      </c>
      <c r="U111" s="0" t="str">
        <f aca="false">IF(K111="","",IF(ISNUMBER(--M111),TEXT(--M111,"000000000000.000"),LOWER(M111)))</f>
        <v/>
      </c>
      <c r="V111" s="0" t="str">
        <f aca="false">IF(K111="","",LOWER(N111))</f>
        <v/>
      </c>
      <c r="W111" s="0" t="str">
        <f aca="false">IF(K111="","",B111)</f>
        <v/>
      </c>
      <c r="X111" s="0" t="str">
        <f aca="false">IF(K111="","",1+SUMPRODUCT(($K$2:$K$1001&lt;&gt;"")*(($T$2:$T$1001&lt;T111)+($T$2:$T$1001=T111)*(($U$2:$U$1001&lt;U111)+($U$2:$U$1001=U111)*(($V$2:$V$1001&lt;V111)+($V$2:$V$1001=V111)*(($W$2:$W$1001&lt;W111)+($W$2:$W$1001=W111)*(ROW($K$2:$K$1001)&lt;ROW(K111))))))))</f>
        <v/>
      </c>
    </row>
    <row r="112" customFormat="false" ht="15" hidden="false" customHeight="false" outlineLevel="0" collapsed="false">
      <c r="A112" s="0" t="str">
        <f aca="false">IF(TRIM('List 1'!A112&amp;'List 1'!C112&amp;'List 1'!D112)="","",LOWER(IF(OR(Comparison!$I$9="Item # + Part # + Description",Comparison!$I$9="Item # + Part #"),TRIM('List 1'!A112),"")&amp;"|"&amp;TRIM('List 1'!C112)&amp;"|"&amp;IF(OR(Comparison!$I$9="Item # + Part # + Description",Comparison!$I$9="Part # + Description"),TRIM('List 1'!D112),"")))</f>
        <v/>
      </c>
      <c r="B112" s="0" t="str">
        <f aca="false">IF(A112="","",SUMPRODUCT(--($A$2:A112=A112)))</f>
        <v/>
      </c>
      <c r="C112" s="0" t="str">
        <f aca="false">IF(A112="","",A112&amp;"#"&amp;B112)</f>
        <v/>
      </c>
      <c r="D112" s="0" t="str">
        <f aca="false">IF(A112="","",IFERROR(--'List 1'!B112,0))</f>
        <v/>
      </c>
      <c r="F112" s="0" t="str">
        <f aca="false">IF(TRIM('List 2'!A112&amp;'List 2'!C112&amp;'List 2'!D112)="","",LOWER(IF(OR(Comparison!$I$9="Item # + Part # + Description",Comparison!$I$9="Item # + Part #"),TRIM('List 2'!A112),"")&amp;"|"&amp;TRIM('List 2'!C112)&amp;"|"&amp;IF(OR(Comparison!$I$9="Item # + Part # + Description",Comparison!$I$9="Part # + Description"),TRIM('List 2'!D112),"")))</f>
        <v/>
      </c>
      <c r="G112" s="0" t="str">
        <f aca="false">IF(F112="","",SUMPRODUCT(--($F$2:F112=F112)))</f>
        <v/>
      </c>
      <c r="H112" s="0" t="str">
        <f aca="false">IF(F112="","",F112&amp;"#"&amp;G112)</f>
        <v/>
      </c>
      <c r="I112" s="0" t="str">
        <f aca="false">IF(F112="","",IFERROR(--'List 2'!B112,0))</f>
        <v/>
      </c>
      <c r="K112" s="0" t="str">
        <f aca="false">C112</f>
        <v/>
      </c>
      <c r="L112" s="0" t="str">
        <f aca="false">IF(K112="","",IF(ISNUMBER('List 1'!A112),'List 1'!A112,TRIM('List 1'!A112)))</f>
        <v/>
      </c>
      <c r="M112" s="0" t="str">
        <f aca="false">IF(K112="","",IF(ISNUMBER('List 1'!C112),'List 1'!C112,TRIM('List 1'!C112)))</f>
        <v/>
      </c>
      <c r="N112" s="0" t="str">
        <f aca="false">IF(K112="","",IF(ISNUMBER('List 1'!D112),'List 1'!D112,TRIM('List 1'!D112)))</f>
        <v/>
      </c>
      <c r="O112" s="0" t="str">
        <f aca="false">IF(K112="","",D112)</f>
        <v/>
      </c>
      <c r="P112" s="0" t="str">
        <f aca="false">IF(K112="","",IF(R112,SUMPRODUCT(--($H$2:$H$501=K112),$I$2:$I$501),0))</f>
        <v/>
      </c>
      <c r="Q112" s="0" t="str">
        <f aca="false">IF(K112="","",TRUE())</f>
        <v/>
      </c>
      <c r="R112" s="0" t="str">
        <f aca="false">IF(K112="","",SUMPRODUCT(--($H$2:$H$501=K112))&gt;0)</f>
        <v/>
      </c>
      <c r="S112" s="0" t="str">
        <f aca="false">IF(K112="","",IF(AND(Q112,R112),IF(O112=P112,"Match","Qty Different"),IF(Q112,"Only in List 1","Only in List 2")))</f>
        <v/>
      </c>
      <c r="T112" s="0" t="str">
        <f aca="false">IF(K112="","",IF(ISNUMBER(--L112),TEXT(--L112,"000000000000.000"),LOWER(L112)))</f>
        <v/>
      </c>
      <c r="U112" s="0" t="str">
        <f aca="false">IF(K112="","",IF(ISNUMBER(--M112),TEXT(--M112,"000000000000.000"),LOWER(M112)))</f>
        <v/>
      </c>
      <c r="V112" s="0" t="str">
        <f aca="false">IF(K112="","",LOWER(N112))</f>
        <v/>
      </c>
      <c r="W112" s="0" t="str">
        <f aca="false">IF(K112="","",B112)</f>
        <v/>
      </c>
      <c r="X112" s="0" t="str">
        <f aca="false">IF(K112="","",1+SUMPRODUCT(($K$2:$K$1001&lt;&gt;"")*(($T$2:$T$1001&lt;T112)+($T$2:$T$1001=T112)*(($U$2:$U$1001&lt;U112)+($U$2:$U$1001=U112)*(($V$2:$V$1001&lt;V112)+($V$2:$V$1001=V112)*(($W$2:$W$1001&lt;W112)+($W$2:$W$1001=W112)*(ROW($K$2:$K$1001)&lt;ROW(K112))))))))</f>
        <v/>
      </c>
    </row>
    <row r="113" customFormat="false" ht="15" hidden="false" customHeight="false" outlineLevel="0" collapsed="false">
      <c r="A113" s="0" t="str">
        <f aca="false">IF(TRIM('List 1'!A113&amp;'List 1'!C113&amp;'List 1'!D113)="","",LOWER(IF(OR(Comparison!$I$9="Item # + Part # + Description",Comparison!$I$9="Item # + Part #"),TRIM('List 1'!A113),"")&amp;"|"&amp;TRIM('List 1'!C113)&amp;"|"&amp;IF(OR(Comparison!$I$9="Item # + Part # + Description",Comparison!$I$9="Part # + Description"),TRIM('List 1'!D113),"")))</f>
        <v/>
      </c>
      <c r="B113" s="0" t="str">
        <f aca="false">IF(A113="","",SUMPRODUCT(--($A$2:A113=A113)))</f>
        <v/>
      </c>
      <c r="C113" s="0" t="str">
        <f aca="false">IF(A113="","",A113&amp;"#"&amp;B113)</f>
        <v/>
      </c>
      <c r="D113" s="0" t="str">
        <f aca="false">IF(A113="","",IFERROR(--'List 1'!B113,0))</f>
        <v/>
      </c>
      <c r="F113" s="0" t="str">
        <f aca="false">IF(TRIM('List 2'!A113&amp;'List 2'!C113&amp;'List 2'!D113)="","",LOWER(IF(OR(Comparison!$I$9="Item # + Part # + Description",Comparison!$I$9="Item # + Part #"),TRIM('List 2'!A113),"")&amp;"|"&amp;TRIM('List 2'!C113)&amp;"|"&amp;IF(OR(Comparison!$I$9="Item # + Part # + Description",Comparison!$I$9="Part # + Description"),TRIM('List 2'!D113),"")))</f>
        <v/>
      </c>
      <c r="G113" s="0" t="str">
        <f aca="false">IF(F113="","",SUMPRODUCT(--($F$2:F113=F113)))</f>
        <v/>
      </c>
      <c r="H113" s="0" t="str">
        <f aca="false">IF(F113="","",F113&amp;"#"&amp;G113)</f>
        <v/>
      </c>
      <c r="I113" s="0" t="str">
        <f aca="false">IF(F113="","",IFERROR(--'List 2'!B113,0))</f>
        <v/>
      </c>
      <c r="K113" s="0" t="str">
        <f aca="false">C113</f>
        <v/>
      </c>
      <c r="L113" s="0" t="str">
        <f aca="false">IF(K113="","",IF(ISNUMBER('List 1'!A113),'List 1'!A113,TRIM('List 1'!A113)))</f>
        <v/>
      </c>
      <c r="M113" s="0" t="str">
        <f aca="false">IF(K113="","",IF(ISNUMBER('List 1'!C113),'List 1'!C113,TRIM('List 1'!C113)))</f>
        <v/>
      </c>
      <c r="N113" s="0" t="str">
        <f aca="false">IF(K113="","",IF(ISNUMBER('List 1'!D113),'List 1'!D113,TRIM('List 1'!D113)))</f>
        <v/>
      </c>
      <c r="O113" s="0" t="str">
        <f aca="false">IF(K113="","",D113)</f>
        <v/>
      </c>
      <c r="P113" s="0" t="str">
        <f aca="false">IF(K113="","",IF(R113,SUMPRODUCT(--($H$2:$H$501=K113),$I$2:$I$501),0))</f>
        <v/>
      </c>
      <c r="Q113" s="0" t="str">
        <f aca="false">IF(K113="","",TRUE())</f>
        <v/>
      </c>
      <c r="R113" s="0" t="str">
        <f aca="false">IF(K113="","",SUMPRODUCT(--($H$2:$H$501=K113))&gt;0)</f>
        <v/>
      </c>
      <c r="S113" s="0" t="str">
        <f aca="false">IF(K113="","",IF(AND(Q113,R113),IF(O113=P113,"Match","Qty Different"),IF(Q113,"Only in List 1","Only in List 2")))</f>
        <v/>
      </c>
      <c r="T113" s="0" t="str">
        <f aca="false">IF(K113="","",IF(ISNUMBER(--L113),TEXT(--L113,"000000000000.000"),LOWER(L113)))</f>
        <v/>
      </c>
      <c r="U113" s="0" t="str">
        <f aca="false">IF(K113="","",IF(ISNUMBER(--M113),TEXT(--M113,"000000000000.000"),LOWER(M113)))</f>
        <v/>
      </c>
      <c r="V113" s="0" t="str">
        <f aca="false">IF(K113="","",LOWER(N113))</f>
        <v/>
      </c>
      <c r="W113" s="0" t="str">
        <f aca="false">IF(K113="","",B113)</f>
        <v/>
      </c>
      <c r="X113" s="0" t="str">
        <f aca="false">IF(K113="","",1+SUMPRODUCT(($K$2:$K$1001&lt;&gt;"")*(($T$2:$T$1001&lt;T113)+($T$2:$T$1001=T113)*(($U$2:$U$1001&lt;U113)+($U$2:$U$1001=U113)*(($V$2:$V$1001&lt;V113)+($V$2:$V$1001=V113)*(($W$2:$W$1001&lt;W113)+($W$2:$W$1001=W113)*(ROW($K$2:$K$1001)&lt;ROW(K113))))))))</f>
        <v/>
      </c>
    </row>
    <row r="114" customFormat="false" ht="15" hidden="false" customHeight="false" outlineLevel="0" collapsed="false">
      <c r="A114" s="0" t="str">
        <f aca="false">IF(TRIM('List 1'!A114&amp;'List 1'!C114&amp;'List 1'!D114)="","",LOWER(IF(OR(Comparison!$I$9="Item # + Part # + Description",Comparison!$I$9="Item # + Part #"),TRIM('List 1'!A114),"")&amp;"|"&amp;TRIM('List 1'!C114)&amp;"|"&amp;IF(OR(Comparison!$I$9="Item # + Part # + Description",Comparison!$I$9="Part # + Description"),TRIM('List 1'!D114),"")))</f>
        <v/>
      </c>
      <c r="B114" s="0" t="str">
        <f aca="false">IF(A114="","",SUMPRODUCT(--($A$2:A114=A114)))</f>
        <v/>
      </c>
      <c r="C114" s="0" t="str">
        <f aca="false">IF(A114="","",A114&amp;"#"&amp;B114)</f>
        <v/>
      </c>
      <c r="D114" s="0" t="str">
        <f aca="false">IF(A114="","",IFERROR(--'List 1'!B114,0))</f>
        <v/>
      </c>
      <c r="F114" s="0" t="str">
        <f aca="false">IF(TRIM('List 2'!A114&amp;'List 2'!C114&amp;'List 2'!D114)="","",LOWER(IF(OR(Comparison!$I$9="Item # + Part # + Description",Comparison!$I$9="Item # + Part #"),TRIM('List 2'!A114),"")&amp;"|"&amp;TRIM('List 2'!C114)&amp;"|"&amp;IF(OR(Comparison!$I$9="Item # + Part # + Description",Comparison!$I$9="Part # + Description"),TRIM('List 2'!D114),"")))</f>
        <v/>
      </c>
      <c r="G114" s="0" t="str">
        <f aca="false">IF(F114="","",SUMPRODUCT(--($F$2:F114=F114)))</f>
        <v/>
      </c>
      <c r="H114" s="0" t="str">
        <f aca="false">IF(F114="","",F114&amp;"#"&amp;G114)</f>
        <v/>
      </c>
      <c r="I114" s="0" t="str">
        <f aca="false">IF(F114="","",IFERROR(--'List 2'!B114,0))</f>
        <v/>
      </c>
      <c r="K114" s="0" t="str">
        <f aca="false">C114</f>
        <v/>
      </c>
      <c r="L114" s="0" t="str">
        <f aca="false">IF(K114="","",IF(ISNUMBER('List 1'!A114),'List 1'!A114,TRIM('List 1'!A114)))</f>
        <v/>
      </c>
      <c r="M114" s="0" t="str">
        <f aca="false">IF(K114="","",IF(ISNUMBER('List 1'!C114),'List 1'!C114,TRIM('List 1'!C114)))</f>
        <v/>
      </c>
      <c r="N114" s="0" t="str">
        <f aca="false">IF(K114="","",IF(ISNUMBER('List 1'!D114),'List 1'!D114,TRIM('List 1'!D114)))</f>
        <v/>
      </c>
      <c r="O114" s="0" t="str">
        <f aca="false">IF(K114="","",D114)</f>
        <v/>
      </c>
      <c r="P114" s="0" t="str">
        <f aca="false">IF(K114="","",IF(R114,SUMPRODUCT(--($H$2:$H$501=K114),$I$2:$I$501),0))</f>
        <v/>
      </c>
      <c r="Q114" s="0" t="str">
        <f aca="false">IF(K114="","",TRUE())</f>
        <v/>
      </c>
      <c r="R114" s="0" t="str">
        <f aca="false">IF(K114="","",SUMPRODUCT(--($H$2:$H$501=K114))&gt;0)</f>
        <v/>
      </c>
      <c r="S114" s="0" t="str">
        <f aca="false">IF(K114="","",IF(AND(Q114,R114),IF(O114=P114,"Match","Qty Different"),IF(Q114,"Only in List 1","Only in List 2")))</f>
        <v/>
      </c>
      <c r="T114" s="0" t="str">
        <f aca="false">IF(K114="","",IF(ISNUMBER(--L114),TEXT(--L114,"000000000000.000"),LOWER(L114)))</f>
        <v/>
      </c>
      <c r="U114" s="0" t="str">
        <f aca="false">IF(K114="","",IF(ISNUMBER(--M114),TEXT(--M114,"000000000000.000"),LOWER(M114)))</f>
        <v/>
      </c>
      <c r="V114" s="0" t="str">
        <f aca="false">IF(K114="","",LOWER(N114))</f>
        <v/>
      </c>
      <c r="W114" s="0" t="str">
        <f aca="false">IF(K114="","",B114)</f>
        <v/>
      </c>
      <c r="X114" s="0" t="str">
        <f aca="false">IF(K114="","",1+SUMPRODUCT(($K$2:$K$1001&lt;&gt;"")*(($T$2:$T$1001&lt;T114)+($T$2:$T$1001=T114)*(($U$2:$U$1001&lt;U114)+($U$2:$U$1001=U114)*(($V$2:$V$1001&lt;V114)+($V$2:$V$1001=V114)*(($W$2:$W$1001&lt;W114)+($W$2:$W$1001=W114)*(ROW($K$2:$K$1001)&lt;ROW(K114))))))))</f>
        <v/>
      </c>
    </row>
    <row r="115" customFormat="false" ht="15" hidden="false" customHeight="false" outlineLevel="0" collapsed="false">
      <c r="A115" s="0" t="str">
        <f aca="false">IF(TRIM('List 1'!A115&amp;'List 1'!C115&amp;'List 1'!D115)="","",LOWER(IF(OR(Comparison!$I$9="Item # + Part # + Description",Comparison!$I$9="Item # + Part #"),TRIM('List 1'!A115),"")&amp;"|"&amp;TRIM('List 1'!C115)&amp;"|"&amp;IF(OR(Comparison!$I$9="Item # + Part # + Description",Comparison!$I$9="Part # + Description"),TRIM('List 1'!D115),"")))</f>
        <v/>
      </c>
      <c r="B115" s="0" t="str">
        <f aca="false">IF(A115="","",SUMPRODUCT(--($A$2:A115=A115)))</f>
        <v/>
      </c>
      <c r="C115" s="0" t="str">
        <f aca="false">IF(A115="","",A115&amp;"#"&amp;B115)</f>
        <v/>
      </c>
      <c r="D115" s="0" t="str">
        <f aca="false">IF(A115="","",IFERROR(--'List 1'!B115,0))</f>
        <v/>
      </c>
      <c r="F115" s="0" t="str">
        <f aca="false">IF(TRIM('List 2'!A115&amp;'List 2'!C115&amp;'List 2'!D115)="","",LOWER(IF(OR(Comparison!$I$9="Item # + Part # + Description",Comparison!$I$9="Item # + Part #"),TRIM('List 2'!A115),"")&amp;"|"&amp;TRIM('List 2'!C115)&amp;"|"&amp;IF(OR(Comparison!$I$9="Item # + Part # + Description",Comparison!$I$9="Part # + Description"),TRIM('List 2'!D115),"")))</f>
        <v/>
      </c>
      <c r="G115" s="0" t="str">
        <f aca="false">IF(F115="","",SUMPRODUCT(--($F$2:F115=F115)))</f>
        <v/>
      </c>
      <c r="H115" s="0" t="str">
        <f aca="false">IF(F115="","",F115&amp;"#"&amp;G115)</f>
        <v/>
      </c>
      <c r="I115" s="0" t="str">
        <f aca="false">IF(F115="","",IFERROR(--'List 2'!B115,0))</f>
        <v/>
      </c>
      <c r="K115" s="0" t="str">
        <f aca="false">C115</f>
        <v/>
      </c>
      <c r="L115" s="0" t="str">
        <f aca="false">IF(K115="","",IF(ISNUMBER('List 1'!A115),'List 1'!A115,TRIM('List 1'!A115)))</f>
        <v/>
      </c>
      <c r="M115" s="0" t="str">
        <f aca="false">IF(K115="","",IF(ISNUMBER('List 1'!C115),'List 1'!C115,TRIM('List 1'!C115)))</f>
        <v/>
      </c>
      <c r="N115" s="0" t="str">
        <f aca="false">IF(K115="","",IF(ISNUMBER('List 1'!D115),'List 1'!D115,TRIM('List 1'!D115)))</f>
        <v/>
      </c>
      <c r="O115" s="0" t="str">
        <f aca="false">IF(K115="","",D115)</f>
        <v/>
      </c>
      <c r="P115" s="0" t="str">
        <f aca="false">IF(K115="","",IF(R115,SUMPRODUCT(--($H$2:$H$501=K115),$I$2:$I$501),0))</f>
        <v/>
      </c>
      <c r="Q115" s="0" t="str">
        <f aca="false">IF(K115="","",TRUE())</f>
        <v/>
      </c>
      <c r="R115" s="0" t="str">
        <f aca="false">IF(K115="","",SUMPRODUCT(--($H$2:$H$501=K115))&gt;0)</f>
        <v/>
      </c>
      <c r="S115" s="0" t="str">
        <f aca="false">IF(K115="","",IF(AND(Q115,R115),IF(O115=P115,"Match","Qty Different"),IF(Q115,"Only in List 1","Only in List 2")))</f>
        <v/>
      </c>
      <c r="T115" s="0" t="str">
        <f aca="false">IF(K115="","",IF(ISNUMBER(--L115),TEXT(--L115,"000000000000.000"),LOWER(L115)))</f>
        <v/>
      </c>
      <c r="U115" s="0" t="str">
        <f aca="false">IF(K115="","",IF(ISNUMBER(--M115),TEXT(--M115,"000000000000.000"),LOWER(M115)))</f>
        <v/>
      </c>
      <c r="V115" s="0" t="str">
        <f aca="false">IF(K115="","",LOWER(N115))</f>
        <v/>
      </c>
      <c r="W115" s="0" t="str">
        <f aca="false">IF(K115="","",B115)</f>
        <v/>
      </c>
      <c r="X115" s="0" t="str">
        <f aca="false">IF(K115="","",1+SUMPRODUCT(($K$2:$K$1001&lt;&gt;"")*(($T$2:$T$1001&lt;T115)+($T$2:$T$1001=T115)*(($U$2:$U$1001&lt;U115)+($U$2:$U$1001=U115)*(($V$2:$V$1001&lt;V115)+($V$2:$V$1001=V115)*(($W$2:$W$1001&lt;W115)+($W$2:$W$1001=W115)*(ROW($K$2:$K$1001)&lt;ROW(K115))))))))</f>
        <v/>
      </c>
    </row>
    <row r="116" customFormat="false" ht="15" hidden="false" customHeight="false" outlineLevel="0" collapsed="false">
      <c r="A116" s="0" t="str">
        <f aca="false">IF(TRIM('List 1'!A116&amp;'List 1'!C116&amp;'List 1'!D116)="","",LOWER(IF(OR(Comparison!$I$9="Item # + Part # + Description",Comparison!$I$9="Item # + Part #"),TRIM('List 1'!A116),"")&amp;"|"&amp;TRIM('List 1'!C116)&amp;"|"&amp;IF(OR(Comparison!$I$9="Item # + Part # + Description",Comparison!$I$9="Part # + Description"),TRIM('List 1'!D116),"")))</f>
        <v/>
      </c>
      <c r="B116" s="0" t="str">
        <f aca="false">IF(A116="","",SUMPRODUCT(--($A$2:A116=A116)))</f>
        <v/>
      </c>
      <c r="C116" s="0" t="str">
        <f aca="false">IF(A116="","",A116&amp;"#"&amp;B116)</f>
        <v/>
      </c>
      <c r="D116" s="0" t="str">
        <f aca="false">IF(A116="","",IFERROR(--'List 1'!B116,0))</f>
        <v/>
      </c>
      <c r="F116" s="0" t="str">
        <f aca="false">IF(TRIM('List 2'!A116&amp;'List 2'!C116&amp;'List 2'!D116)="","",LOWER(IF(OR(Comparison!$I$9="Item # + Part # + Description",Comparison!$I$9="Item # + Part #"),TRIM('List 2'!A116),"")&amp;"|"&amp;TRIM('List 2'!C116)&amp;"|"&amp;IF(OR(Comparison!$I$9="Item # + Part # + Description",Comparison!$I$9="Part # + Description"),TRIM('List 2'!D116),"")))</f>
        <v/>
      </c>
      <c r="G116" s="0" t="str">
        <f aca="false">IF(F116="","",SUMPRODUCT(--($F$2:F116=F116)))</f>
        <v/>
      </c>
      <c r="H116" s="0" t="str">
        <f aca="false">IF(F116="","",F116&amp;"#"&amp;G116)</f>
        <v/>
      </c>
      <c r="I116" s="0" t="str">
        <f aca="false">IF(F116="","",IFERROR(--'List 2'!B116,0))</f>
        <v/>
      </c>
      <c r="K116" s="0" t="str">
        <f aca="false">C116</f>
        <v/>
      </c>
      <c r="L116" s="0" t="str">
        <f aca="false">IF(K116="","",IF(ISNUMBER('List 1'!A116),'List 1'!A116,TRIM('List 1'!A116)))</f>
        <v/>
      </c>
      <c r="M116" s="0" t="str">
        <f aca="false">IF(K116="","",IF(ISNUMBER('List 1'!C116),'List 1'!C116,TRIM('List 1'!C116)))</f>
        <v/>
      </c>
      <c r="N116" s="0" t="str">
        <f aca="false">IF(K116="","",IF(ISNUMBER('List 1'!D116),'List 1'!D116,TRIM('List 1'!D116)))</f>
        <v/>
      </c>
      <c r="O116" s="0" t="str">
        <f aca="false">IF(K116="","",D116)</f>
        <v/>
      </c>
      <c r="P116" s="0" t="str">
        <f aca="false">IF(K116="","",IF(R116,SUMPRODUCT(--($H$2:$H$501=K116),$I$2:$I$501),0))</f>
        <v/>
      </c>
      <c r="Q116" s="0" t="str">
        <f aca="false">IF(K116="","",TRUE())</f>
        <v/>
      </c>
      <c r="R116" s="0" t="str">
        <f aca="false">IF(K116="","",SUMPRODUCT(--($H$2:$H$501=K116))&gt;0)</f>
        <v/>
      </c>
      <c r="S116" s="0" t="str">
        <f aca="false">IF(K116="","",IF(AND(Q116,R116),IF(O116=P116,"Match","Qty Different"),IF(Q116,"Only in List 1","Only in List 2")))</f>
        <v/>
      </c>
      <c r="T116" s="0" t="str">
        <f aca="false">IF(K116="","",IF(ISNUMBER(--L116),TEXT(--L116,"000000000000.000"),LOWER(L116)))</f>
        <v/>
      </c>
      <c r="U116" s="0" t="str">
        <f aca="false">IF(K116="","",IF(ISNUMBER(--M116),TEXT(--M116,"000000000000.000"),LOWER(M116)))</f>
        <v/>
      </c>
      <c r="V116" s="0" t="str">
        <f aca="false">IF(K116="","",LOWER(N116))</f>
        <v/>
      </c>
      <c r="W116" s="0" t="str">
        <f aca="false">IF(K116="","",B116)</f>
        <v/>
      </c>
      <c r="X116" s="0" t="str">
        <f aca="false">IF(K116="","",1+SUMPRODUCT(($K$2:$K$1001&lt;&gt;"")*(($T$2:$T$1001&lt;T116)+($T$2:$T$1001=T116)*(($U$2:$U$1001&lt;U116)+($U$2:$U$1001=U116)*(($V$2:$V$1001&lt;V116)+($V$2:$V$1001=V116)*(($W$2:$W$1001&lt;W116)+($W$2:$W$1001=W116)*(ROW($K$2:$K$1001)&lt;ROW(K116))))))))</f>
        <v/>
      </c>
    </row>
    <row r="117" customFormat="false" ht="15" hidden="false" customHeight="false" outlineLevel="0" collapsed="false">
      <c r="A117" s="0" t="str">
        <f aca="false">IF(TRIM('List 1'!A117&amp;'List 1'!C117&amp;'List 1'!D117)="","",LOWER(IF(OR(Comparison!$I$9="Item # + Part # + Description",Comparison!$I$9="Item # + Part #"),TRIM('List 1'!A117),"")&amp;"|"&amp;TRIM('List 1'!C117)&amp;"|"&amp;IF(OR(Comparison!$I$9="Item # + Part # + Description",Comparison!$I$9="Part # + Description"),TRIM('List 1'!D117),"")))</f>
        <v/>
      </c>
      <c r="B117" s="0" t="str">
        <f aca="false">IF(A117="","",SUMPRODUCT(--($A$2:A117=A117)))</f>
        <v/>
      </c>
      <c r="C117" s="0" t="str">
        <f aca="false">IF(A117="","",A117&amp;"#"&amp;B117)</f>
        <v/>
      </c>
      <c r="D117" s="0" t="str">
        <f aca="false">IF(A117="","",IFERROR(--'List 1'!B117,0))</f>
        <v/>
      </c>
      <c r="F117" s="0" t="str">
        <f aca="false">IF(TRIM('List 2'!A117&amp;'List 2'!C117&amp;'List 2'!D117)="","",LOWER(IF(OR(Comparison!$I$9="Item # + Part # + Description",Comparison!$I$9="Item # + Part #"),TRIM('List 2'!A117),"")&amp;"|"&amp;TRIM('List 2'!C117)&amp;"|"&amp;IF(OR(Comparison!$I$9="Item # + Part # + Description",Comparison!$I$9="Part # + Description"),TRIM('List 2'!D117),"")))</f>
        <v/>
      </c>
      <c r="G117" s="0" t="str">
        <f aca="false">IF(F117="","",SUMPRODUCT(--($F$2:F117=F117)))</f>
        <v/>
      </c>
      <c r="H117" s="0" t="str">
        <f aca="false">IF(F117="","",F117&amp;"#"&amp;G117)</f>
        <v/>
      </c>
      <c r="I117" s="0" t="str">
        <f aca="false">IF(F117="","",IFERROR(--'List 2'!B117,0))</f>
        <v/>
      </c>
      <c r="K117" s="0" t="str">
        <f aca="false">C117</f>
        <v/>
      </c>
      <c r="L117" s="0" t="str">
        <f aca="false">IF(K117="","",IF(ISNUMBER('List 1'!A117),'List 1'!A117,TRIM('List 1'!A117)))</f>
        <v/>
      </c>
      <c r="M117" s="0" t="str">
        <f aca="false">IF(K117="","",IF(ISNUMBER('List 1'!C117),'List 1'!C117,TRIM('List 1'!C117)))</f>
        <v/>
      </c>
      <c r="N117" s="0" t="str">
        <f aca="false">IF(K117="","",IF(ISNUMBER('List 1'!D117),'List 1'!D117,TRIM('List 1'!D117)))</f>
        <v/>
      </c>
      <c r="O117" s="0" t="str">
        <f aca="false">IF(K117="","",D117)</f>
        <v/>
      </c>
      <c r="P117" s="0" t="str">
        <f aca="false">IF(K117="","",IF(R117,SUMPRODUCT(--($H$2:$H$501=K117),$I$2:$I$501),0))</f>
        <v/>
      </c>
      <c r="Q117" s="0" t="str">
        <f aca="false">IF(K117="","",TRUE())</f>
        <v/>
      </c>
      <c r="R117" s="0" t="str">
        <f aca="false">IF(K117="","",SUMPRODUCT(--($H$2:$H$501=K117))&gt;0)</f>
        <v/>
      </c>
      <c r="S117" s="0" t="str">
        <f aca="false">IF(K117="","",IF(AND(Q117,R117),IF(O117=P117,"Match","Qty Different"),IF(Q117,"Only in List 1","Only in List 2")))</f>
        <v/>
      </c>
      <c r="T117" s="0" t="str">
        <f aca="false">IF(K117="","",IF(ISNUMBER(--L117),TEXT(--L117,"000000000000.000"),LOWER(L117)))</f>
        <v/>
      </c>
      <c r="U117" s="0" t="str">
        <f aca="false">IF(K117="","",IF(ISNUMBER(--M117),TEXT(--M117,"000000000000.000"),LOWER(M117)))</f>
        <v/>
      </c>
      <c r="V117" s="0" t="str">
        <f aca="false">IF(K117="","",LOWER(N117))</f>
        <v/>
      </c>
      <c r="W117" s="0" t="str">
        <f aca="false">IF(K117="","",B117)</f>
        <v/>
      </c>
      <c r="X117" s="0" t="str">
        <f aca="false">IF(K117="","",1+SUMPRODUCT(($K$2:$K$1001&lt;&gt;"")*(($T$2:$T$1001&lt;T117)+($T$2:$T$1001=T117)*(($U$2:$U$1001&lt;U117)+($U$2:$U$1001=U117)*(($V$2:$V$1001&lt;V117)+($V$2:$V$1001=V117)*(($W$2:$W$1001&lt;W117)+($W$2:$W$1001=W117)*(ROW($K$2:$K$1001)&lt;ROW(K117))))))))</f>
        <v/>
      </c>
    </row>
    <row r="118" customFormat="false" ht="15" hidden="false" customHeight="false" outlineLevel="0" collapsed="false">
      <c r="A118" s="0" t="str">
        <f aca="false">IF(TRIM('List 1'!A118&amp;'List 1'!C118&amp;'List 1'!D118)="","",LOWER(IF(OR(Comparison!$I$9="Item # + Part # + Description",Comparison!$I$9="Item # + Part #"),TRIM('List 1'!A118),"")&amp;"|"&amp;TRIM('List 1'!C118)&amp;"|"&amp;IF(OR(Comparison!$I$9="Item # + Part # + Description",Comparison!$I$9="Part # + Description"),TRIM('List 1'!D118),"")))</f>
        <v/>
      </c>
      <c r="B118" s="0" t="str">
        <f aca="false">IF(A118="","",SUMPRODUCT(--($A$2:A118=A118)))</f>
        <v/>
      </c>
      <c r="C118" s="0" t="str">
        <f aca="false">IF(A118="","",A118&amp;"#"&amp;B118)</f>
        <v/>
      </c>
      <c r="D118" s="0" t="str">
        <f aca="false">IF(A118="","",IFERROR(--'List 1'!B118,0))</f>
        <v/>
      </c>
      <c r="F118" s="0" t="str">
        <f aca="false">IF(TRIM('List 2'!A118&amp;'List 2'!C118&amp;'List 2'!D118)="","",LOWER(IF(OR(Comparison!$I$9="Item # + Part # + Description",Comparison!$I$9="Item # + Part #"),TRIM('List 2'!A118),"")&amp;"|"&amp;TRIM('List 2'!C118)&amp;"|"&amp;IF(OR(Comparison!$I$9="Item # + Part # + Description",Comparison!$I$9="Part # + Description"),TRIM('List 2'!D118),"")))</f>
        <v/>
      </c>
      <c r="G118" s="0" t="str">
        <f aca="false">IF(F118="","",SUMPRODUCT(--($F$2:F118=F118)))</f>
        <v/>
      </c>
      <c r="H118" s="0" t="str">
        <f aca="false">IF(F118="","",F118&amp;"#"&amp;G118)</f>
        <v/>
      </c>
      <c r="I118" s="0" t="str">
        <f aca="false">IF(F118="","",IFERROR(--'List 2'!B118,0))</f>
        <v/>
      </c>
      <c r="K118" s="0" t="str">
        <f aca="false">C118</f>
        <v/>
      </c>
      <c r="L118" s="0" t="str">
        <f aca="false">IF(K118="","",IF(ISNUMBER('List 1'!A118),'List 1'!A118,TRIM('List 1'!A118)))</f>
        <v/>
      </c>
      <c r="M118" s="0" t="str">
        <f aca="false">IF(K118="","",IF(ISNUMBER('List 1'!C118),'List 1'!C118,TRIM('List 1'!C118)))</f>
        <v/>
      </c>
      <c r="N118" s="0" t="str">
        <f aca="false">IF(K118="","",IF(ISNUMBER('List 1'!D118),'List 1'!D118,TRIM('List 1'!D118)))</f>
        <v/>
      </c>
      <c r="O118" s="0" t="str">
        <f aca="false">IF(K118="","",D118)</f>
        <v/>
      </c>
      <c r="P118" s="0" t="str">
        <f aca="false">IF(K118="","",IF(R118,SUMPRODUCT(--($H$2:$H$501=K118),$I$2:$I$501),0))</f>
        <v/>
      </c>
      <c r="Q118" s="0" t="str">
        <f aca="false">IF(K118="","",TRUE())</f>
        <v/>
      </c>
      <c r="R118" s="0" t="str">
        <f aca="false">IF(K118="","",SUMPRODUCT(--($H$2:$H$501=K118))&gt;0)</f>
        <v/>
      </c>
      <c r="S118" s="0" t="str">
        <f aca="false">IF(K118="","",IF(AND(Q118,R118),IF(O118=P118,"Match","Qty Different"),IF(Q118,"Only in List 1","Only in List 2")))</f>
        <v/>
      </c>
      <c r="T118" s="0" t="str">
        <f aca="false">IF(K118="","",IF(ISNUMBER(--L118),TEXT(--L118,"000000000000.000"),LOWER(L118)))</f>
        <v/>
      </c>
      <c r="U118" s="0" t="str">
        <f aca="false">IF(K118="","",IF(ISNUMBER(--M118),TEXT(--M118,"000000000000.000"),LOWER(M118)))</f>
        <v/>
      </c>
      <c r="V118" s="0" t="str">
        <f aca="false">IF(K118="","",LOWER(N118))</f>
        <v/>
      </c>
      <c r="W118" s="0" t="str">
        <f aca="false">IF(K118="","",B118)</f>
        <v/>
      </c>
      <c r="X118" s="0" t="str">
        <f aca="false">IF(K118="","",1+SUMPRODUCT(($K$2:$K$1001&lt;&gt;"")*(($T$2:$T$1001&lt;T118)+($T$2:$T$1001=T118)*(($U$2:$U$1001&lt;U118)+($U$2:$U$1001=U118)*(($V$2:$V$1001&lt;V118)+($V$2:$V$1001=V118)*(($W$2:$W$1001&lt;W118)+($W$2:$W$1001=W118)*(ROW($K$2:$K$1001)&lt;ROW(K118))))))))</f>
        <v/>
      </c>
    </row>
    <row r="119" customFormat="false" ht="15" hidden="false" customHeight="false" outlineLevel="0" collapsed="false">
      <c r="A119" s="0" t="str">
        <f aca="false">IF(TRIM('List 1'!A119&amp;'List 1'!C119&amp;'List 1'!D119)="","",LOWER(IF(OR(Comparison!$I$9="Item # + Part # + Description",Comparison!$I$9="Item # + Part #"),TRIM('List 1'!A119),"")&amp;"|"&amp;TRIM('List 1'!C119)&amp;"|"&amp;IF(OR(Comparison!$I$9="Item # + Part # + Description",Comparison!$I$9="Part # + Description"),TRIM('List 1'!D119),"")))</f>
        <v/>
      </c>
      <c r="B119" s="0" t="str">
        <f aca="false">IF(A119="","",SUMPRODUCT(--($A$2:A119=A119)))</f>
        <v/>
      </c>
      <c r="C119" s="0" t="str">
        <f aca="false">IF(A119="","",A119&amp;"#"&amp;B119)</f>
        <v/>
      </c>
      <c r="D119" s="0" t="str">
        <f aca="false">IF(A119="","",IFERROR(--'List 1'!B119,0))</f>
        <v/>
      </c>
      <c r="F119" s="0" t="str">
        <f aca="false">IF(TRIM('List 2'!A119&amp;'List 2'!C119&amp;'List 2'!D119)="","",LOWER(IF(OR(Comparison!$I$9="Item # + Part # + Description",Comparison!$I$9="Item # + Part #"),TRIM('List 2'!A119),"")&amp;"|"&amp;TRIM('List 2'!C119)&amp;"|"&amp;IF(OR(Comparison!$I$9="Item # + Part # + Description",Comparison!$I$9="Part # + Description"),TRIM('List 2'!D119),"")))</f>
        <v/>
      </c>
      <c r="G119" s="0" t="str">
        <f aca="false">IF(F119="","",SUMPRODUCT(--($F$2:F119=F119)))</f>
        <v/>
      </c>
      <c r="H119" s="0" t="str">
        <f aca="false">IF(F119="","",F119&amp;"#"&amp;G119)</f>
        <v/>
      </c>
      <c r="I119" s="0" t="str">
        <f aca="false">IF(F119="","",IFERROR(--'List 2'!B119,0))</f>
        <v/>
      </c>
      <c r="K119" s="0" t="str">
        <f aca="false">C119</f>
        <v/>
      </c>
      <c r="L119" s="0" t="str">
        <f aca="false">IF(K119="","",IF(ISNUMBER('List 1'!A119),'List 1'!A119,TRIM('List 1'!A119)))</f>
        <v/>
      </c>
      <c r="M119" s="0" t="str">
        <f aca="false">IF(K119="","",IF(ISNUMBER('List 1'!C119),'List 1'!C119,TRIM('List 1'!C119)))</f>
        <v/>
      </c>
      <c r="N119" s="0" t="str">
        <f aca="false">IF(K119="","",IF(ISNUMBER('List 1'!D119),'List 1'!D119,TRIM('List 1'!D119)))</f>
        <v/>
      </c>
      <c r="O119" s="0" t="str">
        <f aca="false">IF(K119="","",D119)</f>
        <v/>
      </c>
      <c r="P119" s="0" t="str">
        <f aca="false">IF(K119="","",IF(R119,SUMPRODUCT(--($H$2:$H$501=K119),$I$2:$I$501),0))</f>
        <v/>
      </c>
      <c r="Q119" s="0" t="str">
        <f aca="false">IF(K119="","",TRUE())</f>
        <v/>
      </c>
      <c r="R119" s="0" t="str">
        <f aca="false">IF(K119="","",SUMPRODUCT(--($H$2:$H$501=K119))&gt;0)</f>
        <v/>
      </c>
      <c r="S119" s="0" t="str">
        <f aca="false">IF(K119="","",IF(AND(Q119,R119),IF(O119=P119,"Match","Qty Different"),IF(Q119,"Only in List 1","Only in List 2")))</f>
        <v/>
      </c>
      <c r="T119" s="0" t="str">
        <f aca="false">IF(K119="","",IF(ISNUMBER(--L119),TEXT(--L119,"000000000000.000"),LOWER(L119)))</f>
        <v/>
      </c>
      <c r="U119" s="0" t="str">
        <f aca="false">IF(K119="","",IF(ISNUMBER(--M119),TEXT(--M119,"000000000000.000"),LOWER(M119)))</f>
        <v/>
      </c>
      <c r="V119" s="0" t="str">
        <f aca="false">IF(K119="","",LOWER(N119))</f>
        <v/>
      </c>
      <c r="W119" s="0" t="str">
        <f aca="false">IF(K119="","",B119)</f>
        <v/>
      </c>
      <c r="X119" s="0" t="str">
        <f aca="false">IF(K119="","",1+SUMPRODUCT(($K$2:$K$1001&lt;&gt;"")*(($T$2:$T$1001&lt;T119)+($T$2:$T$1001=T119)*(($U$2:$U$1001&lt;U119)+($U$2:$U$1001=U119)*(($V$2:$V$1001&lt;V119)+($V$2:$V$1001=V119)*(($W$2:$W$1001&lt;W119)+($W$2:$W$1001=W119)*(ROW($K$2:$K$1001)&lt;ROW(K119))))))))</f>
        <v/>
      </c>
    </row>
    <row r="120" customFormat="false" ht="15" hidden="false" customHeight="false" outlineLevel="0" collapsed="false">
      <c r="A120" s="0" t="str">
        <f aca="false">IF(TRIM('List 1'!A120&amp;'List 1'!C120&amp;'List 1'!D120)="","",LOWER(IF(OR(Comparison!$I$9="Item # + Part # + Description",Comparison!$I$9="Item # + Part #"),TRIM('List 1'!A120),"")&amp;"|"&amp;TRIM('List 1'!C120)&amp;"|"&amp;IF(OR(Comparison!$I$9="Item # + Part # + Description",Comparison!$I$9="Part # + Description"),TRIM('List 1'!D120),"")))</f>
        <v/>
      </c>
      <c r="B120" s="0" t="str">
        <f aca="false">IF(A120="","",SUMPRODUCT(--($A$2:A120=A120)))</f>
        <v/>
      </c>
      <c r="C120" s="0" t="str">
        <f aca="false">IF(A120="","",A120&amp;"#"&amp;B120)</f>
        <v/>
      </c>
      <c r="D120" s="0" t="str">
        <f aca="false">IF(A120="","",IFERROR(--'List 1'!B120,0))</f>
        <v/>
      </c>
      <c r="F120" s="0" t="str">
        <f aca="false">IF(TRIM('List 2'!A120&amp;'List 2'!C120&amp;'List 2'!D120)="","",LOWER(IF(OR(Comparison!$I$9="Item # + Part # + Description",Comparison!$I$9="Item # + Part #"),TRIM('List 2'!A120),"")&amp;"|"&amp;TRIM('List 2'!C120)&amp;"|"&amp;IF(OR(Comparison!$I$9="Item # + Part # + Description",Comparison!$I$9="Part # + Description"),TRIM('List 2'!D120),"")))</f>
        <v/>
      </c>
      <c r="G120" s="0" t="str">
        <f aca="false">IF(F120="","",SUMPRODUCT(--($F$2:F120=F120)))</f>
        <v/>
      </c>
      <c r="H120" s="0" t="str">
        <f aca="false">IF(F120="","",F120&amp;"#"&amp;G120)</f>
        <v/>
      </c>
      <c r="I120" s="0" t="str">
        <f aca="false">IF(F120="","",IFERROR(--'List 2'!B120,0))</f>
        <v/>
      </c>
      <c r="K120" s="0" t="str">
        <f aca="false">C120</f>
        <v/>
      </c>
      <c r="L120" s="0" t="str">
        <f aca="false">IF(K120="","",IF(ISNUMBER('List 1'!A120),'List 1'!A120,TRIM('List 1'!A120)))</f>
        <v/>
      </c>
      <c r="M120" s="0" t="str">
        <f aca="false">IF(K120="","",IF(ISNUMBER('List 1'!C120),'List 1'!C120,TRIM('List 1'!C120)))</f>
        <v/>
      </c>
      <c r="N120" s="0" t="str">
        <f aca="false">IF(K120="","",IF(ISNUMBER('List 1'!D120),'List 1'!D120,TRIM('List 1'!D120)))</f>
        <v/>
      </c>
      <c r="O120" s="0" t="str">
        <f aca="false">IF(K120="","",D120)</f>
        <v/>
      </c>
      <c r="P120" s="0" t="str">
        <f aca="false">IF(K120="","",IF(R120,SUMPRODUCT(--($H$2:$H$501=K120),$I$2:$I$501),0))</f>
        <v/>
      </c>
      <c r="Q120" s="0" t="str">
        <f aca="false">IF(K120="","",TRUE())</f>
        <v/>
      </c>
      <c r="R120" s="0" t="str">
        <f aca="false">IF(K120="","",SUMPRODUCT(--($H$2:$H$501=K120))&gt;0)</f>
        <v/>
      </c>
      <c r="S120" s="0" t="str">
        <f aca="false">IF(K120="","",IF(AND(Q120,R120),IF(O120=P120,"Match","Qty Different"),IF(Q120,"Only in List 1","Only in List 2")))</f>
        <v/>
      </c>
      <c r="T120" s="0" t="str">
        <f aca="false">IF(K120="","",IF(ISNUMBER(--L120),TEXT(--L120,"000000000000.000"),LOWER(L120)))</f>
        <v/>
      </c>
      <c r="U120" s="0" t="str">
        <f aca="false">IF(K120="","",IF(ISNUMBER(--M120),TEXT(--M120,"000000000000.000"),LOWER(M120)))</f>
        <v/>
      </c>
      <c r="V120" s="0" t="str">
        <f aca="false">IF(K120="","",LOWER(N120))</f>
        <v/>
      </c>
      <c r="W120" s="0" t="str">
        <f aca="false">IF(K120="","",B120)</f>
        <v/>
      </c>
      <c r="X120" s="0" t="str">
        <f aca="false">IF(K120="","",1+SUMPRODUCT(($K$2:$K$1001&lt;&gt;"")*(($T$2:$T$1001&lt;T120)+($T$2:$T$1001=T120)*(($U$2:$U$1001&lt;U120)+($U$2:$U$1001=U120)*(($V$2:$V$1001&lt;V120)+($V$2:$V$1001=V120)*(($W$2:$W$1001&lt;W120)+($W$2:$W$1001=W120)*(ROW($K$2:$K$1001)&lt;ROW(K120))))))))</f>
        <v/>
      </c>
    </row>
    <row r="121" customFormat="false" ht="15" hidden="false" customHeight="false" outlineLevel="0" collapsed="false">
      <c r="A121" s="0" t="str">
        <f aca="false">IF(TRIM('List 1'!A121&amp;'List 1'!C121&amp;'List 1'!D121)="","",LOWER(IF(OR(Comparison!$I$9="Item # + Part # + Description",Comparison!$I$9="Item # + Part #"),TRIM('List 1'!A121),"")&amp;"|"&amp;TRIM('List 1'!C121)&amp;"|"&amp;IF(OR(Comparison!$I$9="Item # + Part # + Description",Comparison!$I$9="Part # + Description"),TRIM('List 1'!D121),"")))</f>
        <v/>
      </c>
      <c r="B121" s="0" t="str">
        <f aca="false">IF(A121="","",SUMPRODUCT(--($A$2:A121=A121)))</f>
        <v/>
      </c>
      <c r="C121" s="0" t="str">
        <f aca="false">IF(A121="","",A121&amp;"#"&amp;B121)</f>
        <v/>
      </c>
      <c r="D121" s="0" t="str">
        <f aca="false">IF(A121="","",IFERROR(--'List 1'!B121,0))</f>
        <v/>
      </c>
      <c r="F121" s="0" t="str">
        <f aca="false">IF(TRIM('List 2'!A121&amp;'List 2'!C121&amp;'List 2'!D121)="","",LOWER(IF(OR(Comparison!$I$9="Item # + Part # + Description",Comparison!$I$9="Item # + Part #"),TRIM('List 2'!A121),"")&amp;"|"&amp;TRIM('List 2'!C121)&amp;"|"&amp;IF(OR(Comparison!$I$9="Item # + Part # + Description",Comparison!$I$9="Part # + Description"),TRIM('List 2'!D121),"")))</f>
        <v/>
      </c>
      <c r="G121" s="0" t="str">
        <f aca="false">IF(F121="","",SUMPRODUCT(--($F$2:F121=F121)))</f>
        <v/>
      </c>
      <c r="H121" s="0" t="str">
        <f aca="false">IF(F121="","",F121&amp;"#"&amp;G121)</f>
        <v/>
      </c>
      <c r="I121" s="0" t="str">
        <f aca="false">IF(F121="","",IFERROR(--'List 2'!B121,0))</f>
        <v/>
      </c>
      <c r="K121" s="0" t="str">
        <f aca="false">C121</f>
        <v/>
      </c>
      <c r="L121" s="0" t="str">
        <f aca="false">IF(K121="","",IF(ISNUMBER('List 1'!A121),'List 1'!A121,TRIM('List 1'!A121)))</f>
        <v/>
      </c>
      <c r="M121" s="0" t="str">
        <f aca="false">IF(K121="","",IF(ISNUMBER('List 1'!C121),'List 1'!C121,TRIM('List 1'!C121)))</f>
        <v/>
      </c>
      <c r="N121" s="0" t="str">
        <f aca="false">IF(K121="","",IF(ISNUMBER('List 1'!D121),'List 1'!D121,TRIM('List 1'!D121)))</f>
        <v/>
      </c>
      <c r="O121" s="0" t="str">
        <f aca="false">IF(K121="","",D121)</f>
        <v/>
      </c>
      <c r="P121" s="0" t="str">
        <f aca="false">IF(K121="","",IF(R121,SUMPRODUCT(--($H$2:$H$501=K121),$I$2:$I$501),0))</f>
        <v/>
      </c>
      <c r="Q121" s="0" t="str">
        <f aca="false">IF(K121="","",TRUE())</f>
        <v/>
      </c>
      <c r="R121" s="0" t="str">
        <f aca="false">IF(K121="","",SUMPRODUCT(--($H$2:$H$501=K121))&gt;0)</f>
        <v/>
      </c>
      <c r="S121" s="0" t="str">
        <f aca="false">IF(K121="","",IF(AND(Q121,R121),IF(O121=P121,"Match","Qty Different"),IF(Q121,"Only in List 1","Only in List 2")))</f>
        <v/>
      </c>
      <c r="T121" s="0" t="str">
        <f aca="false">IF(K121="","",IF(ISNUMBER(--L121),TEXT(--L121,"000000000000.000"),LOWER(L121)))</f>
        <v/>
      </c>
      <c r="U121" s="0" t="str">
        <f aca="false">IF(K121="","",IF(ISNUMBER(--M121),TEXT(--M121,"000000000000.000"),LOWER(M121)))</f>
        <v/>
      </c>
      <c r="V121" s="0" t="str">
        <f aca="false">IF(K121="","",LOWER(N121))</f>
        <v/>
      </c>
      <c r="W121" s="0" t="str">
        <f aca="false">IF(K121="","",B121)</f>
        <v/>
      </c>
      <c r="X121" s="0" t="str">
        <f aca="false">IF(K121="","",1+SUMPRODUCT(($K$2:$K$1001&lt;&gt;"")*(($T$2:$T$1001&lt;T121)+($T$2:$T$1001=T121)*(($U$2:$U$1001&lt;U121)+($U$2:$U$1001=U121)*(($V$2:$V$1001&lt;V121)+($V$2:$V$1001=V121)*(($W$2:$W$1001&lt;W121)+($W$2:$W$1001=W121)*(ROW($K$2:$K$1001)&lt;ROW(K121))))))))</f>
        <v/>
      </c>
    </row>
    <row r="122" customFormat="false" ht="15" hidden="false" customHeight="false" outlineLevel="0" collapsed="false">
      <c r="A122" s="0" t="str">
        <f aca="false">IF(TRIM('List 1'!A122&amp;'List 1'!C122&amp;'List 1'!D122)="","",LOWER(IF(OR(Comparison!$I$9="Item # + Part # + Description",Comparison!$I$9="Item # + Part #"),TRIM('List 1'!A122),"")&amp;"|"&amp;TRIM('List 1'!C122)&amp;"|"&amp;IF(OR(Comparison!$I$9="Item # + Part # + Description",Comparison!$I$9="Part # + Description"),TRIM('List 1'!D122),"")))</f>
        <v/>
      </c>
      <c r="B122" s="0" t="str">
        <f aca="false">IF(A122="","",SUMPRODUCT(--($A$2:A122=A122)))</f>
        <v/>
      </c>
      <c r="C122" s="0" t="str">
        <f aca="false">IF(A122="","",A122&amp;"#"&amp;B122)</f>
        <v/>
      </c>
      <c r="D122" s="0" t="str">
        <f aca="false">IF(A122="","",IFERROR(--'List 1'!B122,0))</f>
        <v/>
      </c>
      <c r="F122" s="0" t="str">
        <f aca="false">IF(TRIM('List 2'!A122&amp;'List 2'!C122&amp;'List 2'!D122)="","",LOWER(IF(OR(Comparison!$I$9="Item # + Part # + Description",Comparison!$I$9="Item # + Part #"),TRIM('List 2'!A122),"")&amp;"|"&amp;TRIM('List 2'!C122)&amp;"|"&amp;IF(OR(Comparison!$I$9="Item # + Part # + Description",Comparison!$I$9="Part # + Description"),TRIM('List 2'!D122),"")))</f>
        <v/>
      </c>
      <c r="G122" s="0" t="str">
        <f aca="false">IF(F122="","",SUMPRODUCT(--($F$2:F122=F122)))</f>
        <v/>
      </c>
      <c r="H122" s="0" t="str">
        <f aca="false">IF(F122="","",F122&amp;"#"&amp;G122)</f>
        <v/>
      </c>
      <c r="I122" s="0" t="str">
        <f aca="false">IF(F122="","",IFERROR(--'List 2'!B122,0))</f>
        <v/>
      </c>
      <c r="K122" s="0" t="str">
        <f aca="false">C122</f>
        <v/>
      </c>
      <c r="L122" s="0" t="str">
        <f aca="false">IF(K122="","",IF(ISNUMBER('List 1'!A122),'List 1'!A122,TRIM('List 1'!A122)))</f>
        <v/>
      </c>
      <c r="M122" s="0" t="str">
        <f aca="false">IF(K122="","",IF(ISNUMBER('List 1'!C122),'List 1'!C122,TRIM('List 1'!C122)))</f>
        <v/>
      </c>
      <c r="N122" s="0" t="str">
        <f aca="false">IF(K122="","",IF(ISNUMBER('List 1'!D122),'List 1'!D122,TRIM('List 1'!D122)))</f>
        <v/>
      </c>
      <c r="O122" s="0" t="str">
        <f aca="false">IF(K122="","",D122)</f>
        <v/>
      </c>
      <c r="P122" s="0" t="str">
        <f aca="false">IF(K122="","",IF(R122,SUMPRODUCT(--($H$2:$H$501=K122),$I$2:$I$501),0))</f>
        <v/>
      </c>
      <c r="Q122" s="0" t="str">
        <f aca="false">IF(K122="","",TRUE())</f>
        <v/>
      </c>
      <c r="R122" s="0" t="str">
        <f aca="false">IF(K122="","",SUMPRODUCT(--($H$2:$H$501=K122))&gt;0)</f>
        <v/>
      </c>
      <c r="S122" s="0" t="str">
        <f aca="false">IF(K122="","",IF(AND(Q122,R122),IF(O122=P122,"Match","Qty Different"),IF(Q122,"Only in List 1","Only in List 2")))</f>
        <v/>
      </c>
      <c r="T122" s="0" t="str">
        <f aca="false">IF(K122="","",IF(ISNUMBER(--L122),TEXT(--L122,"000000000000.000"),LOWER(L122)))</f>
        <v/>
      </c>
      <c r="U122" s="0" t="str">
        <f aca="false">IF(K122="","",IF(ISNUMBER(--M122),TEXT(--M122,"000000000000.000"),LOWER(M122)))</f>
        <v/>
      </c>
      <c r="V122" s="0" t="str">
        <f aca="false">IF(K122="","",LOWER(N122))</f>
        <v/>
      </c>
      <c r="W122" s="0" t="str">
        <f aca="false">IF(K122="","",B122)</f>
        <v/>
      </c>
      <c r="X122" s="0" t="str">
        <f aca="false">IF(K122="","",1+SUMPRODUCT(($K$2:$K$1001&lt;&gt;"")*(($T$2:$T$1001&lt;T122)+($T$2:$T$1001=T122)*(($U$2:$U$1001&lt;U122)+($U$2:$U$1001=U122)*(($V$2:$V$1001&lt;V122)+($V$2:$V$1001=V122)*(($W$2:$W$1001&lt;W122)+($W$2:$W$1001=W122)*(ROW($K$2:$K$1001)&lt;ROW(K122))))))))</f>
        <v/>
      </c>
    </row>
    <row r="123" customFormat="false" ht="15" hidden="false" customHeight="false" outlineLevel="0" collapsed="false">
      <c r="A123" s="0" t="str">
        <f aca="false">IF(TRIM('List 1'!A123&amp;'List 1'!C123&amp;'List 1'!D123)="","",LOWER(IF(OR(Comparison!$I$9="Item # + Part # + Description",Comparison!$I$9="Item # + Part #"),TRIM('List 1'!A123),"")&amp;"|"&amp;TRIM('List 1'!C123)&amp;"|"&amp;IF(OR(Comparison!$I$9="Item # + Part # + Description",Comparison!$I$9="Part # + Description"),TRIM('List 1'!D123),"")))</f>
        <v/>
      </c>
      <c r="B123" s="0" t="str">
        <f aca="false">IF(A123="","",SUMPRODUCT(--($A$2:A123=A123)))</f>
        <v/>
      </c>
      <c r="C123" s="0" t="str">
        <f aca="false">IF(A123="","",A123&amp;"#"&amp;B123)</f>
        <v/>
      </c>
      <c r="D123" s="0" t="str">
        <f aca="false">IF(A123="","",IFERROR(--'List 1'!B123,0))</f>
        <v/>
      </c>
      <c r="F123" s="0" t="str">
        <f aca="false">IF(TRIM('List 2'!A123&amp;'List 2'!C123&amp;'List 2'!D123)="","",LOWER(IF(OR(Comparison!$I$9="Item # + Part # + Description",Comparison!$I$9="Item # + Part #"),TRIM('List 2'!A123),"")&amp;"|"&amp;TRIM('List 2'!C123)&amp;"|"&amp;IF(OR(Comparison!$I$9="Item # + Part # + Description",Comparison!$I$9="Part # + Description"),TRIM('List 2'!D123),"")))</f>
        <v/>
      </c>
      <c r="G123" s="0" t="str">
        <f aca="false">IF(F123="","",SUMPRODUCT(--($F$2:F123=F123)))</f>
        <v/>
      </c>
      <c r="H123" s="0" t="str">
        <f aca="false">IF(F123="","",F123&amp;"#"&amp;G123)</f>
        <v/>
      </c>
      <c r="I123" s="0" t="str">
        <f aca="false">IF(F123="","",IFERROR(--'List 2'!B123,0))</f>
        <v/>
      </c>
      <c r="K123" s="0" t="str">
        <f aca="false">C123</f>
        <v/>
      </c>
      <c r="L123" s="0" t="str">
        <f aca="false">IF(K123="","",IF(ISNUMBER('List 1'!A123),'List 1'!A123,TRIM('List 1'!A123)))</f>
        <v/>
      </c>
      <c r="M123" s="0" t="str">
        <f aca="false">IF(K123="","",IF(ISNUMBER('List 1'!C123),'List 1'!C123,TRIM('List 1'!C123)))</f>
        <v/>
      </c>
      <c r="N123" s="0" t="str">
        <f aca="false">IF(K123="","",IF(ISNUMBER('List 1'!D123),'List 1'!D123,TRIM('List 1'!D123)))</f>
        <v/>
      </c>
      <c r="O123" s="0" t="str">
        <f aca="false">IF(K123="","",D123)</f>
        <v/>
      </c>
      <c r="P123" s="0" t="str">
        <f aca="false">IF(K123="","",IF(R123,SUMPRODUCT(--($H$2:$H$501=K123),$I$2:$I$501),0))</f>
        <v/>
      </c>
      <c r="Q123" s="0" t="str">
        <f aca="false">IF(K123="","",TRUE())</f>
        <v/>
      </c>
      <c r="R123" s="0" t="str">
        <f aca="false">IF(K123="","",SUMPRODUCT(--($H$2:$H$501=K123))&gt;0)</f>
        <v/>
      </c>
      <c r="S123" s="0" t="str">
        <f aca="false">IF(K123="","",IF(AND(Q123,R123),IF(O123=P123,"Match","Qty Different"),IF(Q123,"Only in List 1","Only in List 2")))</f>
        <v/>
      </c>
      <c r="T123" s="0" t="str">
        <f aca="false">IF(K123="","",IF(ISNUMBER(--L123),TEXT(--L123,"000000000000.000"),LOWER(L123)))</f>
        <v/>
      </c>
      <c r="U123" s="0" t="str">
        <f aca="false">IF(K123="","",IF(ISNUMBER(--M123),TEXT(--M123,"000000000000.000"),LOWER(M123)))</f>
        <v/>
      </c>
      <c r="V123" s="0" t="str">
        <f aca="false">IF(K123="","",LOWER(N123))</f>
        <v/>
      </c>
      <c r="W123" s="0" t="str">
        <f aca="false">IF(K123="","",B123)</f>
        <v/>
      </c>
      <c r="X123" s="0" t="str">
        <f aca="false">IF(K123="","",1+SUMPRODUCT(($K$2:$K$1001&lt;&gt;"")*(($T$2:$T$1001&lt;T123)+($T$2:$T$1001=T123)*(($U$2:$U$1001&lt;U123)+($U$2:$U$1001=U123)*(($V$2:$V$1001&lt;V123)+($V$2:$V$1001=V123)*(($W$2:$W$1001&lt;W123)+($W$2:$W$1001=W123)*(ROW($K$2:$K$1001)&lt;ROW(K123))))))))</f>
        <v/>
      </c>
    </row>
    <row r="124" customFormat="false" ht="15" hidden="false" customHeight="false" outlineLevel="0" collapsed="false">
      <c r="A124" s="0" t="str">
        <f aca="false">IF(TRIM('List 1'!A124&amp;'List 1'!C124&amp;'List 1'!D124)="","",LOWER(IF(OR(Comparison!$I$9="Item # + Part # + Description",Comparison!$I$9="Item # + Part #"),TRIM('List 1'!A124),"")&amp;"|"&amp;TRIM('List 1'!C124)&amp;"|"&amp;IF(OR(Comparison!$I$9="Item # + Part # + Description",Comparison!$I$9="Part # + Description"),TRIM('List 1'!D124),"")))</f>
        <v/>
      </c>
      <c r="B124" s="0" t="str">
        <f aca="false">IF(A124="","",SUMPRODUCT(--($A$2:A124=A124)))</f>
        <v/>
      </c>
      <c r="C124" s="0" t="str">
        <f aca="false">IF(A124="","",A124&amp;"#"&amp;B124)</f>
        <v/>
      </c>
      <c r="D124" s="0" t="str">
        <f aca="false">IF(A124="","",IFERROR(--'List 1'!B124,0))</f>
        <v/>
      </c>
      <c r="F124" s="0" t="str">
        <f aca="false">IF(TRIM('List 2'!A124&amp;'List 2'!C124&amp;'List 2'!D124)="","",LOWER(IF(OR(Comparison!$I$9="Item # + Part # + Description",Comparison!$I$9="Item # + Part #"),TRIM('List 2'!A124),"")&amp;"|"&amp;TRIM('List 2'!C124)&amp;"|"&amp;IF(OR(Comparison!$I$9="Item # + Part # + Description",Comparison!$I$9="Part # + Description"),TRIM('List 2'!D124),"")))</f>
        <v/>
      </c>
      <c r="G124" s="0" t="str">
        <f aca="false">IF(F124="","",SUMPRODUCT(--($F$2:F124=F124)))</f>
        <v/>
      </c>
      <c r="H124" s="0" t="str">
        <f aca="false">IF(F124="","",F124&amp;"#"&amp;G124)</f>
        <v/>
      </c>
      <c r="I124" s="0" t="str">
        <f aca="false">IF(F124="","",IFERROR(--'List 2'!B124,0))</f>
        <v/>
      </c>
      <c r="K124" s="0" t="str">
        <f aca="false">C124</f>
        <v/>
      </c>
      <c r="L124" s="0" t="str">
        <f aca="false">IF(K124="","",IF(ISNUMBER('List 1'!A124),'List 1'!A124,TRIM('List 1'!A124)))</f>
        <v/>
      </c>
      <c r="M124" s="0" t="str">
        <f aca="false">IF(K124="","",IF(ISNUMBER('List 1'!C124),'List 1'!C124,TRIM('List 1'!C124)))</f>
        <v/>
      </c>
      <c r="N124" s="0" t="str">
        <f aca="false">IF(K124="","",IF(ISNUMBER('List 1'!D124),'List 1'!D124,TRIM('List 1'!D124)))</f>
        <v/>
      </c>
      <c r="O124" s="0" t="str">
        <f aca="false">IF(K124="","",D124)</f>
        <v/>
      </c>
      <c r="P124" s="0" t="str">
        <f aca="false">IF(K124="","",IF(R124,SUMPRODUCT(--($H$2:$H$501=K124),$I$2:$I$501),0))</f>
        <v/>
      </c>
      <c r="Q124" s="0" t="str">
        <f aca="false">IF(K124="","",TRUE())</f>
        <v/>
      </c>
      <c r="R124" s="0" t="str">
        <f aca="false">IF(K124="","",SUMPRODUCT(--($H$2:$H$501=K124))&gt;0)</f>
        <v/>
      </c>
      <c r="S124" s="0" t="str">
        <f aca="false">IF(K124="","",IF(AND(Q124,R124),IF(O124=P124,"Match","Qty Different"),IF(Q124,"Only in List 1","Only in List 2")))</f>
        <v/>
      </c>
      <c r="T124" s="0" t="str">
        <f aca="false">IF(K124="","",IF(ISNUMBER(--L124),TEXT(--L124,"000000000000.000"),LOWER(L124)))</f>
        <v/>
      </c>
      <c r="U124" s="0" t="str">
        <f aca="false">IF(K124="","",IF(ISNUMBER(--M124),TEXT(--M124,"000000000000.000"),LOWER(M124)))</f>
        <v/>
      </c>
      <c r="V124" s="0" t="str">
        <f aca="false">IF(K124="","",LOWER(N124))</f>
        <v/>
      </c>
      <c r="W124" s="0" t="str">
        <f aca="false">IF(K124="","",B124)</f>
        <v/>
      </c>
      <c r="X124" s="0" t="str">
        <f aca="false">IF(K124="","",1+SUMPRODUCT(($K$2:$K$1001&lt;&gt;"")*(($T$2:$T$1001&lt;T124)+($T$2:$T$1001=T124)*(($U$2:$U$1001&lt;U124)+($U$2:$U$1001=U124)*(($V$2:$V$1001&lt;V124)+($V$2:$V$1001=V124)*(($W$2:$W$1001&lt;W124)+($W$2:$W$1001=W124)*(ROW($K$2:$K$1001)&lt;ROW(K124))))))))</f>
        <v/>
      </c>
    </row>
    <row r="125" customFormat="false" ht="15" hidden="false" customHeight="false" outlineLevel="0" collapsed="false">
      <c r="A125" s="0" t="str">
        <f aca="false">IF(TRIM('List 1'!A125&amp;'List 1'!C125&amp;'List 1'!D125)="","",LOWER(IF(OR(Comparison!$I$9="Item # + Part # + Description",Comparison!$I$9="Item # + Part #"),TRIM('List 1'!A125),"")&amp;"|"&amp;TRIM('List 1'!C125)&amp;"|"&amp;IF(OR(Comparison!$I$9="Item # + Part # + Description",Comparison!$I$9="Part # + Description"),TRIM('List 1'!D125),"")))</f>
        <v/>
      </c>
      <c r="B125" s="0" t="str">
        <f aca="false">IF(A125="","",SUMPRODUCT(--($A$2:A125=A125)))</f>
        <v/>
      </c>
      <c r="C125" s="0" t="str">
        <f aca="false">IF(A125="","",A125&amp;"#"&amp;B125)</f>
        <v/>
      </c>
      <c r="D125" s="0" t="str">
        <f aca="false">IF(A125="","",IFERROR(--'List 1'!B125,0))</f>
        <v/>
      </c>
      <c r="F125" s="0" t="str">
        <f aca="false">IF(TRIM('List 2'!A125&amp;'List 2'!C125&amp;'List 2'!D125)="","",LOWER(IF(OR(Comparison!$I$9="Item # + Part # + Description",Comparison!$I$9="Item # + Part #"),TRIM('List 2'!A125),"")&amp;"|"&amp;TRIM('List 2'!C125)&amp;"|"&amp;IF(OR(Comparison!$I$9="Item # + Part # + Description",Comparison!$I$9="Part # + Description"),TRIM('List 2'!D125),"")))</f>
        <v/>
      </c>
      <c r="G125" s="0" t="str">
        <f aca="false">IF(F125="","",SUMPRODUCT(--($F$2:F125=F125)))</f>
        <v/>
      </c>
      <c r="H125" s="0" t="str">
        <f aca="false">IF(F125="","",F125&amp;"#"&amp;G125)</f>
        <v/>
      </c>
      <c r="I125" s="0" t="str">
        <f aca="false">IF(F125="","",IFERROR(--'List 2'!B125,0))</f>
        <v/>
      </c>
      <c r="K125" s="0" t="str">
        <f aca="false">C125</f>
        <v/>
      </c>
      <c r="L125" s="0" t="str">
        <f aca="false">IF(K125="","",IF(ISNUMBER('List 1'!A125),'List 1'!A125,TRIM('List 1'!A125)))</f>
        <v/>
      </c>
      <c r="M125" s="0" t="str">
        <f aca="false">IF(K125="","",IF(ISNUMBER('List 1'!C125),'List 1'!C125,TRIM('List 1'!C125)))</f>
        <v/>
      </c>
      <c r="N125" s="0" t="str">
        <f aca="false">IF(K125="","",IF(ISNUMBER('List 1'!D125),'List 1'!D125,TRIM('List 1'!D125)))</f>
        <v/>
      </c>
      <c r="O125" s="0" t="str">
        <f aca="false">IF(K125="","",D125)</f>
        <v/>
      </c>
      <c r="P125" s="0" t="str">
        <f aca="false">IF(K125="","",IF(R125,SUMPRODUCT(--($H$2:$H$501=K125),$I$2:$I$501),0))</f>
        <v/>
      </c>
      <c r="Q125" s="0" t="str">
        <f aca="false">IF(K125="","",TRUE())</f>
        <v/>
      </c>
      <c r="R125" s="0" t="str">
        <f aca="false">IF(K125="","",SUMPRODUCT(--($H$2:$H$501=K125))&gt;0)</f>
        <v/>
      </c>
      <c r="S125" s="0" t="str">
        <f aca="false">IF(K125="","",IF(AND(Q125,R125),IF(O125=P125,"Match","Qty Different"),IF(Q125,"Only in List 1","Only in List 2")))</f>
        <v/>
      </c>
      <c r="T125" s="0" t="str">
        <f aca="false">IF(K125="","",IF(ISNUMBER(--L125),TEXT(--L125,"000000000000.000"),LOWER(L125)))</f>
        <v/>
      </c>
      <c r="U125" s="0" t="str">
        <f aca="false">IF(K125="","",IF(ISNUMBER(--M125),TEXT(--M125,"000000000000.000"),LOWER(M125)))</f>
        <v/>
      </c>
      <c r="V125" s="0" t="str">
        <f aca="false">IF(K125="","",LOWER(N125))</f>
        <v/>
      </c>
      <c r="W125" s="0" t="str">
        <f aca="false">IF(K125="","",B125)</f>
        <v/>
      </c>
      <c r="X125" s="0" t="str">
        <f aca="false">IF(K125="","",1+SUMPRODUCT(($K$2:$K$1001&lt;&gt;"")*(($T$2:$T$1001&lt;T125)+($T$2:$T$1001=T125)*(($U$2:$U$1001&lt;U125)+($U$2:$U$1001=U125)*(($V$2:$V$1001&lt;V125)+($V$2:$V$1001=V125)*(($W$2:$W$1001&lt;W125)+($W$2:$W$1001=W125)*(ROW($K$2:$K$1001)&lt;ROW(K125))))))))</f>
        <v/>
      </c>
    </row>
    <row r="126" customFormat="false" ht="15" hidden="false" customHeight="false" outlineLevel="0" collapsed="false">
      <c r="A126" s="0" t="str">
        <f aca="false">IF(TRIM('List 1'!A126&amp;'List 1'!C126&amp;'List 1'!D126)="","",LOWER(IF(OR(Comparison!$I$9="Item # + Part # + Description",Comparison!$I$9="Item # + Part #"),TRIM('List 1'!A126),"")&amp;"|"&amp;TRIM('List 1'!C126)&amp;"|"&amp;IF(OR(Comparison!$I$9="Item # + Part # + Description",Comparison!$I$9="Part # + Description"),TRIM('List 1'!D126),"")))</f>
        <v/>
      </c>
      <c r="B126" s="0" t="str">
        <f aca="false">IF(A126="","",SUMPRODUCT(--($A$2:A126=A126)))</f>
        <v/>
      </c>
      <c r="C126" s="0" t="str">
        <f aca="false">IF(A126="","",A126&amp;"#"&amp;B126)</f>
        <v/>
      </c>
      <c r="D126" s="0" t="str">
        <f aca="false">IF(A126="","",IFERROR(--'List 1'!B126,0))</f>
        <v/>
      </c>
      <c r="F126" s="0" t="str">
        <f aca="false">IF(TRIM('List 2'!A126&amp;'List 2'!C126&amp;'List 2'!D126)="","",LOWER(IF(OR(Comparison!$I$9="Item # + Part # + Description",Comparison!$I$9="Item # + Part #"),TRIM('List 2'!A126),"")&amp;"|"&amp;TRIM('List 2'!C126)&amp;"|"&amp;IF(OR(Comparison!$I$9="Item # + Part # + Description",Comparison!$I$9="Part # + Description"),TRIM('List 2'!D126),"")))</f>
        <v/>
      </c>
      <c r="G126" s="0" t="str">
        <f aca="false">IF(F126="","",SUMPRODUCT(--($F$2:F126=F126)))</f>
        <v/>
      </c>
      <c r="H126" s="0" t="str">
        <f aca="false">IF(F126="","",F126&amp;"#"&amp;G126)</f>
        <v/>
      </c>
      <c r="I126" s="0" t="str">
        <f aca="false">IF(F126="","",IFERROR(--'List 2'!B126,0))</f>
        <v/>
      </c>
      <c r="K126" s="0" t="str">
        <f aca="false">C126</f>
        <v/>
      </c>
      <c r="L126" s="0" t="str">
        <f aca="false">IF(K126="","",IF(ISNUMBER('List 1'!A126),'List 1'!A126,TRIM('List 1'!A126)))</f>
        <v/>
      </c>
      <c r="M126" s="0" t="str">
        <f aca="false">IF(K126="","",IF(ISNUMBER('List 1'!C126),'List 1'!C126,TRIM('List 1'!C126)))</f>
        <v/>
      </c>
      <c r="N126" s="0" t="str">
        <f aca="false">IF(K126="","",IF(ISNUMBER('List 1'!D126),'List 1'!D126,TRIM('List 1'!D126)))</f>
        <v/>
      </c>
      <c r="O126" s="0" t="str">
        <f aca="false">IF(K126="","",D126)</f>
        <v/>
      </c>
      <c r="P126" s="0" t="str">
        <f aca="false">IF(K126="","",IF(R126,SUMPRODUCT(--($H$2:$H$501=K126),$I$2:$I$501),0))</f>
        <v/>
      </c>
      <c r="Q126" s="0" t="str">
        <f aca="false">IF(K126="","",TRUE())</f>
        <v/>
      </c>
      <c r="R126" s="0" t="str">
        <f aca="false">IF(K126="","",SUMPRODUCT(--($H$2:$H$501=K126))&gt;0)</f>
        <v/>
      </c>
      <c r="S126" s="0" t="str">
        <f aca="false">IF(K126="","",IF(AND(Q126,R126),IF(O126=P126,"Match","Qty Different"),IF(Q126,"Only in List 1","Only in List 2")))</f>
        <v/>
      </c>
      <c r="T126" s="0" t="str">
        <f aca="false">IF(K126="","",IF(ISNUMBER(--L126),TEXT(--L126,"000000000000.000"),LOWER(L126)))</f>
        <v/>
      </c>
      <c r="U126" s="0" t="str">
        <f aca="false">IF(K126="","",IF(ISNUMBER(--M126),TEXT(--M126,"000000000000.000"),LOWER(M126)))</f>
        <v/>
      </c>
      <c r="V126" s="0" t="str">
        <f aca="false">IF(K126="","",LOWER(N126))</f>
        <v/>
      </c>
      <c r="W126" s="0" t="str">
        <f aca="false">IF(K126="","",B126)</f>
        <v/>
      </c>
      <c r="X126" s="0" t="str">
        <f aca="false">IF(K126="","",1+SUMPRODUCT(($K$2:$K$1001&lt;&gt;"")*(($T$2:$T$1001&lt;T126)+($T$2:$T$1001=T126)*(($U$2:$U$1001&lt;U126)+($U$2:$U$1001=U126)*(($V$2:$V$1001&lt;V126)+($V$2:$V$1001=V126)*(($W$2:$W$1001&lt;W126)+($W$2:$W$1001=W126)*(ROW($K$2:$K$1001)&lt;ROW(K126))))))))</f>
        <v/>
      </c>
    </row>
    <row r="127" customFormat="false" ht="15" hidden="false" customHeight="false" outlineLevel="0" collapsed="false">
      <c r="A127" s="0" t="str">
        <f aca="false">IF(TRIM('List 1'!A127&amp;'List 1'!C127&amp;'List 1'!D127)="","",LOWER(IF(OR(Comparison!$I$9="Item # + Part # + Description",Comparison!$I$9="Item # + Part #"),TRIM('List 1'!A127),"")&amp;"|"&amp;TRIM('List 1'!C127)&amp;"|"&amp;IF(OR(Comparison!$I$9="Item # + Part # + Description",Comparison!$I$9="Part # + Description"),TRIM('List 1'!D127),"")))</f>
        <v/>
      </c>
      <c r="B127" s="0" t="str">
        <f aca="false">IF(A127="","",SUMPRODUCT(--($A$2:A127=A127)))</f>
        <v/>
      </c>
      <c r="C127" s="0" t="str">
        <f aca="false">IF(A127="","",A127&amp;"#"&amp;B127)</f>
        <v/>
      </c>
      <c r="D127" s="0" t="str">
        <f aca="false">IF(A127="","",IFERROR(--'List 1'!B127,0))</f>
        <v/>
      </c>
      <c r="F127" s="0" t="str">
        <f aca="false">IF(TRIM('List 2'!A127&amp;'List 2'!C127&amp;'List 2'!D127)="","",LOWER(IF(OR(Comparison!$I$9="Item # + Part # + Description",Comparison!$I$9="Item # + Part #"),TRIM('List 2'!A127),"")&amp;"|"&amp;TRIM('List 2'!C127)&amp;"|"&amp;IF(OR(Comparison!$I$9="Item # + Part # + Description",Comparison!$I$9="Part # + Description"),TRIM('List 2'!D127),"")))</f>
        <v/>
      </c>
      <c r="G127" s="0" t="str">
        <f aca="false">IF(F127="","",SUMPRODUCT(--($F$2:F127=F127)))</f>
        <v/>
      </c>
      <c r="H127" s="0" t="str">
        <f aca="false">IF(F127="","",F127&amp;"#"&amp;G127)</f>
        <v/>
      </c>
      <c r="I127" s="0" t="str">
        <f aca="false">IF(F127="","",IFERROR(--'List 2'!B127,0))</f>
        <v/>
      </c>
      <c r="K127" s="0" t="str">
        <f aca="false">C127</f>
        <v/>
      </c>
      <c r="L127" s="0" t="str">
        <f aca="false">IF(K127="","",IF(ISNUMBER('List 1'!A127),'List 1'!A127,TRIM('List 1'!A127)))</f>
        <v/>
      </c>
      <c r="M127" s="0" t="str">
        <f aca="false">IF(K127="","",IF(ISNUMBER('List 1'!C127),'List 1'!C127,TRIM('List 1'!C127)))</f>
        <v/>
      </c>
      <c r="N127" s="0" t="str">
        <f aca="false">IF(K127="","",IF(ISNUMBER('List 1'!D127),'List 1'!D127,TRIM('List 1'!D127)))</f>
        <v/>
      </c>
      <c r="O127" s="0" t="str">
        <f aca="false">IF(K127="","",D127)</f>
        <v/>
      </c>
      <c r="P127" s="0" t="str">
        <f aca="false">IF(K127="","",IF(R127,SUMPRODUCT(--($H$2:$H$501=K127),$I$2:$I$501),0))</f>
        <v/>
      </c>
      <c r="Q127" s="0" t="str">
        <f aca="false">IF(K127="","",TRUE())</f>
        <v/>
      </c>
      <c r="R127" s="0" t="str">
        <f aca="false">IF(K127="","",SUMPRODUCT(--($H$2:$H$501=K127))&gt;0)</f>
        <v/>
      </c>
      <c r="S127" s="0" t="str">
        <f aca="false">IF(K127="","",IF(AND(Q127,R127),IF(O127=P127,"Match","Qty Different"),IF(Q127,"Only in List 1","Only in List 2")))</f>
        <v/>
      </c>
      <c r="T127" s="0" t="str">
        <f aca="false">IF(K127="","",IF(ISNUMBER(--L127),TEXT(--L127,"000000000000.000"),LOWER(L127)))</f>
        <v/>
      </c>
      <c r="U127" s="0" t="str">
        <f aca="false">IF(K127="","",IF(ISNUMBER(--M127),TEXT(--M127,"000000000000.000"),LOWER(M127)))</f>
        <v/>
      </c>
      <c r="V127" s="0" t="str">
        <f aca="false">IF(K127="","",LOWER(N127))</f>
        <v/>
      </c>
      <c r="W127" s="0" t="str">
        <f aca="false">IF(K127="","",B127)</f>
        <v/>
      </c>
      <c r="X127" s="0" t="str">
        <f aca="false">IF(K127="","",1+SUMPRODUCT(($K$2:$K$1001&lt;&gt;"")*(($T$2:$T$1001&lt;T127)+($T$2:$T$1001=T127)*(($U$2:$U$1001&lt;U127)+($U$2:$U$1001=U127)*(($V$2:$V$1001&lt;V127)+($V$2:$V$1001=V127)*(($W$2:$W$1001&lt;W127)+($W$2:$W$1001=W127)*(ROW($K$2:$K$1001)&lt;ROW(K127))))))))</f>
        <v/>
      </c>
    </row>
    <row r="128" customFormat="false" ht="15" hidden="false" customHeight="false" outlineLevel="0" collapsed="false">
      <c r="A128" s="0" t="str">
        <f aca="false">IF(TRIM('List 1'!A128&amp;'List 1'!C128&amp;'List 1'!D128)="","",LOWER(IF(OR(Comparison!$I$9="Item # + Part # + Description",Comparison!$I$9="Item # + Part #"),TRIM('List 1'!A128),"")&amp;"|"&amp;TRIM('List 1'!C128)&amp;"|"&amp;IF(OR(Comparison!$I$9="Item # + Part # + Description",Comparison!$I$9="Part # + Description"),TRIM('List 1'!D128),"")))</f>
        <v/>
      </c>
      <c r="B128" s="0" t="str">
        <f aca="false">IF(A128="","",SUMPRODUCT(--($A$2:A128=A128)))</f>
        <v/>
      </c>
      <c r="C128" s="0" t="str">
        <f aca="false">IF(A128="","",A128&amp;"#"&amp;B128)</f>
        <v/>
      </c>
      <c r="D128" s="0" t="str">
        <f aca="false">IF(A128="","",IFERROR(--'List 1'!B128,0))</f>
        <v/>
      </c>
      <c r="F128" s="0" t="str">
        <f aca="false">IF(TRIM('List 2'!A128&amp;'List 2'!C128&amp;'List 2'!D128)="","",LOWER(IF(OR(Comparison!$I$9="Item # + Part # + Description",Comparison!$I$9="Item # + Part #"),TRIM('List 2'!A128),"")&amp;"|"&amp;TRIM('List 2'!C128)&amp;"|"&amp;IF(OR(Comparison!$I$9="Item # + Part # + Description",Comparison!$I$9="Part # + Description"),TRIM('List 2'!D128),"")))</f>
        <v/>
      </c>
      <c r="G128" s="0" t="str">
        <f aca="false">IF(F128="","",SUMPRODUCT(--($F$2:F128=F128)))</f>
        <v/>
      </c>
      <c r="H128" s="0" t="str">
        <f aca="false">IF(F128="","",F128&amp;"#"&amp;G128)</f>
        <v/>
      </c>
      <c r="I128" s="0" t="str">
        <f aca="false">IF(F128="","",IFERROR(--'List 2'!B128,0))</f>
        <v/>
      </c>
      <c r="K128" s="0" t="str">
        <f aca="false">C128</f>
        <v/>
      </c>
      <c r="L128" s="0" t="str">
        <f aca="false">IF(K128="","",IF(ISNUMBER('List 1'!A128),'List 1'!A128,TRIM('List 1'!A128)))</f>
        <v/>
      </c>
      <c r="M128" s="0" t="str">
        <f aca="false">IF(K128="","",IF(ISNUMBER('List 1'!C128),'List 1'!C128,TRIM('List 1'!C128)))</f>
        <v/>
      </c>
      <c r="N128" s="0" t="str">
        <f aca="false">IF(K128="","",IF(ISNUMBER('List 1'!D128),'List 1'!D128,TRIM('List 1'!D128)))</f>
        <v/>
      </c>
      <c r="O128" s="0" t="str">
        <f aca="false">IF(K128="","",D128)</f>
        <v/>
      </c>
      <c r="P128" s="0" t="str">
        <f aca="false">IF(K128="","",IF(R128,SUMPRODUCT(--($H$2:$H$501=K128),$I$2:$I$501),0))</f>
        <v/>
      </c>
      <c r="Q128" s="0" t="str">
        <f aca="false">IF(K128="","",TRUE())</f>
        <v/>
      </c>
      <c r="R128" s="0" t="str">
        <f aca="false">IF(K128="","",SUMPRODUCT(--($H$2:$H$501=K128))&gt;0)</f>
        <v/>
      </c>
      <c r="S128" s="0" t="str">
        <f aca="false">IF(K128="","",IF(AND(Q128,R128),IF(O128=P128,"Match","Qty Different"),IF(Q128,"Only in List 1","Only in List 2")))</f>
        <v/>
      </c>
      <c r="T128" s="0" t="str">
        <f aca="false">IF(K128="","",IF(ISNUMBER(--L128),TEXT(--L128,"000000000000.000"),LOWER(L128)))</f>
        <v/>
      </c>
      <c r="U128" s="0" t="str">
        <f aca="false">IF(K128="","",IF(ISNUMBER(--M128),TEXT(--M128,"000000000000.000"),LOWER(M128)))</f>
        <v/>
      </c>
      <c r="V128" s="0" t="str">
        <f aca="false">IF(K128="","",LOWER(N128))</f>
        <v/>
      </c>
      <c r="W128" s="0" t="str">
        <f aca="false">IF(K128="","",B128)</f>
        <v/>
      </c>
      <c r="X128" s="0" t="str">
        <f aca="false">IF(K128="","",1+SUMPRODUCT(($K$2:$K$1001&lt;&gt;"")*(($T$2:$T$1001&lt;T128)+($T$2:$T$1001=T128)*(($U$2:$U$1001&lt;U128)+($U$2:$U$1001=U128)*(($V$2:$V$1001&lt;V128)+($V$2:$V$1001=V128)*(($W$2:$W$1001&lt;W128)+($W$2:$W$1001=W128)*(ROW($K$2:$K$1001)&lt;ROW(K128))))))))</f>
        <v/>
      </c>
    </row>
    <row r="129" customFormat="false" ht="15" hidden="false" customHeight="false" outlineLevel="0" collapsed="false">
      <c r="A129" s="0" t="str">
        <f aca="false">IF(TRIM('List 1'!A129&amp;'List 1'!C129&amp;'List 1'!D129)="","",LOWER(IF(OR(Comparison!$I$9="Item # + Part # + Description",Comparison!$I$9="Item # + Part #"),TRIM('List 1'!A129),"")&amp;"|"&amp;TRIM('List 1'!C129)&amp;"|"&amp;IF(OR(Comparison!$I$9="Item # + Part # + Description",Comparison!$I$9="Part # + Description"),TRIM('List 1'!D129),"")))</f>
        <v/>
      </c>
      <c r="B129" s="0" t="str">
        <f aca="false">IF(A129="","",SUMPRODUCT(--($A$2:A129=A129)))</f>
        <v/>
      </c>
      <c r="C129" s="0" t="str">
        <f aca="false">IF(A129="","",A129&amp;"#"&amp;B129)</f>
        <v/>
      </c>
      <c r="D129" s="0" t="str">
        <f aca="false">IF(A129="","",IFERROR(--'List 1'!B129,0))</f>
        <v/>
      </c>
      <c r="F129" s="0" t="str">
        <f aca="false">IF(TRIM('List 2'!A129&amp;'List 2'!C129&amp;'List 2'!D129)="","",LOWER(IF(OR(Comparison!$I$9="Item # + Part # + Description",Comparison!$I$9="Item # + Part #"),TRIM('List 2'!A129),"")&amp;"|"&amp;TRIM('List 2'!C129)&amp;"|"&amp;IF(OR(Comparison!$I$9="Item # + Part # + Description",Comparison!$I$9="Part # + Description"),TRIM('List 2'!D129),"")))</f>
        <v/>
      </c>
      <c r="G129" s="0" t="str">
        <f aca="false">IF(F129="","",SUMPRODUCT(--($F$2:F129=F129)))</f>
        <v/>
      </c>
      <c r="H129" s="0" t="str">
        <f aca="false">IF(F129="","",F129&amp;"#"&amp;G129)</f>
        <v/>
      </c>
      <c r="I129" s="0" t="str">
        <f aca="false">IF(F129="","",IFERROR(--'List 2'!B129,0))</f>
        <v/>
      </c>
      <c r="K129" s="0" t="str">
        <f aca="false">C129</f>
        <v/>
      </c>
      <c r="L129" s="0" t="str">
        <f aca="false">IF(K129="","",IF(ISNUMBER('List 1'!A129),'List 1'!A129,TRIM('List 1'!A129)))</f>
        <v/>
      </c>
      <c r="M129" s="0" t="str">
        <f aca="false">IF(K129="","",IF(ISNUMBER('List 1'!C129),'List 1'!C129,TRIM('List 1'!C129)))</f>
        <v/>
      </c>
      <c r="N129" s="0" t="str">
        <f aca="false">IF(K129="","",IF(ISNUMBER('List 1'!D129),'List 1'!D129,TRIM('List 1'!D129)))</f>
        <v/>
      </c>
      <c r="O129" s="0" t="str">
        <f aca="false">IF(K129="","",D129)</f>
        <v/>
      </c>
      <c r="P129" s="0" t="str">
        <f aca="false">IF(K129="","",IF(R129,SUMPRODUCT(--($H$2:$H$501=K129),$I$2:$I$501),0))</f>
        <v/>
      </c>
      <c r="Q129" s="0" t="str">
        <f aca="false">IF(K129="","",TRUE())</f>
        <v/>
      </c>
      <c r="R129" s="0" t="str">
        <f aca="false">IF(K129="","",SUMPRODUCT(--($H$2:$H$501=K129))&gt;0)</f>
        <v/>
      </c>
      <c r="S129" s="0" t="str">
        <f aca="false">IF(K129="","",IF(AND(Q129,R129),IF(O129=P129,"Match","Qty Different"),IF(Q129,"Only in List 1","Only in List 2")))</f>
        <v/>
      </c>
      <c r="T129" s="0" t="str">
        <f aca="false">IF(K129="","",IF(ISNUMBER(--L129),TEXT(--L129,"000000000000.000"),LOWER(L129)))</f>
        <v/>
      </c>
      <c r="U129" s="0" t="str">
        <f aca="false">IF(K129="","",IF(ISNUMBER(--M129),TEXT(--M129,"000000000000.000"),LOWER(M129)))</f>
        <v/>
      </c>
      <c r="V129" s="0" t="str">
        <f aca="false">IF(K129="","",LOWER(N129))</f>
        <v/>
      </c>
      <c r="W129" s="0" t="str">
        <f aca="false">IF(K129="","",B129)</f>
        <v/>
      </c>
      <c r="X129" s="0" t="str">
        <f aca="false">IF(K129="","",1+SUMPRODUCT(($K$2:$K$1001&lt;&gt;"")*(($T$2:$T$1001&lt;T129)+($T$2:$T$1001=T129)*(($U$2:$U$1001&lt;U129)+($U$2:$U$1001=U129)*(($V$2:$V$1001&lt;V129)+($V$2:$V$1001=V129)*(($W$2:$W$1001&lt;W129)+($W$2:$W$1001=W129)*(ROW($K$2:$K$1001)&lt;ROW(K129))))))))</f>
        <v/>
      </c>
    </row>
    <row r="130" customFormat="false" ht="15" hidden="false" customHeight="false" outlineLevel="0" collapsed="false">
      <c r="A130" s="0" t="str">
        <f aca="false">IF(TRIM('List 1'!A130&amp;'List 1'!C130&amp;'List 1'!D130)="","",LOWER(IF(OR(Comparison!$I$9="Item # + Part # + Description",Comparison!$I$9="Item # + Part #"),TRIM('List 1'!A130),"")&amp;"|"&amp;TRIM('List 1'!C130)&amp;"|"&amp;IF(OR(Comparison!$I$9="Item # + Part # + Description",Comparison!$I$9="Part # + Description"),TRIM('List 1'!D130),"")))</f>
        <v/>
      </c>
      <c r="B130" s="0" t="str">
        <f aca="false">IF(A130="","",SUMPRODUCT(--($A$2:A130=A130)))</f>
        <v/>
      </c>
      <c r="C130" s="0" t="str">
        <f aca="false">IF(A130="","",A130&amp;"#"&amp;B130)</f>
        <v/>
      </c>
      <c r="D130" s="0" t="str">
        <f aca="false">IF(A130="","",IFERROR(--'List 1'!B130,0))</f>
        <v/>
      </c>
      <c r="F130" s="0" t="str">
        <f aca="false">IF(TRIM('List 2'!A130&amp;'List 2'!C130&amp;'List 2'!D130)="","",LOWER(IF(OR(Comparison!$I$9="Item # + Part # + Description",Comparison!$I$9="Item # + Part #"),TRIM('List 2'!A130),"")&amp;"|"&amp;TRIM('List 2'!C130)&amp;"|"&amp;IF(OR(Comparison!$I$9="Item # + Part # + Description",Comparison!$I$9="Part # + Description"),TRIM('List 2'!D130),"")))</f>
        <v/>
      </c>
      <c r="G130" s="0" t="str">
        <f aca="false">IF(F130="","",SUMPRODUCT(--($F$2:F130=F130)))</f>
        <v/>
      </c>
      <c r="H130" s="0" t="str">
        <f aca="false">IF(F130="","",F130&amp;"#"&amp;G130)</f>
        <v/>
      </c>
      <c r="I130" s="0" t="str">
        <f aca="false">IF(F130="","",IFERROR(--'List 2'!B130,0))</f>
        <v/>
      </c>
      <c r="K130" s="0" t="str">
        <f aca="false">C130</f>
        <v/>
      </c>
      <c r="L130" s="0" t="str">
        <f aca="false">IF(K130="","",IF(ISNUMBER('List 1'!A130),'List 1'!A130,TRIM('List 1'!A130)))</f>
        <v/>
      </c>
      <c r="M130" s="0" t="str">
        <f aca="false">IF(K130="","",IF(ISNUMBER('List 1'!C130),'List 1'!C130,TRIM('List 1'!C130)))</f>
        <v/>
      </c>
      <c r="N130" s="0" t="str">
        <f aca="false">IF(K130="","",IF(ISNUMBER('List 1'!D130),'List 1'!D130,TRIM('List 1'!D130)))</f>
        <v/>
      </c>
      <c r="O130" s="0" t="str">
        <f aca="false">IF(K130="","",D130)</f>
        <v/>
      </c>
      <c r="P130" s="0" t="str">
        <f aca="false">IF(K130="","",IF(R130,SUMPRODUCT(--($H$2:$H$501=K130),$I$2:$I$501),0))</f>
        <v/>
      </c>
      <c r="Q130" s="0" t="str">
        <f aca="false">IF(K130="","",TRUE())</f>
        <v/>
      </c>
      <c r="R130" s="0" t="str">
        <f aca="false">IF(K130="","",SUMPRODUCT(--($H$2:$H$501=K130))&gt;0)</f>
        <v/>
      </c>
      <c r="S130" s="0" t="str">
        <f aca="false">IF(K130="","",IF(AND(Q130,R130),IF(O130=P130,"Match","Qty Different"),IF(Q130,"Only in List 1","Only in List 2")))</f>
        <v/>
      </c>
      <c r="T130" s="0" t="str">
        <f aca="false">IF(K130="","",IF(ISNUMBER(--L130),TEXT(--L130,"000000000000.000"),LOWER(L130)))</f>
        <v/>
      </c>
      <c r="U130" s="0" t="str">
        <f aca="false">IF(K130="","",IF(ISNUMBER(--M130),TEXT(--M130,"000000000000.000"),LOWER(M130)))</f>
        <v/>
      </c>
      <c r="V130" s="0" t="str">
        <f aca="false">IF(K130="","",LOWER(N130))</f>
        <v/>
      </c>
      <c r="W130" s="0" t="str">
        <f aca="false">IF(K130="","",B130)</f>
        <v/>
      </c>
      <c r="X130" s="0" t="str">
        <f aca="false">IF(K130="","",1+SUMPRODUCT(($K$2:$K$1001&lt;&gt;"")*(($T$2:$T$1001&lt;T130)+($T$2:$T$1001=T130)*(($U$2:$U$1001&lt;U130)+($U$2:$U$1001=U130)*(($V$2:$V$1001&lt;V130)+($V$2:$V$1001=V130)*(($W$2:$W$1001&lt;W130)+($W$2:$W$1001=W130)*(ROW($K$2:$K$1001)&lt;ROW(K130))))))))</f>
        <v/>
      </c>
    </row>
    <row r="131" customFormat="false" ht="15" hidden="false" customHeight="false" outlineLevel="0" collapsed="false">
      <c r="A131" s="0" t="str">
        <f aca="false">IF(TRIM('List 1'!A131&amp;'List 1'!C131&amp;'List 1'!D131)="","",LOWER(IF(OR(Comparison!$I$9="Item # + Part # + Description",Comparison!$I$9="Item # + Part #"),TRIM('List 1'!A131),"")&amp;"|"&amp;TRIM('List 1'!C131)&amp;"|"&amp;IF(OR(Comparison!$I$9="Item # + Part # + Description",Comparison!$I$9="Part # + Description"),TRIM('List 1'!D131),"")))</f>
        <v/>
      </c>
      <c r="B131" s="0" t="str">
        <f aca="false">IF(A131="","",SUMPRODUCT(--($A$2:A131=A131)))</f>
        <v/>
      </c>
      <c r="C131" s="0" t="str">
        <f aca="false">IF(A131="","",A131&amp;"#"&amp;B131)</f>
        <v/>
      </c>
      <c r="D131" s="0" t="str">
        <f aca="false">IF(A131="","",IFERROR(--'List 1'!B131,0))</f>
        <v/>
      </c>
      <c r="F131" s="0" t="str">
        <f aca="false">IF(TRIM('List 2'!A131&amp;'List 2'!C131&amp;'List 2'!D131)="","",LOWER(IF(OR(Comparison!$I$9="Item # + Part # + Description",Comparison!$I$9="Item # + Part #"),TRIM('List 2'!A131),"")&amp;"|"&amp;TRIM('List 2'!C131)&amp;"|"&amp;IF(OR(Comparison!$I$9="Item # + Part # + Description",Comparison!$I$9="Part # + Description"),TRIM('List 2'!D131),"")))</f>
        <v/>
      </c>
      <c r="G131" s="0" t="str">
        <f aca="false">IF(F131="","",SUMPRODUCT(--($F$2:F131=F131)))</f>
        <v/>
      </c>
      <c r="H131" s="0" t="str">
        <f aca="false">IF(F131="","",F131&amp;"#"&amp;G131)</f>
        <v/>
      </c>
      <c r="I131" s="0" t="str">
        <f aca="false">IF(F131="","",IFERROR(--'List 2'!B131,0))</f>
        <v/>
      </c>
      <c r="K131" s="0" t="str">
        <f aca="false">C131</f>
        <v/>
      </c>
      <c r="L131" s="0" t="str">
        <f aca="false">IF(K131="","",IF(ISNUMBER('List 1'!A131),'List 1'!A131,TRIM('List 1'!A131)))</f>
        <v/>
      </c>
      <c r="M131" s="0" t="str">
        <f aca="false">IF(K131="","",IF(ISNUMBER('List 1'!C131),'List 1'!C131,TRIM('List 1'!C131)))</f>
        <v/>
      </c>
      <c r="N131" s="0" t="str">
        <f aca="false">IF(K131="","",IF(ISNUMBER('List 1'!D131),'List 1'!D131,TRIM('List 1'!D131)))</f>
        <v/>
      </c>
      <c r="O131" s="0" t="str">
        <f aca="false">IF(K131="","",D131)</f>
        <v/>
      </c>
      <c r="P131" s="0" t="str">
        <f aca="false">IF(K131="","",IF(R131,SUMPRODUCT(--($H$2:$H$501=K131),$I$2:$I$501),0))</f>
        <v/>
      </c>
      <c r="Q131" s="0" t="str">
        <f aca="false">IF(K131="","",TRUE())</f>
        <v/>
      </c>
      <c r="R131" s="0" t="str">
        <f aca="false">IF(K131="","",SUMPRODUCT(--($H$2:$H$501=K131))&gt;0)</f>
        <v/>
      </c>
      <c r="S131" s="0" t="str">
        <f aca="false">IF(K131="","",IF(AND(Q131,R131),IF(O131=P131,"Match","Qty Different"),IF(Q131,"Only in List 1","Only in List 2")))</f>
        <v/>
      </c>
      <c r="T131" s="0" t="str">
        <f aca="false">IF(K131="","",IF(ISNUMBER(--L131),TEXT(--L131,"000000000000.000"),LOWER(L131)))</f>
        <v/>
      </c>
      <c r="U131" s="0" t="str">
        <f aca="false">IF(K131="","",IF(ISNUMBER(--M131),TEXT(--M131,"000000000000.000"),LOWER(M131)))</f>
        <v/>
      </c>
      <c r="V131" s="0" t="str">
        <f aca="false">IF(K131="","",LOWER(N131))</f>
        <v/>
      </c>
      <c r="W131" s="0" t="str">
        <f aca="false">IF(K131="","",B131)</f>
        <v/>
      </c>
      <c r="X131" s="0" t="str">
        <f aca="false">IF(K131="","",1+SUMPRODUCT(($K$2:$K$1001&lt;&gt;"")*(($T$2:$T$1001&lt;T131)+($T$2:$T$1001=T131)*(($U$2:$U$1001&lt;U131)+($U$2:$U$1001=U131)*(($V$2:$V$1001&lt;V131)+($V$2:$V$1001=V131)*(($W$2:$W$1001&lt;W131)+($W$2:$W$1001=W131)*(ROW($K$2:$K$1001)&lt;ROW(K131))))))))</f>
        <v/>
      </c>
    </row>
    <row r="132" customFormat="false" ht="15" hidden="false" customHeight="false" outlineLevel="0" collapsed="false">
      <c r="A132" s="0" t="str">
        <f aca="false">IF(TRIM('List 1'!A132&amp;'List 1'!C132&amp;'List 1'!D132)="","",LOWER(IF(OR(Comparison!$I$9="Item # + Part # + Description",Comparison!$I$9="Item # + Part #"),TRIM('List 1'!A132),"")&amp;"|"&amp;TRIM('List 1'!C132)&amp;"|"&amp;IF(OR(Comparison!$I$9="Item # + Part # + Description",Comparison!$I$9="Part # + Description"),TRIM('List 1'!D132),"")))</f>
        <v/>
      </c>
      <c r="B132" s="0" t="str">
        <f aca="false">IF(A132="","",SUMPRODUCT(--($A$2:A132=A132)))</f>
        <v/>
      </c>
      <c r="C132" s="0" t="str">
        <f aca="false">IF(A132="","",A132&amp;"#"&amp;B132)</f>
        <v/>
      </c>
      <c r="D132" s="0" t="str">
        <f aca="false">IF(A132="","",IFERROR(--'List 1'!B132,0))</f>
        <v/>
      </c>
      <c r="F132" s="0" t="str">
        <f aca="false">IF(TRIM('List 2'!A132&amp;'List 2'!C132&amp;'List 2'!D132)="","",LOWER(IF(OR(Comparison!$I$9="Item # + Part # + Description",Comparison!$I$9="Item # + Part #"),TRIM('List 2'!A132),"")&amp;"|"&amp;TRIM('List 2'!C132)&amp;"|"&amp;IF(OR(Comparison!$I$9="Item # + Part # + Description",Comparison!$I$9="Part # + Description"),TRIM('List 2'!D132),"")))</f>
        <v/>
      </c>
      <c r="G132" s="0" t="str">
        <f aca="false">IF(F132="","",SUMPRODUCT(--($F$2:F132=F132)))</f>
        <v/>
      </c>
      <c r="H132" s="0" t="str">
        <f aca="false">IF(F132="","",F132&amp;"#"&amp;G132)</f>
        <v/>
      </c>
      <c r="I132" s="0" t="str">
        <f aca="false">IF(F132="","",IFERROR(--'List 2'!B132,0))</f>
        <v/>
      </c>
      <c r="K132" s="0" t="str">
        <f aca="false">C132</f>
        <v/>
      </c>
      <c r="L132" s="0" t="str">
        <f aca="false">IF(K132="","",IF(ISNUMBER('List 1'!A132),'List 1'!A132,TRIM('List 1'!A132)))</f>
        <v/>
      </c>
      <c r="M132" s="0" t="str">
        <f aca="false">IF(K132="","",IF(ISNUMBER('List 1'!C132),'List 1'!C132,TRIM('List 1'!C132)))</f>
        <v/>
      </c>
      <c r="N132" s="0" t="str">
        <f aca="false">IF(K132="","",IF(ISNUMBER('List 1'!D132),'List 1'!D132,TRIM('List 1'!D132)))</f>
        <v/>
      </c>
      <c r="O132" s="0" t="str">
        <f aca="false">IF(K132="","",D132)</f>
        <v/>
      </c>
      <c r="P132" s="0" t="str">
        <f aca="false">IF(K132="","",IF(R132,SUMPRODUCT(--($H$2:$H$501=K132),$I$2:$I$501),0))</f>
        <v/>
      </c>
      <c r="Q132" s="0" t="str">
        <f aca="false">IF(K132="","",TRUE())</f>
        <v/>
      </c>
      <c r="R132" s="0" t="str">
        <f aca="false">IF(K132="","",SUMPRODUCT(--($H$2:$H$501=K132))&gt;0)</f>
        <v/>
      </c>
      <c r="S132" s="0" t="str">
        <f aca="false">IF(K132="","",IF(AND(Q132,R132),IF(O132=P132,"Match","Qty Different"),IF(Q132,"Only in List 1","Only in List 2")))</f>
        <v/>
      </c>
      <c r="T132" s="0" t="str">
        <f aca="false">IF(K132="","",IF(ISNUMBER(--L132),TEXT(--L132,"000000000000.000"),LOWER(L132)))</f>
        <v/>
      </c>
      <c r="U132" s="0" t="str">
        <f aca="false">IF(K132="","",IF(ISNUMBER(--M132),TEXT(--M132,"000000000000.000"),LOWER(M132)))</f>
        <v/>
      </c>
      <c r="V132" s="0" t="str">
        <f aca="false">IF(K132="","",LOWER(N132))</f>
        <v/>
      </c>
      <c r="W132" s="0" t="str">
        <f aca="false">IF(K132="","",B132)</f>
        <v/>
      </c>
      <c r="X132" s="0" t="str">
        <f aca="false">IF(K132="","",1+SUMPRODUCT(($K$2:$K$1001&lt;&gt;"")*(($T$2:$T$1001&lt;T132)+($T$2:$T$1001=T132)*(($U$2:$U$1001&lt;U132)+($U$2:$U$1001=U132)*(($V$2:$V$1001&lt;V132)+($V$2:$V$1001=V132)*(($W$2:$W$1001&lt;W132)+($W$2:$W$1001=W132)*(ROW($K$2:$K$1001)&lt;ROW(K132))))))))</f>
        <v/>
      </c>
    </row>
    <row r="133" customFormat="false" ht="15" hidden="false" customHeight="false" outlineLevel="0" collapsed="false">
      <c r="A133" s="0" t="str">
        <f aca="false">IF(TRIM('List 1'!A133&amp;'List 1'!C133&amp;'List 1'!D133)="","",LOWER(IF(OR(Comparison!$I$9="Item # + Part # + Description",Comparison!$I$9="Item # + Part #"),TRIM('List 1'!A133),"")&amp;"|"&amp;TRIM('List 1'!C133)&amp;"|"&amp;IF(OR(Comparison!$I$9="Item # + Part # + Description",Comparison!$I$9="Part # + Description"),TRIM('List 1'!D133),"")))</f>
        <v/>
      </c>
      <c r="B133" s="0" t="str">
        <f aca="false">IF(A133="","",SUMPRODUCT(--($A$2:A133=A133)))</f>
        <v/>
      </c>
      <c r="C133" s="0" t="str">
        <f aca="false">IF(A133="","",A133&amp;"#"&amp;B133)</f>
        <v/>
      </c>
      <c r="D133" s="0" t="str">
        <f aca="false">IF(A133="","",IFERROR(--'List 1'!B133,0))</f>
        <v/>
      </c>
      <c r="F133" s="0" t="str">
        <f aca="false">IF(TRIM('List 2'!A133&amp;'List 2'!C133&amp;'List 2'!D133)="","",LOWER(IF(OR(Comparison!$I$9="Item # + Part # + Description",Comparison!$I$9="Item # + Part #"),TRIM('List 2'!A133),"")&amp;"|"&amp;TRIM('List 2'!C133)&amp;"|"&amp;IF(OR(Comparison!$I$9="Item # + Part # + Description",Comparison!$I$9="Part # + Description"),TRIM('List 2'!D133),"")))</f>
        <v/>
      </c>
      <c r="G133" s="0" t="str">
        <f aca="false">IF(F133="","",SUMPRODUCT(--($F$2:F133=F133)))</f>
        <v/>
      </c>
      <c r="H133" s="0" t="str">
        <f aca="false">IF(F133="","",F133&amp;"#"&amp;G133)</f>
        <v/>
      </c>
      <c r="I133" s="0" t="str">
        <f aca="false">IF(F133="","",IFERROR(--'List 2'!B133,0))</f>
        <v/>
      </c>
      <c r="K133" s="0" t="str">
        <f aca="false">C133</f>
        <v/>
      </c>
      <c r="L133" s="0" t="str">
        <f aca="false">IF(K133="","",IF(ISNUMBER('List 1'!A133),'List 1'!A133,TRIM('List 1'!A133)))</f>
        <v/>
      </c>
      <c r="M133" s="0" t="str">
        <f aca="false">IF(K133="","",IF(ISNUMBER('List 1'!C133),'List 1'!C133,TRIM('List 1'!C133)))</f>
        <v/>
      </c>
      <c r="N133" s="0" t="str">
        <f aca="false">IF(K133="","",IF(ISNUMBER('List 1'!D133),'List 1'!D133,TRIM('List 1'!D133)))</f>
        <v/>
      </c>
      <c r="O133" s="0" t="str">
        <f aca="false">IF(K133="","",D133)</f>
        <v/>
      </c>
      <c r="P133" s="0" t="str">
        <f aca="false">IF(K133="","",IF(R133,SUMPRODUCT(--($H$2:$H$501=K133),$I$2:$I$501),0))</f>
        <v/>
      </c>
      <c r="Q133" s="0" t="str">
        <f aca="false">IF(K133="","",TRUE())</f>
        <v/>
      </c>
      <c r="R133" s="0" t="str">
        <f aca="false">IF(K133="","",SUMPRODUCT(--($H$2:$H$501=K133))&gt;0)</f>
        <v/>
      </c>
      <c r="S133" s="0" t="str">
        <f aca="false">IF(K133="","",IF(AND(Q133,R133),IF(O133=P133,"Match","Qty Different"),IF(Q133,"Only in List 1","Only in List 2")))</f>
        <v/>
      </c>
      <c r="T133" s="0" t="str">
        <f aca="false">IF(K133="","",IF(ISNUMBER(--L133),TEXT(--L133,"000000000000.000"),LOWER(L133)))</f>
        <v/>
      </c>
      <c r="U133" s="0" t="str">
        <f aca="false">IF(K133="","",IF(ISNUMBER(--M133),TEXT(--M133,"000000000000.000"),LOWER(M133)))</f>
        <v/>
      </c>
      <c r="V133" s="0" t="str">
        <f aca="false">IF(K133="","",LOWER(N133))</f>
        <v/>
      </c>
      <c r="W133" s="0" t="str">
        <f aca="false">IF(K133="","",B133)</f>
        <v/>
      </c>
      <c r="X133" s="0" t="str">
        <f aca="false">IF(K133="","",1+SUMPRODUCT(($K$2:$K$1001&lt;&gt;"")*(($T$2:$T$1001&lt;T133)+($T$2:$T$1001=T133)*(($U$2:$U$1001&lt;U133)+($U$2:$U$1001=U133)*(($V$2:$V$1001&lt;V133)+($V$2:$V$1001=V133)*(($W$2:$W$1001&lt;W133)+($W$2:$W$1001=W133)*(ROW($K$2:$K$1001)&lt;ROW(K133))))))))</f>
        <v/>
      </c>
    </row>
    <row r="134" customFormat="false" ht="15" hidden="false" customHeight="false" outlineLevel="0" collapsed="false">
      <c r="A134" s="0" t="str">
        <f aca="false">IF(TRIM('List 1'!A134&amp;'List 1'!C134&amp;'List 1'!D134)="","",LOWER(IF(OR(Comparison!$I$9="Item # + Part # + Description",Comparison!$I$9="Item # + Part #"),TRIM('List 1'!A134),"")&amp;"|"&amp;TRIM('List 1'!C134)&amp;"|"&amp;IF(OR(Comparison!$I$9="Item # + Part # + Description",Comparison!$I$9="Part # + Description"),TRIM('List 1'!D134),"")))</f>
        <v/>
      </c>
      <c r="B134" s="0" t="str">
        <f aca="false">IF(A134="","",SUMPRODUCT(--($A$2:A134=A134)))</f>
        <v/>
      </c>
      <c r="C134" s="0" t="str">
        <f aca="false">IF(A134="","",A134&amp;"#"&amp;B134)</f>
        <v/>
      </c>
      <c r="D134" s="0" t="str">
        <f aca="false">IF(A134="","",IFERROR(--'List 1'!B134,0))</f>
        <v/>
      </c>
      <c r="F134" s="0" t="str">
        <f aca="false">IF(TRIM('List 2'!A134&amp;'List 2'!C134&amp;'List 2'!D134)="","",LOWER(IF(OR(Comparison!$I$9="Item # + Part # + Description",Comparison!$I$9="Item # + Part #"),TRIM('List 2'!A134),"")&amp;"|"&amp;TRIM('List 2'!C134)&amp;"|"&amp;IF(OR(Comparison!$I$9="Item # + Part # + Description",Comparison!$I$9="Part # + Description"),TRIM('List 2'!D134),"")))</f>
        <v/>
      </c>
      <c r="G134" s="0" t="str">
        <f aca="false">IF(F134="","",SUMPRODUCT(--($F$2:F134=F134)))</f>
        <v/>
      </c>
      <c r="H134" s="0" t="str">
        <f aca="false">IF(F134="","",F134&amp;"#"&amp;G134)</f>
        <v/>
      </c>
      <c r="I134" s="0" t="str">
        <f aca="false">IF(F134="","",IFERROR(--'List 2'!B134,0))</f>
        <v/>
      </c>
      <c r="K134" s="0" t="str">
        <f aca="false">C134</f>
        <v/>
      </c>
      <c r="L134" s="0" t="str">
        <f aca="false">IF(K134="","",IF(ISNUMBER('List 1'!A134),'List 1'!A134,TRIM('List 1'!A134)))</f>
        <v/>
      </c>
      <c r="M134" s="0" t="str">
        <f aca="false">IF(K134="","",IF(ISNUMBER('List 1'!C134),'List 1'!C134,TRIM('List 1'!C134)))</f>
        <v/>
      </c>
      <c r="N134" s="0" t="str">
        <f aca="false">IF(K134="","",IF(ISNUMBER('List 1'!D134),'List 1'!D134,TRIM('List 1'!D134)))</f>
        <v/>
      </c>
      <c r="O134" s="0" t="str">
        <f aca="false">IF(K134="","",D134)</f>
        <v/>
      </c>
      <c r="P134" s="0" t="str">
        <f aca="false">IF(K134="","",IF(R134,SUMPRODUCT(--($H$2:$H$501=K134),$I$2:$I$501),0))</f>
        <v/>
      </c>
      <c r="Q134" s="0" t="str">
        <f aca="false">IF(K134="","",TRUE())</f>
        <v/>
      </c>
      <c r="R134" s="0" t="str">
        <f aca="false">IF(K134="","",SUMPRODUCT(--($H$2:$H$501=K134))&gt;0)</f>
        <v/>
      </c>
      <c r="S134" s="0" t="str">
        <f aca="false">IF(K134="","",IF(AND(Q134,R134),IF(O134=P134,"Match","Qty Different"),IF(Q134,"Only in List 1","Only in List 2")))</f>
        <v/>
      </c>
      <c r="T134" s="0" t="str">
        <f aca="false">IF(K134="","",IF(ISNUMBER(--L134),TEXT(--L134,"000000000000.000"),LOWER(L134)))</f>
        <v/>
      </c>
      <c r="U134" s="0" t="str">
        <f aca="false">IF(K134="","",IF(ISNUMBER(--M134),TEXT(--M134,"000000000000.000"),LOWER(M134)))</f>
        <v/>
      </c>
      <c r="V134" s="0" t="str">
        <f aca="false">IF(K134="","",LOWER(N134))</f>
        <v/>
      </c>
      <c r="W134" s="0" t="str">
        <f aca="false">IF(K134="","",B134)</f>
        <v/>
      </c>
      <c r="X134" s="0" t="str">
        <f aca="false">IF(K134="","",1+SUMPRODUCT(($K$2:$K$1001&lt;&gt;"")*(($T$2:$T$1001&lt;T134)+($T$2:$T$1001=T134)*(($U$2:$U$1001&lt;U134)+($U$2:$U$1001=U134)*(($V$2:$V$1001&lt;V134)+($V$2:$V$1001=V134)*(($W$2:$W$1001&lt;W134)+($W$2:$W$1001=W134)*(ROW($K$2:$K$1001)&lt;ROW(K134))))))))</f>
        <v/>
      </c>
    </row>
    <row r="135" customFormat="false" ht="15" hidden="false" customHeight="false" outlineLevel="0" collapsed="false">
      <c r="A135" s="0" t="str">
        <f aca="false">IF(TRIM('List 1'!A135&amp;'List 1'!C135&amp;'List 1'!D135)="","",LOWER(IF(OR(Comparison!$I$9="Item # + Part # + Description",Comparison!$I$9="Item # + Part #"),TRIM('List 1'!A135),"")&amp;"|"&amp;TRIM('List 1'!C135)&amp;"|"&amp;IF(OR(Comparison!$I$9="Item # + Part # + Description",Comparison!$I$9="Part # + Description"),TRIM('List 1'!D135),"")))</f>
        <v/>
      </c>
      <c r="B135" s="0" t="str">
        <f aca="false">IF(A135="","",SUMPRODUCT(--($A$2:A135=A135)))</f>
        <v/>
      </c>
      <c r="C135" s="0" t="str">
        <f aca="false">IF(A135="","",A135&amp;"#"&amp;B135)</f>
        <v/>
      </c>
      <c r="D135" s="0" t="str">
        <f aca="false">IF(A135="","",IFERROR(--'List 1'!B135,0))</f>
        <v/>
      </c>
      <c r="F135" s="0" t="str">
        <f aca="false">IF(TRIM('List 2'!A135&amp;'List 2'!C135&amp;'List 2'!D135)="","",LOWER(IF(OR(Comparison!$I$9="Item # + Part # + Description",Comparison!$I$9="Item # + Part #"),TRIM('List 2'!A135),"")&amp;"|"&amp;TRIM('List 2'!C135)&amp;"|"&amp;IF(OR(Comparison!$I$9="Item # + Part # + Description",Comparison!$I$9="Part # + Description"),TRIM('List 2'!D135),"")))</f>
        <v/>
      </c>
      <c r="G135" s="0" t="str">
        <f aca="false">IF(F135="","",SUMPRODUCT(--($F$2:F135=F135)))</f>
        <v/>
      </c>
      <c r="H135" s="0" t="str">
        <f aca="false">IF(F135="","",F135&amp;"#"&amp;G135)</f>
        <v/>
      </c>
      <c r="I135" s="0" t="str">
        <f aca="false">IF(F135="","",IFERROR(--'List 2'!B135,0))</f>
        <v/>
      </c>
      <c r="K135" s="0" t="str">
        <f aca="false">C135</f>
        <v/>
      </c>
      <c r="L135" s="0" t="str">
        <f aca="false">IF(K135="","",IF(ISNUMBER('List 1'!A135),'List 1'!A135,TRIM('List 1'!A135)))</f>
        <v/>
      </c>
      <c r="M135" s="0" t="str">
        <f aca="false">IF(K135="","",IF(ISNUMBER('List 1'!C135),'List 1'!C135,TRIM('List 1'!C135)))</f>
        <v/>
      </c>
      <c r="N135" s="0" t="str">
        <f aca="false">IF(K135="","",IF(ISNUMBER('List 1'!D135),'List 1'!D135,TRIM('List 1'!D135)))</f>
        <v/>
      </c>
      <c r="O135" s="0" t="str">
        <f aca="false">IF(K135="","",D135)</f>
        <v/>
      </c>
      <c r="P135" s="0" t="str">
        <f aca="false">IF(K135="","",IF(R135,SUMPRODUCT(--($H$2:$H$501=K135),$I$2:$I$501),0))</f>
        <v/>
      </c>
      <c r="Q135" s="0" t="str">
        <f aca="false">IF(K135="","",TRUE())</f>
        <v/>
      </c>
      <c r="R135" s="0" t="str">
        <f aca="false">IF(K135="","",SUMPRODUCT(--($H$2:$H$501=K135))&gt;0)</f>
        <v/>
      </c>
      <c r="S135" s="0" t="str">
        <f aca="false">IF(K135="","",IF(AND(Q135,R135),IF(O135=P135,"Match","Qty Different"),IF(Q135,"Only in List 1","Only in List 2")))</f>
        <v/>
      </c>
      <c r="T135" s="0" t="str">
        <f aca="false">IF(K135="","",IF(ISNUMBER(--L135),TEXT(--L135,"000000000000.000"),LOWER(L135)))</f>
        <v/>
      </c>
      <c r="U135" s="0" t="str">
        <f aca="false">IF(K135="","",IF(ISNUMBER(--M135),TEXT(--M135,"000000000000.000"),LOWER(M135)))</f>
        <v/>
      </c>
      <c r="V135" s="0" t="str">
        <f aca="false">IF(K135="","",LOWER(N135))</f>
        <v/>
      </c>
      <c r="W135" s="0" t="str">
        <f aca="false">IF(K135="","",B135)</f>
        <v/>
      </c>
      <c r="X135" s="0" t="str">
        <f aca="false">IF(K135="","",1+SUMPRODUCT(($K$2:$K$1001&lt;&gt;"")*(($T$2:$T$1001&lt;T135)+($T$2:$T$1001=T135)*(($U$2:$U$1001&lt;U135)+($U$2:$U$1001=U135)*(($V$2:$V$1001&lt;V135)+($V$2:$V$1001=V135)*(($W$2:$W$1001&lt;W135)+($W$2:$W$1001=W135)*(ROW($K$2:$K$1001)&lt;ROW(K135))))))))</f>
        <v/>
      </c>
    </row>
    <row r="136" customFormat="false" ht="15" hidden="false" customHeight="false" outlineLevel="0" collapsed="false">
      <c r="A136" s="0" t="str">
        <f aca="false">IF(TRIM('List 1'!A136&amp;'List 1'!C136&amp;'List 1'!D136)="","",LOWER(IF(OR(Comparison!$I$9="Item # + Part # + Description",Comparison!$I$9="Item # + Part #"),TRIM('List 1'!A136),"")&amp;"|"&amp;TRIM('List 1'!C136)&amp;"|"&amp;IF(OR(Comparison!$I$9="Item # + Part # + Description",Comparison!$I$9="Part # + Description"),TRIM('List 1'!D136),"")))</f>
        <v/>
      </c>
      <c r="B136" s="0" t="str">
        <f aca="false">IF(A136="","",SUMPRODUCT(--($A$2:A136=A136)))</f>
        <v/>
      </c>
      <c r="C136" s="0" t="str">
        <f aca="false">IF(A136="","",A136&amp;"#"&amp;B136)</f>
        <v/>
      </c>
      <c r="D136" s="0" t="str">
        <f aca="false">IF(A136="","",IFERROR(--'List 1'!B136,0))</f>
        <v/>
      </c>
      <c r="F136" s="0" t="str">
        <f aca="false">IF(TRIM('List 2'!A136&amp;'List 2'!C136&amp;'List 2'!D136)="","",LOWER(IF(OR(Comparison!$I$9="Item # + Part # + Description",Comparison!$I$9="Item # + Part #"),TRIM('List 2'!A136),"")&amp;"|"&amp;TRIM('List 2'!C136)&amp;"|"&amp;IF(OR(Comparison!$I$9="Item # + Part # + Description",Comparison!$I$9="Part # + Description"),TRIM('List 2'!D136),"")))</f>
        <v/>
      </c>
      <c r="G136" s="0" t="str">
        <f aca="false">IF(F136="","",SUMPRODUCT(--($F$2:F136=F136)))</f>
        <v/>
      </c>
      <c r="H136" s="0" t="str">
        <f aca="false">IF(F136="","",F136&amp;"#"&amp;G136)</f>
        <v/>
      </c>
      <c r="I136" s="0" t="str">
        <f aca="false">IF(F136="","",IFERROR(--'List 2'!B136,0))</f>
        <v/>
      </c>
      <c r="K136" s="0" t="str">
        <f aca="false">C136</f>
        <v/>
      </c>
      <c r="L136" s="0" t="str">
        <f aca="false">IF(K136="","",IF(ISNUMBER('List 1'!A136),'List 1'!A136,TRIM('List 1'!A136)))</f>
        <v/>
      </c>
      <c r="M136" s="0" t="str">
        <f aca="false">IF(K136="","",IF(ISNUMBER('List 1'!C136),'List 1'!C136,TRIM('List 1'!C136)))</f>
        <v/>
      </c>
      <c r="N136" s="0" t="str">
        <f aca="false">IF(K136="","",IF(ISNUMBER('List 1'!D136),'List 1'!D136,TRIM('List 1'!D136)))</f>
        <v/>
      </c>
      <c r="O136" s="0" t="str">
        <f aca="false">IF(K136="","",D136)</f>
        <v/>
      </c>
      <c r="P136" s="0" t="str">
        <f aca="false">IF(K136="","",IF(R136,SUMPRODUCT(--($H$2:$H$501=K136),$I$2:$I$501),0))</f>
        <v/>
      </c>
      <c r="Q136" s="0" t="str">
        <f aca="false">IF(K136="","",TRUE())</f>
        <v/>
      </c>
      <c r="R136" s="0" t="str">
        <f aca="false">IF(K136="","",SUMPRODUCT(--($H$2:$H$501=K136))&gt;0)</f>
        <v/>
      </c>
      <c r="S136" s="0" t="str">
        <f aca="false">IF(K136="","",IF(AND(Q136,R136),IF(O136=P136,"Match","Qty Different"),IF(Q136,"Only in List 1","Only in List 2")))</f>
        <v/>
      </c>
      <c r="T136" s="0" t="str">
        <f aca="false">IF(K136="","",IF(ISNUMBER(--L136),TEXT(--L136,"000000000000.000"),LOWER(L136)))</f>
        <v/>
      </c>
      <c r="U136" s="0" t="str">
        <f aca="false">IF(K136="","",IF(ISNUMBER(--M136),TEXT(--M136,"000000000000.000"),LOWER(M136)))</f>
        <v/>
      </c>
      <c r="V136" s="0" t="str">
        <f aca="false">IF(K136="","",LOWER(N136))</f>
        <v/>
      </c>
      <c r="W136" s="0" t="str">
        <f aca="false">IF(K136="","",B136)</f>
        <v/>
      </c>
      <c r="X136" s="0" t="str">
        <f aca="false">IF(K136="","",1+SUMPRODUCT(($K$2:$K$1001&lt;&gt;"")*(($T$2:$T$1001&lt;T136)+($T$2:$T$1001=T136)*(($U$2:$U$1001&lt;U136)+($U$2:$U$1001=U136)*(($V$2:$V$1001&lt;V136)+($V$2:$V$1001=V136)*(($W$2:$W$1001&lt;W136)+($W$2:$W$1001=W136)*(ROW($K$2:$K$1001)&lt;ROW(K136))))))))</f>
        <v/>
      </c>
    </row>
    <row r="137" customFormat="false" ht="15" hidden="false" customHeight="false" outlineLevel="0" collapsed="false">
      <c r="A137" s="0" t="str">
        <f aca="false">IF(TRIM('List 1'!A137&amp;'List 1'!C137&amp;'List 1'!D137)="","",LOWER(IF(OR(Comparison!$I$9="Item # + Part # + Description",Comparison!$I$9="Item # + Part #"),TRIM('List 1'!A137),"")&amp;"|"&amp;TRIM('List 1'!C137)&amp;"|"&amp;IF(OR(Comparison!$I$9="Item # + Part # + Description",Comparison!$I$9="Part # + Description"),TRIM('List 1'!D137),"")))</f>
        <v/>
      </c>
      <c r="B137" s="0" t="str">
        <f aca="false">IF(A137="","",SUMPRODUCT(--($A$2:A137=A137)))</f>
        <v/>
      </c>
      <c r="C137" s="0" t="str">
        <f aca="false">IF(A137="","",A137&amp;"#"&amp;B137)</f>
        <v/>
      </c>
      <c r="D137" s="0" t="str">
        <f aca="false">IF(A137="","",IFERROR(--'List 1'!B137,0))</f>
        <v/>
      </c>
      <c r="F137" s="0" t="str">
        <f aca="false">IF(TRIM('List 2'!A137&amp;'List 2'!C137&amp;'List 2'!D137)="","",LOWER(IF(OR(Comparison!$I$9="Item # + Part # + Description",Comparison!$I$9="Item # + Part #"),TRIM('List 2'!A137),"")&amp;"|"&amp;TRIM('List 2'!C137)&amp;"|"&amp;IF(OR(Comparison!$I$9="Item # + Part # + Description",Comparison!$I$9="Part # + Description"),TRIM('List 2'!D137),"")))</f>
        <v/>
      </c>
      <c r="G137" s="0" t="str">
        <f aca="false">IF(F137="","",SUMPRODUCT(--($F$2:F137=F137)))</f>
        <v/>
      </c>
      <c r="H137" s="0" t="str">
        <f aca="false">IF(F137="","",F137&amp;"#"&amp;G137)</f>
        <v/>
      </c>
      <c r="I137" s="0" t="str">
        <f aca="false">IF(F137="","",IFERROR(--'List 2'!B137,0))</f>
        <v/>
      </c>
      <c r="K137" s="0" t="str">
        <f aca="false">C137</f>
        <v/>
      </c>
      <c r="L137" s="0" t="str">
        <f aca="false">IF(K137="","",IF(ISNUMBER('List 1'!A137),'List 1'!A137,TRIM('List 1'!A137)))</f>
        <v/>
      </c>
      <c r="M137" s="0" t="str">
        <f aca="false">IF(K137="","",IF(ISNUMBER('List 1'!C137),'List 1'!C137,TRIM('List 1'!C137)))</f>
        <v/>
      </c>
      <c r="N137" s="0" t="str">
        <f aca="false">IF(K137="","",IF(ISNUMBER('List 1'!D137),'List 1'!D137,TRIM('List 1'!D137)))</f>
        <v/>
      </c>
      <c r="O137" s="0" t="str">
        <f aca="false">IF(K137="","",D137)</f>
        <v/>
      </c>
      <c r="P137" s="0" t="str">
        <f aca="false">IF(K137="","",IF(R137,SUMPRODUCT(--($H$2:$H$501=K137),$I$2:$I$501),0))</f>
        <v/>
      </c>
      <c r="Q137" s="0" t="str">
        <f aca="false">IF(K137="","",TRUE())</f>
        <v/>
      </c>
      <c r="R137" s="0" t="str">
        <f aca="false">IF(K137="","",SUMPRODUCT(--($H$2:$H$501=K137))&gt;0)</f>
        <v/>
      </c>
      <c r="S137" s="0" t="str">
        <f aca="false">IF(K137="","",IF(AND(Q137,R137),IF(O137=P137,"Match","Qty Different"),IF(Q137,"Only in List 1","Only in List 2")))</f>
        <v/>
      </c>
      <c r="T137" s="0" t="str">
        <f aca="false">IF(K137="","",IF(ISNUMBER(--L137),TEXT(--L137,"000000000000.000"),LOWER(L137)))</f>
        <v/>
      </c>
      <c r="U137" s="0" t="str">
        <f aca="false">IF(K137="","",IF(ISNUMBER(--M137),TEXT(--M137,"000000000000.000"),LOWER(M137)))</f>
        <v/>
      </c>
      <c r="V137" s="0" t="str">
        <f aca="false">IF(K137="","",LOWER(N137))</f>
        <v/>
      </c>
      <c r="W137" s="0" t="str">
        <f aca="false">IF(K137="","",B137)</f>
        <v/>
      </c>
      <c r="X137" s="0" t="str">
        <f aca="false">IF(K137="","",1+SUMPRODUCT(($K$2:$K$1001&lt;&gt;"")*(($T$2:$T$1001&lt;T137)+($T$2:$T$1001=T137)*(($U$2:$U$1001&lt;U137)+($U$2:$U$1001=U137)*(($V$2:$V$1001&lt;V137)+($V$2:$V$1001=V137)*(($W$2:$W$1001&lt;W137)+($W$2:$W$1001=W137)*(ROW($K$2:$K$1001)&lt;ROW(K137))))))))</f>
        <v/>
      </c>
    </row>
    <row r="138" customFormat="false" ht="15" hidden="false" customHeight="false" outlineLevel="0" collapsed="false">
      <c r="A138" s="0" t="str">
        <f aca="false">IF(TRIM('List 1'!A138&amp;'List 1'!C138&amp;'List 1'!D138)="","",LOWER(IF(OR(Comparison!$I$9="Item # + Part # + Description",Comparison!$I$9="Item # + Part #"),TRIM('List 1'!A138),"")&amp;"|"&amp;TRIM('List 1'!C138)&amp;"|"&amp;IF(OR(Comparison!$I$9="Item # + Part # + Description",Comparison!$I$9="Part # + Description"),TRIM('List 1'!D138),"")))</f>
        <v/>
      </c>
      <c r="B138" s="0" t="str">
        <f aca="false">IF(A138="","",SUMPRODUCT(--($A$2:A138=A138)))</f>
        <v/>
      </c>
      <c r="C138" s="0" t="str">
        <f aca="false">IF(A138="","",A138&amp;"#"&amp;B138)</f>
        <v/>
      </c>
      <c r="D138" s="0" t="str">
        <f aca="false">IF(A138="","",IFERROR(--'List 1'!B138,0))</f>
        <v/>
      </c>
      <c r="F138" s="0" t="str">
        <f aca="false">IF(TRIM('List 2'!A138&amp;'List 2'!C138&amp;'List 2'!D138)="","",LOWER(IF(OR(Comparison!$I$9="Item # + Part # + Description",Comparison!$I$9="Item # + Part #"),TRIM('List 2'!A138),"")&amp;"|"&amp;TRIM('List 2'!C138)&amp;"|"&amp;IF(OR(Comparison!$I$9="Item # + Part # + Description",Comparison!$I$9="Part # + Description"),TRIM('List 2'!D138),"")))</f>
        <v/>
      </c>
      <c r="G138" s="0" t="str">
        <f aca="false">IF(F138="","",SUMPRODUCT(--($F$2:F138=F138)))</f>
        <v/>
      </c>
      <c r="H138" s="0" t="str">
        <f aca="false">IF(F138="","",F138&amp;"#"&amp;G138)</f>
        <v/>
      </c>
      <c r="I138" s="0" t="str">
        <f aca="false">IF(F138="","",IFERROR(--'List 2'!B138,0))</f>
        <v/>
      </c>
      <c r="K138" s="0" t="str">
        <f aca="false">C138</f>
        <v/>
      </c>
      <c r="L138" s="0" t="str">
        <f aca="false">IF(K138="","",IF(ISNUMBER('List 1'!A138),'List 1'!A138,TRIM('List 1'!A138)))</f>
        <v/>
      </c>
      <c r="M138" s="0" t="str">
        <f aca="false">IF(K138="","",IF(ISNUMBER('List 1'!C138),'List 1'!C138,TRIM('List 1'!C138)))</f>
        <v/>
      </c>
      <c r="N138" s="0" t="str">
        <f aca="false">IF(K138="","",IF(ISNUMBER('List 1'!D138),'List 1'!D138,TRIM('List 1'!D138)))</f>
        <v/>
      </c>
      <c r="O138" s="0" t="str">
        <f aca="false">IF(K138="","",D138)</f>
        <v/>
      </c>
      <c r="P138" s="0" t="str">
        <f aca="false">IF(K138="","",IF(R138,SUMPRODUCT(--($H$2:$H$501=K138),$I$2:$I$501),0))</f>
        <v/>
      </c>
      <c r="Q138" s="0" t="str">
        <f aca="false">IF(K138="","",TRUE())</f>
        <v/>
      </c>
      <c r="R138" s="0" t="str">
        <f aca="false">IF(K138="","",SUMPRODUCT(--($H$2:$H$501=K138))&gt;0)</f>
        <v/>
      </c>
      <c r="S138" s="0" t="str">
        <f aca="false">IF(K138="","",IF(AND(Q138,R138),IF(O138=P138,"Match","Qty Different"),IF(Q138,"Only in List 1","Only in List 2")))</f>
        <v/>
      </c>
      <c r="T138" s="0" t="str">
        <f aca="false">IF(K138="","",IF(ISNUMBER(--L138),TEXT(--L138,"000000000000.000"),LOWER(L138)))</f>
        <v/>
      </c>
      <c r="U138" s="0" t="str">
        <f aca="false">IF(K138="","",IF(ISNUMBER(--M138),TEXT(--M138,"000000000000.000"),LOWER(M138)))</f>
        <v/>
      </c>
      <c r="V138" s="0" t="str">
        <f aca="false">IF(K138="","",LOWER(N138))</f>
        <v/>
      </c>
      <c r="W138" s="0" t="str">
        <f aca="false">IF(K138="","",B138)</f>
        <v/>
      </c>
      <c r="X138" s="0" t="str">
        <f aca="false">IF(K138="","",1+SUMPRODUCT(($K$2:$K$1001&lt;&gt;"")*(($T$2:$T$1001&lt;T138)+($T$2:$T$1001=T138)*(($U$2:$U$1001&lt;U138)+($U$2:$U$1001=U138)*(($V$2:$V$1001&lt;V138)+($V$2:$V$1001=V138)*(($W$2:$W$1001&lt;W138)+($W$2:$W$1001=W138)*(ROW($K$2:$K$1001)&lt;ROW(K138))))))))</f>
        <v/>
      </c>
    </row>
    <row r="139" customFormat="false" ht="15" hidden="false" customHeight="false" outlineLevel="0" collapsed="false">
      <c r="A139" s="0" t="str">
        <f aca="false">IF(TRIM('List 1'!A139&amp;'List 1'!C139&amp;'List 1'!D139)="","",LOWER(IF(OR(Comparison!$I$9="Item # + Part # + Description",Comparison!$I$9="Item # + Part #"),TRIM('List 1'!A139),"")&amp;"|"&amp;TRIM('List 1'!C139)&amp;"|"&amp;IF(OR(Comparison!$I$9="Item # + Part # + Description",Comparison!$I$9="Part # + Description"),TRIM('List 1'!D139),"")))</f>
        <v/>
      </c>
      <c r="B139" s="0" t="str">
        <f aca="false">IF(A139="","",SUMPRODUCT(--($A$2:A139=A139)))</f>
        <v/>
      </c>
      <c r="C139" s="0" t="str">
        <f aca="false">IF(A139="","",A139&amp;"#"&amp;B139)</f>
        <v/>
      </c>
      <c r="D139" s="0" t="str">
        <f aca="false">IF(A139="","",IFERROR(--'List 1'!B139,0))</f>
        <v/>
      </c>
      <c r="F139" s="0" t="str">
        <f aca="false">IF(TRIM('List 2'!A139&amp;'List 2'!C139&amp;'List 2'!D139)="","",LOWER(IF(OR(Comparison!$I$9="Item # + Part # + Description",Comparison!$I$9="Item # + Part #"),TRIM('List 2'!A139),"")&amp;"|"&amp;TRIM('List 2'!C139)&amp;"|"&amp;IF(OR(Comparison!$I$9="Item # + Part # + Description",Comparison!$I$9="Part # + Description"),TRIM('List 2'!D139),"")))</f>
        <v/>
      </c>
      <c r="G139" s="0" t="str">
        <f aca="false">IF(F139="","",SUMPRODUCT(--($F$2:F139=F139)))</f>
        <v/>
      </c>
      <c r="H139" s="0" t="str">
        <f aca="false">IF(F139="","",F139&amp;"#"&amp;G139)</f>
        <v/>
      </c>
      <c r="I139" s="0" t="str">
        <f aca="false">IF(F139="","",IFERROR(--'List 2'!B139,0))</f>
        <v/>
      </c>
      <c r="K139" s="0" t="str">
        <f aca="false">C139</f>
        <v/>
      </c>
      <c r="L139" s="0" t="str">
        <f aca="false">IF(K139="","",IF(ISNUMBER('List 1'!A139),'List 1'!A139,TRIM('List 1'!A139)))</f>
        <v/>
      </c>
      <c r="M139" s="0" t="str">
        <f aca="false">IF(K139="","",IF(ISNUMBER('List 1'!C139),'List 1'!C139,TRIM('List 1'!C139)))</f>
        <v/>
      </c>
      <c r="N139" s="0" t="str">
        <f aca="false">IF(K139="","",IF(ISNUMBER('List 1'!D139),'List 1'!D139,TRIM('List 1'!D139)))</f>
        <v/>
      </c>
      <c r="O139" s="0" t="str">
        <f aca="false">IF(K139="","",D139)</f>
        <v/>
      </c>
      <c r="P139" s="0" t="str">
        <f aca="false">IF(K139="","",IF(R139,SUMPRODUCT(--($H$2:$H$501=K139),$I$2:$I$501),0))</f>
        <v/>
      </c>
      <c r="Q139" s="0" t="str">
        <f aca="false">IF(K139="","",TRUE())</f>
        <v/>
      </c>
      <c r="R139" s="0" t="str">
        <f aca="false">IF(K139="","",SUMPRODUCT(--($H$2:$H$501=K139))&gt;0)</f>
        <v/>
      </c>
      <c r="S139" s="0" t="str">
        <f aca="false">IF(K139="","",IF(AND(Q139,R139),IF(O139=P139,"Match","Qty Different"),IF(Q139,"Only in List 1","Only in List 2")))</f>
        <v/>
      </c>
      <c r="T139" s="0" t="str">
        <f aca="false">IF(K139="","",IF(ISNUMBER(--L139),TEXT(--L139,"000000000000.000"),LOWER(L139)))</f>
        <v/>
      </c>
      <c r="U139" s="0" t="str">
        <f aca="false">IF(K139="","",IF(ISNUMBER(--M139),TEXT(--M139,"000000000000.000"),LOWER(M139)))</f>
        <v/>
      </c>
      <c r="V139" s="0" t="str">
        <f aca="false">IF(K139="","",LOWER(N139))</f>
        <v/>
      </c>
      <c r="W139" s="0" t="str">
        <f aca="false">IF(K139="","",B139)</f>
        <v/>
      </c>
      <c r="X139" s="0" t="str">
        <f aca="false">IF(K139="","",1+SUMPRODUCT(($K$2:$K$1001&lt;&gt;"")*(($T$2:$T$1001&lt;T139)+($T$2:$T$1001=T139)*(($U$2:$U$1001&lt;U139)+($U$2:$U$1001=U139)*(($V$2:$V$1001&lt;V139)+($V$2:$V$1001=V139)*(($W$2:$W$1001&lt;W139)+($W$2:$W$1001=W139)*(ROW($K$2:$K$1001)&lt;ROW(K139))))))))</f>
        <v/>
      </c>
    </row>
    <row r="140" customFormat="false" ht="15" hidden="false" customHeight="false" outlineLevel="0" collapsed="false">
      <c r="A140" s="0" t="str">
        <f aca="false">IF(TRIM('List 1'!A140&amp;'List 1'!C140&amp;'List 1'!D140)="","",LOWER(IF(OR(Comparison!$I$9="Item # + Part # + Description",Comparison!$I$9="Item # + Part #"),TRIM('List 1'!A140),"")&amp;"|"&amp;TRIM('List 1'!C140)&amp;"|"&amp;IF(OR(Comparison!$I$9="Item # + Part # + Description",Comparison!$I$9="Part # + Description"),TRIM('List 1'!D140),"")))</f>
        <v/>
      </c>
      <c r="B140" s="0" t="str">
        <f aca="false">IF(A140="","",SUMPRODUCT(--($A$2:A140=A140)))</f>
        <v/>
      </c>
      <c r="C140" s="0" t="str">
        <f aca="false">IF(A140="","",A140&amp;"#"&amp;B140)</f>
        <v/>
      </c>
      <c r="D140" s="0" t="str">
        <f aca="false">IF(A140="","",IFERROR(--'List 1'!B140,0))</f>
        <v/>
      </c>
      <c r="F140" s="0" t="str">
        <f aca="false">IF(TRIM('List 2'!A140&amp;'List 2'!C140&amp;'List 2'!D140)="","",LOWER(IF(OR(Comparison!$I$9="Item # + Part # + Description",Comparison!$I$9="Item # + Part #"),TRIM('List 2'!A140),"")&amp;"|"&amp;TRIM('List 2'!C140)&amp;"|"&amp;IF(OR(Comparison!$I$9="Item # + Part # + Description",Comparison!$I$9="Part # + Description"),TRIM('List 2'!D140),"")))</f>
        <v/>
      </c>
      <c r="G140" s="0" t="str">
        <f aca="false">IF(F140="","",SUMPRODUCT(--($F$2:F140=F140)))</f>
        <v/>
      </c>
      <c r="H140" s="0" t="str">
        <f aca="false">IF(F140="","",F140&amp;"#"&amp;G140)</f>
        <v/>
      </c>
      <c r="I140" s="0" t="str">
        <f aca="false">IF(F140="","",IFERROR(--'List 2'!B140,0))</f>
        <v/>
      </c>
      <c r="K140" s="0" t="str">
        <f aca="false">C140</f>
        <v/>
      </c>
      <c r="L140" s="0" t="str">
        <f aca="false">IF(K140="","",IF(ISNUMBER('List 1'!A140),'List 1'!A140,TRIM('List 1'!A140)))</f>
        <v/>
      </c>
      <c r="M140" s="0" t="str">
        <f aca="false">IF(K140="","",IF(ISNUMBER('List 1'!C140),'List 1'!C140,TRIM('List 1'!C140)))</f>
        <v/>
      </c>
      <c r="N140" s="0" t="str">
        <f aca="false">IF(K140="","",IF(ISNUMBER('List 1'!D140),'List 1'!D140,TRIM('List 1'!D140)))</f>
        <v/>
      </c>
      <c r="O140" s="0" t="str">
        <f aca="false">IF(K140="","",D140)</f>
        <v/>
      </c>
      <c r="P140" s="0" t="str">
        <f aca="false">IF(K140="","",IF(R140,SUMPRODUCT(--($H$2:$H$501=K140),$I$2:$I$501),0))</f>
        <v/>
      </c>
      <c r="Q140" s="0" t="str">
        <f aca="false">IF(K140="","",TRUE())</f>
        <v/>
      </c>
      <c r="R140" s="0" t="str">
        <f aca="false">IF(K140="","",SUMPRODUCT(--($H$2:$H$501=K140))&gt;0)</f>
        <v/>
      </c>
      <c r="S140" s="0" t="str">
        <f aca="false">IF(K140="","",IF(AND(Q140,R140),IF(O140=P140,"Match","Qty Different"),IF(Q140,"Only in List 1","Only in List 2")))</f>
        <v/>
      </c>
      <c r="T140" s="0" t="str">
        <f aca="false">IF(K140="","",IF(ISNUMBER(--L140),TEXT(--L140,"000000000000.000"),LOWER(L140)))</f>
        <v/>
      </c>
      <c r="U140" s="0" t="str">
        <f aca="false">IF(K140="","",IF(ISNUMBER(--M140),TEXT(--M140,"000000000000.000"),LOWER(M140)))</f>
        <v/>
      </c>
      <c r="V140" s="0" t="str">
        <f aca="false">IF(K140="","",LOWER(N140))</f>
        <v/>
      </c>
      <c r="W140" s="0" t="str">
        <f aca="false">IF(K140="","",B140)</f>
        <v/>
      </c>
      <c r="X140" s="0" t="str">
        <f aca="false">IF(K140="","",1+SUMPRODUCT(($K$2:$K$1001&lt;&gt;"")*(($T$2:$T$1001&lt;T140)+($T$2:$T$1001=T140)*(($U$2:$U$1001&lt;U140)+($U$2:$U$1001=U140)*(($V$2:$V$1001&lt;V140)+($V$2:$V$1001=V140)*(($W$2:$W$1001&lt;W140)+($W$2:$W$1001=W140)*(ROW($K$2:$K$1001)&lt;ROW(K140))))))))</f>
        <v/>
      </c>
    </row>
    <row r="141" customFormat="false" ht="15" hidden="false" customHeight="false" outlineLevel="0" collapsed="false">
      <c r="A141" s="0" t="str">
        <f aca="false">IF(TRIM('List 1'!A141&amp;'List 1'!C141&amp;'List 1'!D141)="","",LOWER(IF(OR(Comparison!$I$9="Item # + Part # + Description",Comparison!$I$9="Item # + Part #"),TRIM('List 1'!A141),"")&amp;"|"&amp;TRIM('List 1'!C141)&amp;"|"&amp;IF(OR(Comparison!$I$9="Item # + Part # + Description",Comparison!$I$9="Part # + Description"),TRIM('List 1'!D141),"")))</f>
        <v/>
      </c>
      <c r="B141" s="0" t="str">
        <f aca="false">IF(A141="","",SUMPRODUCT(--($A$2:A141=A141)))</f>
        <v/>
      </c>
      <c r="C141" s="0" t="str">
        <f aca="false">IF(A141="","",A141&amp;"#"&amp;B141)</f>
        <v/>
      </c>
      <c r="D141" s="0" t="str">
        <f aca="false">IF(A141="","",IFERROR(--'List 1'!B141,0))</f>
        <v/>
      </c>
      <c r="F141" s="0" t="str">
        <f aca="false">IF(TRIM('List 2'!A141&amp;'List 2'!C141&amp;'List 2'!D141)="","",LOWER(IF(OR(Comparison!$I$9="Item # + Part # + Description",Comparison!$I$9="Item # + Part #"),TRIM('List 2'!A141),"")&amp;"|"&amp;TRIM('List 2'!C141)&amp;"|"&amp;IF(OR(Comparison!$I$9="Item # + Part # + Description",Comparison!$I$9="Part # + Description"),TRIM('List 2'!D141),"")))</f>
        <v/>
      </c>
      <c r="G141" s="0" t="str">
        <f aca="false">IF(F141="","",SUMPRODUCT(--($F$2:F141=F141)))</f>
        <v/>
      </c>
      <c r="H141" s="0" t="str">
        <f aca="false">IF(F141="","",F141&amp;"#"&amp;G141)</f>
        <v/>
      </c>
      <c r="I141" s="0" t="str">
        <f aca="false">IF(F141="","",IFERROR(--'List 2'!B141,0))</f>
        <v/>
      </c>
      <c r="K141" s="0" t="str">
        <f aca="false">C141</f>
        <v/>
      </c>
      <c r="L141" s="0" t="str">
        <f aca="false">IF(K141="","",IF(ISNUMBER('List 1'!A141),'List 1'!A141,TRIM('List 1'!A141)))</f>
        <v/>
      </c>
      <c r="M141" s="0" t="str">
        <f aca="false">IF(K141="","",IF(ISNUMBER('List 1'!C141),'List 1'!C141,TRIM('List 1'!C141)))</f>
        <v/>
      </c>
      <c r="N141" s="0" t="str">
        <f aca="false">IF(K141="","",IF(ISNUMBER('List 1'!D141),'List 1'!D141,TRIM('List 1'!D141)))</f>
        <v/>
      </c>
      <c r="O141" s="0" t="str">
        <f aca="false">IF(K141="","",D141)</f>
        <v/>
      </c>
      <c r="P141" s="0" t="str">
        <f aca="false">IF(K141="","",IF(R141,SUMPRODUCT(--($H$2:$H$501=K141),$I$2:$I$501),0))</f>
        <v/>
      </c>
      <c r="Q141" s="0" t="str">
        <f aca="false">IF(K141="","",TRUE())</f>
        <v/>
      </c>
      <c r="R141" s="0" t="str">
        <f aca="false">IF(K141="","",SUMPRODUCT(--($H$2:$H$501=K141))&gt;0)</f>
        <v/>
      </c>
      <c r="S141" s="0" t="str">
        <f aca="false">IF(K141="","",IF(AND(Q141,R141),IF(O141=P141,"Match","Qty Different"),IF(Q141,"Only in List 1","Only in List 2")))</f>
        <v/>
      </c>
      <c r="T141" s="0" t="str">
        <f aca="false">IF(K141="","",IF(ISNUMBER(--L141),TEXT(--L141,"000000000000.000"),LOWER(L141)))</f>
        <v/>
      </c>
      <c r="U141" s="0" t="str">
        <f aca="false">IF(K141="","",IF(ISNUMBER(--M141),TEXT(--M141,"000000000000.000"),LOWER(M141)))</f>
        <v/>
      </c>
      <c r="V141" s="0" t="str">
        <f aca="false">IF(K141="","",LOWER(N141))</f>
        <v/>
      </c>
      <c r="W141" s="0" t="str">
        <f aca="false">IF(K141="","",B141)</f>
        <v/>
      </c>
      <c r="X141" s="0" t="str">
        <f aca="false">IF(K141="","",1+SUMPRODUCT(($K$2:$K$1001&lt;&gt;"")*(($T$2:$T$1001&lt;T141)+($T$2:$T$1001=T141)*(($U$2:$U$1001&lt;U141)+($U$2:$U$1001=U141)*(($V$2:$V$1001&lt;V141)+($V$2:$V$1001=V141)*(($W$2:$W$1001&lt;W141)+($W$2:$W$1001=W141)*(ROW($K$2:$K$1001)&lt;ROW(K141))))))))</f>
        <v/>
      </c>
    </row>
    <row r="142" customFormat="false" ht="15" hidden="false" customHeight="false" outlineLevel="0" collapsed="false">
      <c r="A142" s="0" t="str">
        <f aca="false">IF(TRIM('List 1'!A142&amp;'List 1'!C142&amp;'List 1'!D142)="","",LOWER(IF(OR(Comparison!$I$9="Item # + Part # + Description",Comparison!$I$9="Item # + Part #"),TRIM('List 1'!A142),"")&amp;"|"&amp;TRIM('List 1'!C142)&amp;"|"&amp;IF(OR(Comparison!$I$9="Item # + Part # + Description",Comparison!$I$9="Part # + Description"),TRIM('List 1'!D142),"")))</f>
        <v/>
      </c>
      <c r="B142" s="0" t="str">
        <f aca="false">IF(A142="","",SUMPRODUCT(--($A$2:A142=A142)))</f>
        <v/>
      </c>
      <c r="C142" s="0" t="str">
        <f aca="false">IF(A142="","",A142&amp;"#"&amp;B142)</f>
        <v/>
      </c>
      <c r="D142" s="0" t="str">
        <f aca="false">IF(A142="","",IFERROR(--'List 1'!B142,0))</f>
        <v/>
      </c>
      <c r="F142" s="0" t="str">
        <f aca="false">IF(TRIM('List 2'!A142&amp;'List 2'!C142&amp;'List 2'!D142)="","",LOWER(IF(OR(Comparison!$I$9="Item # + Part # + Description",Comparison!$I$9="Item # + Part #"),TRIM('List 2'!A142),"")&amp;"|"&amp;TRIM('List 2'!C142)&amp;"|"&amp;IF(OR(Comparison!$I$9="Item # + Part # + Description",Comparison!$I$9="Part # + Description"),TRIM('List 2'!D142),"")))</f>
        <v/>
      </c>
      <c r="G142" s="0" t="str">
        <f aca="false">IF(F142="","",SUMPRODUCT(--($F$2:F142=F142)))</f>
        <v/>
      </c>
      <c r="H142" s="0" t="str">
        <f aca="false">IF(F142="","",F142&amp;"#"&amp;G142)</f>
        <v/>
      </c>
      <c r="I142" s="0" t="str">
        <f aca="false">IF(F142="","",IFERROR(--'List 2'!B142,0))</f>
        <v/>
      </c>
      <c r="K142" s="0" t="str">
        <f aca="false">C142</f>
        <v/>
      </c>
      <c r="L142" s="0" t="str">
        <f aca="false">IF(K142="","",IF(ISNUMBER('List 1'!A142),'List 1'!A142,TRIM('List 1'!A142)))</f>
        <v/>
      </c>
      <c r="M142" s="0" t="str">
        <f aca="false">IF(K142="","",IF(ISNUMBER('List 1'!C142),'List 1'!C142,TRIM('List 1'!C142)))</f>
        <v/>
      </c>
      <c r="N142" s="0" t="str">
        <f aca="false">IF(K142="","",IF(ISNUMBER('List 1'!D142),'List 1'!D142,TRIM('List 1'!D142)))</f>
        <v/>
      </c>
      <c r="O142" s="0" t="str">
        <f aca="false">IF(K142="","",D142)</f>
        <v/>
      </c>
      <c r="P142" s="0" t="str">
        <f aca="false">IF(K142="","",IF(R142,SUMPRODUCT(--($H$2:$H$501=K142),$I$2:$I$501),0))</f>
        <v/>
      </c>
      <c r="Q142" s="0" t="str">
        <f aca="false">IF(K142="","",TRUE())</f>
        <v/>
      </c>
      <c r="R142" s="0" t="str">
        <f aca="false">IF(K142="","",SUMPRODUCT(--($H$2:$H$501=K142))&gt;0)</f>
        <v/>
      </c>
      <c r="S142" s="0" t="str">
        <f aca="false">IF(K142="","",IF(AND(Q142,R142),IF(O142=P142,"Match","Qty Different"),IF(Q142,"Only in List 1","Only in List 2")))</f>
        <v/>
      </c>
      <c r="T142" s="0" t="str">
        <f aca="false">IF(K142="","",IF(ISNUMBER(--L142),TEXT(--L142,"000000000000.000"),LOWER(L142)))</f>
        <v/>
      </c>
      <c r="U142" s="0" t="str">
        <f aca="false">IF(K142="","",IF(ISNUMBER(--M142),TEXT(--M142,"000000000000.000"),LOWER(M142)))</f>
        <v/>
      </c>
      <c r="V142" s="0" t="str">
        <f aca="false">IF(K142="","",LOWER(N142))</f>
        <v/>
      </c>
      <c r="W142" s="0" t="str">
        <f aca="false">IF(K142="","",B142)</f>
        <v/>
      </c>
      <c r="X142" s="0" t="str">
        <f aca="false">IF(K142="","",1+SUMPRODUCT(($K$2:$K$1001&lt;&gt;"")*(($T$2:$T$1001&lt;T142)+($T$2:$T$1001=T142)*(($U$2:$U$1001&lt;U142)+($U$2:$U$1001=U142)*(($V$2:$V$1001&lt;V142)+($V$2:$V$1001=V142)*(($W$2:$W$1001&lt;W142)+($W$2:$W$1001=W142)*(ROW($K$2:$K$1001)&lt;ROW(K142))))))))</f>
        <v/>
      </c>
    </row>
    <row r="143" customFormat="false" ht="15" hidden="false" customHeight="false" outlineLevel="0" collapsed="false">
      <c r="A143" s="0" t="str">
        <f aca="false">IF(TRIM('List 1'!A143&amp;'List 1'!C143&amp;'List 1'!D143)="","",LOWER(IF(OR(Comparison!$I$9="Item # + Part # + Description",Comparison!$I$9="Item # + Part #"),TRIM('List 1'!A143),"")&amp;"|"&amp;TRIM('List 1'!C143)&amp;"|"&amp;IF(OR(Comparison!$I$9="Item # + Part # + Description",Comparison!$I$9="Part # + Description"),TRIM('List 1'!D143),"")))</f>
        <v/>
      </c>
      <c r="B143" s="0" t="str">
        <f aca="false">IF(A143="","",SUMPRODUCT(--($A$2:A143=A143)))</f>
        <v/>
      </c>
      <c r="C143" s="0" t="str">
        <f aca="false">IF(A143="","",A143&amp;"#"&amp;B143)</f>
        <v/>
      </c>
      <c r="D143" s="0" t="str">
        <f aca="false">IF(A143="","",IFERROR(--'List 1'!B143,0))</f>
        <v/>
      </c>
      <c r="F143" s="0" t="str">
        <f aca="false">IF(TRIM('List 2'!A143&amp;'List 2'!C143&amp;'List 2'!D143)="","",LOWER(IF(OR(Comparison!$I$9="Item # + Part # + Description",Comparison!$I$9="Item # + Part #"),TRIM('List 2'!A143),"")&amp;"|"&amp;TRIM('List 2'!C143)&amp;"|"&amp;IF(OR(Comparison!$I$9="Item # + Part # + Description",Comparison!$I$9="Part # + Description"),TRIM('List 2'!D143),"")))</f>
        <v/>
      </c>
      <c r="G143" s="0" t="str">
        <f aca="false">IF(F143="","",SUMPRODUCT(--($F$2:F143=F143)))</f>
        <v/>
      </c>
      <c r="H143" s="0" t="str">
        <f aca="false">IF(F143="","",F143&amp;"#"&amp;G143)</f>
        <v/>
      </c>
      <c r="I143" s="0" t="str">
        <f aca="false">IF(F143="","",IFERROR(--'List 2'!B143,0))</f>
        <v/>
      </c>
      <c r="K143" s="0" t="str">
        <f aca="false">C143</f>
        <v/>
      </c>
      <c r="L143" s="0" t="str">
        <f aca="false">IF(K143="","",IF(ISNUMBER('List 1'!A143),'List 1'!A143,TRIM('List 1'!A143)))</f>
        <v/>
      </c>
      <c r="M143" s="0" t="str">
        <f aca="false">IF(K143="","",IF(ISNUMBER('List 1'!C143),'List 1'!C143,TRIM('List 1'!C143)))</f>
        <v/>
      </c>
      <c r="N143" s="0" t="str">
        <f aca="false">IF(K143="","",IF(ISNUMBER('List 1'!D143),'List 1'!D143,TRIM('List 1'!D143)))</f>
        <v/>
      </c>
      <c r="O143" s="0" t="str">
        <f aca="false">IF(K143="","",D143)</f>
        <v/>
      </c>
      <c r="P143" s="0" t="str">
        <f aca="false">IF(K143="","",IF(R143,SUMPRODUCT(--($H$2:$H$501=K143),$I$2:$I$501),0))</f>
        <v/>
      </c>
      <c r="Q143" s="0" t="str">
        <f aca="false">IF(K143="","",TRUE())</f>
        <v/>
      </c>
      <c r="R143" s="0" t="str">
        <f aca="false">IF(K143="","",SUMPRODUCT(--($H$2:$H$501=K143))&gt;0)</f>
        <v/>
      </c>
      <c r="S143" s="0" t="str">
        <f aca="false">IF(K143="","",IF(AND(Q143,R143),IF(O143=P143,"Match","Qty Different"),IF(Q143,"Only in List 1","Only in List 2")))</f>
        <v/>
      </c>
      <c r="T143" s="0" t="str">
        <f aca="false">IF(K143="","",IF(ISNUMBER(--L143),TEXT(--L143,"000000000000.000"),LOWER(L143)))</f>
        <v/>
      </c>
      <c r="U143" s="0" t="str">
        <f aca="false">IF(K143="","",IF(ISNUMBER(--M143),TEXT(--M143,"000000000000.000"),LOWER(M143)))</f>
        <v/>
      </c>
      <c r="V143" s="0" t="str">
        <f aca="false">IF(K143="","",LOWER(N143))</f>
        <v/>
      </c>
      <c r="W143" s="0" t="str">
        <f aca="false">IF(K143="","",B143)</f>
        <v/>
      </c>
      <c r="X143" s="0" t="str">
        <f aca="false">IF(K143="","",1+SUMPRODUCT(($K$2:$K$1001&lt;&gt;"")*(($T$2:$T$1001&lt;T143)+($T$2:$T$1001=T143)*(($U$2:$U$1001&lt;U143)+($U$2:$U$1001=U143)*(($V$2:$V$1001&lt;V143)+($V$2:$V$1001=V143)*(($W$2:$W$1001&lt;W143)+($W$2:$W$1001=W143)*(ROW($K$2:$K$1001)&lt;ROW(K143))))))))</f>
        <v/>
      </c>
    </row>
    <row r="144" customFormat="false" ht="15" hidden="false" customHeight="false" outlineLevel="0" collapsed="false">
      <c r="A144" s="0" t="str">
        <f aca="false">IF(TRIM('List 1'!A144&amp;'List 1'!C144&amp;'List 1'!D144)="","",LOWER(IF(OR(Comparison!$I$9="Item # + Part # + Description",Comparison!$I$9="Item # + Part #"),TRIM('List 1'!A144),"")&amp;"|"&amp;TRIM('List 1'!C144)&amp;"|"&amp;IF(OR(Comparison!$I$9="Item # + Part # + Description",Comparison!$I$9="Part # + Description"),TRIM('List 1'!D144),"")))</f>
        <v/>
      </c>
      <c r="B144" s="0" t="str">
        <f aca="false">IF(A144="","",SUMPRODUCT(--($A$2:A144=A144)))</f>
        <v/>
      </c>
      <c r="C144" s="0" t="str">
        <f aca="false">IF(A144="","",A144&amp;"#"&amp;B144)</f>
        <v/>
      </c>
      <c r="D144" s="0" t="str">
        <f aca="false">IF(A144="","",IFERROR(--'List 1'!B144,0))</f>
        <v/>
      </c>
      <c r="F144" s="0" t="str">
        <f aca="false">IF(TRIM('List 2'!A144&amp;'List 2'!C144&amp;'List 2'!D144)="","",LOWER(IF(OR(Comparison!$I$9="Item # + Part # + Description",Comparison!$I$9="Item # + Part #"),TRIM('List 2'!A144),"")&amp;"|"&amp;TRIM('List 2'!C144)&amp;"|"&amp;IF(OR(Comparison!$I$9="Item # + Part # + Description",Comparison!$I$9="Part # + Description"),TRIM('List 2'!D144),"")))</f>
        <v/>
      </c>
      <c r="G144" s="0" t="str">
        <f aca="false">IF(F144="","",SUMPRODUCT(--($F$2:F144=F144)))</f>
        <v/>
      </c>
      <c r="H144" s="0" t="str">
        <f aca="false">IF(F144="","",F144&amp;"#"&amp;G144)</f>
        <v/>
      </c>
      <c r="I144" s="0" t="str">
        <f aca="false">IF(F144="","",IFERROR(--'List 2'!B144,0))</f>
        <v/>
      </c>
      <c r="K144" s="0" t="str">
        <f aca="false">C144</f>
        <v/>
      </c>
      <c r="L144" s="0" t="str">
        <f aca="false">IF(K144="","",IF(ISNUMBER('List 1'!A144),'List 1'!A144,TRIM('List 1'!A144)))</f>
        <v/>
      </c>
      <c r="M144" s="0" t="str">
        <f aca="false">IF(K144="","",IF(ISNUMBER('List 1'!C144),'List 1'!C144,TRIM('List 1'!C144)))</f>
        <v/>
      </c>
      <c r="N144" s="0" t="str">
        <f aca="false">IF(K144="","",IF(ISNUMBER('List 1'!D144),'List 1'!D144,TRIM('List 1'!D144)))</f>
        <v/>
      </c>
      <c r="O144" s="0" t="str">
        <f aca="false">IF(K144="","",D144)</f>
        <v/>
      </c>
      <c r="P144" s="0" t="str">
        <f aca="false">IF(K144="","",IF(R144,SUMPRODUCT(--($H$2:$H$501=K144),$I$2:$I$501),0))</f>
        <v/>
      </c>
      <c r="Q144" s="0" t="str">
        <f aca="false">IF(K144="","",TRUE())</f>
        <v/>
      </c>
      <c r="R144" s="0" t="str">
        <f aca="false">IF(K144="","",SUMPRODUCT(--($H$2:$H$501=K144))&gt;0)</f>
        <v/>
      </c>
      <c r="S144" s="0" t="str">
        <f aca="false">IF(K144="","",IF(AND(Q144,R144),IF(O144=P144,"Match","Qty Different"),IF(Q144,"Only in List 1","Only in List 2")))</f>
        <v/>
      </c>
      <c r="T144" s="0" t="str">
        <f aca="false">IF(K144="","",IF(ISNUMBER(--L144),TEXT(--L144,"000000000000.000"),LOWER(L144)))</f>
        <v/>
      </c>
      <c r="U144" s="0" t="str">
        <f aca="false">IF(K144="","",IF(ISNUMBER(--M144),TEXT(--M144,"000000000000.000"),LOWER(M144)))</f>
        <v/>
      </c>
      <c r="V144" s="0" t="str">
        <f aca="false">IF(K144="","",LOWER(N144))</f>
        <v/>
      </c>
      <c r="W144" s="0" t="str">
        <f aca="false">IF(K144="","",B144)</f>
        <v/>
      </c>
      <c r="X144" s="0" t="str">
        <f aca="false">IF(K144="","",1+SUMPRODUCT(($K$2:$K$1001&lt;&gt;"")*(($T$2:$T$1001&lt;T144)+($T$2:$T$1001=T144)*(($U$2:$U$1001&lt;U144)+($U$2:$U$1001=U144)*(($V$2:$V$1001&lt;V144)+($V$2:$V$1001=V144)*(($W$2:$W$1001&lt;W144)+($W$2:$W$1001=W144)*(ROW($K$2:$K$1001)&lt;ROW(K144))))))))</f>
        <v/>
      </c>
    </row>
    <row r="145" customFormat="false" ht="15" hidden="false" customHeight="false" outlineLevel="0" collapsed="false">
      <c r="A145" s="0" t="str">
        <f aca="false">IF(TRIM('List 1'!A145&amp;'List 1'!C145&amp;'List 1'!D145)="","",LOWER(IF(OR(Comparison!$I$9="Item # + Part # + Description",Comparison!$I$9="Item # + Part #"),TRIM('List 1'!A145),"")&amp;"|"&amp;TRIM('List 1'!C145)&amp;"|"&amp;IF(OR(Comparison!$I$9="Item # + Part # + Description",Comparison!$I$9="Part # + Description"),TRIM('List 1'!D145),"")))</f>
        <v/>
      </c>
      <c r="B145" s="0" t="str">
        <f aca="false">IF(A145="","",SUMPRODUCT(--($A$2:A145=A145)))</f>
        <v/>
      </c>
      <c r="C145" s="0" t="str">
        <f aca="false">IF(A145="","",A145&amp;"#"&amp;B145)</f>
        <v/>
      </c>
      <c r="D145" s="0" t="str">
        <f aca="false">IF(A145="","",IFERROR(--'List 1'!B145,0))</f>
        <v/>
      </c>
      <c r="F145" s="0" t="str">
        <f aca="false">IF(TRIM('List 2'!A145&amp;'List 2'!C145&amp;'List 2'!D145)="","",LOWER(IF(OR(Comparison!$I$9="Item # + Part # + Description",Comparison!$I$9="Item # + Part #"),TRIM('List 2'!A145),"")&amp;"|"&amp;TRIM('List 2'!C145)&amp;"|"&amp;IF(OR(Comparison!$I$9="Item # + Part # + Description",Comparison!$I$9="Part # + Description"),TRIM('List 2'!D145),"")))</f>
        <v/>
      </c>
      <c r="G145" s="0" t="str">
        <f aca="false">IF(F145="","",SUMPRODUCT(--($F$2:F145=F145)))</f>
        <v/>
      </c>
      <c r="H145" s="0" t="str">
        <f aca="false">IF(F145="","",F145&amp;"#"&amp;G145)</f>
        <v/>
      </c>
      <c r="I145" s="0" t="str">
        <f aca="false">IF(F145="","",IFERROR(--'List 2'!B145,0))</f>
        <v/>
      </c>
      <c r="K145" s="0" t="str">
        <f aca="false">C145</f>
        <v/>
      </c>
      <c r="L145" s="0" t="str">
        <f aca="false">IF(K145="","",IF(ISNUMBER('List 1'!A145),'List 1'!A145,TRIM('List 1'!A145)))</f>
        <v/>
      </c>
      <c r="M145" s="0" t="str">
        <f aca="false">IF(K145="","",IF(ISNUMBER('List 1'!C145),'List 1'!C145,TRIM('List 1'!C145)))</f>
        <v/>
      </c>
      <c r="N145" s="0" t="str">
        <f aca="false">IF(K145="","",IF(ISNUMBER('List 1'!D145),'List 1'!D145,TRIM('List 1'!D145)))</f>
        <v/>
      </c>
      <c r="O145" s="0" t="str">
        <f aca="false">IF(K145="","",D145)</f>
        <v/>
      </c>
      <c r="P145" s="0" t="str">
        <f aca="false">IF(K145="","",IF(R145,SUMPRODUCT(--($H$2:$H$501=K145),$I$2:$I$501),0))</f>
        <v/>
      </c>
      <c r="Q145" s="0" t="str">
        <f aca="false">IF(K145="","",TRUE())</f>
        <v/>
      </c>
      <c r="R145" s="0" t="str">
        <f aca="false">IF(K145="","",SUMPRODUCT(--($H$2:$H$501=K145))&gt;0)</f>
        <v/>
      </c>
      <c r="S145" s="0" t="str">
        <f aca="false">IF(K145="","",IF(AND(Q145,R145),IF(O145=P145,"Match","Qty Different"),IF(Q145,"Only in List 1","Only in List 2")))</f>
        <v/>
      </c>
      <c r="T145" s="0" t="str">
        <f aca="false">IF(K145="","",IF(ISNUMBER(--L145),TEXT(--L145,"000000000000.000"),LOWER(L145)))</f>
        <v/>
      </c>
      <c r="U145" s="0" t="str">
        <f aca="false">IF(K145="","",IF(ISNUMBER(--M145),TEXT(--M145,"000000000000.000"),LOWER(M145)))</f>
        <v/>
      </c>
      <c r="V145" s="0" t="str">
        <f aca="false">IF(K145="","",LOWER(N145))</f>
        <v/>
      </c>
      <c r="W145" s="0" t="str">
        <f aca="false">IF(K145="","",B145)</f>
        <v/>
      </c>
      <c r="X145" s="0" t="str">
        <f aca="false">IF(K145="","",1+SUMPRODUCT(($K$2:$K$1001&lt;&gt;"")*(($T$2:$T$1001&lt;T145)+($T$2:$T$1001=T145)*(($U$2:$U$1001&lt;U145)+($U$2:$U$1001=U145)*(($V$2:$V$1001&lt;V145)+($V$2:$V$1001=V145)*(($W$2:$W$1001&lt;W145)+($W$2:$W$1001=W145)*(ROW($K$2:$K$1001)&lt;ROW(K145))))))))</f>
        <v/>
      </c>
    </row>
    <row r="146" customFormat="false" ht="15" hidden="false" customHeight="false" outlineLevel="0" collapsed="false">
      <c r="A146" s="0" t="str">
        <f aca="false">IF(TRIM('List 1'!A146&amp;'List 1'!C146&amp;'List 1'!D146)="","",LOWER(IF(OR(Comparison!$I$9="Item # + Part # + Description",Comparison!$I$9="Item # + Part #"),TRIM('List 1'!A146),"")&amp;"|"&amp;TRIM('List 1'!C146)&amp;"|"&amp;IF(OR(Comparison!$I$9="Item # + Part # + Description",Comparison!$I$9="Part # + Description"),TRIM('List 1'!D146),"")))</f>
        <v/>
      </c>
      <c r="B146" s="0" t="str">
        <f aca="false">IF(A146="","",SUMPRODUCT(--($A$2:A146=A146)))</f>
        <v/>
      </c>
      <c r="C146" s="0" t="str">
        <f aca="false">IF(A146="","",A146&amp;"#"&amp;B146)</f>
        <v/>
      </c>
      <c r="D146" s="0" t="str">
        <f aca="false">IF(A146="","",IFERROR(--'List 1'!B146,0))</f>
        <v/>
      </c>
      <c r="F146" s="0" t="str">
        <f aca="false">IF(TRIM('List 2'!A146&amp;'List 2'!C146&amp;'List 2'!D146)="","",LOWER(IF(OR(Comparison!$I$9="Item # + Part # + Description",Comparison!$I$9="Item # + Part #"),TRIM('List 2'!A146),"")&amp;"|"&amp;TRIM('List 2'!C146)&amp;"|"&amp;IF(OR(Comparison!$I$9="Item # + Part # + Description",Comparison!$I$9="Part # + Description"),TRIM('List 2'!D146),"")))</f>
        <v/>
      </c>
      <c r="G146" s="0" t="str">
        <f aca="false">IF(F146="","",SUMPRODUCT(--($F$2:F146=F146)))</f>
        <v/>
      </c>
      <c r="H146" s="0" t="str">
        <f aca="false">IF(F146="","",F146&amp;"#"&amp;G146)</f>
        <v/>
      </c>
      <c r="I146" s="0" t="str">
        <f aca="false">IF(F146="","",IFERROR(--'List 2'!B146,0))</f>
        <v/>
      </c>
      <c r="K146" s="0" t="str">
        <f aca="false">C146</f>
        <v/>
      </c>
      <c r="L146" s="0" t="str">
        <f aca="false">IF(K146="","",IF(ISNUMBER('List 1'!A146),'List 1'!A146,TRIM('List 1'!A146)))</f>
        <v/>
      </c>
      <c r="M146" s="0" t="str">
        <f aca="false">IF(K146="","",IF(ISNUMBER('List 1'!C146),'List 1'!C146,TRIM('List 1'!C146)))</f>
        <v/>
      </c>
      <c r="N146" s="0" t="str">
        <f aca="false">IF(K146="","",IF(ISNUMBER('List 1'!D146),'List 1'!D146,TRIM('List 1'!D146)))</f>
        <v/>
      </c>
      <c r="O146" s="0" t="str">
        <f aca="false">IF(K146="","",D146)</f>
        <v/>
      </c>
      <c r="P146" s="0" t="str">
        <f aca="false">IF(K146="","",IF(R146,SUMPRODUCT(--($H$2:$H$501=K146),$I$2:$I$501),0))</f>
        <v/>
      </c>
      <c r="Q146" s="0" t="str">
        <f aca="false">IF(K146="","",TRUE())</f>
        <v/>
      </c>
      <c r="R146" s="0" t="str">
        <f aca="false">IF(K146="","",SUMPRODUCT(--($H$2:$H$501=K146))&gt;0)</f>
        <v/>
      </c>
      <c r="S146" s="0" t="str">
        <f aca="false">IF(K146="","",IF(AND(Q146,R146),IF(O146=P146,"Match","Qty Different"),IF(Q146,"Only in List 1","Only in List 2")))</f>
        <v/>
      </c>
      <c r="T146" s="0" t="str">
        <f aca="false">IF(K146="","",IF(ISNUMBER(--L146),TEXT(--L146,"000000000000.000"),LOWER(L146)))</f>
        <v/>
      </c>
      <c r="U146" s="0" t="str">
        <f aca="false">IF(K146="","",IF(ISNUMBER(--M146),TEXT(--M146,"000000000000.000"),LOWER(M146)))</f>
        <v/>
      </c>
      <c r="V146" s="0" t="str">
        <f aca="false">IF(K146="","",LOWER(N146))</f>
        <v/>
      </c>
      <c r="W146" s="0" t="str">
        <f aca="false">IF(K146="","",B146)</f>
        <v/>
      </c>
      <c r="X146" s="0" t="str">
        <f aca="false">IF(K146="","",1+SUMPRODUCT(($K$2:$K$1001&lt;&gt;"")*(($T$2:$T$1001&lt;T146)+($T$2:$T$1001=T146)*(($U$2:$U$1001&lt;U146)+($U$2:$U$1001=U146)*(($V$2:$V$1001&lt;V146)+($V$2:$V$1001=V146)*(($W$2:$W$1001&lt;W146)+($W$2:$W$1001=W146)*(ROW($K$2:$K$1001)&lt;ROW(K146))))))))</f>
        <v/>
      </c>
    </row>
    <row r="147" customFormat="false" ht="15" hidden="false" customHeight="false" outlineLevel="0" collapsed="false">
      <c r="A147" s="0" t="str">
        <f aca="false">IF(TRIM('List 1'!A147&amp;'List 1'!C147&amp;'List 1'!D147)="","",LOWER(IF(OR(Comparison!$I$9="Item # + Part # + Description",Comparison!$I$9="Item # + Part #"),TRIM('List 1'!A147),"")&amp;"|"&amp;TRIM('List 1'!C147)&amp;"|"&amp;IF(OR(Comparison!$I$9="Item # + Part # + Description",Comparison!$I$9="Part # + Description"),TRIM('List 1'!D147),"")))</f>
        <v/>
      </c>
      <c r="B147" s="0" t="str">
        <f aca="false">IF(A147="","",SUMPRODUCT(--($A$2:A147=A147)))</f>
        <v/>
      </c>
      <c r="C147" s="0" t="str">
        <f aca="false">IF(A147="","",A147&amp;"#"&amp;B147)</f>
        <v/>
      </c>
      <c r="D147" s="0" t="str">
        <f aca="false">IF(A147="","",IFERROR(--'List 1'!B147,0))</f>
        <v/>
      </c>
      <c r="F147" s="0" t="str">
        <f aca="false">IF(TRIM('List 2'!A147&amp;'List 2'!C147&amp;'List 2'!D147)="","",LOWER(IF(OR(Comparison!$I$9="Item # + Part # + Description",Comparison!$I$9="Item # + Part #"),TRIM('List 2'!A147),"")&amp;"|"&amp;TRIM('List 2'!C147)&amp;"|"&amp;IF(OR(Comparison!$I$9="Item # + Part # + Description",Comparison!$I$9="Part # + Description"),TRIM('List 2'!D147),"")))</f>
        <v/>
      </c>
      <c r="G147" s="0" t="str">
        <f aca="false">IF(F147="","",SUMPRODUCT(--($F$2:F147=F147)))</f>
        <v/>
      </c>
      <c r="H147" s="0" t="str">
        <f aca="false">IF(F147="","",F147&amp;"#"&amp;G147)</f>
        <v/>
      </c>
      <c r="I147" s="0" t="str">
        <f aca="false">IF(F147="","",IFERROR(--'List 2'!B147,0))</f>
        <v/>
      </c>
      <c r="K147" s="0" t="str">
        <f aca="false">C147</f>
        <v/>
      </c>
      <c r="L147" s="0" t="str">
        <f aca="false">IF(K147="","",IF(ISNUMBER('List 1'!A147),'List 1'!A147,TRIM('List 1'!A147)))</f>
        <v/>
      </c>
      <c r="M147" s="0" t="str">
        <f aca="false">IF(K147="","",IF(ISNUMBER('List 1'!C147),'List 1'!C147,TRIM('List 1'!C147)))</f>
        <v/>
      </c>
      <c r="N147" s="0" t="str">
        <f aca="false">IF(K147="","",IF(ISNUMBER('List 1'!D147),'List 1'!D147,TRIM('List 1'!D147)))</f>
        <v/>
      </c>
      <c r="O147" s="0" t="str">
        <f aca="false">IF(K147="","",D147)</f>
        <v/>
      </c>
      <c r="P147" s="0" t="str">
        <f aca="false">IF(K147="","",IF(R147,SUMPRODUCT(--($H$2:$H$501=K147),$I$2:$I$501),0))</f>
        <v/>
      </c>
      <c r="Q147" s="0" t="str">
        <f aca="false">IF(K147="","",TRUE())</f>
        <v/>
      </c>
      <c r="R147" s="0" t="str">
        <f aca="false">IF(K147="","",SUMPRODUCT(--($H$2:$H$501=K147))&gt;0)</f>
        <v/>
      </c>
      <c r="S147" s="0" t="str">
        <f aca="false">IF(K147="","",IF(AND(Q147,R147),IF(O147=P147,"Match","Qty Different"),IF(Q147,"Only in List 1","Only in List 2")))</f>
        <v/>
      </c>
      <c r="T147" s="0" t="str">
        <f aca="false">IF(K147="","",IF(ISNUMBER(--L147),TEXT(--L147,"000000000000.000"),LOWER(L147)))</f>
        <v/>
      </c>
      <c r="U147" s="0" t="str">
        <f aca="false">IF(K147="","",IF(ISNUMBER(--M147),TEXT(--M147,"000000000000.000"),LOWER(M147)))</f>
        <v/>
      </c>
      <c r="V147" s="0" t="str">
        <f aca="false">IF(K147="","",LOWER(N147))</f>
        <v/>
      </c>
      <c r="W147" s="0" t="str">
        <f aca="false">IF(K147="","",B147)</f>
        <v/>
      </c>
      <c r="X147" s="0" t="str">
        <f aca="false">IF(K147="","",1+SUMPRODUCT(($K$2:$K$1001&lt;&gt;"")*(($T$2:$T$1001&lt;T147)+($T$2:$T$1001=T147)*(($U$2:$U$1001&lt;U147)+($U$2:$U$1001=U147)*(($V$2:$V$1001&lt;V147)+($V$2:$V$1001=V147)*(($W$2:$W$1001&lt;W147)+($W$2:$W$1001=W147)*(ROW($K$2:$K$1001)&lt;ROW(K147))))))))</f>
        <v/>
      </c>
    </row>
    <row r="148" customFormat="false" ht="15" hidden="false" customHeight="false" outlineLevel="0" collapsed="false">
      <c r="A148" s="0" t="str">
        <f aca="false">IF(TRIM('List 1'!A148&amp;'List 1'!C148&amp;'List 1'!D148)="","",LOWER(IF(OR(Comparison!$I$9="Item # + Part # + Description",Comparison!$I$9="Item # + Part #"),TRIM('List 1'!A148),"")&amp;"|"&amp;TRIM('List 1'!C148)&amp;"|"&amp;IF(OR(Comparison!$I$9="Item # + Part # + Description",Comparison!$I$9="Part # + Description"),TRIM('List 1'!D148),"")))</f>
        <v/>
      </c>
      <c r="B148" s="0" t="str">
        <f aca="false">IF(A148="","",SUMPRODUCT(--($A$2:A148=A148)))</f>
        <v/>
      </c>
      <c r="C148" s="0" t="str">
        <f aca="false">IF(A148="","",A148&amp;"#"&amp;B148)</f>
        <v/>
      </c>
      <c r="D148" s="0" t="str">
        <f aca="false">IF(A148="","",IFERROR(--'List 1'!B148,0))</f>
        <v/>
      </c>
      <c r="F148" s="0" t="str">
        <f aca="false">IF(TRIM('List 2'!A148&amp;'List 2'!C148&amp;'List 2'!D148)="","",LOWER(IF(OR(Comparison!$I$9="Item # + Part # + Description",Comparison!$I$9="Item # + Part #"),TRIM('List 2'!A148),"")&amp;"|"&amp;TRIM('List 2'!C148)&amp;"|"&amp;IF(OR(Comparison!$I$9="Item # + Part # + Description",Comparison!$I$9="Part # + Description"),TRIM('List 2'!D148),"")))</f>
        <v/>
      </c>
      <c r="G148" s="0" t="str">
        <f aca="false">IF(F148="","",SUMPRODUCT(--($F$2:F148=F148)))</f>
        <v/>
      </c>
      <c r="H148" s="0" t="str">
        <f aca="false">IF(F148="","",F148&amp;"#"&amp;G148)</f>
        <v/>
      </c>
      <c r="I148" s="0" t="str">
        <f aca="false">IF(F148="","",IFERROR(--'List 2'!B148,0))</f>
        <v/>
      </c>
      <c r="K148" s="0" t="str">
        <f aca="false">C148</f>
        <v/>
      </c>
      <c r="L148" s="0" t="str">
        <f aca="false">IF(K148="","",IF(ISNUMBER('List 1'!A148),'List 1'!A148,TRIM('List 1'!A148)))</f>
        <v/>
      </c>
      <c r="M148" s="0" t="str">
        <f aca="false">IF(K148="","",IF(ISNUMBER('List 1'!C148),'List 1'!C148,TRIM('List 1'!C148)))</f>
        <v/>
      </c>
      <c r="N148" s="0" t="str">
        <f aca="false">IF(K148="","",IF(ISNUMBER('List 1'!D148),'List 1'!D148,TRIM('List 1'!D148)))</f>
        <v/>
      </c>
      <c r="O148" s="0" t="str">
        <f aca="false">IF(K148="","",D148)</f>
        <v/>
      </c>
      <c r="P148" s="0" t="str">
        <f aca="false">IF(K148="","",IF(R148,SUMPRODUCT(--($H$2:$H$501=K148),$I$2:$I$501),0))</f>
        <v/>
      </c>
      <c r="Q148" s="0" t="str">
        <f aca="false">IF(K148="","",TRUE())</f>
        <v/>
      </c>
      <c r="R148" s="0" t="str">
        <f aca="false">IF(K148="","",SUMPRODUCT(--($H$2:$H$501=K148))&gt;0)</f>
        <v/>
      </c>
      <c r="S148" s="0" t="str">
        <f aca="false">IF(K148="","",IF(AND(Q148,R148),IF(O148=P148,"Match","Qty Different"),IF(Q148,"Only in List 1","Only in List 2")))</f>
        <v/>
      </c>
      <c r="T148" s="0" t="str">
        <f aca="false">IF(K148="","",IF(ISNUMBER(--L148),TEXT(--L148,"000000000000.000"),LOWER(L148)))</f>
        <v/>
      </c>
      <c r="U148" s="0" t="str">
        <f aca="false">IF(K148="","",IF(ISNUMBER(--M148),TEXT(--M148,"000000000000.000"),LOWER(M148)))</f>
        <v/>
      </c>
      <c r="V148" s="0" t="str">
        <f aca="false">IF(K148="","",LOWER(N148))</f>
        <v/>
      </c>
      <c r="W148" s="0" t="str">
        <f aca="false">IF(K148="","",B148)</f>
        <v/>
      </c>
      <c r="X148" s="0" t="str">
        <f aca="false">IF(K148="","",1+SUMPRODUCT(($K$2:$K$1001&lt;&gt;"")*(($T$2:$T$1001&lt;T148)+($T$2:$T$1001=T148)*(($U$2:$U$1001&lt;U148)+($U$2:$U$1001=U148)*(($V$2:$V$1001&lt;V148)+($V$2:$V$1001=V148)*(($W$2:$W$1001&lt;W148)+($W$2:$W$1001=W148)*(ROW($K$2:$K$1001)&lt;ROW(K148))))))))</f>
        <v/>
      </c>
    </row>
    <row r="149" customFormat="false" ht="15" hidden="false" customHeight="false" outlineLevel="0" collapsed="false">
      <c r="A149" s="0" t="str">
        <f aca="false">IF(TRIM('List 1'!A149&amp;'List 1'!C149&amp;'List 1'!D149)="","",LOWER(IF(OR(Comparison!$I$9="Item # + Part # + Description",Comparison!$I$9="Item # + Part #"),TRIM('List 1'!A149),"")&amp;"|"&amp;TRIM('List 1'!C149)&amp;"|"&amp;IF(OR(Comparison!$I$9="Item # + Part # + Description",Comparison!$I$9="Part # + Description"),TRIM('List 1'!D149),"")))</f>
        <v/>
      </c>
      <c r="B149" s="0" t="str">
        <f aca="false">IF(A149="","",SUMPRODUCT(--($A$2:A149=A149)))</f>
        <v/>
      </c>
      <c r="C149" s="0" t="str">
        <f aca="false">IF(A149="","",A149&amp;"#"&amp;B149)</f>
        <v/>
      </c>
      <c r="D149" s="0" t="str">
        <f aca="false">IF(A149="","",IFERROR(--'List 1'!B149,0))</f>
        <v/>
      </c>
      <c r="F149" s="0" t="str">
        <f aca="false">IF(TRIM('List 2'!A149&amp;'List 2'!C149&amp;'List 2'!D149)="","",LOWER(IF(OR(Comparison!$I$9="Item # + Part # + Description",Comparison!$I$9="Item # + Part #"),TRIM('List 2'!A149),"")&amp;"|"&amp;TRIM('List 2'!C149)&amp;"|"&amp;IF(OR(Comparison!$I$9="Item # + Part # + Description",Comparison!$I$9="Part # + Description"),TRIM('List 2'!D149),"")))</f>
        <v/>
      </c>
      <c r="G149" s="0" t="str">
        <f aca="false">IF(F149="","",SUMPRODUCT(--($F$2:F149=F149)))</f>
        <v/>
      </c>
      <c r="H149" s="0" t="str">
        <f aca="false">IF(F149="","",F149&amp;"#"&amp;G149)</f>
        <v/>
      </c>
      <c r="I149" s="0" t="str">
        <f aca="false">IF(F149="","",IFERROR(--'List 2'!B149,0))</f>
        <v/>
      </c>
      <c r="K149" s="0" t="str">
        <f aca="false">C149</f>
        <v/>
      </c>
      <c r="L149" s="0" t="str">
        <f aca="false">IF(K149="","",IF(ISNUMBER('List 1'!A149),'List 1'!A149,TRIM('List 1'!A149)))</f>
        <v/>
      </c>
      <c r="M149" s="0" t="str">
        <f aca="false">IF(K149="","",IF(ISNUMBER('List 1'!C149),'List 1'!C149,TRIM('List 1'!C149)))</f>
        <v/>
      </c>
      <c r="N149" s="0" t="str">
        <f aca="false">IF(K149="","",IF(ISNUMBER('List 1'!D149),'List 1'!D149,TRIM('List 1'!D149)))</f>
        <v/>
      </c>
      <c r="O149" s="0" t="str">
        <f aca="false">IF(K149="","",D149)</f>
        <v/>
      </c>
      <c r="P149" s="0" t="str">
        <f aca="false">IF(K149="","",IF(R149,SUMPRODUCT(--($H$2:$H$501=K149),$I$2:$I$501),0))</f>
        <v/>
      </c>
      <c r="Q149" s="0" t="str">
        <f aca="false">IF(K149="","",TRUE())</f>
        <v/>
      </c>
      <c r="R149" s="0" t="str">
        <f aca="false">IF(K149="","",SUMPRODUCT(--($H$2:$H$501=K149))&gt;0)</f>
        <v/>
      </c>
      <c r="S149" s="0" t="str">
        <f aca="false">IF(K149="","",IF(AND(Q149,R149),IF(O149=P149,"Match","Qty Different"),IF(Q149,"Only in List 1","Only in List 2")))</f>
        <v/>
      </c>
      <c r="T149" s="0" t="str">
        <f aca="false">IF(K149="","",IF(ISNUMBER(--L149),TEXT(--L149,"000000000000.000"),LOWER(L149)))</f>
        <v/>
      </c>
      <c r="U149" s="0" t="str">
        <f aca="false">IF(K149="","",IF(ISNUMBER(--M149),TEXT(--M149,"000000000000.000"),LOWER(M149)))</f>
        <v/>
      </c>
      <c r="V149" s="0" t="str">
        <f aca="false">IF(K149="","",LOWER(N149))</f>
        <v/>
      </c>
      <c r="W149" s="0" t="str">
        <f aca="false">IF(K149="","",B149)</f>
        <v/>
      </c>
      <c r="X149" s="0" t="str">
        <f aca="false">IF(K149="","",1+SUMPRODUCT(($K$2:$K$1001&lt;&gt;"")*(($T$2:$T$1001&lt;T149)+($T$2:$T$1001=T149)*(($U$2:$U$1001&lt;U149)+($U$2:$U$1001=U149)*(($V$2:$V$1001&lt;V149)+($V$2:$V$1001=V149)*(($W$2:$W$1001&lt;W149)+($W$2:$W$1001=W149)*(ROW($K$2:$K$1001)&lt;ROW(K149))))))))</f>
        <v/>
      </c>
    </row>
    <row r="150" customFormat="false" ht="15" hidden="false" customHeight="false" outlineLevel="0" collapsed="false">
      <c r="A150" s="0" t="str">
        <f aca="false">IF(TRIM('List 1'!A150&amp;'List 1'!C150&amp;'List 1'!D150)="","",LOWER(IF(OR(Comparison!$I$9="Item # + Part # + Description",Comparison!$I$9="Item # + Part #"),TRIM('List 1'!A150),"")&amp;"|"&amp;TRIM('List 1'!C150)&amp;"|"&amp;IF(OR(Comparison!$I$9="Item # + Part # + Description",Comparison!$I$9="Part # + Description"),TRIM('List 1'!D150),"")))</f>
        <v/>
      </c>
      <c r="B150" s="0" t="str">
        <f aca="false">IF(A150="","",SUMPRODUCT(--($A$2:A150=A150)))</f>
        <v/>
      </c>
      <c r="C150" s="0" t="str">
        <f aca="false">IF(A150="","",A150&amp;"#"&amp;B150)</f>
        <v/>
      </c>
      <c r="D150" s="0" t="str">
        <f aca="false">IF(A150="","",IFERROR(--'List 1'!B150,0))</f>
        <v/>
      </c>
      <c r="F150" s="0" t="str">
        <f aca="false">IF(TRIM('List 2'!A150&amp;'List 2'!C150&amp;'List 2'!D150)="","",LOWER(IF(OR(Comparison!$I$9="Item # + Part # + Description",Comparison!$I$9="Item # + Part #"),TRIM('List 2'!A150),"")&amp;"|"&amp;TRIM('List 2'!C150)&amp;"|"&amp;IF(OR(Comparison!$I$9="Item # + Part # + Description",Comparison!$I$9="Part # + Description"),TRIM('List 2'!D150),"")))</f>
        <v/>
      </c>
      <c r="G150" s="0" t="str">
        <f aca="false">IF(F150="","",SUMPRODUCT(--($F$2:F150=F150)))</f>
        <v/>
      </c>
      <c r="H150" s="0" t="str">
        <f aca="false">IF(F150="","",F150&amp;"#"&amp;G150)</f>
        <v/>
      </c>
      <c r="I150" s="0" t="str">
        <f aca="false">IF(F150="","",IFERROR(--'List 2'!B150,0))</f>
        <v/>
      </c>
      <c r="K150" s="0" t="str">
        <f aca="false">C150</f>
        <v/>
      </c>
      <c r="L150" s="0" t="str">
        <f aca="false">IF(K150="","",IF(ISNUMBER('List 1'!A150),'List 1'!A150,TRIM('List 1'!A150)))</f>
        <v/>
      </c>
      <c r="M150" s="0" t="str">
        <f aca="false">IF(K150="","",IF(ISNUMBER('List 1'!C150),'List 1'!C150,TRIM('List 1'!C150)))</f>
        <v/>
      </c>
      <c r="N150" s="0" t="str">
        <f aca="false">IF(K150="","",IF(ISNUMBER('List 1'!D150),'List 1'!D150,TRIM('List 1'!D150)))</f>
        <v/>
      </c>
      <c r="O150" s="0" t="str">
        <f aca="false">IF(K150="","",D150)</f>
        <v/>
      </c>
      <c r="P150" s="0" t="str">
        <f aca="false">IF(K150="","",IF(R150,SUMPRODUCT(--($H$2:$H$501=K150),$I$2:$I$501),0))</f>
        <v/>
      </c>
      <c r="Q150" s="0" t="str">
        <f aca="false">IF(K150="","",TRUE())</f>
        <v/>
      </c>
      <c r="R150" s="0" t="str">
        <f aca="false">IF(K150="","",SUMPRODUCT(--($H$2:$H$501=K150))&gt;0)</f>
        <v/>
      </c>
      <c r="S150" s="0" t="str">
        <f aca="false">IF(K150="","",IF(AND(Q150,R150),IF(O150=P150,"Match","Qty Different"),IF(Q150,"Only in List 1","Only in List 2")))</f>
        <v/>
      </c>
      <c r="T150" s="0" t="str">
        <f aca="false">IF(K150="","",IF(ISNUMBER(--L150),TEXT(--L150,"000000000000.000"),LOWER(L150)))</f>
        <v/>
      </c>
      <c r="U150" s="0" t="str">
        <f aca="false">IF(K150="","",IF(ISNUMBER(--M150),TEXT(--M150,"000000000000.000"),LOWER(M150)))</f>
        <v/>
      </c>
      <c r="V150" s="0" t="str">
        <f aca="false">IF(K150="","",LOWER(N150))</f>
        <v/>
      </c>
      <c r="W150" s="0" t="str">
        <f aca="false">IF(K150="","",B150)</f>
        <v/>
      </c>
      <c r="X150" s="0" t="str">
        <f aca="false">IF(K150="","",1+SUMPRODUCT(($K$2:$K$1001&lt;&gt;"")*(($T$2:$T$1001&lt;T150)+($T$2:$T$1001=T150)*(($U$2:$U$1001&lt;U150)+($U$2:$U$1001=U150)*(($V$2:$V$1001&lt;V150)+($V$2:$V$1001=V150)*(($W$2:$W$1001&lt;W150)+($W$2:$W$1001=W150)*(ROW($K$2:$K$1001)&lt;ROW(K150))))))))</f>
        <v/>
      </c>
    </row>
    <row r="151" customFormat="false" ht="15" hidden="false" customHeight="false" outlineLevel="0" collapsed="false">
      <c r="A151" s="0" t="str">
        <f aca="false">IF(TRIM('List 1'!A151&amp;'List 1'!C151&amp;'List 1'!D151)="","",LOWER(IF(OR(Comparison!$I$9="Item # + Part # + Description",Comparison!$I$9="Item # + Part #"),TRIM('List 1'!A151),"")&amp;"|"&amp;TRIM('List 1'!C151)&amp;"|"&amp;IF(OR(Comparison!$I$9="Item # + Part # + Description",Comparison!$I$9="Part # + Description"),TRIM('List 1'!D151),"")))</f>
        <v/>
      </c>
      <c r="B151" s="0" t="str">
        <f aca="false">IF(A151="","",SUMPRODUCT(--($A$2:A151=A151)))</f>
        <v/>
      </c>
      <c r="C151" s="0" t="str">
        <f aca="false">IF(A151="","",A151&amp;"#"&amp;B151)</f>
        <v/>
      </c>
      <c r="D151" s="0" t="str">
        <f aca="false">IF(A151="","",IFERROR(--'List 1'!B151,0))</f>
        <v/>
      </c>
      <c r="F151" s="0" t="str">
        <f aca="false">IF(TRIM('List 2'!A151&amp;'List 2'!C151&amp;'List 2'!D151)="","",LOWER(IF(OR(Comparison!$I$9="Item # + Part # + Description",Comparison!$I$9="Item # + Part #"),TRIM('List 2'!A151),"")&amp;"|"&amp;TRIM('List 2'!C151)&amp;"|"&amp;IF(OR(Comparison!$I$9="Item # + Part # + Description",Comparison!$I$9="Part # + Description"),TRIM('List 2'!D151),"")))</f>
        <v/>
      </c>
      <c r="G151" s="0" t="str">
        <f aca="false">IF(F151="","",SUMPRODUCT(--($F$2:F151=F151)))</f>
        <v/>
      </c>
      <c r="H151" s="0" t="str">
        <f aca="false">IF(F151="","",F151&amp;"#"&amp;G151)</f>
        <v/>
      </c>
      <c r="I151" s="0" t="str">
        <f aca="false">IF(F151="","",IFERROR(--'List 2'!B151,0))</f>
        <v/>
      </c>
      <c r="K151" s="0" t="str">
        <f aca="false">C151</f>
        <v/>
      </c>
      <c r="L151" s="0" t="str">
        <f aca="false">IF(K151="","",IF(ISNUMBER('List 1'!A151),'List 1'!A151,TRIM('List 1'!A151)))</f>
        <v/>
      </c>
      <c r="M151" s="0" t="str">
        <f aca="false">IF(K151="","",IF(ISNUMBER('List 1'!C151),'List 1'!C151,TRIM('List 1'!C151)))</f>
        <v/>
      </c>
      <c r="N151" s="0" t="str">
        <f aca="false">IF(K151="","",IF(ISNUMBER('List 1'!D151),'List 1'!D151,TRIM('List 1'!D151)))</f>
        <v/>
      </c>
      <c r="O151" s="0" t="str">
        <f aca="false">IF(K151="","",D151)</f>
        <v/>
      </c>
      <c r="P151" s="0" t="str">
        <f aca="false">IF(K151="","",IF(R151,SUMPRODUCT(--($H$2:$H$501=K151),$I$2:$I$501),0))</f>
        <v/>
      </c>
      <c r="Q151" s="0" t="str">
        <f aca="false">IF(K151="","",TRUE())</f>
        <v/>
      </c>
      <c r="R151" s="0" t="str">
        <f aca="false">IF(K151="","",SUMPRODUCT(--($H$2:$H$501=K151))&gt;0)</f>
        <v/>
      </c>
      <c r="S151" s="0" t="str">
        <f aca="false">IF(K151="","",IF(AND(Q151,R151),IF(O151=P151,"Match","Qty Different"),IF(Q151,"Only in List 1","Only in List 2")))</f>
        <v/>
      </c>
      <c r="T151" s="0" t="str">
        <f aca="false">IF(K151="","",IF(ISNUMBER(--L151),TEXT(--L151,"000000000000.000"),LOWER(L151)))</f>
        <v/>
      </c>
      <c r="U151" s="0" t="str">
        <f aca="false">IF(K151="","",IF(ISNUMBER(--M151),TEXT(--M151,"000000000000.000"),LOWER(M151)))</f>
        <v/>
      </c>
      <c r="V151" s="0" t="str">
        <f aca="false">IF(K151="","",LOWER(N151))</f>
        <v/>
      </c>
      <c r="W151" s="0" t="str">
        <f aca="false">IF(K151="","",B151)</f>
        <v/>
      </c>
      <c r="X151" s="0" t="str">
        <f aca="false">IF(K151="","",1+SUMPRODUCT(($K$2:$K$1001&lt;&gt;"")*(($T$2:$T$1001&lt;T151)+($T$2:$T$1001=T151)*(($U$2:$U$1001&lt;U151)+($U$2:$U$1001=U151)*(($V$2:$V$1001&lt;V151)+($V$2:$V$1001=V151)*(($W$2:$W$1001&lt;W151)+($W$2:$W$1001=W151)*(ROW($K$2:$K$1001)&lt;ROW(K151))))))))</f>
        <v/>
      </c>
    </row>
    <row r="152" customFormat="false" ht="15" hidden="false" customHeight="false" outlineLevel="0" collapsed="false">
      <c r="A152" s="0" t="str">
        <f aca="false">IF(TRIM('List 1'!A152&amp;'List 1'!C152&amp;'List 1'!D152)="","",LOWER(IF(OR(Comparison!$I$9="Item # + Part # + Description",Comparison!$I$9="Item # + Part #"),TRIM('List 1'!A152),"")&amp;"|"&amp;TRIM('List 1'!C152)&amp;"|"&amp;IF(OR(Comparison!$I$9="Item # + Part # + Description",Comparison!$I$9="Part # + Description"),TRIM('List 1'!D152),"")))</f>
        <v/>
      </c>
      <c r="B152" s="0" t="str">
        <f aca="false">IF(A152="","",SUMPRODUCT(--($A$2:A152=A152)))</f>
        <v/>
      </c>
      <c r="C152" s="0" t="str">
        <f aca="false">IF(A152="","",A152&amp;"#"&amp;B152)</f>
        <v/>
      </c>
      <c r="D152" s="0" t="str">
        <f aca="false">IF(A152="","",IFERROR(--'List 1'!B152,0))</f>
        <v/>
      </c>
      <c r="F152" s="0" t="str">
        <f aca="false">IF(TRIM('List 2'!A152&amp;'List 2'!C152&amp;'List 2'!D152)="","",LOWER(IF(OR(Comparison!$I$9="Item # + Part # + Description",Comparison!$I$9="Item # + Part #"),TRIM('List 2'!A152),"")&amp;"|"&amp;TRIM('List 2'!C152)&amp;"|"&amp;IF(OR(Comparison!$I$9="Item # + Part # + Description",Comparison!$I$9="Part # + Description"),TRIM('List 2'!D152),"")))</f>
        <v/>
      </c>
      <c r="G152" s="0" t="str">
        <f aca="false">IF(F152="","",SUMPRODUCT(--($F$2:F152=F152)))</f>
        <v/>
      </c>
      <c r="H152" s="0" t="str">
        <f aca="false">IF(F152="","",F152&amp;"#"&amp;G152)</f>
        <v/>
      </c>
      <c r="I152" s="0" t="str">
        <f aca="false">IF(F152="","",IFERROR(--'List 2'!B152,0))</f>
        <v/>
      </c>
      <c r="K152" s="0" t="str">
        <f aca="false">C152</f>
        <v/>
      </c>
      <c r="L152" s="0" t="str">
        <f aca="false">IF(K152="","",IF(ISNUMBER('List 1'!A152),'List 1'!A152,TRIM('List 1'!A152)))</f>
        <v/>
      </c>
      <c r="M152" s="0" t="str">
        <f aca="false">IF(K152="","",IF(ISNUMBER('List 1'!C152),'List 1'!C152,TRIM('List 1'!C152)))</f>
        <v/>
      </c>
      <c r="N152" s="0" t="str">
        <f aca="false">IF(K152="","",IF(ISNUMBER('List 1'!D152),'List 1'!D152,TRIM('List 1'!D152)))</f>
        <v/>
      </c>
      <c r="O152" s="0" t="str">
        <f aca="false">IF(K152="","",D152)</f>
        <v/>
      </c>
      <c r="P152" s="0" t="str">
        <f aca="false">IF(K152="","",IF(R152,SUMPRODUCT(--($H$2:$H$501=K152),$I$2:$I$501),0))</f>
        <v/>
      </c>
      <c r="Q152" s="0" t="str">
        <f aca="false">IF(K152="","",TRUE())</f>
        <v/>
      </c>
      <c r="R152" s="0" t="str">
        <f aca="false">IF(K152="","",SUMPRODUCT(--($H$2:$H$501=K152))&gt;0)</f>
        <v/>
      </c>
      <c r="S152" s="0" t="str">
        <f aca="false">IF(K152="","",IF(AND(Q152,R152),IF(O152=P152,"Match","Qty Different"),IF(Q152,"Only in List 1","Only in List 2")))</f>
        <v/>
      </c>
      <c r="T152" s="0" t="str">
        <f aca="false">IF(K152="","",IF(ISNUMBER(--L152),TEXT(--L152,"000000000000.000"),LOWER(L152)))</f>
        <v/>
      </c>
      <c r="U152" s="0" t="str">
        <f aca="false">IF(K152="","",IF(ISNUMBER(--M152),TEXT(--M152,"000000000000.000"),LOWER(M152)))</f>
        <v/>
      </c>
      <c r="V152" s="0" t="str">
        <f aca="false">IF(K152="","",LOWER(N152))</f>
        <v/>
      </c>
      <c r="W152" s="0" t="str">
        <f aca="false">IF(K152="","",B152)</f>
        <v/>
      </c>
      <c r="X152" s="0" t="str">
        <f aca="false">IF(K152="","",1+SUMPRODUCT(($K$2:$K$1001&lt;&gt;"")*(($T$2:$T$1001&lt;T152)+($T$2:$T$1001=T152)*(($U$2:$U$1001&lt;U152)+($U$2:$U$1001=U152)*(($V$2:$V$1001&lt;V152)+($V$2:$V$1001=V152)*(($W$2:$W$1001&lt;W152)+($W$2:$W$1001=W152)*(ROW($K$2:$K$1001)&lt;ROW(K152))))))))</f>
        <v/>
      </c>
    </row>
    <row r="153" customFormat="false" ht="15" hidden="false" customHeight="false" outlineLevel="0" collapsed="false">
      <c r="A153" s="0" t="str">
        <f aca="false">IF(TRIM('List 1'!A153&amp;'List 1'!C153&amp;'List 1'!D153)="","",LOWER(IF(OR(Comparison!$I$9="Item # + Part # + Description",Comparison!$I$9="Item # + Part #"),TRIM('List 1'!A153),"")&amp;"|"&amp;TRIM('List 1'!C153)&amp;"|"&amp;IF(OR(Comparison!$I$9="Item # + Part # + Description",Comparison!$I$9="Part # + Description"),TRIM('List 1'!D153),"")))</f>
        <v/>
      </c>
      <c r="B153" s="0" t="str">
        <f aca="false">IF(A153="","",SUMPRODUCT(--($A$2:A153=A153)))</f>
        <v/>
      </c>
      <c r="C153" s="0" t="str">
        <f aca="false">IF(A153="","",A153&amp;"#"&amp;B153)</f>
        <v/>
      </c>
      <c r="D153" s="0" t="str">
        <f aca="false">IF(A153="","",IFERROR(--'List 1'!B153,0))</f>
        <v/>
      </c>
      <c r="F153" s="0" t="str">
        <f aca="false">IF(TRIM('List 2'!A153&amp;'List 2'!C153&amp;'List 2'!D153)="","",LOWER(IF(OR(Comparison!$I$9="Item # + Part # + Description",Comparison!$I$9="Item # + Part #"),TRIM('List 2'!A153),"")&amp;"|"&amp;TRIM('List 2'!C153)&amp;"|"&amp;IF(OR(Comparison!$I$9="Item # + Part # + Description",Comparison!$I$9="Part # + Description"),TRIM('List 2'!D153),"")))</f>
        <v/>
      </c>
      <c r="G153" s="0" t="str">
        <f aca="false">IF(F153="","",SUMPRODUCT(--($F$2:F153=F153)))</f>
        <v/>
      </c>
      <c r="H153" s="0" t="str">
        <f aca="false">IF(F153="","",F153&amp;"#"&amp;G153)</f>
        <v/>
      </c>
      <c r="I153" s="0" t="str">
        <f aca="false">IF(F153="","",IFERROR(--'List 2'!B153,0))</f>
        <v/>
      </c>
      <c r="K153" s="0" t="str">
        <f aca="false">C153</f>
        <v/>
      </c>
      <c r="L153" s="0" t="str">
        <f aca="false">IF(K153="","",IF(ISNUMBER('List 1'!A153),'List 1'!A153,TRIM('List 1'!A153)))</f>
        <v/>
      </c>
      <c r="M153" s="0" t="str">
        <f aca="false">IF(K153="","",IF(ISNUMBER('List 1'!C153),'List 1'!C153,TRIM('List 1'!C153)))</f>
        <v/>
      </c>
      <c r="N153" s="0" t="str">
        <f aca="false">IF(K153="","",IF(ISNUMBER('List 1'!D153),'List 1'!D153,TRIM('List 1'!D153)))</f>
        <v/>
      </c>
      <c r="O153" s="0" t="str">
        <f aca="false">IF(K153="","",D153)</f>
        <v/>
      </c>
      <c r="P153" s="0" t="str">
        <f aca="false">IF(K153="","",IF(R153,SUMPRODUCT(--($H$2:$H$501=K153),$I$2:$I$501),0))</f>
        <v/>
      </c>
      <c r="Q153" s="0" t="str">
        <f aca="false">IF(K153="","",TRUE())</f>
        <v/>
      </c>
      <c r="R153" s="0" t="str">
        <f aca="false">IF(K153="","",SUMPRODUCT(--($H$2:$H$501=K153))&gt;0)</f>
        <v/>
      </c>
      <c r="S153" s="0" t="str">
        <f aca="false">IF(K153="","",IF(AND(Q153,R153),IF(O153=P153,"Match","Qty Different"),IF(Q153,"Only in List 1","Only in List 2")))</f>
        <v/>
      </c>
      <c r="T153" s="0" t="str">
        <f aca="false">IF(K153="","",IF(ISNUMBER(--L153),TEXT(--L153,"000000000000.000"),LOWER(L153)))</f>
        <v/>
      </c>
      <c r="U153" s="0" t="str">
        <f aca="false">IF(K153="","",IF(ISNUMBER(--M153),TEXT(--M153,"000000000000.000"),LOWER(M153)))</f>
        <v/>
      </c>
      <c r="V153" s="0" t="str">
        <f aca="false">IF(K153="","",LOWER(N153))</f>
        <v/>
      </c>
      <c r="W153" s="0" t="str">
        <f aca="false">IF(K153="","",B153)</f>
        <v/>
      </c>
      <c r="X153" s="0" t="str">
        <f aca="false">IF(K153="","",1+SUMPRODUCT(($K$2:$K$1001&lt;&gt;"")*(($T$2:$T$1001&lt;T153)+($T$2:$T$1001=T153)*(($U$2:$U$1001&lt;U153)+($U$2:$U$1001=U153)*(($V$2:$V$1001&lt;V153)+($V$2:$V$1001=V153)*(($W$2:$W$1001&lt;W153)+($W$2:$W$1001=W153)*(ROW($K$2:$K$1001)&lt;ROW(K153))))))))</f>
        <v/>
      </c>
    </row>
    <row r="154" customFormat="false" ht="15" hidden="false" customHeight="false" outlineLevel="0" collapsed="false">
      <c r="A154" s="0" t="str">
        <f aca="false">IF(TRIM('List 1'!A154&amp;'List 1'!C154&amp;'List 1'!D154)="","",LOWER(IF(OR(Comparison!$I$9="Item # + Part # + Description",Comparison!$I$9="Item # + Part #"),TRIM('List 1'!A154),"")&amp;"|"&amp;TRIM('List 1'!C154)&amp;"|"&amp;IF(OR(Comparison!$I$9="Item # + Part # + Description",Comparison!$I$9="Part # + Description"),TRIM('List 1'!D154),"")))</f>
        <v/>
      </c>
      <c r="B154" s="0" t="str">
        <f aca="false">IF(A154="","",SUMPRODUCT(--($A$2:A154=A154)))</f>
        <v/>
      </c>
      <c r="C154" s="0" t="str">
        <f aca="false">IF(A154="","",A154&amp;"#"&amp;B154)</f>
        <v/>
      </c>
      <c r="D154" s="0" t="str">
        <f aca="false">IF(A154="","",IFERROR(--'List 1'!B154,0))</f>
        <v/>
      </c>
      <c r="F154" s="0" t="str">
        <f aca="false">IF(TRIM('List 2'!A154&amp;'List 2'!C154&amp;'List 2'!D154)="","",LOWER(IF(OR(Comparison!$I$9="Item # + Part # + Description",Comparison!$I$9="Item # + Part #"),TRIM('List 2'!A154),"")&amp;"|"&amp;TRIM('List 2'!C154)&amp;"|"&amp;IF(OR(Comparison!$I$9="Item # + Part # + Description",Comparison!$I$9="Part # + Description"),TRIM('List 2'!D154),"")))</f>
        <v/>
      </c>
      <c r="G154" s="0" t="str">
        <f aca="false">IF(F154="","",SUMPRODUCT(--($F$2:F154=F154)))</f>
        <v/>
      </c>
      <c r="H154" s="0" t="str">
        <f aca="false">IF(F154="","",F154&amp;"#"&amp;G154)</f>
        <v/>
      </c>
      <c r="I154" s="0" t="str">
        <f aca="false">IF(F154="","",IFERROR(--'List 2'!B154,0))</f>
        <v/>
      </c>
      <c r="K154" s="0" t="str">
        <f aca="false">C154</f>
        <v/>
      </c>
      <c r="L154" s="0" t="str">
        <f aca="false">IF(K154="","",IF(ISNUMBER('List 1'!A154),'List 1'!A154,TRIM('List 1'!A154)))</f>
        <v/>
      </c>
      <c r="M154" s="0" t="str">
        <f aca="false">IF(K154="","",IF(ISNUMBER('List 1'!C154),'List 1'!C154,TRIM('List 1'!C154)))</f>
        <v/>
      </c>
      <c r="N154" s="0" t="str">
        <f aca="false">IF(K154="","",IF(ISNUMBER('List 1'!D154),'List 1'!D154,TRIM('List 1'!D154)))</f>
        <v/>
      </c>
      <c r="O154" s="0" t="str">
        <f aca="false">IF(K154="","",D154)</f>
        <v/>
      </c>
      <c r="P154" s="0" t="str">
        <f aca="false">IF(K154="","",IF(R154,SUMPRODUCT(--($H$2:$H$501=K154),$I$2:$I$501),0))</f>
        <v/>
      </c>
      <c r="Q154" s="0" t="str">
        <f aca="false">IF(K154="","",TRUE())</f>
        <v/>
      </c>
      <c r="R154" s="0" t="str">
        <f aca="false">IF(K154="","",SUMPRODUCT(--($H$2:$H$501=K154))&gt;0)</f>
        <v/>
      </c>
      <c r="S154" s="0" t="str">
        <f aca="false">IF(K154="","",IF(AND(Q154,R154),IF(O154=P154,"Match","Qty Different"),IF(Q154,"Only in List 1","Only in List 2")))</f>
        <v/>
      </c>
      <c r="T154" s="0" t="str">
        <f aca="false">IF(K154="","",IF(ISNUMBER(--L154),TEXT(--L154,"000000000000.000"),LOWER(L154)))</f>
        <v/>
      </c>
      <c r="U154" s="0" t="str">
        <f aca="false">IF(K154="","",IF(ISNUMBER(--M154),TEXT(--M154,"000000000000.000"),LOWER(M154)))</f>
        <v/>
      </c>
      <c r="V154" s="0" t="str">
        <f aca="false">IF(K154="","",LOWER(N154))</f>
        <v/>
      </c>
      <c r="W154" s="0" t="str">
        <f aca="false">IF(K154="","",B154)</f>
        <v/>
      </c>
      <c r="X154" s="0" t="str">
        <f aca="false">IF(K154="","",1+SUMPRODUCT(($K$2:$K$1001&lt;&gt;"")*(($T$2:$T$1001&lt;T154)+($T$2:$T$1001=T154)*(($U$2:$U$1001&lt;U154)+($U$2:$U$1001=U154)*(($V$2:$V$1001&lt;V154)+($V$2:$V$1001=V154)*(($W$2:$W$1001&lt;W154)+($W$2:$W$1001=W154)*(ROW($K$2:$K$1001)&lt;ROW(K154))))))))</f>
        <v/>
      </c>
    </row>
    <row r="155" customFormat="false" ht="15" hidden="false" customHeight="false" outlineLevel="0" collapsed="false">
      <c r="A155" s="0" t="str">
        <f aca="false">IF(TRIM('List 1'!A155&amp;'List 1'!C155&amp;'List 1'!D155)="","",LOWER(IF(OR(Comparison!$I$9="Item # + Part # + Description",Comparison!$I$9="Item # + Part #"),TRIM('List 1'!A155),"")&amp;"|"&amp;TRIM('List 1'!C155)&amp;"|"&amp;IF(OR(Comparison!$I$9="Item # + Part # + Description",Comparison!$I$9="Part # + Description"),TRIM('List 1'!D155),"")))</f>
        <v/>
      </c>
      <c r="B155" s="0" t="str">
        <f aca="false">IF(A155="","",SUMPRODUCT(--($A$2:A155=A155)))</f>
        <v/>
      </c>
      <c r="C155" s="0" t="str">
        <f aca="false">IF(A155="","",A155&amp;"#"&amp;B155)</f>
        <v/>
      </c>
      <c r="D155" s="0" t="str">
        <f aca="false">IF(A155="","",IFERROR(--'List 1'!B155,0))</f>
        <v/>
      </c>
      <c r="F155" s="0" t="str">
        <f aca="false">IF(TRIM('List 2'!A155&amp;'List 2'!C155&amp;'List 2'!D155)="","",LOWER(IF(OR(Comparison!$I$9="Item # + Part # + Description",Comparison!$I$9="Item # + Part #"),TRIM('List 2'!A155),"")&amp;"|"&amp;TRIM('List 2'!C155)&amp;"|"&amp;IF(OR(Comparison!$I$9="Item # + Part # + Description",Comparison!$I$9="Part # + Description"),TRIM('List 2'!D155),"")))</f>
        <v/>
      </c>
      <c r="G155" s="0" t="str">
        <f aca="false">IF(F155="","",SUMPRODUCT(--($F$2:F155=F155)))</f>
        <v/>
      </c>
      <c r="H155" s="0" t="str">
        <f aca="false">IF(F155="","",F155&amp;"#"&amp;G155)</f>
        <v/>
      </c>
      <c r="I155" s="0" t="str">
        <f aca="false">IF(F155="","",IFERROR(--'List 2'!B155,0))</f>
        <v/>
      </c>
      <c r="K155" s="0" t="str">
        <f aca="false">C155</f>
        <v/>
      </c>
      <c r="L155" s="0" t="str">
        <f aca="false">IF(K155="","",IF(ISNUMBER('List 1'!A155),'List 1'!A155,TRIM('List 1'!A155)))</f>
        <v/>
      </c>
      <c r="M155" s="0" t="str">
        <f aca="false">IF(K155="","",IF(ISNUMBER('List 1'!C155),'List 1'!C155,TRIM('List 1'!C155)))</f>
        <v/>
      </c>
      <c r="N155" s="0" t="str">
        <f aca="false">IF(K155="","",IF(ISNUMBER('List 1'!D155),'List 1'!D155,TRIM('List 1'!D155)))</f>
        <v/>
      </c>
      <c r="O155" s="0" t="str">
        <f aca="false">IF(K155="","",D155)</f>
        <v/>
      </c>
      <c r="P155" s="0" t="str">
        <f aca="false">IF(K155="","",IF(R155,SUMPRODUCT(--($H$2:$H$501=K155),$I$2:$I$501),0))</f>
        <v/>
      </c>
      <c r="Q155" s="0" t="str">
        <f aca="false">IF(K155="","",TRUE())</f>
        <v/>
      </c>
      <c r="R155" s="0" t="str">
        <f aca="false">IF(K155="","",SUMPRODUCT(--($H$2:$H$501=K155))&gt;0)</f>
        <v/>
      </c>
      <c r="S155" s="0" t="str">
        <f aca="false">IF(K155="","",IF(AND(Q155,R155),IF(O155=P155,"Match","Qty Different"),IF(Q155,"Only in List 1","Only in List 2")))</f>
        <v/>
      </c>
      <c r="T155" s="0" t="str">
        <f aca="false">IF(K155="","",IF(ISNUMBER(--L155),TEXT(--L155,"000000000000.000"),LOWER(L155)))</f>
        <v/>
      </c>
      <c r="U155" s="0" t="str">
        <f aca="false">IF(K155="","",IF(ISNUMBER(--M155),TEXT(--M155,"000000000000.000"),LOWER(M155)))</f>
        <v/>
      </c>
      <c r="V155" s="0" t="str">
        <f aca="false">IF(K155="","",LOWER(N155))</f>
        <v/>
      </c>
      <c r="W155" s="0" t="str">
        <f aca="false">IF(K155="","",B155)</f>
        <v/>
      </c>
      <c r="X155" s="0" t="str">
        <f aca="false">IF(K155="","",1+SUMPRODUCT(($K$2:$K$1001&lt;&gt;"")*(($T$2:$T$1001&lt;T155)+($T$2:$T$1001=T155)*(($U$2:$U$1001&lt;U155)+($U$2:$U$1001=U155)*(($V$2:$V$1001&lt;V155)+($V$2:$V$1001=V155)*(($W$2:$W$1001&lt;W155)+($W$2:$W$1001=W155)*(ROW($K$2:$K$1001)&lt;ROW(K155))))))))</f>
        <v/>
      </c>
    </row>
    <row r="156" customFormat="false" ht="15" hidden="false" customHeight="false" outlineLevel="0" collapsed="false">
      <c r="A156" s="0" t="str">
        <f aca="false">IF(TRIM('List 1'!A156&amp;'List 1'!C156&amp;'List 1'!D156)="","",LOWER(IF(OR(Comparison!$I$9="Item # + Part # + Description",Comparison!$I$9="Item # + Part #"),TRIM('List 1'!A156),"")&amp;"|"&amp;TRIM('List 1'!C156)&amp;"|"&amp;IF(OR(Comparison!$I$9="Item # + Part # + Description",Comparison!$I$9="Part # + Description"),TRIM('List 1'!D156),"")))</f>
        <v/>
      </c>
      <c r="B156" s="0" t="str">
        <f aca="false">IF(A156="","",SUMPRODUCT(--($A$2:A156=A156)))</f>
        <v/>
      </c>
      <c r="C156" s="0" t="str">
        <f aca="false">IF(A156="","",A156&amp;"#"&amp;B156)</f>
        <v/>
      </c>
      <c r="D156" s="0" t="str">
        <f aca="false">IF(A156="","",IFERROR(--'List 1'!B156,0))</f>
        <v/>
      </c>
      <c r="F156" s="0" t="str">
        <f aca="false">IF(TRIM('List 2'!A156&amp;'List 2'!C156&amp;'List 2'!D156)="","",LOWER(IF(OR(Comparison!$I$9="Item # + Part # + Description",Comparison!$I$9="Item # + Part #"),TRIM('List 2'!A156),"")&amp;"|"&amp;TRIM('List 2'!C156)&amp;"|"&amp;IF(OR(Comparison!$I$9="Item # + Part # + Description",Comparison!$I$9="Part # + Description"),TRIM('List 2'!D156),"")))</f>
        <v/>
      </c>
      <c r="G156" s="0" t="str">
        <f aca="false">IF(F156="","",SUMPRODUCT(--($F$2:F156=F156)))</f>
        <v/>
      </c>
      <c r="H156" s="0" t="str">
        <f aca="false">IF(F156="","",F156&amp;"#"&amp;G156)</f>
        <v/>
      </c>
      <c r="I156" s="0" t="str">
        <f aca="false">IF(F156="","",IFERROR(--'List 2'!B156,0))</f>
        <v/>
      </c>
      <c r="K156" s="0" t="str">
        <f aca="false">C156</f>
        <v/>
      </c>
      <c r="L156" s="0" t="str">
        <f aca="false">IF(K156="","",IF(ISNUMBER('List 1'!A156),'List 1'!A156,TRIM('List 1'!A156)))</f>
        <v/>
      </c>
      <c r="M156" s="0" t="str">
        <f aca="false">IF(K156="","",IF(ISNUMBER('List 1'!C156),'List 1'!C156,TRIM('List 1'!C156)))</f>
        <v/>
      </c>
      <c r="N156" s="0" t="str">
        <f aca="false">IF(K156="","",IF(ISNUMBER('List 1'!D156),'List 1'!D156,TRIM('List 1'!D156)))</f>
        <v/>
      </c>
      <c r="O156" s="0" t="str">
        <f aca="false">IF(K156="","",D156)</f>
        <v/>
      </c>
      <c r="P156" s="0" t="str">
        <f aca="false">IF(K156="","",IF(R156,SUMPRODUCT(--($H$2:$H$501=K156),$I$2:$I$501),0))</f>
        <v/>
      </c>
      <c r="Q156" s="0" t="str">
        <f aca="false">IF(K156="","",TRUE())</f>
        <v/>
      </c>
      <c r="R156" s="0" t="str">
        <f aca="false">IF(K156="","",SUMPRODUCT(--($H$2:$H$501=K156))&gt;0)</f>
        <v/>
      </c>
      <c r="S156" s="0" t="str">
        <f aca="false">IF(K156="","",IF(AND(Q156,R156),IF(O156=P156,"Match","Qty Different"),IF(Q156,"Only in List 1","Only in List 2")))</f>
        <v/>
      </c>
      <c r="T156" s="0" t="str">
        <f aca="false">IF(K156="","",IF(ISNUMBER(--L156),TEXT(--L156,"000000000000.000"),LOWER(L156)))</f>
        <v/>
      </c>
      <c r="U156" s="0" t="str">
        <f aca="false">IF(K156="","",IF(ISNUMBER(--M156),TEXT(--M156,"000000000000.000"),LOWER(M156)))</f>
        <v/>
      </c>
      <c r="V156" s="0" t="str">
        <f aca="false">IF(K156="","",LOWER(N156))</f>
        <v/>
      </c>
      <c r="W156" s="0" t="str">
        <f aca="false">IF(K156="","",B156)</f>
        <v/>
      </c>
      <c r="X156" s="0" t="str">
        <f aca="false">IF(K156="","",1+SUMPRODUCT(($K$2:$K$1001&lt;&gt;"")*(($T$2:$T$1001&lt;T156)+($T$2:$T$1001=T156)*(($U$2:$U$1001&lt;U156)+($U$2:$U$1001=U156)*(($V$2:$V$1001&lt;V156)+($V$2:$V$1001=V156)*(($W$2:$W$1001&lt;W156)+($W$2:$W$1001=W156)*(ROW($K$2:$K$1001)&lt;ROW(K156))))))))</f>
        <v/>
      </c>
    </row>
    <row r="157" customFormat="false" ht="15" hidden="false" customHeight="false" outlineLevel="0" collapsed="false">
      <c r="A157" s="0" t="str">
        <f aca="false">IF(TRIM('List 1'!A157&amp;'List 1'!C157&amp;'List 1'!D157)="","",LOWER(IF(OR(Comparison!$I$9="Item # + Part # + Description",Comparison!$I$9="Item # + Part #"),TRIM('List 1'!A157),"")&amp;"|"&amp;TRIM('List 1'!C157)&amp;"|"&amp;IF(OR(Comparison!$I$9="Item # + Part # + Description",Comparison!$I$9="Part # + Description"),TRIM('List 1'!D157),"")))</f>
        <v/>
      </c>
      <c r="B157" s="0" t="str">
        <f aca="false">IF(A157="","",SUMPRODUCT(--($A$2:A157=A157)))</f>
        <v/>
      </c>
      <c r="C157" s="0" t="str">
        <f aca="false">IF(A157="","",A157&amp;"#"&amp;B157)</f>
        <v/>
      </c>
      <c r="D157" s="0" t="str">
        <f aca="false">IF(A157="","",IFERROR(--'List 1'!B157,0))</f>
        <v/>
      </c>
      <c r="F157" s="0" t="str">
        <f aca="false">IF(TRIM('List 2'!A157&amp;'List 2'!C157&amp;'List 2'!D157)="","",LOWER(IF(OR(Comparison!$I$9="Item # + Part # + Description",Comparison!$I$9="Item # + Part #"),TRIM('List 2'!A157),"")&amp;"|"&amp;TRIM('List 2'!C157)&amp;"|"&amp;IF(OR(Comparison!$I$9="Item # + Part # + Description",Comparison!$I$9="Part # + Description"),TRIM('List 2'!D157),"")))</f>
        <v/>
      </c>
      <c r="G157" s="0" t="str">
        <f aca="false">IF(F157="","",SUMPRODUCT(--($F$2:F157=F157)))</f>
        <v/>
      </c>
      <c r="H157" s="0" t="str">
        <f aca="false">IF(F157="","",F157&amp;"#"&amp;G157)</f>
        <v/>
      </c>
      <c r="I157" s="0" t="str">
        <f aca="false">IF(F157="","",IFERROR(--'List 2'!B157,0))</f>
        <v/>
      </c>
      <c r="K157" s="0" t="str">
        <f aca="false">C157</f>
        <v/>
      </c>
      <c r="L157" s="0" t="str">
        <f aca="false">IF(K157="","",IF(ISNUMBER('List 1'!A157),'List 1'!A157,TRIM('List 1'!A157)))</f>
        <v/>
      </c>
      <c r="M157" s="0" t="str">
        <f aca="false">IF(K157="","",IF(ISNUMBER('List 1'!C157),'List 1'!C157,TRIM('List 1'!C157)))</f>
        <v/>
      </c>
      <c r="N157" s="0" t="str">
        <f aca="false">IF(K157="","",IF(ISNUMBER('List 1'!D157),'List 1'!D157,TRIM('List 1'!D157)))</f>
        <v/>
      </c>
      <c r="O157" s="0" t="str">
        <f aca="false">IF(K157="","",D157)</f>
        <v/>
      </c>
      <c r="P157" s="0" t="str">
        <f aca="false">IF(K157="","",IF(R157,SUMPRODUCT(--($H$2:$H$501=K157),$I$2:$I$501),0))</f>
        <v/>
      </c>
      <c r="Q157" s="0" t="str">
        <f aca="false">IF(K157="","",TRUE())</f>
        <v/>
      </c>
      <c r="R157" s="0" t="str">
        <f aca="false">IF(K157="","",SUMPRODUCT(--($H$2:$H$501=K157))&gt;0)</f>
        <v/>
      </c>
      <c r="S157" s="0" t="str">
        <f aca="false">IF(K157="","",IF(AND(Q157,R157),IF(O157=P157,"Match","Qty Different"),IF(Q157,"Only in List 1","Only in List 2")))</f>
        <v/>
      </c>
      <c r="T157" s="0" t="str">
        <f aca="false">IF(K157="","",IF(ISNUMBER(--L157),TEXT(--L157,"000000000000.000"),LOWER(L157)))</f>
        <v/>
      </c>
      <c r="U157" s="0" t="str">
        <f aca="false">IF(K157="","",IF(ISNUMBER(--M157),TEXT(--M157,"000000000000.000"),LOWER(M157)))</f>
        <v/>
      </c>
      <c r="V157" s="0" t="str">
        <f aca="false">IF(K157="","",LOWER(N157))</f>
        <v/>
      </c>
      <c r="W157" s="0" t="str">
        <f aca="false">IF(K157="","",B157)</f>
        <v/>
      </c>
      <c r="X157" s="0" t="str">
        <f aca="false">IF(K157="","",1+SUMPRODUCT(($K$2:$K$1001&lt;&gt;"")*(($T$2:$T$1001&lt;T157)+($T$2:$T$1001=T157)*(($U$2:$U$1001&lt;U157)+($U$2:$U$1001=U157)*(($V$2:$V$1001&lt;V157)+($V$2:$V$1001=V157)*(($W$2:$W$1001&lt;W157)+($W$2:$W$1001=W157)*(ROW($K$2:$K$1001)&lt;ROW(K157))))))))</f>
        <v/>
      </c>
    </row>
    <row r="158" customFormat="false" ht="15" hidden="false" customHeight="false" outlineLevel="0" collapsed="false">
      <c r="A158" s="0" t="str">
        <f aca="false">IF(TRIM('List 1'!A158&amp;'List 1'!C158&amp;'List 1'!D158)="","",LOWER(IF(OR(Comparison!$I$9="Item # + Part # + Description",Comparison!$I$9="Item # + Part #"),TRIM('List 1'!A158),"")&amp;"|"&amp;TRIM('List 1'!C158)&amp;"|"&amp;IF(OR(Comparison!$I$9="Item # + Part # + Description",Comparison!$I$9="Part # + Description"),TRIM('List 1'!D158),"")))</f>
        <v/>
      </c>
      <c r="B158" s="0" t="str">
        <f aca="false">IF(A158="","",SUMPRODUCT(--($A$2:A158=A158)))</f>
        <v/>
      </c>
      <c r="C158" s="0" t="str">
        <f aca="false">IF(A158="","",A158&amp;"#"&amp;B158)</f>
        <v/>
      </c>
      <c r="D158" s="0" t="str">
        <f aca="false">IF(A158="","",IFERROR(--'List 1'!B158,0))</f>
        <v/>
      </c>
      <c r="F158" s="0" t="str">
        <f aca="false">IF(TRIM('List 2'!A158&amp;'List 2'!C158&amp;'List 2'!D158)="","",LOWER(IF(OR(Comparison!$I$9="Item # + Part # + Description",Comparison!$I$9="Item # + Part #"),TRIM('List 2'!A158),"")&amp;"|"&amp;TRIM('List 2'!C158)&amp;"|"&amp;IF(OR(Comparison!$I$9="Item # + Part # + Description",Comparison!$I$9="Part # + Description"),TRIM('List 2'!D158),"")))</f>
        <v/>
      </c>
      <c r="G158" s="0" t="str">
        <f aca="false">IF(F158="","",SUMPRODUCT(--($F$2:F158=F158)))</f>
        <v/>
      </c>
      <c r="H158" s="0" t="str">
        <f aca="false">IF(F158="","",F158&amp;"#"&amp;G158)</f>
        <v/>
      </c>
      <c r="I158" s="0" t="str">
        <f aca="false">IF(F158="","",IFERROR(--'List 2'!B158,0))</f>
        <v/>
      </c>
      <c r="K158" s="0" t="str">
        <f aca="false">C158</f>
        <v/>
      </c>
      <c r="L158" s="0" t="str">
        <f aca="false">IF(K158="","",IF(ISNUMBER('List 1'!A158),'List 1'!A158,TRIM('List 1'!A158)))</f>
        <v/>
      </c>
      <c r="M158" s="0" t="str">
        <f aca="false">IF(K158="","",IF(ISNUMBER('List 1'!C158),'List 1'!C158,TRIM('List 1'!C158)))</f>
        <v/>
      </c>
      <c r="N158" s="0" t="str">
        <f aca="false">IF(K158="","",IF(ISNUMBER('List 1'!D158),'List 1'!D158,TRIM('List 1'!D158)))</f>
        <v/>
      </c>
      <c r="O158" s="0" t="str">
        <f aca="false">IF(K158="","",D158)</f>
        <v/>
      </c>
      <c r="P158" s="0" t="str">
        <f aca="false">IF(K158="","",IF(R158,SUMPRODUCT(--($H$2:$H$501=K158),$I$2:$I$501),0))</f>
        <v/>
      </c>
      <c r="Q158" s="0" t="str">
        <f aca="false">IF(K158="","",TRUE())</f>
        <v/>
      </c>
      <c r="R158" s="0" t="str">
        <f aca="false">IF(K158="","",SUMPRODUCT(--($H$2:$H$501=K158))&gt;0)</f>
        <v/>
      </c>
      <c r="S158" s="0" t="str">
        <f aca="false">IF(K158="","",IF(AND(Q158,R158),IF(O158=P158,"Match","Qty Different"),IF(Q158,"Only in List 1","Only in List 2")))</f>
        <v/>
      </c>
      <c r="T158" s="0" t="str">
        <f aca="false">IF(K158="","",IF(ISNUMBER(--L158),TEXT(--L158,"000000000000.000"),LOWER(L158)))</f>
        <v/>
      </c>
      <c r="U158" s="0" t="str">
        <f aca="false">IF(K158="","",IF(ISNUMBER(--M158),TEXT(--M158,"000000000000.000"),LOWER(M158)))</f>
        <v/>
      </c>
      <c r="V158" s="0" t="str">
        <f aca="false">IF(K158="","",LOWER(N158))</f>
        <v/>
      </c>
      <c r="W158" s="0" t="str">
        <f aca="false">IF(K158="","",B158)</f>
        <v/>
      </c>
      <c r="X158" s="0" t="str">
        <f aca="false">IF(K158="","",1+SUMPRODUCT(($K$2:$K$1001&lt;&gt;"")*(($T$2:$T$1001&lt;T158)+($T$2:$T$1001=T158)*(($U$2:$U$1001&lt;U158)+($U$2:$U$1001=U158)*(($V$2:$V$1001&lt;V158)+($V$2:$V$1001=V158)*(($W$2:$W$1001&lt;W158)+($W$2:$W$1001=W158)*(ROW($K$2:$K$1001)&lt;ROW(K158))))))))</f>
        <v/>
      </c>
    </row>
    <row r="159" customFormat="false" ht="15" hidden="false" customHeight="false" outlineLevel="0" collapsed="false">
      <c r="A159" s="0" t="str">
        <f aca="false">IF(TRIM('List 1'!A159&amp;'List 1'!C159&amp;'List 1'!D159)="","",LOWER(IF(OR(Comparison!$I$9="Item # + Part # + Description",Comparison!$I$9="Item # + Part #"),TRIM('List 1'!A159),"")&amp;"|"&amp;TRIM('List 1'!C159)&amp;"|"&amp;IF(OR(Comparison!$I$9="Item # + Part # + Description",Comparison!$I$9="Part # + Description"),TRIM('List 1'!D159),"")))</f>
        <v/>
      </c>
      <c r="B159" s="0" t="str">
        <f aca="false">IF(A159="","",SUMPRODUCT(--($A$2:A159=A159)))</f>
        <v/>
      </c>
      <c r="C159" s="0" t="str">
        <f aca="false">IF(A159="","",A159&amp;"#"&amp;B159)</f>
        <v/>
      </c>
      <c r="D159" s="0" t="str">
        <f aca="false">IF(A159="","",IFERROR(--'List 1'!B159,0))</f>
        <v/>
      </c>
      <c r="F159" s="0" t="str">
        <f aca="false">IF(TRIM('List 2'!A159&amp;'List 2'!C159&amp;'List 2'!D159)="","",LOWER(IF(OR(Comparison!$I$9="Item # + Part # + Description",Comparison!$I$9="Item # + Part #"),TRIM('List 2'!A159),"")&amp;"|"&amp;TRIM('List 2'!C159)&amp;"|"&amp;IF(OR(Comparison!$I$9="Item # + Part # + Description",Comparison!$I$9="Part # + Description"),TRIM('List 2'!D159),"")))</f>
        <v/>
      </c>
      <c r="G159" s="0" t="str">
        <f aca="false">IF(F159="","",SUMPRODUCT(--($F$2:F159=F159)))</f>
        <v/>
      </c>
      <c r="H159" s="0" t="str">
        <f aca="false">IF(F159="","",F159&amp;"#"&amp;G159)</f>
        <v/>
      </c>
      <c r="I159" s="0" t="str">
        <f aca="false">IF(F159="","",IFERROR(--'List 2'!B159,0))</f>
        <v/>
      </c>
      <c r="K159" s="0" t="str">
        <f aca="false">C159</f>
        <v/>
      </c>
      <c r="L159" s="0" t="str">
        <f aca="false">IF(K159="","",IF(ISNUMBER('List 1'!A159),'List 1'!A159,TRIM('List 1'!A159)))</f>
        <v/>
      </c>
      <c r="M159" s="0" t="str">
        <f aca="false">IF(K159="","",IF(ISNUMBER('List 1'!C159),'List 1'!C159,TRIM('List 1'!C159)))</f>
        <v/>
      </c>
      <c r="N159" s="0" t="str">
        <f aca="false">IF(K159="","",IF(ISNUMBER('List 1'!D159),'List 1'!D159,TRIM('List 1'!D159)))</f>
        <v/>
      </c>
      <c r="O159" s="0" t="str">
        <f aca="false">IF(K159="","",D159)</f>
        <v/>
      </c>
      <c r="P159" s="0" t="str">
        <f aca="false">IF(K159="","",IF(R159,SUMPRODUCT(--($H$2:$H$501=K159),$I$2:$I$501),0))</f>
        <v/>
      </c>
      <c r="Q159" s="0" t="str">
        <f aca="false">IF(K159="","",TRUE())</f>
        <v/>
      </c>
      <c r="R159" s="0" t="str">
        <f aca="false">IF(K159="","",SUMPRODUCT(--($H$2:$H$501=K159))&gt;0)</f>
        <v/>
      </c>
      <c r="S159" s="0" t="str">
        <f aca="false">IF(K159="","",IF(AND(Q159,R159),IF(O159=P159,"Match","Qty Different"),IF(Q159,"Only in List 1","Only in List 2")))</f>
        <v/>
      </c>
      <c r="T159" s="0" t="str">
        <f aca="false">IF(K159="","",IF(ISNUMBER(--L159),TEXT(--L159,"000000000000.000"),LOWER(L159)))</f>
        <v/>
      </c>
      <c r="U159" s="0" t="str">
        <f aca="false">IF(K159="","",IF(ISNUMBER(--M159),TEXT(--M159,"000000000000.000"),LOWER(M159)))</f>
        <v/>
      </c>
      <c r="V159" s="0" t="str">
        <f aca="false">IF(K159="","",LOWER(N159))</f>
        <v/>
      </c>
      <c r="W159" s="0" t="str">
        <f aca="false">IF(K159="","",B159)</f>
        <v/>
      </c>
      <c r="X159" s="0" t="str">
        <f aca="false">IF(K159="","",1+SUMPRODUCT(($K$2:$K$1001&lt;&gt;"")*(($T$2:$T$1001&lt;T159)+($T$2:$T$1001=T159)*(($U$2:$U$1001&lt;U159)+($U$2:$U$1001=U159)*(($V$2:$V$1001&lt;V159)+($V$2:$V$1001=V159)*(($W$2:$W$1001&lt;W159)+($W$2:$W$1001=W159)*(ROW($K$2:$K$1001)&lt;ROW(K159))))))))</f>
        <v/>
      </c>
    </row>
    <row r="160" customFormat="false" ht="15" hidden="false" customHeight="false" outlineLevel="0" collapsed="false">
      <c r="A160" s="0" t="str">
        <f aca="false">IF(TRIM('List 1'!A160&amp;'List 1'!C160&amp;'List 1'!D160)="","",LOWER(IF(OR(Comparison!$I$9="Item # + Part # + Description",Comparison!$I$9="Item # + Part #"),TRIM('List 1'!A160),"")&amp;"|"&amp;TRIM('List 1'!C160)&amp;"|"&amp;IF(OR(Comparison!$I$9="Item # + Part # + Description",Comparison!$I$9="Part # + Description"),TRIM('List 1'!D160),"")))</f>
        <v/>
      </c>
      <c r="B160" s="0" t="str">
        <f aca="false">IF(A160="","",SUMPRODUCT(--($A$2:A160=A160)))</f>
        <v/>
      </c>
      <c r="C160" s="0" t="str">
        <f aca="false">IF(A160="","",A160&amp;"#"&amp;B160)</f>
        <v/>
      </c>
      <c r="D160" s="0" t="str">
        <f aca="false">IF(A160="","",IFERROR(--'List 1'!B160,0))</f>
        <v/>
      </c>
      <c r="F160" s="0" t="str">
        <f aca="false">IF(TRIM('List 2'!A160&amp;'List 2'!C160&amp;'List 2'!D160)="","",LOWER(IF(OR(Comparison!$I$9="Item # + Part # + Description",Comparison!$I$9="Item # + Part #"),TRIM('List 2'!A160),"")&amp;"|"&amp;TRIM('List 2'!C160)&amp;"|"&amp;IF(OR(Comparison!$I$9="Item # + Part # + Description",Comparison!$I$9="Part # + Description"),TRIM('List 2'!D160),"")))</f>
        <v/>
      </c>
      <c r="G160" s="0" t="str">
        <f aca="false">IF(F160="","",SUMPRODUCT(--($F$2:F160=F160)))</f>
        <v/>
      </c>
      <c r="H160" s="0" t="str">
        <f aca="false">IF(F160="","",F160&amp;"#"&amp;G160)</f>
        <v/>
      </c>
      <c r="I160" s="0" t="str">
        <f aca="false">IF(F160="","",IFERROR(--'List 2'!B160,0))</f>
        <v/>
      </c>
      <c r="K160" s="0" t="str">
        <f aca="false">C160</f>
        <v/>
      </c>
      <c r="L160" s="0" t="str">
        <f aca="false">IF(K160="","",IF(ISNUMBER('List 1'!A160),'List 1'!A160,TRIM('List 1'!A160)))</f>
        <v/>
      </c>
      <c r="M160" s="0" t="str">
        <f aca="false">IF(K160="","",IF(ISNUMBER('List 1'!C160),'List 1'!C160,TRIM('List 1'!C160)))</f>
        <v/>
      </c>
      <c r="N160" s="0" t="str">
        <f aca="false">IF(K160="","",IF(ISNUMBER('List 1'!D160),'List 1'!D160,TRIM('List 1'!D160)))</f>
        <v/>
      </c>
      <c r="O160" s="0" t="str">
        <f aca="false">IF(K160="","",D160)</f>
        <v/>
      </c>
      <c r="P160" s="0" t="str">
        <f aca="false">IF(K160="","",IF(R160,SUMPRODUCT(--($H$2:$H$501=K160),$I$2:$I$501),0))</f>
        <v/>
      </c>
      <c r="Q160" s="0" t="str">
        <f aca="false">IF(K160="","",TRUE())</f>
        <v/>
      </c>
      <c r="R160" s="0" t="str">
        <f aca="false">IF(K160="","",SUMPRODUCT(--($H$2:$H$501=K160))&gt;0)</f>
        <v/>
      </c>
      <c r="S160" s="0" t="str">
        <f aca="false">IF(K160="","",IF(AND(Q160,R160),IF(O160=P160,"Match","Qty Different"),IF(Q160,"Only in List 1","Only in List 2")))</f>
        <v/>
      </c>
      <c r="T160" s="0" t="str">
        <f aca="false">IF(K160="","",IF(ISNUMBER(--L160),TEXT(--L160,"000000000000.000"),LOWER(L160)))</f>
        <v/>
      </c>
      <c r="U160" s="0" t="str">
        <f aca="false">IF(K160="","",IF(ISNUMBER(--M160),TEXT(--M160,"000000000000.000"),LOWER(M160)))</f>
        <v/>
      </c>
      <c r="V160" s="0" t="str">
        <f aca="false">IF(K160="","",LOWER(N160))</f>
        <v/>
      </c>
      <c r="W160" s="0" t="str">
        <f aca="false">IF(K160="","",B160)</f>
        <v/>
      </c>
      <c r="X160" s="0" t="str">
        <f aca="false">IF(K160="","",1+SUMPRODUCT(($K$2:$K$1001&lt;&gt;"")*(($T$2:$T$1001&lt;T160)+($T$2:$T$1001=T160)*(($U$2:$U$1001&lt;U160)+($U$2:$U$1001=U160)*(($V$2:$V$1001&lt;V160)+($V$2:$V$1001=V160)*(($W$2:$W$1001&lt;W160)+($W$2:$W$1001=W160)*(ROW($K$2:$K$1001)&lt;ROW(K160))))))))</f>
        <v/>
      </c>
    </row>
    <row r="161" customFormat="false" ht="15" hidden="false" customHeight="false" outlineLevel="0" collapsed="false">
      <c r="A161" s="0" t="str">
        <f aca="false">IF(TRIM('List 1'!A161&amp;'List 1'!C161&amp;'List 1'!D161)="","",LOWER(IF(OR(Comparison!$I$9="Item # + Part # + Description",Comparison!$I$9="Item # + Part #"),TRIM('List 1'!A161),"")&amp;"|"&amp;TRIM('List 1'!C161)&amp;"|"&amp;IF(OR(Comparison!$I$9="Item # + Part # + Description",Comparison!$I$9="Part # + Description"),TRIM('List 1'!D161),"")))</f>
        <v/>
      </c>
      <c r="B161" s="0" t="str">
        <f aca="false">IF(A161="","",SUMPRODUCT(--($A$2:A161=A161)))</f>
        <v/>
      </c>
      <c r="C161" s="0" t="str">
        <f aca="false">IF(A161="","",A161&amp;"#"&amp;B161)</f>
        <v/>
      </c>
      <c r="D161" s="0" t="str">
        <f aca="false">IF(A161="","",IFERROR(--'List 1'!B161,0))</f>
        <v/>
      </c>
      <c r="F161" s="0" t="str">
        <f aca="false">IF(TRIM('List 2'!A161&amp;'List 2'!C161&amp;'List 2'!D161)="","",LOWER(IF(OR(Comparison!$I$9="Item # + Part # + Description",Comparison!$I$9="Item # + Part #"),TRIM('List 2'!A161),"")&amp;"|"&amp;TRIM('List 2'!C161)&amp;"|"&amp;IF(OR(Comparison!$I$9="Item # + Part # + Description",Comparison!$I$9="Part # + Description"),TRIM('List 2'!D161),"")))</f>
        <v/>
      </c>
      <c r="G161" s="0" t="str">
        <f aca="false">IF(F161="","",SUMPRODUCT(--($F$2:F161=F161)))</f>
        <v/>
      </c>
      <c r="H161" s="0" t="str">
        <f aca="false">IF(F161="","",F161&amp;"#"&amp;G161)</f>
        <v/>
      </c>
      <c r="I161" s="0" t="str">
        <f aca="false">IF(F161="","",IFERROR(--'List 2'!B161,0))</f>
        <v/>
      </c>
      <c r="K161" s="0" t="str">
        <f aca="false">C161</f>
        <v/>
      </c>
      <c r="L161" s="0" t="str">
        <f aca="false">IF(K161="","",IF(ISNUMBER('List 1'!A161),'List 1'!A161,TRIM('List 1'!A161)))</f>
        <v/>
      </c>
      <c r="M161" s="0" t="str">
        <f aca="false">IF(K161="","",IF(ISNUMBER('List 1'!C161),'List 1'!C161,TRIM('List 1'!C161)))</f>
        <v/>
      </c>
      <c r="N161" s="0" t="str">
        <f aca="false">IF(K161="","",IF(ISNUMBER('List 1'!D161),'List 1'!D161,TRIM('List 1'!D161)))</f>
        <v/>
      </c>
      <c r="O161" s="0" t="str">
        <f aca="false">IF(K161="","",D161)</f>
        <v/>
      </c>
      <c r="P161" s="0" t="str">
        <f aca="false">IF(K161="","",IF(R161,SUMPRODUCT(--($H$2:$H$501=K161),$I$2:$I$501),0))</f>
        <v/>
      </c>
      <c r="Q161" s="0" t="str">
        <f aca="false">IF(K161="","",TRUE())</f>
        <v/>
      </c>
      <c r="R161" s="0" t="str">
        <f aca="false">IF(K161="","",SUMPRODUCT(--($H$2:$H$501=K161))&gt;0)</f>
        <v/>
      </c>
      <c r="S161" s="0" t="str">
        <f aca="false">IF(K161="","",IF(AND(Q161,R161),IF(O161=P161,"Match","Qty Different"),IF(Q161,"Only in List 1","Only in List 2")))</f>
        <v/>
      </c>
      <c r="T161" s="0" t="str">
        <f aca="false">IF(K161="","",IF(ISNUMBER(--L161),TEXT(--L161,"000000000000.000"),LOWER(L161)))</f>
        <v/>
      </c>
      <c r="U161" s="0" t="str">
        <f aca="false">IF(K161="","",IF(ISNUMBER(--M161),TEXT(--M161,"000000000000.000"),LOWER(M161)))</f>
        <v/>
      </c>
      <c r="V161" s="0" t="str">
        <f aca="false">IF(K161="","",LOWER(N161))</f>
        <v/>
      </c>
      <c r="W161" s="0" t="str">
        <f aca="false">IF(K161="","",B161)</f>
        <v/>
      </c>
      <c r="X161" s="0" t="str">
        <f aca="false">IF(K161="","",1+SUMPRODUCT(($K$2:$K$1001&lt;&gt;"")*(($T$2:$T$1001&lt;T161)+($T$2:$T$1001=T161)*(($U$2:$U$1001&lt;U161)+($U$2:$U$1001=U161)*(($V$2:$V$1001&lt;V161)+($V$2:$V$1001=V161)*(($W$2:$W$1001&lt;W161)+($W$2:$W$1001=W161)*(ROW($K$2:$K$1001)&lt;ROW(K161))))))))</f>
        <v/>
      </c>
    </row>
    <row r="162" customFormat="false" ht="15" hidden="false" customHeight="false" outlineLevel="0" collapsed="false">
      <c r="A162" s="0" t="str">
        <f aca="false">IF(TRIM('List 1'!A162&amp;'List 1'!C162&amp;'List 1'!D162)="","",LOWER(IF(OR(Comparison!$I$9="Item # + Part # + Description",Comparison!$I$9="Item # + Part #"),TRIM('List 1'!A162),"")&amp;"|"&amp;TRIM('List 1'!C162)&amp;"|"&amp;IF(OR(Comparison!$I$9="Item # + Part # + Description",Comparison!$I$9="Part # + Description"),TRIM('List 1'!D162),"")))</f>
        <v/>
      </c>
      <c r="B162" s="0" t="str">
        <f aca="false">IF(A162="","",SUMPRODUCT(--($A$2:A162=A162)))</f>
        <v/>
      </c>
      <c r="C162" s="0" t="str">
        <f aca="false">IF(A162="","",A162&amp;"#"&amp;B162)</f>
        <v/>
      </c>
      <c r="D162" s="0" t="str">
        <f aca="false">IF(A162="","",IFERROR(--'List 1'!B162,0))</f>
        <v/>
      </c>
      <c r="F162" s="0" t="str">
        <f aca="false">IF(TRIM('List 2'!A162&amp;'List 2'!C162&amp;'List 2'!D162)="","",LOWER(IF(OR(Comparison!$I$9="Item # + Part # + Description",Comparison!$I$9="Item # + Part #"),TRIM('List 2'!A162),"")&amp;"|"&amp;TRIM('List 2'!C162)&amp;"|"&amp;IF(OR(Comparison!$I$9="Item # + Part # + Description",Comparison!$I$9="Part # + Description"),TRIM('List 2'!D162),"")))</f>
        <v/>
      </c>
      <c r="G162" s="0" t="str">
        <f aca="false">IF(F162="","",SUMPRODUCT(--($F$2:F162=F162)))</f>
        <v/>
      </c>
      <c r="H162" s="0" t="str">
        <f aca="false">IF(F162="","",F162&amp;"#"&amp;G162)</f>
        <v/>
      </c>
      <c r="I162" s="0" t="str">
        <f aca="false">IF(F162="","",IFERROR(--'List 2'!B162,0))</f>
        <v/>
      </c>
      <c r="K162" s="0" t="str">
        <f aca="false">C162</f>
        <v/>
      </c>
      <c r="L162" s="0" t="str">
        <f aca="false">IF(K162="","",IF(ISNUMBER('List 1'!A162),'List 1'!A162,TRIM('List 1'!A162)))</f>
        <v/>
      </c>
      <c r="M162" s="0" t="str">
        <f aca="false">IF(K162="","",IF(ISNUMBER('List 1'!C162),'List 1'!C162,TRIM('List 1'!C162)))</f>
        <v/>
      </c>
      <c r="N162" s="0" t="str">
        <f aca="false">IF(K162="","",IF(ISNUMBER('List 1'!D162),'List 1'!D162,TRIM('List 1'!D162)))</f>
        <v/>
      </c>
      <c r="O162" s="0" t="str">
        <f aca="false">IF(K162="","",D162)</f>
        <v/>
      </c>
      <c r="P162" s="0" t="str">
        <f aca="false">IF(K162="","",IF(R162,SUMPRODUCT(--($H$2:$H$501=K162),$I$2:$I$501),0))</f>
        <v/>
      </c>
      <c r="Q162" s="0" t="str">
        <f aca="false">IF(K162="","",TRUE())</f>
        <v/>
      </c>
      <c r="R162" s="0" t="str">
        <f aca="false">IF(K162="","",SUMPRODUCT(--($H$2:$H$501=K162))&gt;0)</f>
        <v/>
      </c>
      <c r="S162" s="0" t="str">
        <f aca="false">IF(K162="","",IF(AND(Q162,R162),IF(O162=P162,"Match","Qty Different"),IF(Q162,"Only in List 1","Only in List 2")))</f>
        <v/>
      </c>
      <c r="T162" s="0" t="str">
        <f aca="false">IF(K162="","",IF(ISNUMBER(--L162),TEXT(--L162,"000000000000.000"),LOWER(L162)))</f>
        <v/>
      </c>
      <c r="U162" s="0" t="str">
        <f aca="false">IF(K162="","",IF(ISNUMBER(--M162),TEXT(--M162,"000000000000.000"),LOWER(M162)))</f>
        <v/>
      </c>
      <c r="V162" s="0" t="str">
        <f aca="false">IF(K162="","",LOWER(N162))</f>
        <v/>
      </c>
      <c r="W162" s="0" t="str">
        <f aca="false">IF(K162="","",B162)</f>
        <v/>
      </c>
      <c r="X162" s="0" t="str">
        <f aca="false">IF(K162="","",1+SUMPRODUCT(($K$2:$K$1001&lt;&gt;"")*(($T$2:$T$1001&lt;T162)+($T$2:$T$1001=T162)*(($U$2:$U$1001&lt;U162)+($U$2:$U$1001=U162)*(($V$2:$V$1001&lt;V162)+($V$2:$V$1001=V162)*(($W$2:$W$1001&lt;W162)+($W$2:$W$1001=W162)*(ROW($K$2:$K$1001)&lt;ROW(K162))))))))</f>
        <v/>
      </c>
    </row>
    <row r="163" customFormat="false" ht="15" hidden="false" customHeight="false" outlineLevel="0" collapsed="false">
      <c r="A163" s="0" t="str">
        <f aca="false">IF(TRIM('List 1'!A163&amp;'List 1'!C163&amp;'List 1'!D163)="","",LOWER(IF(OR(Comparison!$I$9="Item # + Part # + Description",Comparison!$I$9="Item # + Part #"),TRIM('List 1'!A163),"")&amp;"|"&amp;TRIM('List 1'!C163)&amp;"|"&amp;IF(OR(Comparison!$I$9="Item # + Part # + Description",Comparison!$I$9="Part # + Description"),TRIM('List 1'!D163),"")))</f>
        <v/>
      </c>
      <c r="B163" s="0" t="str">
        <f aca="false">IF(A163="","",SUMPRODUCT(--($A$2:A163=A163)))</f>
        <v/>
      </c>
      <c r="C163" s="0" t="str">
        <f aca="false">IF(A163="","",A163&amp;"#"&amp;B163)</f>
        <v/>
      </c>
      <c r="D163" s="0" t="str">
        <f aca="false">IF(A163="","",IFERROR(--'List 1'!B163,0))</f>
        <v/>
      </c>
      <c r="F163" s="0" t="str">
        <f aca="false">IF(TRIM('List 2'!A163&amp;'List 2'!C163&amp;'List 2'!D163)="","",LOWER(IF(OR(Comparison!$I$9="Item # + Part # + Description",Comparison!$I$9="Item # + Part #"),TRIM('List 2'!A163),"")&amp;"|"&amp;TRIM('List 2'!C163)&amp;"|"&amp;IF(OR(Comparison!$I$9="Item # + Part # + Description",Comparison!$I$9="Part # + Description"),TRIM('List 2'!D163),"")))</f>
        <v/>
      </c>
      <c r="G163" s="0" t="str">
        <f aca="false">IF(F163="","",SUMPRODUCT(--($F$2:F163=F163)))</f>
        <v/>
      </c>
      <c r="H163" s="0" t="str">
        <f aca="false">IF(F163="","",F163&amp;"#"&amp;G163)</f>
        <v/>
      </c>
      <c r="I163" s="0" t="str">
        <f aca="false">IF(F163="","",IFERROR(--'List 2'!B163,0))</f>
        <v/>
      </c>
      <c r="K163" s="0" t="str">
        <f aca="false">C163</f>
        <v/>
      </c>
      <c r="L163" s="0" t="str">
        <f aca="false">IF(K163="","",IF(ISNUMBER('List 1'!A163),'List 1'!A163,TRIM('List 1'!A163)))</f>
        <v/>
      </c>
      <c r="M163" s="0" t="str">
        <f aca="false">IF(K163="","",IF(ISNUMBER('List 1'!C163),'List 1'!C163,TRIM('List 1'!C163)))</f>
        <v/>
      </c>
      <c r="N163" s="0" t="str">
        <f aca="false">IF(K163="","",IF(ISNUMBER('List 1'!D163),'List 1'!D163,TRIM('List 1'!D163)))</f>
        <v/>
      </c>
      <c r="O163" s="0" t="str">
        <f aca="false">IF(K163="","",D163)</f>
        <v/>
      </c>
      <c r="P163" s="0" t="str">
        <f aca="false">IF(K163="","",IF(R163,SUMPRODUCT(--($H$2:$H$501=K163),$I$2:$I$501),0))</f>
        <v/>
      </c>
      <c r="Q163" s="0" t="str">
        <f aca="false">IF(K163="","",TRUE())</f>
        <v/>
      </c>
      <c r="R163" s="0" t="str">
        <f aca="false">IF(K163="","",SUMPRODUCT(--($H$2:$H$501=K163))&gt;0)</f>
        <v/>
      </c>
      <c r="S163" s="0" t="str">
        <f aca="false">IF(K163="","",IF(AND(Q163,R163),IF(O163=P163,"Match","Qty Different"),IF(Q163,"Only in List 1","Only in List 2")))</f>
        <v/>
      </c>
      <c r="T163" s="0" t="str">
        <f aca="false">IF(K163="","",IF(ISNUMBER(--L163),TEXT(--L163,"000000000000.000"),LOWER(L163)))</f>
        <v/>
      </c>
      <c r="U163" s="0" t="str">
        <f aca="false">IF(K163="","",IF(ISNUMBER(--M163),TEXT(--M163,"000000000000.000"),LOWER(M163)))</f>
        <v/>
      </c>
      <c r="V163" s="0" t="str">
        <f aca="false">IF(K163="","",LOWER(N163))</f>
        <v/>
      </c>
      <c r="W163" s="0" t="str">
        <f aca="false">IF(K163="","",B163)</f>
        <v/>
      </c>
      <c r="X163" s="0" t="str">
        <f aca="false">IF(K163="","",1+SUMPRODUCT(($K$2:$K$1001&lt;&gt;"")*(($T$2:$T$1001&lt;T163)+($T$2:$T$1001=T163)*(($U$2:$U$1001&lt;U163)+($U$2:$U$1001=U163)*(($V$2:$V$1001&lt;V163)+($V$2:$V$1001=V163)*(($W$2:$W$1001&lt;W163)+($W$2:$W$1001=W163)*(ROW($K$2:$K$1001)&lt;ROW(K163))))))))</f>
        <v/>
      </c>
    </row>
    <row r="164" customFormat="false" ht="15" hidden="false" customHeight="false" outlineLevel="0" collapsed="false">
      <c r="A164" s="0" t="str">
        <f aca="false">IF(TRIM('List 1'!A164&amp;'List 1'!C164&amp;'List 1'!D164)="","",LOWER(IF(OR(Comparison!$I$9="Item # + Part # + Description",Comparison!$I$9="Item # + Part #"),TRIM('List 1'!A164),"")&amp;"|"&amp;TRIM('List 1'!C164)&amp;"|"&amp;IF(OR(Comparison!$I$9="Item # + Part # + Description",Comparison!$I$9="Part # + Description"),TRIM('List 1'!D164),"")))</f>
        <v/>
      </c>
      <c r="B164" s="0" t="str">
        <f aca="false">IF(A164="","",SUMPRODUCT(--($A$2:A164=A164)))</f>
        <v/>
      </c>
      <c r="C164" s="0" t="str">
        <f aca="false">IF(A164="","",A164&amp;"#"&amp;B164)</f>
        <v/>
      </c>
      <c r="D164" s="0" t="str">
        <f aca="false">IF(A164="","",IFERROR(--'List 1'!B164,0))</f>
        <v/>
      </c>
      <c r="F164" s="0" t="str">
        <f aca="false">IF(TRIM('List 2'!A164&amp;'List 2'!C164&amp;'List 2'!D164)="","",LOWER(IF(OR(Comparison!$I$9="Item # + Part # + Description",Comparison!$I$9="Item # + Part #"),TRIM('List 2'!A164),"")&amp;"|"&amp;TRIM('List 2'!C164)&amp;"|"&amp;IF(OR(Comparison!$I$9="Item # + Part # + Description",Comparison!$I$9="Part # + Description"),TRIM('List 2'!D164),"")))</f>
        <v/>
      </c>
      <c r="G164" s="0" t="str">
        <f aca="false">IF(F164="","",SUMPRODUCT(--($F$2:F164=F164)))</f>
        <v/>
      </c>
      <c r="H164" s="0" t="str">
        <f aca="false">IF(F164="","",F164&amp;"#"&amp;G164)</f>
        <v/>
      </c>
      <c r="I164" s="0" t="str">
        <f aca="false">IF(F164="","",IFERROR(--'List 2'!B164,0))</f>
        <v/>
      </c>
      <c r="K164" s="0" t="str">
        <f aca="false">C164</f>
        <v/>
      </c>
      <c r="L164" s="0" t="str">
        <f aca="false">IF(K164="","",IF(ISNUMBER('List 1'!A164),'List 1'!A164,TRIM('List 1'!A164)))</f>
        <v/>
      </c>
      <c r="M164" s="0" t="str">
        <f aca="false">IF(K164="","",IF(ISNUMBER('List 1'!C164),'List 1'!C164,TRIM('List 1'!C164)))</f>
        <v/>
      </c>
      <c r="N164" s="0" t="str">
        <f aca="false">IF(K164="","",IF(ISNUMBER('List 1'!D164),'List 1'!D164,TRIM('List 1'!D164)))</f>
        <v/>
      </c>
      <c r="O164" s="0" t="str">
        <f aca="false">IF(K164="","",D164)</f>
        <v/>
      </c>
      <c r="P164" s="0" t="str">
        <f aca="false">IF(K164="","",IF(R164,SUMPRODUCT(--($H$2:$H$501=K164),$I$2:$I$501),0))</f>
        <v/>
      </c>
      <c r="Q164" s="0" t="str">
        <f aca="false">IF(K164="","",TRUE())</f>
        <v/>
      </c>
      <c r="R164" s="0" t="str">
        <f aca="false">IF(K164="","",SUMPRODUCT(--($H$2:$H$501=K164))&gt;0)</f>
        <v/>
      </c>
      <c r="S164" s="0" t="str">
        <f aca="false">IF(K164="","",IF(AND(Q164,R164),IF(O164=P164,"Match","Qty Different"),IF(Q164,"Only in List 1","Only in List 2")))</f>
        <v/>
      </c>
      <c r="T164" s="0" t="str">
        <f aca="false">IF(K164="","",IF(ISNUMBER(--L164),TEXT(--L164,"000000000000.000"),LOWER(L164)))</f>
        <v/>
      </c>
      <c r="U164" s="0" t="str">
        <f aca="false">IF(K164="","",IF(ISNUMBER(--M164),TEXT(--M164,"000000000000.000"),LOWER(M164)))</f>
        <v/>
      </c>
      <c r="V164" s="0" t="str">
        <f aca="false">IF(K164="","",LOWER(N164))</f>
        <v/>
      </c>
      <c r="W164" s="0" t="str">
        <f aca="false">IF(K164="","",B164)</f>
        <v/>
      </c>
      <c r="X164" s="0" t="str">
        <f aca="false">IF(K164="","",1+SUMPRODUCT(($K$2:$K$1001&lt;&gt;"")*(($T$2:$T$1001&lt;T164)+($T$2:$T$1001=T164)*(($U$2:$U$1001&lt;U164)+($U$2:$U$1001=U164)*(($V$2:$V$1001&lt;V164)+($V$2:$V$1001=V164)*(($W$2:$W$1001&lt;W164)+($W$2:$W$1001=W164)*(ROW($K$2:$K$1001)&lt;ROW(K164))))))))</f>
        <v/>
      </c>
    </row>
    <row r="165" customFormat="false" ht="15" hidden="false" customHeight="false" outlineLevel="0" collapsed="false">
      <c r="A165" s="0" t="str">
        <f aca="false">IF(TRIM('List 1'!A165&amp;'List 1'!C165&amp;'List 1'!D165)="","",LOWER(IF(OR(Comparison!$I$9="Item # + Part # + Description",Comparison!$I$9="Item # + Part #"),TRIM('List 1'!A165),"")&amp;"|"&amp;TRIM('List 1'!C165)&amp;"|"&amp;IF(OR(Comparison!$I$9="Item # + Part # + Description",Comparison!$I$9="Part # + Description"),TRIM('List 1'!D165),"")))</f>
        <v/>
      </c>
      <c r="B165" s="0" t="str">
        <f aca="false">IF(A165="","",SUMPRODUCT(--($A$2:A165=A165)))</f>
        <v/>
      </c>
      <c r="C165" s="0" t="str">
        <f aca="false">IF(A165="","",A165&amp;"#"&amp;B165)</f>
        <v/>
      </c>
      <c r="D165" s="0" t="str">
        <f aca="false">IF(A165="","",IFERROR(--'List 1'!B165,0))</f>
        <v/>
      </c>
      <c r="F165" s="0" t="str">
        <f aca="false">IF(TRIM('List 2'!A165&amp;'List 2'!C165&amp;'List 2'!D165)="","",LOWER(IF(OR(Comparison!$I$9="Item # + Part # + Description",Comparison!$I$9="Item # + Part #"),TRIM('List 2'!A165),"")&amp;"|"&amp;TRIM('List 2'!C165)&amp;"|"&amp;IF(OR(Comparison!$I$9="Item # + Part # + Description",Comparison!$I$9="Part # + Description"),TRIM('List 2'!D165),"")))</f>
        <v/>
      </c>
      <c r="G165" s="0" t="str">
        <f aca="false">IF(F165="","",SUMPRODUCT(--($F$2:F165=F165)))</f>
        <v/>
      </c>
      <c r="H165" s="0" t="str">
        <f aca="false">IF(F165="","",F165&amp;"#"&amp;G165)</f>
        <v/>
      </c>
      <c r="I165" s="0" t="str">
        <f aca="false">IF(F165="","",IFERROR(--'List 2'!B165,0))</f>
        <v/>
      </c>
      <c r="K165" s="0" t="str">
        <f aca="false">C165</f>
        <v/>
      </c>
      <c r="L165" s="0" t="str">
        <f aca="false">IF(K165="","",IF(ISNUMBER('List 1'!A165),'List 1'!A165,TRIM('List 1'!A165)))</f>
        <v/>
      </c>
      <c r="M165" s="0" t="str">
        <f aca="false">IF(K165="","",IF(ISNUMBER('List 1'!C165),'List 1'!C165,TRIM('List 1'!C165)))</f>
        <v/>
      </c>
      <c r="N165" s="0" t="str">
        <f aca="false">IF(K165="","",IF(ISNUMBER('List 1'!D165),'List 1'!D165,TRIM('List 1'!D165)))</f>
        <v/>
      </c>
      <c r="O165" s="0" t="str">
        <f aca="false">IF(K165="","",D165)</f>
        <v/>
      </c>
      <c r="P165" s="0" t="str">
        <f aca="false">IF(K165="","",IF(R165,SUMPRODUCT(--($H$2:$H$501=K165),$I$2:$I$501),0))</f>
        <v/>
      </c>
      <c r="Q165" s="0" t="str">
        <f aca="false">IF(K165="","",TRUE())</f>
        <v/>
      </c>
      <c r="R165" s="0" t="str">
        <f aca="false">IF(K165="","",SUMPRODUCT(--($H$2:$H$501=K165))&gt;0)</f>
        <v/>
      </c>
      <c r="S165" s="0" t="str">
        <f aca="false">IF(K165="","",IF(AND(Q165,R165),IF(O165=P165,"Match","Qty Different"),IF(Q165,"Only in List 1","Only in List 2")))</f>
        <v/>
      </c>
      <c r="T165" s="0" t="str">
        <f aca="false">IF(K165="","",IF(ISNUMBER(--L165),TEXT(--L165,"000000000000.000"),LOWER(L165)))</f>
        <v/>
      </c>
      <c r="U165" s="0" t="str">
        <f aca="false">IF(K165="","",IF(ISNUMBER(--M165),TEXT(--M165,"000000000000.000"),LOWER(M165)))</f>
        <v/>
      </c>
      <c r="V165" s="0" t="str">
        <f aca="false">IF(K165="","",LOWER(N165))</f>
        <v/>
      </c>
      <c r="W165" s="0" t="str">
        <f aca="false">IF(K165="","",B165)</f>
        <v/>
      </c>
      <c r="X165" s="0" t="str">
        <f aca="false">IF(K165="","",1+SUMPRODUCT(($K$2:$K$1001&lt;&gt;"")*(($T$2:$T$1001&lt;T165)+($T$2:$T$1001=T165)*(($U$2:$U$1001&lt;U165)+($U$2:$U$1001=U165)*(($V$2:$V$1001&lt;V165)+($V$2:$V$1001=V165)*(($W$2:$W$1001&lt;W165)+($W$2:$W$1001=W165)*(ROW($K$2:$K$1001)&lt;ROW(K165))))))))</f>
        <v/>
      </c>
    </row>
    <row r="166" customFormat="false" ht="15" hidden="false" customHeight="false" outlineLevel="0" collapsed="false">
      <c r="A166" s="0" t="str">
        <f aca="false">IF(TRIM('List 1'!A166&amp;'List 1'!C166&amp;'List 1'!D166)="","",LOWER(IF(OR(Comparison!$I$9="Item # + Part # + Description",Comparison!$I$9="Item # + Part #"),TRIM('List 1'!A166),"")&amp;"|"&amp;TRIM('List 1'!C166)&amp;"|"&amp;IF(OR(Comparison!$I$9="Item # + Part # + Description",Comparison!$I$9="Part # + Description"),TRIM('List 1'!D166),"")))</f>
        <v/>
      </c>
      <c r="B166" s="0" t="str">
        <f aca="false">IF(A166="","",SUMPRODUCT(--($A$2:A166=A166)))</f>
        <v/>
      </c>
      <c r="C166" s="0" t="str">
        <f aca="false">IF(A166="","",A166&amp;"#"&amp;B166)</f>
        <v/>
      </c>
      <c r="D166" s="0" t="str">
        <f aca="false">IF(A166="","",IFERROR(--'List 1'!B166,0))</f>
        <v/>
      </c>
      <c r="F166" s="0" t="str">
        <f aca="false">IF(TRIM('List 2'!A166&amp;'List 2'!C166&amp;'List 2'!D166)="","",LOWER(IF(OR(Comparison!$I$9="Item # + Part # + Description",Comparison!$I$9="Item # + Part #"),TRIM('List 2'!A166),"")&amp;"|"&amp;TRIM('List 2'!C166)&amp;"|"&amp;IF(OR(Comparison!$I$9="Item # + Part # + Description",Comparison!$I$9="Part # + Description"),TRIM('List 2'!D166),"")))</f>
        <v/>
      </c>
      <c r="G166" s="0" t="str">
        <f aca="false">IF(F166="","",SUMPRODUCT(--($F$2:F166=F166)))</f>
        <v/>
      </c>
      <c r="H166" s="0" t="str">
        <f aca="false">IF(F166="","",F166&amp;"#"&amp;G166)</f>
        <v/>
      </c>
      <c r="I166" s="0" t="str">
        <f aca="false">IF(F166="","",IFERROR(--'List 2'!B166,0))</f>
        <v/>
      </c>
      <c r="K166" s="0" t="str">
        <f aca="false">C166</f>
        <v/>
      </c>
      <c r="L166" s="0" t="str">
        <f aca="false">IF(K166="","",IF(ISNUMBER('List 1'!A166),'List 1'!A166,TRIM('List 1'!A166)))</f>
        <v/>
      </c>
      <c r="M166" s="0" t="str">
        <f aca="false">IF(K166="","",IF(ISNUMBER('List 1'!C166),'List 1'!C166,TRIM('List 1'!C166)))</f>
        <v/>
      </c>
      <c r="N166" s="0" t="str">
        <f aca="false">IF(K166="","",IF(ISNUMBER('List 1'!D166),'List 1'!D166,TRIM('List 1'!D166)))</f>
        <v/>
      </c>
      <c r="O166" s="0" t="str">
        <f aca="false">IF(K166="","",D166)</f>
        <v/>
      </c>
      <c r="P166" s="0" t="str">
        <f aca="false">IF(K166="","",IF(R166,SUMPRODUCT(--($H$2:$H$501=K166),$I$2:$I$501),0))</f>
        <v/>
      </c>
      <c r="Q166" s="0" t="str">
        <f aca="false">IF(K166="","",TRUE())</f>
        <v/>
      </c>
      <c r="R166" s="0" t="str">
        <f aca="false">IF(K166="","",SUMPRODUCT(--($H$2:$H$501=K166))&gt;0)</f>
        <v/>
      </c>
      <c r="S166" s="0" t="str">
        <f aca="false">IF(K166="","",IF(AND(Q166,R166),IF(O166=P166,"Match","Qty Different"),IF(Q166,"Only in List 1","Only in List 2")))</f>
        <v/>
      </c>
      <c r="T166" s="0" t="str">
        <f aca="false">IF(K166="","",IF(ISNUMBER(--L166),TEXT(--L166,"000000000000.000"),LOWER(L166)))</f>
        <v/>
      </c>
      <c r="U166" s="0" t="str">
        <f aca="false">IF(K166="","",IF(ISNUMBER(--M166),TEXT(--M166,"000000000000.000"),LOWER(M166)))</f>
        <v/>
      </c>
      <c r="V166" s="0" t="str">
        <f aca="false">IF(K166="","",LOWER(N166))</f>
        <v/>
      </c>
      <c r="W166" s="0" t="str">
        <f aca="false">IF(K166="","",B166)</f>
        <v/>
      </c>
      <c r="X166" s="0" t="str">
        <f aca="false">IF(K166="","",1+SUMPRODUCT(($K$2:$K$1001&lt;&gt;"")*(($T$2:$T$1001&lt;T166)+($T$2:$T$1001=T166)*(($U$2:$U$1001&lt;U166)+($U$2:$U$1001=U166)*(($V$2:$V$1001&lt;V166)+($V$2:$V$1001=V166)*(($W$2:$W$1001&lt;W166)+($W$2:$W$1001=W166)*(ROW($K$2:$K$1001)&lt;ROW(K166))))))))</f>
        <v/>
      </c>
    </row>
    <row r="167" customFormat="false" ht="15" hidden="false" customHeight="false" outlineLevel="0" collapsed="false">
      <c r="A167" s="0" t="str">
        <f aca="false">IF(TRIM('List 1'!A167&amp;'List 1'!C167&amp;'List 1'!D167)="","",LOWER(IF(OR(Comparison!$I$9="Item # + Part # + Description",Comparison!$I$9="Item # + Part #"),TRIM('List 1'!A167),"")&amp;"|"&amp;TRIM('List 1'!C167)&amp;"|"&amp;IF(OR(Comparison!$I$9="Item # + Part # + Description",Comparison!$I$9="Part # + Description"),TRIM('List 1'!D167),"")))</f>
        <v/>
      </c>
      <c r="B167" s="0" t="str">
        <f aca="false">IF(A167="","",SUMPRODUCT(--($A$2:A167=A167)))</f>
        <v/>
      </c>
      <c r="C167" s="0" t="str">
        <f aca="false">IF(A167="","",A167&amp;"#"&amp;B167)</f>
        <v/>
      </c>
      <c r="D167" s="0" t="str">
        <f aca="false">IF(A167="","",IFERROR(--'List 1'!B167,0))</f>
        <v/>
      </c>
      <c r="F167" s="0" t="str">
        <f aca="false">IF(TRIM('List 2'!A167&amp;'List 2'!C167&amp;'List 2'!D167)="","",LOWER(IF(OR(Comparison!$I$9="Item # + Part # + Description",Comparison!$I$9="Item # + Part #"),TRIM('List 2'!A167),"")&amp;"|"&amp;TRIM('List 2'!C167)&amp;"|"&amp;IF(OR(Comparison!$I$9="Item # + Part # + Description",Comparison!$I$9="Part # + Description"),TRIM('List 2'!D167),"")))</f>
        <v/>
      </c>
      <c r="G167" s="0" t="str">
        <f aca="false">IF(F167="","",SUMPRODUCT(--($F$2:F167=F167)))</f>
        <v/>
      </c>
      <c r="H167" s="0" t="str">
        <f aca="false">IF(F167="","",F167&amp;"#"&amp;G167)</f>
        <v/>
      </c>
      <c r="I167" s="0" t="str">
        <f aca="false">IF(F167="","",IFERROR(--'List 2'!B167,0))</f>
        <v/>
      </c>
      <c r="K167" s="0" t="str">
        <f aca="false">C167</f>
        <v/>
      </c>
      <c r="L167" s="0" t="str">
        <f aca="false">IF(K167="","",IF(ISNUMBER('List 1'!A167),'List 1'!A167,TRIM('List 1'!A167)))</f>
        <v/>
      </c>
      <c r="M167" s="0" t="str">
        <f aca="false">IF(K167="","",IF(ISNUMBER('List 1'!C167),'List 1'!C167,TRIM('List 1'!C167)))</f>
        <v/>
      </c>
      <c r="N167" s="0" t="str">
        <f aca="false">IF(K167="","",IF(ISNUMBER('List 1'!D167),'List 1'!D167,TRIM('List 1'!D167)))</f>
        <v/>
      </c>
      <c r="O167" s="0" t="str">
        <f aca="false">IF(K167="","",D167)</f>
        <v/>
      </c>
      <c r="P167" s="0" t="str">
        <f aca="false">IF(K167="","",IF(R167,SUMPRODUCT(--($H$2:$H$501=K167),$I$2:$I$501),0))</f>
        <v/>
      </c>
      <c r="Q167" s="0" t="str">
        <f aca="false">IF(K167="","",TRUE())</f>
        <v/>
      </c>
      <c r="R167" s="0" t="str">
        <f aca="false">IF(K167="","",SUMPRODUCT(--($H$2:$H$501=K167))&gt;0)</f>
        <v/>
      </c>
      <c r="S167" s="0" t="str">
        <f aca="false">IF(K167="","",IF(AND(Q167,R167),IF(O167=P167,"Match","Qty Different"),IF(Q167,"Only in List 1","Only in List 2")))</f>
        <v/>
      </c>
      <c r="T167" s="0" t="str">
        <f aca="false">IF(K167="","",IF(ISNUMBER(--L167),TEXT(--L167,"000000000000.000"),LOWER(L167)))</f>
        <v/>
      </c>
      <c r="U167" s="0" t="str">
        <f aca="false">IF(K167="","",IF(ISNUMBER(--M167),TEXT(--M167,"000000000000.000"),LOWER(M167)))</f>
        <v/>
      </c>
      <c r="V167" s="0" t="str">
        <f aca="false">IF(K167="","",LOWER(N167))</f>
        <v/>
      </c>
      <c r="W167" s="0" t="str">
        <f aca="false">IF(K167="","",B167)</f>
        <v/>
      </c>
      <c r="X167" s="0" t="str">
        <f aca="false">IF(K167="","",1+SUMPRODUCT(($K$2:$K$1001&lt;&gt;"")*(($T$2:$T$1001&lt;T167)+($T$2:$T$1001=T167)*(($U$2:$U$1001&lt;U167)+($U$2:$U$1001=U167)*(($V$2:$V$1001&lt;V167)+($V$2:$V$1001=V167)*(($W$2:$W$1001&lt;W167)+($W$2:$W$1001=W167)*(ROW($K$2:$K$1001)&lt;ROW(K167))))))))</f>
        <v/>
      </c>
    </row>
    <row r="168" customFormat="false" ht="15" hidden="false" customHeight="false" outlineLevel="0" collapsed="false">
      <c r="A168" s="0" t="str">
        <f aca="false">IF(TRIM('List 1'!A168&amp;'List 1'!C168&amp;'List 1'!D168)="","",LOWER(IF(OR(Comparison!$I$9="Item # + Part # + Description",Comparison!$I$9="Item # + Part #"),TRIM('List 1'!A168),"")&amp;"|"&amp;TRIM('List 1'!C168)&amp;"|"&amp;IF(OR(Comparison!$I$9="Item # + Part # + Description",Comparison!$I$9="Part # + Description"),TRIM('List 1'!D168),"")))</f>
        <v/>
      </c>
      <c r="B168" s="0" t="str">
        <f aca="false">IF(A168="","",SUMPRODUCT(--($A$2:A168=A168)))</f>
        <v/>
      </c>
      <c r="C168" s="0" t="str">
        <f aca="false">IF(A168="","",A168&amp;"#"&amp;B168)</f>
        <v/>
      </c>
      <c r="D168" s="0" t="str">
        <f aca="false">IF(A168="","",IFERROR(--'List 1'!B168,0))</f>
        <v/>
      </c>
      <c r="F168" s="0" t="str">
        <f aca="false">IF(TRIM('List 2'!A168&amp;'List 2'!C168&amp;'List 2'!D168)="","",LOWER(IF(OR(Comparison!$I$9="Item # + Part # + Description",Comparison!$I$9="Item # + Part #"),TRIM('List 2'!A168),"")&amp;"|"&amp;TRIM('List 2'!C168)&amp;"|"&amp;IF(OR(Comparison!$I$9="Item # + Part # + Description",Comparison!$I$9="Part # + Description"),TRIM('List 2'!D168),"")))</f>
        <v/>
      </c>
      <c r="G168" s="0" t="str">
        <f aca="false">IF(F168="","",SUMPRODUCT(--($F$2:F168=F168)))</f>
        <v/>
      </c>
      <c r="H168" s="0" t="str">
        <f aca="false">IF(F168="","",F168&amp;"#"&amp;G168)</f>
        <v/>
      </c>
      <c r="I168" s="0" t="str">
        <f aca="false">IF(F168="","",IFERROR(--'List 2'!B168,0))</f>
        <v/>
      </c>
      <c r="K168" s="0" t="str">
        <f aca="false">C168</f>
        <v/>
      </c>
      <c r="L168" s="0" t="str">
        <f aca="false">IF(K168="","",IF(ISNUMBER('List 1'!A168),'List 1'!A168,TRIM('List 1'!A168)))</f>
        <v/>
      </c>
      <c r="M168" s="0" t="str">
        <f aca="false">IF(K168="","",IF(ISNUMBER('List 1'!C168),'List 1'!C168,TRIM('List 1'!C168)))</f>
        <v/>
      </c>
      <c r="N168" s="0" t="str">
        <f aca="false">IF(K168="","",IF(ISNUMBER('List 1'!D168),'List 1'!D168,TRIM('List 1'!D168)))</f>
        <v/>
      </c>
      <c r="O168" s="0" t="str">
        <f aca="false">IF(K168="","",D168)</f>
        <v/>
      </c>
      <c r="P168" s="0" t="str">
        <f aca="false">IF(K168="","",IF(R168,SUMPRODUCT(--($H$2:$H$501=K168),$I$2:$I$501),0))</f>
        <v/>
      </c>
      <c r="Q168" s="0" t="str">
        <f aca="false">IF(K168="","",TRUE())</f>
        <v/>
      </c>
      <c r="R168" s="0" t="str">
        <f aca="false">IF(K168="","",SUMPRODUCT(--($H$2:$H$501=K168))&gt;0)</f>
        <v/>
      </c>
      <c r="S168" s="0" t="str">
        <f aca="false">IF(K168="","",IF(AND(Q168,R168),IF(O168=P168,"Match","Qty Different"),IF(Q168,"Only in List 1","Only in List 2")))</f>
        <v/>
      </c>
      <c r="T168" s="0" t="str">
        <f aca="false">IF(K168="","",IF(ISNUMBER(--L168),TEXT(--L168,"000000000000.000"),LOWER(L168)))</f>
        <v/>
      </c>
      <c r="U168" s="0" t="str">
        <f aca="false">IF(K168="","",IF(ISNUMBER(--M168),TEXT(--M168,"000000000000.000"),LOWER(M168)))</f>
        <v/>
      </c>
      <c r="V168" s="0" t="str">
        <f aca="false">IF(K168="","",LOWER(N168))</f>
        <v/>
      </c>
      <c r="W168" s="0" t="str">
        <f aca="false">IF(K168="","",B168)</f>
        <v/>
      </c>
      <c r="X168" s="0" t="str">
        <f aca="false">IF(K168="","",1+SUMPRODUCT(($K$2:$K$1001&lt;&gt;"")*(($T$2:$T$1001&lt;T168)+($T$2:$T$1001=T168)*(($U$2:$U$1001&lt;U168)+($U$2:$U$1001=U168)*(($V$2:$V$1001&lt;V168)+($V$2:$V$1001=V168)*(($W$2:$W$1001&lt;W168)+($W$2:$W$1001=W168)*(ROW($K$2:$K$1001)&lt;ROW(K168))))))))</f>
        <v/>
      </c>
    </row>
    <row r="169" customFormat="false" ht="15" hidden="false" customHeight="false" outlineLevel="0" collapsed="false">
      <c r="A169" s="0" t="str">
        <f aca="false">IF(TRIM('List 1'!A169&amp;'List 1'!C169&amp;'List 1'!D169)="","",LOWER(IF(OR(Comparison!$I$9="Item # + Part # + Description",Comparison!$I$9="Item # + Part #"),TRIM('List 1'!A169),"")&amp;"|"&amp;TRIM('List 1'!C169)&amp;"|"&amp;IF(OR(Comparison!$I$9="Item # + Part # + Description",Comparison!$I$9="Part # + Description"),TRIM('List 1'!D169),"")))</f>
        <v/>
      </c>
      <c r="B169" s="0" t="str">
        <f aca="false">IF(A169="","",SUMPRODUCT(--($A$2:A169=A169)))</f>
        <v/>
      </c>
      <c r="C169" s="0" t="str">
        <f aca="false">IF(A169="","",A169&amp;"#"&amp;B169)</f>
        <v/>
      </c>
      <c r="D169" s="0" t="str">
        <f aca="false">IF(A169="","",IFERROR(--'List 1'!B169,0))</f>
        <v/>
      </c>
      <c r="F169" s="0" t="str">
        <f aca="false">IF(TRIM('List 2'!A169&amp;'List 2'!C169&amp;'List 2'!D169)="","",LOWER(IF(OR(Comparison!$I$9="Item # + Part # + Description",Comparison!$I$9="Item # + Part #"),TRIM('List 2'!A169),"")&amp;"|"&amp;TRIM('List 2'!C169)&amp;"|"&amp;IF(OR(Comparison!$I$9="Item # + Part # + Description",Comparison!$I$9="Part # + Description"),TRIM('List 2'!D169),"")))</f>
        <v/>
      </c>
      <c r="G169" s="0" t="str">
        <f aca="false">IF(F169="","",SUMPRODUCT(--($F$2:F169=F169)))</f>
        <v/>
      </c>
      <c r="H169" s="0" t="str">
        <f aca="false">IF(F169="","",F169&amp;"#"&amp;G169)</f>
        <v/>
      </c>
      <c r="I169" s="0" t="str">
        <f aca="false">IF(F169="","",IFERROR(--'List 2'!B169,0))</f>
        <v/>
      </c>
      <c r="K169" s="0" t="str">
        <f aca="false">C169</f>
        <v/>
      </c>
      <c r="L169" s="0" t="str">
        <f aca="false">IF(K169="","",IF(ISNUMBER('List 1'!A169),'List 1'!A169,TRIM('List 1'!A169)))</f>
        <v/>
      </c>
      <c r="M169" s="0" t="str">
        <f aca="false">IF(K169="","",IF(ISNUMBER('List 1'!C169),'List 1'!C169,TRIM('List 1'!C169)))</f>
        <v/>
      </c>
      <c r="N169" s="0" t="str">
        <f aca="false">IF(K169="","",IF(ISNUMBER('List 1'!D169),'List 1'!D169,TRIM('List 1'!D169)))</f>
        <v/>
      </c>
      <c r="O169" s="0" t="str">
        <f aca="false">IF(K169="","",D169)</f>
        <v/>
      </c>
      <c r="P169" s="0" t="str">
        <f aca="false">IF(K169="","",IF(R169,SUMPRODUCT(--($H$2:$H$501=K169),$I$2:$I$501),0))</f>
        <v/>
      </c>
      <c r="Q169" s="0" t="str">
        <f aca="false">IF(K169="","",TRUE())</f>
        <v/>
      </c>
      <c r="R169" s="0" t="str">
        <f aca="false">IF(K169="","",SUMPRODUCT(--($H$2:$H$501=K169))&gt;0)</f>
        <v/>
      </c>
      <c r="S169" s="0" t="str">
        <f aca="false">IF(K169="","",IF(AND(Q169,R169),IF(O169=P169,"Match","Qty Different"),IF(Q169,"Only in List 1","Only in List 2")))</f>
        <v/>
      </c>
      <c r="T169" s="0" t="str">
        <f aca="false">IF(K169="","",IF(ISNUMBER(--L169),TEXT(--L169,"000000000000.000"),LOWER(L169)))</f>
        <v/>
      </c>
      <c r="U169" s="0" t="str">
        <f aca="false">IF(K169="","",IF(ISNUMBER(--M169),TEXT(--M169,"000000000000.000"),LOWER(M169)))</f>
        <v/>
      </c>
      <c r="V169" s="0" t="str">
        <f aca="false">IF(K169="","",LOWER(N169))</f>
        <v/>
      </c>
      <c r="W169" s="0" t="str">
        <f aca="false">IF(K169="","",B169)</f>
        <v/>
      </c>
      <c r="X169" s="0" t="str">
        <f aca="false">IF(K169="","",1+SUMPRODUCT(($K$2:$K$1001&lt;&gt;"")*(($T$2:$T$1001&lt;T169)+($T$2:$T$1001=T169)*(($U$2:$U$1001&lt;U169)+($U$2:$U$1001=U169)*(($V$2:$V$1001&lt;V169)+($V$2:$V$1001=V169)*(($W$2:$W$1001&lt;W169)+($W$2:$W$1001=W169)*(ROW($K$2:$K$1001)&lt;ROW(K169))))))))</f>
        <v/>
      </c>
    </row>
    <row r="170" customFormat="false" ht="15" hidden="false" customHeight="false" outlineLevel="0" collapsed="false">
      <c r="A170" s="0" t="str">
        <f aca="false">IF(TRIM('List 1'!A170&amp;'List 1'!C170&amp;'List 1'!D170)="","",LOWER(IF(OR(Comparison!$I$9="Item # + Part # + Description",Comparison!$I$9="Item # + Part #"),TRIM('List 1'!A170),"")&amp;"|"&amp;TRIM('List 1'!C170)&amp;"|"&amp;IF(OR(Comparison!$I$9="Item # + Part # + Description",Comparison!$I$9="Part # + Description"),TRIM('List 1'!D170),"")))</f>
        <v/>
      </c>
      <c r="B170" s="0" t="str">
        <f aca="false">IF(A170="","",SUMPRODUCT(--($A$2:A170=A170)))</f>
        <v/>
      </c>
      <c r="C170" s="0" t="str">
        <f aca="false">IF(A170="","",A170&amp;"#"&amp;B170)</f>
        <v/>
      </c>
      <c r="D170" s="0" t="str">
        <f aca="false">IF(A170="","",IFERROR(--'List 1'!B170,0))</f>
        <v/>
      </c>
      <c r="F170" s="0" t="str">
        <f aca="false">IF(TRIM('List 2'!A170&amp;'List 2'!C170&amp;'List 2'!D170)="","",LOWER(IF(OR(Comparison!$I$9="Item # + Part # + Description",Comparison!$I$9="Item # + Part #"),TRIM('List 2'!A170),"")&amp;"|"&amp;TRIM('List 2'!C170)&amp;"|"&amp;IF(OR(Comparison!$I$9="Item # + Part # + Description",Comparison!$I$9="Part # + Description"),TRIM('List 2'!D170),"")))</f>
        <v/>
      </c>
      <c r="G170" s="0" t="str">
        <f aca="false">IF(F170="","",SUMPRODUCT(--($F$2:F170=F170)))</f>
        <v/>
      </c>
      <c r="H170" s="0" t="str">
        <f aca="false">IF(F170="","",F170&amp;"#"&amp;G170)</f>
        <v/>
      </c>
      <c r="I170" s="0" t="str">
        <f aca="false">IF(F170="","",IFERROR(--'List 2'!B170,0))</f>
        <v/>
      </c>
      <c r="K170" s="0" t="str">
        <f aca="false">C170</f>
        <v/>
      </c>
      <c r="L170" s="0" t="str">
        <f aca="false">IF(K170="","",IF(ISNUMBER('List 1'!A170),'List 1'!A170,TRIM('List 1'!A170)))</f>
        <v/>
      </c>
      <c r="M170" s="0" t="str">
        <f aca="false">IF(K170="","",IF(ISNUMBER('List 1'!C170),'List 1'!C170,TRIM('List 1'!C170)))</f>
        <v/>
      </c>
      <c r="N170" s="0" t="str">
        <f aca="false">IF(K170="","",IF(ISNUMBER('List 1'!D170),'List 1'!D170,TRIM('List 1'!D170)))</f>
        <v/>
      </c>
      <c r="O170" s="0" t="str">
        <f aca="false">IF(K170="","",D170)</f>
        <v/>
      </c>
      <c r="P170" s="0" t="str">
        <f aca="false">IF(K170="","",IF(R170,SUMPRODUCT(--($H$2:$H$501=K170),$I$2:$I$501),0))</f>
        <v/>
      </c>
      <c r="Q170" s="0" t="str">
        <f aca="false">IF(K170="","",TRUE())</f>
        <v/>
      </c>
      <c r="R170" s="0" t="str">
        <f aca="false">IF(K170="","",SUMPRODUCT(--($H$2:$H$501=K170))&gt;0)</f>
        <v/>
      </c>
      <c r="S170" s="0" t="str">
        <f aca="false">IF(K170="","",IF(AND(Q170,R170),IF(O170=P170,"Match","Qty Different"),IF(Q170,"Only in List 1","Only in List 2")))</f>
        <v/>
      </c>
      <c r="T170" s="0" t="str">
        <f aca="false">IF(K170="","",IF(ISNUMBER(--L170),TEXT(--L170,"000000000000.000"),LOWER(L170)))</f>
        <v/>
      </c>
      <c r="U170" s="0" t="str">
        <f aca="false">IF(K170="","",IF(ISNUMBER(--M170),TEXT(--M170,"000000000000.000"),LOWER(M170)))</f>
        <v/>
      </c>
      <c r="V170" s="0" t="str">
        <f aca="false">IF(K170="","",LOWER(N170))</f>
        <v/>
      </c>
      <c r="W170" s="0" t="str">
        <f aca="false">IF(K170="","",B170)</f>
        <v/>
      </c>
      <c r="X170" s="0" t="str">
        <f aca="false">IF(K170="","",1+SUMPRODUCT(($K$2:$K$1001&lt;&gt;"")*(($T$2:$T$1001&lt;T170)+($T$2:$T$1001=T170)*(($U$2:$U$1001&lt;U170)+($U$2:$U$1001=U170)*(($V$2:$V$1001&lt;V170)+($V$2:$V$1001=V170)*(($W$2:$W$1001&lt;W170)+($W$2:$W$1001=W170)*(ROW($K$2:$K$1001)&lt;ROW(K170))))))))</f>
        <v/>
      </c>
    </row>
    <row r="171" customFormat="false" ht="15" hidden="false" customHeight="false" outlineLevel="0" collapsed="false">
      <c r="A171" s="0" t="str">
        <f aca="false">IF(TRIM('List 1'!A171&amp;'List 1'!C171&amp;'List 1'!D171)="","",LOWER(IF(OR(Comparison!$I$9="Item # + Part # + Description",Comparison!$I$9="Item # + Part #"),TRIM('List 1'!A171),"")&amp;"|"&amp;TRIM('List 1'!C171)&amp;"|"&amp;IF(OR(Comparison!$I$9="Item # + Part # + Description",Comparison!$I$9="Part # + Description"),TRIM('List 1'!D171),"")))</f>
        <v/>
      </c>
      <c r="B171" s="0" t="str">
        <f aca="false">IF(A171="","",SUMPRODUCT(--($A$2:A171=A171)))</f>
        <v/>
      </c>
      <c r="C171" s="0" t="str">
        <f aca="false">IF(A171="","",A171&amp;"#"&amp;B171)</f>
        <v/>
      </c>
      <c r="D171" s="0" t="str">
        <f aca="false">IF(A171="","",IFERROR(--'List 1'!B171,0))</f>
        <v/>
      </c>
      <c r="F171" s="0" t="str">
        <f aca="false">IF(TRIM('List 2'!A171&amp;'List 2'!C171&amp;'List 2'!D171)="","",LOWER(IF(OR(Comparison!$I$9="Item # + Part # + Description",Comparison!$I$9="Item # + Part #"),TRIM('List 2'!A171),"")&amp;"|"&amp;TRIM('List 2'!C171)&amp;"|"&amp;IF(OR(Comparison!$I$9="Item # + Part # + Description",Comparison!$I$9="Part # + Description"),TRIM('List 2'!D171),"")))</f>
        <v/>
      </c>
      <c r="G171" s="0" t="str">
        <f aca="false">IF(F171="","",SUMPRODUCT(--($F$2:F171=F171)))</f>
        <v/>
      </c>
      <c r="H171" s="0" t="str">
        <f aca="false">IF(F171="","",F171&amp;"#"&amp;G171)</f>
        <v/>
      </c>
      <c r="I171" s="0" t="str">
        <f aca="false">IF(F171="","",IFERROR(--'List 2'!B171,0))</f>
        <v/>
      </c>
      <c r="K171" s="0" t="str">
        <f aca="false">C171</f>
        <v/>
      </c>
      <c r="L171" s="0" t="str">
        <f aca="false">IF(K171="","",IF(ISNUMBER('List 1'!A171),'List 1'!A171,TRIM('List 1'!A171)))</f>
        <v/>
      </c>
      <c r="M171" s="0" t="str">
        <f aca="false">IF(K171="","",IF(ISNUMBER('List 1'!C171),'List 1'!C171,TRIM('List 1'!C171)))</f>
        <v/>
      </c>
      <c r="N171" s="0" t="str">
        <f aca="false">IF(K171="","",IF(ISNUMBER('List 1'!D171),'List 1'!D171,TRIM('List 1'!D171)))</f>
        <v/>
      </c>
      <c r="O171" s="0" t="str">
        <f aca="false">IF(K171="","",D171)</f>
        <v/>
      </c>
      <c r="P171" s="0" t="str">
        <f aca="false">IF(K171="","",IF(R171,SUMPRODUCT(--($H$2:$H$501=K171),$I$2:$I$501),0))</f>
        <v/>
      </c>
      <c r="Q171" s="0" t="str">
        <f aca="false">IF(K171="","",TRUE())</f>
        <v/>
      </c>
      <c r="R171" s="0" t="str">
        <f aca="false">IF(K171="","",SUMPRODUCT(--($H$2:$H$501=K171))&gt;0)</f>
        <v/>
      </c>
      <c r="S171" s="0" t="str">
        <f aca="false">IF(K171="","",IF(AND(Q171,R171),IF(O171=P171,"Match","Qty Different"),IF(Q171,"Only in List 1","Only in List 2")))</f>
        <v/>
      </c>
      <c r="T171" s="0" t="str">
        <f aca="false">IF(K171="","",IF(ISNUMBER(--L171),TEXT(--L171,"000000000000.000"),LOWER(L171)))</f>
        <v/>
      </c>
      <c r="U171" s="0" t="str">
        <f aca="false">IF(K171="","",IF(ISNUMBER(--M171),TEXT(--M171,"000000000000.000"),LOWER(M171)))</f>
        <v/>
      </c>
      <c r="V171" s="0" t="str">
        <f aca="false">IF(K171="","",LOWER(N171))</f>
        <v/>
      </c>
      <c r="W171" s="0" t="str">
        <f aca="false">IF(K171="","",B171)</f>
        <v/>
      </c>
      <c r="X171" s="0" t="str">
        <f aca="false">IF(K171="","",1+SUMPRODUCT(($K$2:$K$1001&lt;&gt;"")*(($T$2:$T$1001&lt;T171)+($T$2:$T$1001=T171)*(($U$2:$U$1001&lt;U171)+($U$2:$U$1001=U171)*(($V$2:$V$1001&lt;V171)+($V$2:$V$1001=V171)*(($W$2:$W$1001&lt;W171)+($W$2:$W$1001=W171)*(ROW($K$2:$K$1001)&lt;ROW(K171))))))))</f>
        <v/>
      </c>
    </row>
    <row r="172" customFormat="false" ht="15" hidden="false" customHeight="false" outlineLevel="0" collapsed="false">
      <c r="A172" s="0" t="str">
        <f aca="false">IF(TRIM('List 1'!A172&amp;'List 1'!C172&amp;'List 1'!D172)="","",LOWER(IF(OR(Comparison!$I$9="Item # + Part # + Description",Comparison!$I$9="Item # + Part #"),TRIM('List 1'!A172),"")&amp;"|"&amp;TRIM('List 1'!C172)&amp;"|"&amp;IF(OR(Comparison!$I$9="Item # + Part # + Description",Comparison!$I$9="Part # + Description"),TRIM('List 1'!D172),"")))</f>
        <v/>
      </c>
      <c r="B172" s="0" t="str">
        <f aca="false">IF(A172="","",SUMPRODUCT(--($A$2:A172=A172)))</f>
        <v/>
      </c>
      <c r="C172" s="0" t="str">
        <f aca="false">IF(A172="","",A172&amp;"#"&amp;B172)</f>
        <v/>
      </c>
      <c r="D172" s="0" t="str">
        <f aca="false">IF(A172="","",IFERROR(--'List 1'!B172,0))</f>
        <v/>
      </c>
      <c r="F172" s="0" t="str">
        <f aca="false">IF(TRIM('List 2'!A172&amp;'List 2'!C172&amp;'List 2'!D172)="","",LOWER(IF(OR(Comparison!$I$9="Item # + Part # + Description",Comparison!$I$9="Item # + Part #"),TRIM('List 2'!A172),"")&amp;"|"&amp;TRIM('List 2'!C172)&amp;"|"&amp;IF(OR(Comparison!$I$9="Item # + Part # + Description",Comparison!$I$9="Part # + Description"),TRIM('List 2'!D172),"")))</f>
        <v/>
      </c>
      <c r="G172" s="0" t="str">
        <f aca="false">IF(F172="","",SUMPRODUCT(--($F$2:F172=F172)))</f>
        <v/>
      </c>
      <c r="H172" s="0" t="str">
        <f aca="false">IF(F172="","",F172&amp;"#"&amp;G172)</f>
        <v/>
      </c>
      <c r="I172" s="0" t="str">
        <f aca="false">IF(F172="","",IFERROR(--'List 2'!B172,0))</f>
        <v/>
      </c>
      <c r="K172" s="0" t="str">
        <f aca="false">C172</f>
        <v/>
      </c>
      <c r="L172" s="0" t="str">
        <f aca="false">IF(K172="","",IF(ISNUMBER('List 1'!A172),'List 1'!A172,TRIM('List 1'!A172)))</f>
        <v/>
      </c>
      <c r="M172" s="0" t="str">
        <f aca="false">IF(K172="","",IF(ISNUMBER('List 1'!C172),'List 1'!C172,TRIM('List 1'!C172)))</f>
        <v/>
      </c>
      <c r="N172" s="0" t="str">
        <f aca="false">IF(K172="","",IF(ISNUMBER('List 1'!D172),'List 1'!D172,TRIM('List 1'!D172)))</f>
        <v/>
      </c>
      <c r="O172" s="0" t="str">
        <f aca="false">IF(K172="","",D172)</f>
        <v/>
      </c>
      <c r="P172" s="0" t="str">
        <f aca="false">IF(K172="","",IF(R172,SUMPRODUCT(--($H$2:$H$501=K172),$I$2:$I$501),0))</f>
        <v/>
      </c>
      <c r="Q172" s="0" t="str">
        <f aca="false">IF(K172="","",TRUE())</f>
        <v/>
      </c>
      <c r="R172" s="0" t="str">
        <f aca="false">IF(K172="","",SUMPRODUCT(--($H$2:$H$501=K172))&gt;0)</f>
        <v/>
      </c>
      <c r="S172" s="0" t="str">
        <f aca="false">IF(K172="","",IF(AND(Q172,R172),IF(O172=P172,"Match","Qty Different"),IF(Q172,"Only in List 1","Only in List 2")))</f>
        <v/>
      </c>
      <c r="T172" s="0" t="str">
        <f aca="false">IF(K172="","",IF(ISNUMBER(--L172),TEXT(--L172,"000000000000.000"),LOWER(L172)))</f>
        <v/>
      </c>
      <c r="U172" s="0" t="str">
        <f aca="false">IF(K172="","",IF(ISNUMBER(--M172),TEXT(--M172,"000000000000.000"),LOWER(M172)))</f>
        <v/>
      </c>
      <c r="V172" s="0" t="str">
        <f aca="false">IF(K172="","",LOWER(N172))</f>
        <v/>
      </c>
      <c r="W172" s="0" t="str">
        <f aca="false">IF(K172="","",B172)</f>
        <v/>
      </c>
      <c r="X172" s="0" t="str">
        <f aca="false">IF(K172="","",1+SUMPRODUCT(($K$2:$K$1001&lt;&gt;"")*(($T$2:$T$1001&lt;T172)+($T$2:$T$1001=T172)*(($U$2:$U$1001&lt;U172)+($U$2:$U$1001=U172)*(($V$2:$V$1001&lt;V172)+($V$2:$V$1001=V172)*(($W$2:$W$1001&lt;W172)+($W$2:$W$1001=W172)*(ROW($K$2:$K$1001)&lt;ROW(K172))))))))</f>
        <v/>
      </c>
    </row>
    <row r="173" customFormat="false" ht="15" hidden="false" customHeight="false" outlineLevel="0" collapsed="false">
      <c r="A173" s="0" t="str">
        <f aca="false">IF(TRIM('List 1'!A173&amp;'List 1'!C173&amp;'List 1'!D173)="","",LOWER(IF(OR(Comparison!$I$9="Item # + Part # + Description",Comparison!$I$9="Item # + Part #"),TRIM('List 1'!A173),"")&amp;"|"&amp;TRIM('List 1'!C173)&amp;"|"&amp;IF(OR(Comparison!$I$9="Item # + Part # + Description",Comparison!$I$9="Part # + Description"),TRIM('List 1'!D173),"")))</f>
        <v/>
      </c>
      <c r="B173" s="0" t="str">
        <f aca="false">IF(A173="","",SUMPRODUCT(--($A$2:A173=A173)))</f>
        <v/>
      </c>
      <c r="C173" s="0" t="str">
        <f aca="false">IF(A173="","",A173&amp;"#"&amp;B173)</f>
        <v/>
      </c>
      <c r="D173" s="0" t="str">
        <f aca="false">IF(A173="","",IFERROR(--'List 1'!B173,0))</f>
        <v/>
      </c>
      <c r="F173" s="0" t="str">
        <f aca="false">IF(TRIM('List 2'!A173&amp;'List 2'!C173&amp;'List 2'!D173)="","",LOWER(IF(OR(Comparison!$I$9="Item # + Part # + Description",Comparison!$I$9="Item # + Part #"),TRIM('List 2'!A173),"")&amp;"|"&amp;TRIM('List 2'!C173)&amp;"|"&amp;IF(OR(Comparison!$I$9="Item # + Part # + Description",Comparison!$I$9="Part # + Description"),TRIM('List 2'!D173),"")))</f>
        <v/>
      </c>
      <c r="G173" s="0" t="str">
        <f aca="false">IF(F173="","",SUMPRODUCT(--($F$2:F173=F173)))</f>
        <v/>
      </c>
      <c r="H173" s="0" t="str">
        <f aca="false">IF(F173="","",F173&amp;"#"&amp;G173)</f>
        <v/>
      </c>
      <c r="I173" s="0" t="str">
        <f aca="false">IF(F173="","",IFERROR(--'List 2'!B173,0))</f>
        <v/>
      </c>
      <c r="K173" s="0" t="str">
        <f aca="false">C173</f>
        <v/>
      </c>
      <c r="L173" s="0" t="str">
        <f aca="false">IF(K173="","",IF(ISNUMBER('List 1'!A173),'List 1'!A173,TRIM('List 1'!A173)))</f>
        <v/>
      </c>
      <c r="M173" s="0" t="str">
        <f aca="false">IF(K173="","",IF(ISNUMBER('List 1'!C173),'List 1'!C173,TRIM('List 1'!C173)))</f>
        <v/>
      </c>
      <c r="N173" s="0" t="str">
        <f aca="false">IF(K173="","",IF(ISNUMBER('List 1'!D173),'List 1'!D173,TRIM('List 1'!D173)))</f>
        <v/>
      </c>
      <c r="O173" s="0" t="str">
        <f aca="false">IF(K173="","",D173)</f>
        <v/>
      </c>
      <c r="P173" s="0" t="str">
        <f aca="false">IF(K173="","",IF(R173,SUMPRODUCT(--($H$2:$H$501=K173),$I$2:$I$501),0))</f>
        <v/>
      </c>
      <c r="Q173" s="0" t="str">
        <f aca="false">IF(K173="","",TRUE())</f>
        <v/>
      </c>
      <c r="R173" s="0" t="str">
        <f aca="false">IF(K173="","",SUMPRODUCT(--($H$2:$H$501=K173))&gt;0)</f>
        <v/>
      </c>
      <c r="S173" s="0" t="str">
        <f aca="false">IF(K173="","",IF(AND(Q173,R173),IF(O173=P173,"Match","Qty Different"),IF(Q173,"Only in List 1","Only in List 2")))</f>
        <v/>
      </c>
      <c r="T173" s="0" t="str">
        <f aca="false">IF(K173="","",IF(ISNUMBER(--L173),TEXT(--L173,"000000000000.000"),LOWER(L173)))</f>
        <v/>
      </c>
      <c r="U173" s="0" t="str">
        <f aca="false">IF(K173="","",IF(ISNUMBER(--M173),TEXT(--M173,"000000000000.000"),LOWER(M173)))</f>
        <v/>
      </c>
      <c r="V173" s="0" t="str">
        <f aca="false">IF(K173="","",LOWER(N173))</f>
        <v/>
      </c>
      <c r="W173" s="0" t="str">
        <f aca="false">IF(K173="","",B173)</f>
        <v/>
      </c>
      <c r="X173" s="0" t="str">
        <f aca="false">IF(K173="","",1+SUMPRODUCT(($K$2:$K$1001&lt;&gt;"")*(($T$2:$T$1001&lt;T173)+($T$2:$T$1001=T173)*(($U$2:$U$1001&lt;U173)+($U$2:$U$1001=U173)*(($V$2:$V$1001&lt;V173)+($V$2:$V$1001=V173)*(($W$2:$W$1001&lt;W173)+($W$2:$W$1001=W173)*(ROW($K$2:$K$1001)&lt;ROW(K173))))))))</f>
        <v/>
      </c>
    </row>
    <row r="174" customFormat="false" ht="15" hidden="false" customHeight="false" outlineLevel="0" collapsed="false">
      <c r="A174" s="0" t="str">
        <f aca="false">IF(TRIM('List 1'!A174&amp;'List 1'!C174&amp;'List 1'!D174)="","",LOWER(IF(OR(Comparison!$I$9="Item # + Part # + Description",Comparison!$I$9="Item # + Part #"),TRIM('List 1'!A174),"")&amp;"|"&amp;TRIM('List 1'!C174)&amp;"|"&amp;IF(OR(Comparison!$I$9="Item # + Part # + Description",Comparison!$I$9="Part # + Description"),TRIM('List 1'!D174),"")))</f>
        <v/>
      </c>
      <c r="B174" s="0" t="str">
        <f aca="false">IF(A174="","",SUMPRODUCT(--($A$2:A174=A174)))</f>
        <v/>
      </c>
      <c r="C174" s="0" t="str">
        <f aca="false">IF(A174="","",A174&amp;"#"&amp;B174)</f>
        <v/>
      </c>
      <c r="D174" s="0" t="str">
        <f aca="false">IF(A174="","",IFERROR(--'List 1'!B174,0))</f>
        <v/>
      </c>
      <c r="F174" s="0" t="str">
        <f aca="false">IF(TRIM('List 2'!A174&amp;'List 2'!C174&amp;'List 2'!D174)="","",LOWER(IF(OR(Comparison!$I$9="Item # + Part # + Description",Comparison!$I$9="Item # + Part #"),TRIM('List 2'!A174),"")&amp;"|"&amp;TRIM('List 2'!C174)&amp;"|"&amp;IF(OR(Comparison!$I$9="Item # + Part # + Description",Comparison!$I$9="Part # + Description"),TRIM('List 2'!D174),"")))</f>
        <v/>
      </c>
      <c r="G174" s="0" t="str">
        <f aca="false">IF(F174="","",SUMPRODUCT(--($F$2:F174=F174)))</f>
        <v/>
      </c>
      <c r="H174" s="0" t="str">
        <f aca="false">IF(F174="","",F174&amp;"#"&amp;G174)</f>
        <v/>
      </c>
      <c r="I174" s="0" t="str">
        <f aca="false">IF(F174="","",IFERROR(--'List 2'!B174,0))</f>
        <v/>
      </c>
      <c r="K174" s="0" t="str">
        <f aca="false">C174</f>
        <v/>
      </c>
      <c r="L174" s="0" t="str">
        <f aca="false">IF(K174="","",IF(ISNUMBER('List 1'!A174),'List 1'!A174,TRIM('List 1'!A174)))</f>
        <v/>
      </c>
      <c r="M174" s="0" t="str">
        <f aca="false">IF(K174="","",IF(ISNUMBER('List 1'!C174),'List 1'!C174,TRIM('List 1'!C174)))</f>
        <v/>
      </c>
      <c r="N174" s="0" t="str">
        <f aca="false">IF(K174="","",IF(ISNUMBER('List 1'!D174),'List 1'!D174,TRIM('List 1'!D174)))</f>
        <v/>
      </c>
      <c r="O174" s="0" t="str">
        <f aca="false">IF(K174="","",D174)</f>
        <v/>
      </c>
      <c r="P174" s="0" t="str">
        <f aca="false">IF(K174="","",IF(R174,SUMPRODUCT(--($H$2:$H$501=K174),$I$2:$I$501),0))</f>
        <v/>
      </c>
      <c r="Q174" s="0" t="str">
        <f aca="false">IF(K174="","",TRUE())</f>
        <v/>
      </c>
      <c r="R174" s="0" t="str">
        <f aca="false">IF(K174="","",SUMPRODUCT(--($H$2:$H$501=K174))&gt;0)</f>
        <v/>
      </c>
      <c r="S174" s="0" t="str">
        <f aca="false">IF(K174="","",IF(AND(Q174,R174),IF(O174=P174,"Match","Qty Different"),IF(Q174,"Only in List 1","Only in List 2")))</f>
        <v/>
      </c>
      <c r="T174" s="0" t="str">
        <f aca="false">IF(K174="","",IF(ISNUMBER(--L174),TEXT(--L174,"000000000000.000"),LOWER(L174)))</f>
        <v/>
      </c>
      <c r="U174" s="0" t="str">
        <f aca="false">IF(K174="","",IF(ISNUMBER(--M174),TEXT(--M174,"000000000000.000"),LOWER(M174)))</f>
        <v/>
      </c>
      <c r="V174" s="0" t="str">
        <f aca="false">IF(K174="","",LOWER(N174))</f>
        <v/>
      </c>
      <c r="W174" s="0" t="str">
        <f aca="false">IF(K174="","",B174)</f>
        <v/>
      </c>
      <c r="X174" s="0" t="str">
        <f aca="false">IF(K174="","",1+SUMPRODUCT(($K$2:$K$1001&lt;&gt;"")*(($T$2:$T$1001&lt;T174)+($T$2:$T$1001=T174)*(($U$2:$U$1001&lt;U174)+($U$2:$U$1001=U174)*(($V$2:$V$1001&lt;V174)+($V$2:$V$1001=V174)*(($W$2:$W$1001&lt;W174)+($W$2:$W$1001=W174)*(ROW($K$2:$K$1001)&lt;ROW(K174))))))))</f>
        <v/>
      </c>
    </row>
    <row r="175" customFormat="false" ht="15" hidden="false" customHeight="false" outlineLevel="0" collapsed="false">
      <c r="A175" s="0" t="str">
        <f aca="false">IF(TRIM('List 1'!A175&amp;'List 1'!C175&amp;'List 1'!D175)="","",LOWER(IF(OR(Comparison!$I$9="Item # + Part # + Description",Comparison!$I$9="Item # + Part #"),TRIM('List 1'!A175),"")&amp;"|"&amp;TRIM('List 1'!C175)&amp;"|"&amp;IF(OR(Comparison!$I$9="Item # + Part # + Description",Comparison!$I$9="Part # + Description"),TRIM('List 1'!D175),"")))</f>
        <v/>
      </c>
      <c r="B175" s="0" t="str">
        <f aca="false">IF(A175="","",SUMPRODUCT(--($A$2:A175=A175)))</f>
        <v/>
      </c>
      <c r="C175" s="0" t="str">
        <f aca="false">IF(A175="","",A175&amp;"#"&amp;B175)</f>
        <v/>
      </c>
      <c r="D175" s="0" t="str">
        <f aca="false">IF(A175="","",IFERROR(--'List 1'!B175,0))</f>
        <v/>
      </c>
      <c r="F175" s="0" t="str">
        <f aca="false">IF(TRIM('List 2'!A175&amp;'List 2'!C175&amp;'List 2'!D175)="","",LOWER(IF(OR(Comparison!$I$9="Item # + Part # + Description",Comparison!$I$9="Item # + Part #"),TRIM('List 2'!A175),"")&amp;"|"&amp;TRIM('List 2'!C175)&amp;"|"&amp;IF(OR(Comparison!$I$9="Item # + Part # + Description",Comparison!$I$9="Part # + Description"),TRIM('List 2'!D175),"")))</f>
        <v/>
      </c>
      <c r="G175" s="0" t="str">
        <f aca="false">IF(F175="","",SUMPRODUCT(--($F$2:F175=F175)))</f>
        <v/>
      </c>
      <c r="H175" s="0" t="str">
        <f aca="false">IF(F175="","",F175&amp;"#"&amp;G175)</f>
        <v/>
      </c>
      <c r="I175" s="0" t="str">
        <f aca="false">IF(F175="","",IFERROR(--'List 2'!B175,0))</f>
        <v/>
      </c>
      <c r="K175" s="0" t="str">
        <f aca="false">C175</f>
        <v/>
      </c>
      <c r="L175" s="0" t="str">
        <f aca="false">IF(K175="","",IF(ISNUMBER('List 1'!A175),'List 1'!A175,TRIM('List 1'!A175)))</f>
        <v/>
      </c>
      <c r="M175" s="0" t="str">
        <f aca="false">IF(K175="","",IF(ISNUMBER('List 1'!C175),'List 1'!C175,TRIM('List 1'!C175)))</f>
        <v/>
      </c>
      <c r="N175" s="0" t="str">
        <f aca="false">IF(K175="","",IF(ISNUMBER('List 1'!D175),'List 1'!D175,TRIM('List 1'!D175)))</f>
        <v/>
      </c>
      <c r="O175" s="0" t="str">
        <f aca="false">IF(K175="","",D175)</f>
        <v/>
      </c>
      <c r="P175" s="0" t="str">
        <f aca="false">IF(K175="","",IF(R175,SUMPRODUCT(--($H$2:$H$501=K175),$I$2:$I$501),0))</f>
        <v/>
      </c>
      <c r="Q175" s="0" t="str">
        <f aca="false">IF(K175="","",TRUE())</f>
        <v/>
      </c>
      <c r="R175" s="0" t="str">
        <f aca="false">IF(K175="","",SUMPRODUCT(--($H$2:$H$501=K175))&gt;0)</f>
        <v/>
      </c>
      <c r="S175" s="0" t="str">
        <f aca="false">IF(K175="","",IF(AND(Q175,R175),IF(O175=P175,"Match","Qty Different"),IF(Q175,"Only in List 1","Only in List 2")))</f>
        <v/>
      </c>
      <c r="T175" s="0" t="str">
        <f aca="false">IF(K175="","",IF(ISNUMBER(--L175),TEXT(--L175,"000000000000.000"),LOWER(L175)))</f>
        <v/>
      </c>
      <c r="U175" s="0" t="str">
        <f aca="false">IF(K175="","",IF(ISNUMBER(--M175),TEXT(--M175,"000000000000.000"),LOWER(M175)))</f>
        <v/>
      </c>
      <c r="V175" s="0" t="str">
        <f aca="false">IF(K175="","",LOWER(N175))</f>
        <v/>
      </c>
      <c r="W175" s="0" t="str">
        <f aca="false">IF(K175="","",B175)</f>
        <v/>
      </c>
      <c r="X175" s="0" t="str">
        <f aca="false">IF(K175="","",1+SUMPRODUCT(($K$2:$K$1001&lt;&gt;"")*(($T$2:$T$1001&lt;T175)+($T$2:$T$1001=T175)*(($U$2:$U$1001&lt;U175)+($U$2:$U$1001=U175)*(($V$2:$V$1001&lt;V175)+($V$2:$V$1001=V175)*(($W$2:$W$1001&lt;W175)+($W$2:$W$1001=W175)*(ROW($K$2:$K$1001)&lt;ROW(K175))))))))</f>
        <v/>
      </c>
    </row>
    <row r="176" customFormat="false" ht="15" hidden="false" customHeight="false" outlineLevel="0" collapsed="false">
      <c r="A176" s="0" t="str">
        <f aca="false">IF(TRIM('List 1'!A176&amp;'List 1'!C176&amp;'List 1'!D176)="","",LOWER(IF(OR(Comparison!$I$9="Item # + Part # + Description",Comparison!$I$9="Item # + Part #"),TRIM('List 1'!A176),"")&amp;"|"&amp;TRIM('List 1'!C176)&amp;"|"&amp;IF(OR(Comparison!$I$9="Item # + Part # + Description",Comparison!$I$9="Part # + Description"),TRIM('List 1'!D176),"")))</f>
        <v/>
      </c>
      <c r="B176" s="0" t="str">
        <f aca="false">IF(A176="","",SUMPRODUCT(--($A$2:A176=A176)))</f>
        <v/>
      </c>
      <c r="C176" s="0" t="str">
        <f aca="false">IF(A176="","",A176&amp;"#"&amp;B176)</f>
        <v/>
      </c>
      <c r="D176" s="0" t="str">
        <f aca="false">IF(A176="","",IFERROR(--'List 1'!B176,0))</f>
        <v/>
      </c>
      <c r="F176" s="0" t="str">
        <f aca="false">IF(TRIM('List 2'!A176&amp;'List 2'!C176&amp;'List 2'!D176)="","",LOWER(IF(OR(Comparison!$I$9="Item # + Part # + Description",Comparison!$I$9="Item # + Part #"),TRIM('List 2'!A176),"")&amp;"|"&amp;TRIM('List 2'!C176)&amp;"|"&amp;IF(OR(Comparison!$I$9="Item # + Part # + Description",Comparison!$I$9="Part # + Description"),TRIM('List 2'!D176),"")))</f>
        <v/>
      </c>
      <c r="G176" s="0" t="str">
        <f aca="false">IF(F176="","",SUMPRODUCT(--($F$2:F176=F176)))</f>
        <v/>
      </c>
      <c r="H176" s="0" t="str">
        <f aca="false">IF(F176="","",F176&amp;"#"&amp;G176)</f>
        <v/>
      </c>
      <c r="I176" s="0" t="str">
        <f aca="false">IF(F176="","",IFERROR(--'List 2'!B176,0))</f>
        <v/>
      </c>
      <c r="K176" s="0" t="str">
        <f aca="false">C176</f>
        <v/>
      </c>
      <c r="L176" s="0" t="str">
        <f aca="false">IF(K176="","",IF(ISNUMBER('List 1'!A176),'List 1'!A176,TRIM('List 1'!A176)))</f>
        <v/>
      </c>
      <c r="M176" s="0" t="str">
        <f aca="false">IF(K176="","",IF(ISNUMBER('List 1'!C176),'List 1'!C176,TRIM('List 1'!C176)))</f>
        <v/>
      </c>
      <c r="N176" s="0" t="str">
        <f aca="false">IF(K176="","",IF(ISNUMBER('List 1'!D176),'List 1'!D176,TRIM('List 1'!D176)))</f>
        <v/>
      </c>
      <c r="O176" s="0" t="str">
        <f aca="false">IF(K176="","",D176)</f>
        <v/>
      </c>
      <c r="P176" s="0" t="str">
        <f aca="false">IF(K176="","",IF(R176,SUMPRODUCT(--($H$2:$H$501=K176),$I$2:$I$501),0))</f>
        <v/>
      </c>
      <c r="Q176" s="0" t="str">
        <f aca="false">IF(K176="","",TRUE())</f>
        <v/>
      </c>
      <c r="R176" s="0" t="str">
        <f aca="false">IF(K176="","",SUMPRODUCT(--($H$2:$H$501=K176))&gt;0)</f>
        <v/>
      </c>
      <c r="S176" s="0" t="str">
        <f aca="false">IF(K176="","",IF(AND(Q176,R176),IF(O176=P176,"Match","Qty Different"),IF(Q176,"Only in List 1","Only in List 2")))</f>
        <v/>
      </c>
      <c r="T176" s="0" t="str">
        <f aca="false">IF(K176="","",IF(ISNUMBER(--L176),TEXT(--L176,"000000000000.000"),LOWER(L176)))</f>
        <v/>
      </c>
      <c r="U176" s="0" t="str">
        <f aca="false">IF(K176="","",IF(ISNUMBER(--M176),TEXT(--M176,"000000000000.000"),LOWER(M176)))</f>
        <v/>
      </c>
      <c r="V176" s="0" t="str">
        <f aca="false">IF(K176="","",LOWER(N176))</f>
        <v/>
      </c>
      <c r="W176" s="0" t="str">
        <f aca="false">IF(K176="","",B176)</f>
        <v/>
      </c>
      <c r="X176" s="0" t="str">
        <f aca="false">IF(K176="","",1+SUMPRODUCT(($K$2:$K$1001&lt;&gt;"")*(($T$2:$T$1001&lt;T176)+($T$2:$T$1001=T176)*(($U$2:$U$1001&lt;U176)+($U$2:$U$1001=U176)*(($V$2:$V$1001&lt;V176)+($V$2:$V$1001=V176)*(($W$2:$W$1001&lt;W176)+($W$2:$W$1001=W176)*(ROW($K$2:$K$1001)&lt;ROW(K176))))))))</f>
        <v/>
      </c>
    </row>
    <row r="177" customFormat="false" ht="15" hidden="false" customHeight="false" outlineLevel="0" collapsed="false">
      <c r="A177" s="0" t="str">
        <f aca="false">IF(TRIM('List 1'!A177&amp;'List 1'!C177&amp;'List 1'!D177)="","",LOWER(IF(OR(Comparison!$I$9="Item # + Part # + Description",Comparison!$I$9="Item # + Part #"),TRIM('List 1'!A177),"")&amp;"|"&amp;TRIM('List 1'!C177)&amp;"|"&amp;IF(OR(Comparison!$I$9="Item # + Part # + Description",Comparison!$I$9="Part # + Description"),TRIM('List 1'!D177),"")))</f>
        <v/>
      </c>
      <c r="B177" s="0" t="str">
        <f aca="false">IF(A177="","",SUMPRODUCT(--($A$2:A177=A177)))</f>
        <v/>
      </c>
      <c r="C177" s="0" t="str">
        <f aca="false">IF(A177="","",A177&amp;"#"&amp;B177)</f>
        <v/>
      </c>
      <c r="D177" s="0" t="str">
        <f aca="false">IF(A177="","",IFERROR(--'List 1'!B177,0))</f>
        <v/>
      </c>
      <c r="F177" s="0" t="str">
        <f aca="false">IF(TRIM('List 2'!A177&amp;'List 2'!C177&amp;'List 2'!D177)="","",LOWER(IF(OR(Comparison!$I$9="Item # + Part # + Description",Comparison!$I$9="Item # + Part #"),TRIM('List 2'!A177),"")&amp;"|"&amp;TRIM('List 2'!C177)&amp;"|"&amp;IF(OR(Comparison!$I$9="Item # + Part # + Description",Comparison!$I$9="Part # + Description"),TRIM('List 2'!D177),"")))</f>
        <v/>
      </c>
      <c r="G177" s="0" t="str">
        <f aca="false">IF(F177="","",SUMPRODUCT(--($F$2:F177=F177)))</f>
        <v/>
      </c>
      <c r="H177" s="0" t="str">
        <f aca="false">IF(F177="","",F177&amp;"#"&amp;G177)</f>
        <v/>
      </c>
      <c r="I177" s="0" t="str">
        <f aca="false">IF(F177="","",IFERROR(--'List 2'!B177,0))</f>
        <v/>
      </c>
      <c r="K177" s="0" t="str">
        <f aca="false">C177</f>
        <v/>
      </c>
      <c r="L177" s="0" t="str">
        <f aca="false">IF(K177="","",IF(ISNUMBER('List 1'!A177),'List 1'!A177,TRIM('List 1'!A177)))</f>
        <v/>
      </c>
      <c r="M177" s="0" t="str">
        <f aca="false">IF(K177="","",IF(ISNUMBER('List 1'!C177),'List 1'!C177,TRIM('List 1'!C177)))</f>
        <v/>
      </c>
      <c r="N177" s="0" t="str">
        <f aca="false">IF(K177="","",IF(ISNUMBER('List 1'!D177),'List 1'!D177,TRIM('List 1'!D177)))</f>
        <v/>
      </c>
      <c r="O177" s="0" t="str">
        <f aca="false">IF(K177="","",D177)</f>
        <v/>
      </c>
      <c r="P177" s="0" t="str">
        <f aca="false">IF(K177="","",IF(R177,SUMPRODUCT(--($H$2:$H$501=K177),$I$2:$I$501),0))</f>
        <v/>
      </c>
      <c r="Q177" s="0" t="str">
        <f aca="false">IF(K177="","",TRUE())</f>
        <v/>
      </c>
      <c r="R177" s="0" t="str">
        <f aca="false">IF(K177="","",SUMPRODUCT(--($H$2:$H$501=K177))&gt;0)</f>
        <v/>
      </c>
      <c r="S177" s="0" t="str">
        <f aca="false">IF(K177="","",IF(AND(Q177,R177),IF(O177=P177,"Match","Qty Different"),IF(Q177,"Only in List 1","Only in List 2")))</f>
        <v/>
      </c>
      <c r="T177" s="0" t="str">
        <f aca="false">IF(K177="","",IF(ISNUMBER(--L177),TEXT(--L177,"000000000000.000"),LOWER(L177)))</f>
        <v/>
      </c>
      <c r="U177" s="0" t="str">
        <f aca="false">IF(K177="","",IF(ISNUMBER(--M177),TEXT(--M177,"000000000000.000"),LOWER(M177)))</f>
        <v/>
      </c>
      <c r="V177" s="0" t="str">
        <f aca="false">IF(K177="","",LOWER(N177))</f>
        <v/>
      </c>
      <c r="W177" s="0" t="str">
        <f aca="false">IF(K177="","",B177)</f>
        <v/>
      </c>
      <c r="X177" s="0" t="str">
        <f aca="false">IF(K177="","",1+SUMPRODUCT(($K$2:$K$1001&lt;&gt;"")*(($T$2:$T$1001&lt;T177)+($T$2:$T$1001=T177)*(($U$2:$U$1001&lt;U177)+($U$2:$U$1001=U177)*(($V$2:$V$1001&lt;V177)+($V$2:$V$1001=V177)*(($W$2:$W$1001&lt;W177)+($W$2:$W$1001=W177)*(ROW($K$2:$K$1001)&lt;ROW(K177))))))))</f>
        <v/>
      </c>
    </row>
    <row r="178" customFormat="false" ht="15" hidden="false" customHeight="false" outlineLevel="0" collapsed="false">
      <c r="A178" s="0" t="str">
        <f aca="false">IF(TRIM('List 1'!A178&amp;'List 1'!C178&amp;'List 1'!D178)="","",LOWER(IF(OR(Comparison!$I$9="Item # + Part # + Description",Comparison!$I$9="Item # + Part #"),TRIM('List 1'!A178),"")&amp;"|"&amp;TRIM('List 1'!C178)&amp;"|"&amp;IF(OR(Comparison!$I$9="Item # + Part # + Description",Comparison!$I$9="Part # + Description"),TRIM('List 1'!D178),"")))</f>
        <v/>
      </c>
      <c r="B178" s="0" t="str">
        <f aca="false">IF(A178="","",SUMPRODUCT(--($A$2:A178=A178)))</f>
        <v/>
      </c>
      <c r="C178" s="0" t="str">
        <f aca="false">IF(A178="","",A178&amp;"#"&amp;B178)</f>
        <v/>
      </c>
      <c r="D178" s="0" t="str">
        <f aca="false">IF(A178="","",IFERROR(--'List 1'!B178,0))</f>
        <v/>
      </c>
      <c r="F178" s="0" t="str">
        <f aca="false">IF(TRIM('List 2'!A178&amp;'List 2'!C178&amp;'List 2'!D178)="","",LOWER(IF(OR(Comparison!$I$9="Item # + Part # + Description",Comparison!$I$9="Item # + Part #"),TRIM('List 2'!A178),"")&amp;"|"&amp;TRIM('List 2'!C178)&amp;"|"&amp;IF(OR(Comparison!$I$9="Item # + Part # + Description",Comparison!$I$9="Part # + Description"),TRIM('List 2'!D178),"")))</f>
        <v/>
      </c>
      <c r="G178" s="0" t="str">
        <f aca="false">IF(F178="","",SUMPRODUCT(--($F$2:F178=F178)))</f>
        <v/>
      </c>
      <c r="H178" s="0" t="str">
        <f aca="false">IF(F178="","",F178&amp;"#"&amp;G178)</f>
        <v/>
      </c>
      <c r="I178" s="0" t="str">
        <f aca="false">IF(F178="","",IFERROR(--'List 2'!B178,0))</f>
        <v/>
      </c>
      <c r="K178" s="0" t="str">
        <f aca="false">C178</f>
        <v/>
      </c>
      <c r="L178" s="0" t="str">
        <f aca="false">IF(K178="","",IF(ISNUMBER('List 1'!A178),'List 1'!A178,TRIM('List 1'!A178)))</f>
        <v/>
      </c>
      <c r="M178" s="0" t="str">
        <f aca="false">IF(K178="","",IF(ISNUMBER('List 1'!C178),'List 1'!C178,TRIM('List 1'!C178)))</f>
        <v/>
      </c>
      <c r="N178" s="0" t="str">
        <f aca="false">IF(K178="","",IF(ISNUMBER('List 1'!D178),'List 1'!D178,TRIM('List 1'!D178)))</f>
        <v/>
      </c>
      <c r="O178" s="0" t="str">
        <f aca="false">IF(K178="","",D178)</f>
        <v/>
      </c>
      <c r="P178" s="0" t="str">
        <f aca="false">IF(K178="","",IF(R178,SUMPRODUCT(--($H$2:$H$501=K178),$I$2:$I$501),0))</f>
        <v/>
      </c>
      <c r="Q178" s="0" t="str">
        <f aca="false">IF(K178="","",TRUE())</f>
        <v/>
      </c>
      <c r="R178" s="0" t="str">
        <f aca="false">IF(K178="","",SUMPRODUCT(--($H$2:$H$501=K178))&gt;0)</f>
        <v/>
      </c>
      <c r="S178" s="0" t="str">
        <f aca="false">IF(K178="","",IF(AND(Q178,R178),IF(O178=P178,"Match","Qty Different"),IF(Q178,"Only in List 1","Only in List 2")))</f>
        <v/>
      </c>
      <c r="T178" s="0" t="str">
        <f aca="false">IF(K178="","",IF(ISNUMBER(--L178),TEXT(--L178,"000000000000.000"),LOWER(L178)))</f>
        <v/>
      </c>
      <c r="U178" s="0" t="str">
        <f aca="false">IF(K178="","",IF(ISNUMBER(--M178),TEXT(--M178,"000000000000.000"),LOWER(M178)))</f>
        <v/>
      </c>
      <c r="V178" s="0" t="str">
        <f aca="false">IF(K178="","",LOWER(N178))</f>
        <v/>
      </c>
      <c r="W178" s="0" t="str">
        <f aca="false">IF(K178="","",B178)</f>
        <v/>
      </c>
      <c r="X178" s="0" t="str">
        <f aca="false">IF(K178="","",1+SUMPRODUCT(($K$2:$K$1001&lt;&gt;"")*(($T$2:$T$1001&lt;T178)+($T$2:$T$1001=T178)*(($U$2:$U$1001&lt;U178)+($U$2:$U$1001=U178)*(($V$2:$V$1001&lt;V178)+($V$2:$V$1001=V178)*(($W$2:$W$1001&lt;W178)+($W$2:$W$1001=W178)*(ROW($K$2:$K$1001)&lt;ROW(K178))))))))</f>
        <v/>
      </c>
    </row>
    <row r="179" customFormat="false" ht="15" hidden="false" customHeight="false" outlineLevel="0" collapsed="false">
      <c r="A179" s="0" t="str">
        <f aca="false">IF(TRIM('List 1'!A179&amp;'List 1'!C179&amp;'List 1'!D179)="","",LOWER(IF(OR(Comparison!$I$9="Item # + Part # + Description",Comparison!$I$9="Item # + Part #"),TRIM('List 1'!A179),"")&amp;"|"&amp;TRIM('List 1'!C179)&amp;"|"&amp;IF(OR(Comparison!$I$9="Item # + Part # + Description",Comparison!$I$9="Part # + Description"),TRIM('List 1'!D179),"")))</f>
        <v/>
      </c>
      <c r="B179" s="0" t="str">
        <f aca="false">IF(A179="","",SUMPRODUCT(--($A$2:A179=A179)))</f>
        <v/>
      </c>
      <c r="C179" s="0" t="str">
        <f aca="false">IF(A179="","",A179&amp;"#"&amp;B179)</f>
        <v/>
      </c>
      <c r="D179" s="0" t="str">
        <f aca="false">IF(A179="","",IFERROR(--'List 1'!B179,0))</f>
        <v/>
      </c>
      <c r="F179" s="0" t="str">
        <f aca="false">IF(TRIM('List 2'!A179&amp;'List 2'!C179&amp;'List 2'!D179)="","",LOWER(IF(OR(Comparison!$I$9="Item # + Part # + Description",Comparison!$I$9="Item # + Part #"),TRIM('List 2'!A179),"")&amp;"|"&amp;TRIM('List 2'!C179)&amp;"|"&amp;IF(OR(Comparison!$I$9="Item # + Part # + Description",Comparison!$I$9="Part # + Description"),TRIM('List 2'!D179),"")))</f>
        <v/>
      </c>
      <c r="G179" s="0" t="str">
        <f aca="false">IF(F179="","",SUMPRODUCT(--($F$2:F179=F179)))</f>
        <v/>
      </c>
      <c r="H179" s="0" t="str">
        <f aca="false">IF(F179="","",F179&amp;"#"&amp;G179)</f>
        <v/>
      </c>
      <c r="I179" s="0" t="str">
        <f aca="false">IF(F179="","",IFERROR(--'List 2'!B179,0))</f>
        <v/>
      </c>
      <c r="K179" s="0" t="str">
        <f aca="false">C179</f>
        <v/>
      </c>
      <c r="L179" s="0" t="str">
        <f aca="false">IF(K179="","",IF(ISNUMBER('List 1'!A179),'List 1'!A179,TRIM('List 1'!A179)))</f>
        <v/>
      </c>
      <c r="M179" s="0" t="str">
        <f aca="false">IF(K179="","",IF(ISNUMBER('List 1'!C179),'List 1'!C179,TRIM('List 1'!C179)))</f>
        <v/>
      </c>
      <c r="N179" s="0" t="str">
        <f aca="false">IF(K179="","",IF(ISNUMBER('List 1'!D179),'List 1'!D179,TRIM('List 1'!D179)))</f>
        <v/>
      </c>
      <c r="O179" s="0" t="str">
        <f aca="false">IF(K179="","",D179)</f>
        <v/>
      </c>
      <c r="P179" s="0" t="str">
        <f aca="false">IF(K179="","",IF(R179,SUMPRODUCT(--($H$2:$H$501=K179),$I$2:$I$501),0))</f>
        <v/>
      </c>
      <c r="Q179" s="0" t="str">
        <f aca="false">IF(K179="","",TRUE())</f>
        <v/>
      </c>
      <c r="R179" s="0" t="str">
        <f aca="false">IF(K179="","",SUMPRODUCT(--($H$2:$H$501=K179))&gt;0)</f>
        <v/>
      </c>
      <c r="S179" s="0" t="str">
        <f aca="false">IF(K179="","",IF(AND(Q179,R179),IF(O179=P179,"Match","Qty Different"),IF(Q179,"Only in List 1","Only in List 2")))</f>
        <v/>
      </c>
      <c r="T179" s="0" t="str">
        <f aca="false">IF(K179="","",IF(ISNUMBER(--L179),TEXT(--L179,"000000000000.000"),LOWER(L179)))</f>
        <v/>
      </c>
      <c r="U179" s="0" t="str">
        <f aca="false">IF(K179="","",IF(ISNUMBER(--M179),TEXT(--M179,"000000000000.000"),LOWER(M179)))</f>
        <v/>
      </c>
      <c r="V179" s="0" t="str">
        <f aca="false">IF(K179="","",LOWER(N179))</f>
        <v/>
      </c>
      <c r="W179" s="0" t="str">
        <f aca="false">IF(K179="","",B179)</f>
        <v/>
      </c>
      <c r="X179" s="0" t="str">
        <f aca="false">IF(K179="","",1+SUMPRODUCT(($K$2:$K$1001&lt;&gt;"")*(($T$2:$T$1001&lt;T179)+($T$2:$T$1001=T179)*(($U$2:$U$1001&lt;U179)+($U$2:$U$1001=U179)*(($V$2:$V$1001&lt;V179)+($V$2:$V$1001=V179)*(($W$2:$W$1001&lt;W179)+($W$2:$W$1001=W179)*(ROW($K$2:$K$1001)&lt;ROW(K179))))))))</f>
        <v/>
      </c>
    </row>
    <row r="180" customFormat="false" ht="15" hidden="false" customHeight="false" outlineLevel="0" collapsed="false">
      <c r="A180" s="0" t="str">
        <f aca="false">IF(TRIM('List 1'!A180&amp;'List 1'!C180&amp;'List 1'!D180)="","",LOWER(IF(OR(Comparison!$I$9="Item # + Part # + Description",Comparison!$I$9="Item # + Part #"),TRIM('List 1'!A180),"")&amp;"|"&amp;TRIM('List 1'!C180)&amp;"|"&amp;IF(OR(Comparison!$I$9="Item # + Part # + Description",Comparison!$I$9="Part # + Description"),TRIM('List 1'!D180),"")))</f>
        <v/>
      </c>
      <c r="B180" s="0" t="str">
        <f aca="false">IF(A180="","",SUMPRODUCT(--($A$2:A180=A180)))</f>
        <v/>
      </c>
      <c r="C180" s="0" t="str">
        <f aca="false">IF(A180="","",A180&amp;"#"&amp;B180)</f>
        <v/>
      </c>
      <c r="D180" s="0" t="str">
        <f aca="false">IF(A180="","",IFERROR(--'List 1'!B180,0))</f>
        <v/>
      </c>
      <c r="F180" s="0" t="str">
        <f aca="false">IF(TRIM('List 2'!A180&amp;'List 2'!C180&amp;'List 2'!D180)="","",LOWER(IF(OR(Comparison!$I$9="Item # + Part # + Description",Comparison!$I$9="Item # + Part #"),TRIM('List 2'!A180),"")&amp;"|"&amp;TRIM('List 2'!C180)&amp;"|"&amp;IF(OR(Comparison!$I$9="Item # + Part # + Description",Comparison!$I$9="Part # + Description"),TRIM('List 2'!D180),"")))</f>
        <v/>
      </c>
      <c r="G180" s="0" t="str">
        <f aca="false">IF(F180="","",SUMPRODUCT(--($F$2:F180=F180)))</f>
        <v/>
      </c>
      <c r="H180" s="0" t="str">
        <f aca="false">IF(F180="","",F180&amp;"#"&amp;G180)</f>
        <v/>
      </c>
      <c r="I180" s="0" t="str">
        <f aca="false">IF(F180="","",IFERROR(--'List 2'!B180,0))</f>
        <v/>
      </c>
      <c r="K180" s="0" t="str">
        <f aca="false">C180</f>
        <v/>
      </c>
      <c r="L180" s="0" t="str">
        <f aca="false">IF(K180="","",IF(ISNUMBER('List 1'!A180),'List 1'!A180,TRIM('List 1'!A180)))</f>
        <v/>
      </c>
      <c r="M180" s="0" t="str">
        <f aca="false">IF(K180="","",IF(ISNUMBER('List 1'!C180),'List 1'!C180,TRIM('List 1'!C180)))</f>
        <v/>
      </c>
      <c r="N180" s="0" t="str">
        <f aca="false">IF(K180="","",IF(ISNUMBER('List 1'!D180),'List 1'!D180,TRIM('List 1'!D180)))</f>
        <v/>
      </c>
      <c r="O180" s="0" t="str">
        <f aca="false">IF(K180="","",D180)</f>
        <v/>
      </c>
      <c r="P180" s="0" t="str">
        <f aca="false">IF(K180="","",IF(R180,SUMPRODUCT(--($H$2:$H$501=K180),$I$2:$I$501),0))</f>
        <v/>
      </c>
      <c r="Q180" s="0" t="str">
        <f aca="false">IF(K180="","",TRUE())</f>
        <v/>
      </c>
      <c r="R180" s="0" t="str">
        <f aca="false">IF(K180="","",SUMPRODUCT(--($H$2:$H$501=K180))&gt;0)</f>
        <v/>
      </c>
      <c r="S180" s="0" t="str">
        <f aca="false">IF(K180="","",IF(AND(Q180,R180),IF(O180=P180,"Match","Qty Different"),IF(Q180,"Only in List 1","Only in List 2")))</f>
        <v/>
      </c>
      <c r="T180" s="0" t="str">
        <f aca="false">IF(K180="","",IF(ISNUMBER(--L180),TEXT(--L180,"000000000000.000"),LOWER(L180)))</f>
        <v/>
      </c>
      <c r="U180" s="0" t="str">
        <f aca="false">IF(K180="","",IF(ISNUMBER(--M180),TEXT(--M180,"000000000000.000"),LOWER(M180)))</f>
        <v/>
      </c>
      <c r="V180" s="0" t="str">
        <f aca="false">IF(K180="","",LOWER(N180))</f>
        <v/>
      </c>
      <c r="W180" s="0" t="str">
        <f aca="false">IF(K180="","",B180)</f>
        <v/>
      </c>
      <c r="X180" s="0" t="str">
        <f aca="false">IF(K180="","",1+SUMPRODUCT(($K$2:$K$1001&lt;&gt;"")*(($T$2:$T$1001&lt;T180)+($T$2:$T$1001=T180)*(($U$2:$U$1001&lt;U180)+($U$2:$U$1001=U180)*(($V$2:$V$1001&lt;V180)+($V$2:$V$1001=V180)*(($W$2:$W$1001&lt;W180)+($W$2:$W$1001=W180)*(ROW($K$2:$K$1001)&lt;ROW(K180))))))))</f>
        <v/>
      </c>
    </row>
    <row r="181" customFormat="false" ht="15" hidden="false" customHeight="false" outlineLevel="0" collapsed="false">
      <c r="A181" s="0" t="str">
        <f aca="false">IF(TRIM('List 1'!A181&amp;'List 1'!C181&amp;'List 1'!D181)="","",LOWER(IF(OR(Comparison!$I$9="Item # + Part # + Description",Comparison!$I$9="Item # + Part #"),TRIM('List 1'!A181),"")&amp;"|"&amp;TRIM('List 1'!C181)&amp;"|"&amp;IF(OR(Comparison!$I$9="Item # + Part # + Description",Comparison!$I$9="Part # + Description"),TRIM('List 1'!D181),"")))</f>
        <v/>
      </c>
      <c r="B181" s="0" t="str">
        <f aca="false">IF(A181="","",SUMPRODUCT(--($A$2:A181=A181)))</f>
        <v/>
      </c>
      <c r="C181" s="0" t="str">
        <f aca="false">IF(A181="","",A181&amp;"#"&amp;B181)</f>
        <v/>
      </c>
      <c r="D181" s="0" t="str">
        <f aca="false">IF(A181="","",IFERROR(--'List 1'!B181,0))</f>
        <v/>
      </c>
      <c r="F181" s="0" t="str">
        <f aca="false">IF(TRIM('List 2'!A181&amp;'List 2'!C181&amp;'List 2'!D181)="","",LOWER(IF(OR(Comparison!$I$9="Item # + Part # + Description",Comparison!$I$9="Item # + Part #"),TRIM('List 2'!A181),"")&amp;"|"&amp;TRIM('List 2'!C181)&amp;"|"&amp;IF(OR(Comparison!$I$9="Item # + Part # + Description",Comparison!$I$9="Part # + Description"),TRIM('List 2'!D181),"")))</f>
        <v/>
      </c>
      <c r="G181" s="0" t="str">
        <f aca="false">IF(F181="","",SUMPRODUCT(--($F$2:F181=F181)))</f>
        <v/>
      </c>
      <c r="H181" s="0" t="str">
        <f aca="false">IF(F181="","",F181&amp;"#"&amp;G181)</f>
        <v/>
      </c>
      <c r="I181" s="0" t="str">
        <f aca="false">IF(F181="","",IFERROR(--'List 2'!B181,0))</f>
        <v/>
      </c>
      <c r="K181" s="0" t="str">
        <f aca="false">C181</f>
        <v/>
      </c>
      <c r="L181" s="0" t="str">
        <f aca="false">IF(K181="","",IF(ISNUMBER('List 1'!A181),'List 1'!A181,TRIM('List 1'!A181)))</f>
        <v/>
      </c>
      <c r="M181" s="0" t="str">
        <f aca="false">IF(K181="","",IF(ISNUMBER('List 1'!C181),'List 1'!C181,TRIM('List 1'!C181)))</f>
        <v/>
      </c>
      <c r="N181" s="0" t="str">
        <f aca="false">IF(K181="","",IF(ISNUMBER('List 1'!D181),'List 1'!D181,TRIM('List 1'!D181)))</f>
        <v/>
      </c>
      <c r="O181" s="0" t="str">
        <f aca="false">IF(K181="","",D181)</f>
        <v/>
      </c>
      <c r="P181" s="0" t="str">
        <f aca="false">IF(K181="","",IF(R181,SUMPRODUCT(--($H$2:$H$501=K181),$I$2:$I$501),0))</f>
        <v/>
      </c>
      <c r="Q181" s="0" t="str">
        <f aca="false">IF(K181="","",TRUE())</f>
        <v/>
      </c>
      <c r="R181" s="0" t="str">
        <f aca="false">IF(K181="","",SUMPRODUCT(--($H$2:$H$501=K181))&gt;0)</f>
        <v/>
      </c>
      <c r="S181" s="0" t="str">
        <f aca="false">IF(K181="","",IF(AND(Q181,R181),IF(O181=P181,"Match","Qty Different"),IF(Q181,"Only in List 1","Only in List 2")))</f>
        <v/>
      </c>
      <c r="T181" s="0" t="str">
        <f aca="false">IF(K181="","",IF(ISNUMBER(--L181),TEXT(--L181,"000000000000.000"),LOWER(L181)))</f>
        <v/>
      </c>
      <c r="U181" s="0" t="str">
        <f aca="false">IF(K181="","",IF(ISNUMBER(--M181),TEXT(--M181,"000000000000.000"),LOWER(M181)))</f>
        <v/>
      </c>
      <c r="V181" s="0" t="str">
        <f aca="false">IF(K181="","",LOWER(N181))</f>
        <v/>
      </c>
      <c r="W181" s="0" t="str">
        <f aca="false">IF(K181="","",B181)</f>
        <v/>
      </c>
      <c r="X181" s="0" t="str">
        <f aca="false">IF(K181="","",1+SUMPRODUCT(($K$2:$K$1001&lt;&gt;"")*(($T$2:$T$1001&lt;T181)+($T$2:$T$1001=T181)*(($U$2:$U$1001&lt;U181)+($U$2:$U$1001=U181)*(($V$2:$V$1001&lt;V181)+($V$2:$V$1001=V181)*(($W$2:$W$1001&lt;W181)+($W$2:$W$1001=W181)*(ROW($K$2:$K$1001)&lt;ROW(K181))))))))</f>
        <v/>
      </c>
    </row>
    <row r="182" customFormat="false" ht="15" hidden="false" customHeight="false" outlineLevel="0" collapsed="false">
      <c r="A182" s="0" t="str">
        <f aca="false">IF(TRIM('List 1'!A182&amp;'List 1'!C182&amp;'List 1'!D182)="","",LOWER(IF(OR(Comparison!$I$9="Item # + Part # + Description",Comparison!$I$9="Item # + Part #"),TRIM('List 1'!A182),"")&amp;"|"&amp;TRIM('List 1'!C182)&amp;"|"&amp;IF(OR(Comparison!$I$9="Item # + Part # + Description",Comparison!$I$9="Part # + Description"),TRIM('List 1'!D182),"")))</f>
        <v/>
      </c>
      <c r="B182" s="0" t="str">
        <f aca="false">IF(A182="","",SUMPRODUCT(--($A$2:A182=A182)))</f>
        <v/>
      </c>
      <c r="C182" s="0" t="str">
        <f aca="false">IF(A182="","",A182&amp;"#"&amp;B182)</f>
        <v/>
      </c>
      <c r="D182" s="0" t="str">
        <f aca="false">IF(A182="","",IFERROR(--'List 1'!B182,0))</f>
        <v/>
      </c>
      <c r="F182" s="0" t="str">
        <f aca="false">IF(TRIM('List 2'!A182&amp;'List 2'!C182&amp;'List 2'!D182)="","",LOWER(IF(OR(Comparison!$I$9="Item # + Part # + Description",Comparison!$I$9="Item # + Part #"),TRIM('List 2'!A182),"")&amp;"|"&amp;TRIM('List 2'!C182)&amp;"|"&amp;IF(OR(Comparison!$I$9="Item # + Part # + Description",Comparison!$I$9="Part # + Description"),TRIM('List 2'!D182),"")))</f>
        <v/>
      </c>
      <c r="G182" s="0" t="str">
        <f aca="false">IF(F182="","",SUMPRODUCT(--($F$2:F182=F182)))</f>
        <v/>
      </c>
      <c r="H182" s="0" t="str">
        <f aca="false">IF(F182="","",F182&amp;"#"&amp;G182)</f>
        <v/>
      </c>
      <c r="I182" s="0" t="str">
        <f aca="false">IF(F182="","",IFERROR(--'List 2'!B182,0))</f>
        <v/>
      </c>
      <c r="K182" s="0" t="str">
        <f aca="false">C182</f>
        <v/>
      </c>
      <c r="L182" s="0" t="str">
        <f aca="false">IF(K182="","",IF(ISNUMBER('List 1'!A182),'List 1'!A182,TRIM('List 1'!A182)))</f>
        <v/>
      </c>
      <c r="M182" s="0" t="str">
        <f aca="false">IF(K182="","",IF(ISNUMBER('List 1'!C182),'List 1'!C182,TRIM('List 1'!C182)))</f>
        <v/>
      </c>
      <c r="N182" s="0" t="str">
        <f aca="false">IF(K182="","",IF(ISNUMBER('List 1'!D182),'List 1'!D182,TRIM('List 1'!D182)))</f>
        <v/>
      </c>
      <c r="O182" s="0" t="str">
        <f aca="false">IF(K182="","",D182)</f>
        <v/>
      </c>
      <c r="P182" s="0" t="str">
        <f aca="false">IF(K182="","",IF(R182,SUMPRODUCT(--($H$2:$H$501=K182),$I$2:$I$501),0))</f>
        <v/>
      </c>
      <c r="Q182" s="0" t="str">
        <f aca="false">IF(K182="","",TRUE())</f>
        <v/>
      </c>
      <c r="R182" s="0" t="str">
        <f aca="false">IF(K182="","",SUMPRODUCT(--($H$2:$H$501=K182))&gt;0)</f>
        <v/>
      </c>
      <c r="S182" s="0" t="str">
        <f aca="false">IF(K182="","",IF(AND(Q182,R182),IF(O182=P182,"Match","Qty Different"),IF(Q182,"Only in List 1","Only in List 2")))</f>
        <v/>
      </c>
      <c r="T182" s="0" t="str">
        <f aca="false">IF(K182="","",IF(ISNUMBER(--L182),TEXT(--L182,"000000000000.000"),LOWER(L182)))</f>
        <v/>
      </c>
      <c r="U182" s="0" t="str">
        <f aca="false">IF(K182="","",IF(ISNUMBER(--M182),TEXT(--M182,"000000000000.000"),LOWER(M182)))</f>
        <v/>
      </c>
      <c r="V182" s="0" t="str">
        <f aca="false">IF(K182="","",LOWER(N182))</f>
        <v/>
      </c>
      <c r="W182" s="0" t="str">
        <f aca="false">IF(K182="","",B182)</f>
        <v/>
      </c>
      <c r="X182" s="0" t="str">
        <f aca="false">IF(K182="","",1+SUMPRODUCT(($K$2:$K$1001&lt;&gt;"")*(($T$2:$T$1001&lt;T182)+($T$2:$T$1001=T182)*(($U$2:$U$1001&lt;U182)+($U$2:$U$1001=U182)*(($V$2:$V$1001&lt;V182)+($V$2:$V$1001=V182)*(($W$2:$W$1001&lt;W182)+($W$2:$W$1001=W182)*(ROW($K$2:$K$1001)&lt;ROW(K182))))))))</f>
        <v/>
      </c>
    </row>
    <row r="183" customFormat="false" ht="15" hidden="false" customHeight="false" outlineLevel="0" collapsed="false">
      <c r="A183" s="0" t="str">
        <f aca="false">IF(TRIM('List 1'!A183&amp;'List 1'!C183&amp;'List 1'!D183)="","",LOWER(IF(OR(Comparison!$I$9="Item # + Part # + Description",Comparison!$I$9="Item # + Part #"),TRIM('List 1'!A183),"")&amp;"|"&amp;TRIM('List 1'!C183)&amp;"|"&amp;IF(OR(Comparison!$I$9="Item # + Part # + Description",Comparison!$I$9="Part # + Description"),TRIM('List 1'!D183),"")))</f>
        <v/>
      </c>
      <c r="B183" s="0" t="str">
        <f aca="false">IF(A183="","",SUMPRODUCT(--($A$2:A183=A183)))</f>
        <v/>
      </c>
      <c r="C183" s="0" t="str">
        <f aca="false">IF(A183="","",A183&amp;"#"&amp;B183)</f>
        <v/>
      </c>
      <c r="D183" s="0" t="str">
        <f aca="false">IF(A183="","",IFERROR(--'List 1'!B183,0))</f>
        <v/>
      </c>
      <c r="F183" s="0" t="str">
        <f aca="false">IF(TRIM('List 2'!A183&amp;'List 2'!C183&amp;'List 2'!D183)="","",LOWER(IF(OR(Comparison!$I$9="Item # + Part # + Description",Comparison!$I$9="Item # + Part #"),TRIM('List 2'!A183),"")&amp;"|"&amp;TRIM('List 2'!C183)&amp;"|"&amp;IF(OR(Comparison!$I$9="Item # + Part # + Description",Comparison!$I$9="Part # + Description"),TRIM('List 2'!D183),"")))</f>
        <v/>
      </c>
      <c r="G183" s="0" t="str">
        <f aca="false">IF(F183="","",SUMPRODUCT(--($F$2:F183=F183)))</f>
        <v/>
      </c>
      <c r="H183" s="0" t="str">
        <f aca="false">IF(F183="","",F183&amp;"#"&amp;G183)</f>
        <v/>
      </c>
      <c r="I183" s="0" t="str">
        <f aca="false">IF(F183="","",IFERROR(--'List 2'!B183,0))</f>
        <v/>
      </c>
      <c r="K183" s="0" t="str">
        <f aca="false">C183</f>
        <v/>
      </c>
      <c r="L183" s="0" t="str">
        <f aca="false">IF(K183="","",IF(ISNUMBER('List 1'!A183),'List 1'!A183,TRIM('List 1'!A183)))</f>
        <v/>
      </c>
      <c r="M183" s="0" t="str">
        <f aca="false">IF(K183="","",IF(ISNUMBER('List 1'!C183),'List 1'!C183,TRIM('List 1'!C183)))</f>
        <v/>
      </c>
      <c r="N183" s="0" t="str">
        <f aca="false">IF(K183="","",IF(ISNUMBER('List 1'!D183),'List 1'!D183,TRIM('List 1'!D183)))</f>
        <v/>
      </c>
      <c r="O183" s="0" t="str">
        <f aca="false">IF(K183="","",D183)</f>
        <v/>
      </c>
      <c r="P183" s="0" t="str">
        <f aca="false">IF(K183="","",IF(R183,SUMPRODUCT(--($H$2:$H$501=K183),$I$2:$I$501),0))</f>
        <v/>
      </c>
      <c r="Q183" s="0" t="str">
        <f aca="false">IF(K183="","",TRUE())</f>
        <v/>
      </c>
      <c r="R183" s="0" t="str">
        <f aca="false">IF(K183="","",SUMPRODUCT(--($H$2:$H$501=K183))&gt;0)</f>
        <v/>
      </c>
      <c r="S183" s="0" t="str">
        <f aca="false">IF(K183="","",IF(AND(Q183,R183),IF(O183=P183,"Match","Qty Different"),IF(Q183,"Only in List 1","Only in List 2")))</f>
        <v/>
      </c>
      <c r="T183" s="0" t="str">
        <f aca="false">IF(K183="","",IF(ISNUMBER(--L183),TEXT(--L183,"000000000000.000"),LOWER(L183)))</f>
        <v/>
      </c>
      <c r="U183" s="0" t="str">
        <f aca="false">IF(K183="","",IF(ISNUMBER(--M183),TEXT(--M183,"000000000000.000"),LOWER(M183)))</f>
        <v/>
      </c>
      <c r="V183" s="0" t="str">
        <f aca="false">IF(K183="","",LOWER(N183))</f>
        <v/>
      </c>
      <c r="W183" s="0" t="str">
        <f aca="false">IF(K183="","",B183)</f>
        <v/>
      </c>
      <c r="X183" s="0" t="str">
        <f aca="false">IF(K183="","",1+SUMPRODUCT(($K$2:$K$1001&lt;&gt;"")*(($T$2:$T$1001&lt;T183)+($T$2:$T$1001=T183)*(($U$2:$U$1001&lt;U183)+($U$2:$U$1001=U183)*(($V$2:$V$1001&lt;V183)+($V$2:$V$1001=V183)*(($W$2:$W$1001&lt;W183)+($W$2:$W$1001=W183)*(ROW($K$2:$K$1001)&lt;ROW(K183))))))))</f>
        <v/>
      </c>
    </row>
    <row r="184" customFormat="false" ht="15" hidden="false" customHeight="false" outlineLevel="0" collapsed="false">
      <c r="A184" s="0" t="str">
        <f aca="false">IF(TRIM('List 1'!A184&amp;'List 1'!C184&amp;'List 1'!D184)="","",LOWER(IF(OR(Comparison!$I$9="Item # + Part # + Description",Comparison!$I$9="Item # + Part #"),TRIM('List 1'!A184),"")&amp;"|"&amp;TRIM('List 1'!C184)&amp;"|"&amp;IF(OR(Comparison!$I$9="Item # + Part # + Description",Comparison!$I$9="Part # + Description"),TRIM('List 1'!D184),"")))</f>
        <v/>
      </c>
      <c r="B184" s="0" t="str">
        <f aca="false">IF(A184="","",SUMPRODUCT(--($A$2:A184=A184)))</f>
        <v/>
      </c>
      <c r="C184" s="0" t="str">
        <f aca="false">IF(A184="","",A184&amp;"#"&amp;B184)</f>
        <v/>
      </c>
      <c r="D184" s="0" t="str">
        <f aca="false">IF(A184="","",IFERROR(--'List 1'!B184,0))</f>
        <v/>
      </c>
      <c r="F184" s="0" t="str">
        <f aca="false">IF(TRIM('List 2'!A184&amp;'List 2'!C184&amp;'List 2'!D184)="","",LOWER(IF(OR(Comparison!$I$9="Item # + Part # + Description",Comparison!$I$9="Item # + Part #"),TRIM('List 2'!A184),"")&amp;"|"&amp;TRIM('List 2'!C184)&amp;"|"&amp;IF(OR(Comparison!$I$9="Item # + Part # + Description",Comparison!$I$9="Part # + Description"),TRIM('List 2'!D184),"")))</f>
        <v/>
      </c>
      <c r="G184" s="0" t="str">
        <f aca="false">IF(F184="","",SUMPRODUCT(--($F$2:F184=F184)))</f>
        <v/>
      </c>
      <c r="H184" s="0" t="str">
        <f aca="false">IF(F184="","",F184&amp;"#"&amp;G184)</f>
        <v/>
      </c>
      <c r="I184" s="0" t="str">
        <f aca="false">IF(F184="","",IFERROR(--'List 2'!B184,0))</f>
        <v/>
      </c>
      <c r="K184" s="0" t="str">
        <f aca="false">C184</f>
        <v/>
      </c>
      <c r="L184" s="0" t="str">
        <f aca="false">IF(K184="","",IF(ISNUMBER('List 1'!A184),'List 1'!A184,TRIM('List 1'!A184)))</f>
        <v/>
      </c>
      <c r="M184" s="0" t="str">
        <f aca="false">IF(K184="","",IF(ISNUMBER('List 1'!C184),'List 1'!C184,TRIM('List 1'!C184)))</f>
        <v/>
      </c>
      <c r="N184" s="0" t="str">
        <f aca="false">IF(K184="","",IF(ISNUMBER('List 1'!D184),'List 1'!D184,TRIM('List 1'!D184)))</f>
        <v/>
      </c>
      <c r="O184" s="0" t="str">
        <f aca="false">IF(K184="","",D184)</f>
        <v/>
      </c>
      <c r="P184" s="0" t="str">
        <f aca="false">IF(K184="","",IF(R184,SUMPRODUCT(--($H$2:$H$501=K184),$I$2:$I$501),0))</f>
        <v/>
      </c>
      <c r="Q184" s="0" t="str">
        <f aca="false">IF(K184="","",TRUE())</f>
        <v/>
      </c>
      <c r="R184" s="0" t="str">
        <f aca="false">IF(K184="","",SUMPRODUCT(--($H$2:$H$501=K184))&gt;0)</f>
        <v/>
      </c>
      <c r="S184" s="0" t="str">
        <f aca="false">IF(K184="","",IF(AND(Q184,R184),IF(O184=P184,"Match","Qty Different"),IF(Q184,"Only in List 1","Only in List 2")))</f>
        <v/>
      </c>
      <c r="T184" s="0" t="str">
        <f aca="false">IF(K184="","",IF(ISNUMBER(--L184),TEXT(--L184,"000000000000.000"),LOWER(L184)))</f>
        <v/>
      </c>
      <c r="U184" s="0" t="str">
        <f aca="false">IF(K184="","",IF(ISNUMBER(--M184),TEXT(--M184,"000000000000.000"),LOWER(M184)))</f>
        <v/>
      </c>
      <c r="V184" s="0" t="str">
        <f aca="false">IF(K184="","",LOWER(N184))</f>
        <v/>
      </c>
      <c r="W184" s="0" t="str">
        <f aca="false">IF(K184="","",B184)</f>
        <v/>
      </c>
      <c r="X184" s="0" t="str">
        <f aca="false">IF(K184="","",1+SUMPRODUCT(($K$2:$K$1001&lt;&gt;"")*(($T$2:$T$1001&lt;T184)+($T$2:$T$1001=T184)*(($U$2:$U$1001&lt;U184)+($U$2:$U$1001=U184)*(($V$2:$V$1001&lt;V184)+($V$2:$V$1001=V184)*(($W$2:$W$1001&lt;W184)+($W$2:$W$1001=W184)*(ROW($K$2:$K$1001)&lt;ROW(K184))))))))</f>
        <v/>
      </c>
    </row>
    <row r="185" customFormat="false" ht="15" hidden="false" customHeight="false" outlineLevel="0" collapsed="false">
      <c r="A185" s="0" t="str">
        <f aca="false">IF(TRIM('List 1'!A185&amp;'List 1'!C185&amp;'List 1'!D185)="","",LOWER(IF(OR(Comparison!$I$9="Item # + Part # + Description",Comparison!$I$9="Item # + Part #"),TRIM('List 1'!A185),"")&amp;"|"&amp;TRIM('List 1'!C185)&amp;"|"&amp;IF(OR(Comparison!$I$9="Item # + Part # + Description",Comparison!$I$9="Part # + Description"),TRIM('List 1'!D185),"")))</f>
        <v/>
      </c>
      <c r="B185" s="0" t="str">
        <f aca="false">IF(A185="","",SUMPRODUCT(--($A$2:A185=A185)))</f>
        <v/>
      </c>
      <c r="C185" s="0" t="str">
        <f aca="false">IF(A185="","",A185&amp;"#"&amp;B185)</f>
        <v/>
      </c>
      <c r="D185" s="0" t="str">
        <f aca="false">IF(A185="","",IFERROR(--'List 1'!B185,0))</f>
        <v/>
      </c>
      <c r="F185" s="0" t="str">
        <f aca="false">IF(TRIM('List 2'!A185&amp;'List 2'!C185&amp;'List 2'!D185)="","",LOWER(IF(OR(Comparison!$I$9="Item # + Part # + Description",Comparison!$I$9="Item # + Part #"),TRIM('List 2'!A185),"")&amp;"|"&amp;TRIM('List 2'!C185)&amp;"|"&amp;IF(OR(Comparison!$I$9="Item # + Part # + Description",Comparison!$I$9="Part # + Description"),TRIM('List 2'!D185),"")))</f>
        <v/>
      </c>
      <c r="G185" s="0" t="str">
        <f aca="false">IF(F185="","",SUMPRODUCT(--($F$2:F185=F185)))</f>
        <v/>
      </c>
      <c r="H185" s="0" t="str">
        <f aca="false">IF(F185="","",F185&amp;"#"&amp;G185)</f>
        <v/>
      </c>
      <c r="I185" s="0" t="str">
        <f aca="false">IF(F185="","",IFERROR(--'List 2'!B185,0))</f>
        <v/>
      </c>
      <c r="K185" s="0" t="str">
        <f aca="false">C185</f>
        <v/>
      </c>
      <c r="L185" s="0" t="str">
        <f aca="false">IF(K185="","",IF(ISNUMBER('List 1'!A185),'List 1'!A185,TRIM('List 1'!A185)))</f>
        <v/>
      </c>
      <c r="M185" s="0" t="str">
        <f aca="false">IF(K185="","",IF(ISNUMBER('List 1'!C185),'List 1'!C185,TRIM('List 1'!C185)))</f>
        <v/>
      </c>
      <c r="N185" s="0" t="str">
        <f aca="false">IF(K185="","",IF(ISNUMBER('List 1'!D185),'List 1'!D185,TRIM('List 1'!D185)))</f>
        <v/>
      </c>
      <c r="O185" s="0" t="str">
        <f aca="false">IF(K185="","",D185)</f>
        <v/>
      </c>
      <c r="P185" s="0" t="str">
        <f aca="false">IF(K185="","",IF(R185,SUMPRODUCT(--($H$2:$H$501=K185),$I$2:$I$501),0))</f>
        <v/>
      </c>
      <c r="Q185" s="0" t="str">
        <f aca="false">IF(K185="","",TRUE())</f>
        <v/>
      </c>
      <c r="R185" s="0" t="str">
        <f aca="false">IF(K185="","",SUMPRODUCT(--($H$2:$H$501=K185))&gt;0)</f>
        <v/>
      </c>
      <c r="S185" s="0" t="str">
        <f aca="false">IF(K185="","",IF(AND(Q185,R185),IF(O185=P185,"Match","Qty Different"),IF(Q185,"Only in List 1","Only in List 2")))</f>
        <v/>
      </c>
      <c r="T185" s="0" t="str">
        <f aca="false">IF(K185="","",IF(ISNUMBER(--L185),TEXT(--L185,"000000000000.000"),LOWER(L185)))</f>
        <v/>
      </c>
      <c r="U185" s="0" t="str">
        <f aca="false">IF(K185="","",IF(ISNUMBER(--M185),TEXT(--M185,"000000000000.000"),LOWER(M185)))</f>
        <v/>
      </c>
      <c r="V185" s="0" t="str">
        <f aca="false">IF(K185="","",LOWER(N185))</f>
        <v/>
      </c>
      <c r="W185" s="0" t="str">
        <f aca="false">IF(K185="","",B185)</f>
        <v/>
      </c>
      <c r="X185" s="0" t="str">
        <f aca="false">IF(K185="","",1+SUMPRODUCT(($K$2:$K$1001&lt;&gt;"")*(($T$2:$T$1001&lt;T185)+($T$2:$T$1001=T185)*(($U$2:$U$1001&lt;U185)+($U$2:$U$1001=U185)*(($V$2:$V$1001&lt;V185)+($V$2:$V$1001=V185)*(($W$2:$W$1001&lt;W185)+($W$2:$W$1001=W185)*(ROW($K$2:$K$1001)&lt;ROW(K185))))))))</f>
        <v/>
      </c>
    </row>
    <row r="186" customFormat="false" ht="15" hidden="false" customHeight="false" outlineLevel="0" collapsed="false">
      <c r="A186" s="0" t="str">
        <f aca="false">IF(TRIM('List 1'!A186&amp;'List 1'!C186&amp;'List 1'!D186)="","",LOWER(IF(OR(Comparison!$I$9="Item # + Part # + Description",Comparison!$I$9="Item # + Part #"),TRIM('List 1'!A186),"")&amp;"|"&amp;TRIM('List 1'!C186)&amp;"|"&amp;IF(OR(Comparison!$I$9="Item # + Part # + Description",Comparison!$I$9="Part # + Description"),TRIM('List 1'!D186),"")))</f>
        <v/>
      </c>
      <c r="B186" s="0" t="str">
        <f aca="false">IF(A186="","",SUMPRODUCT(--($A$2:A186=A186)))</f>
        <v/>
      </c>
      <c r="C186" s="0" t="str">
        <f aca="false">IF(A186="","",A186&amp;"#"&amp;B186)</f>
        <v/>
      </c>
      <c r="D186" s="0" t="str">
        <f aca="false">IF(A186="","",IFERROR(--'List 1'!B186,0))</f>
        <v/>
      </c>
      <c r="F186" s="0" t="str">
        <f aca="false">IF(TRIM('List 2'!A186&amp;'List 2'!C186&amp;'List 2'!D186)="","",LOWER(IF(OR(Comparison!$I$9="Item # + Part # + Description",Comparison!$I$9="Item # + Part #"),TRIM('List 2'!A186),"")&amp;"|"&amp;TRIM('List 2'!C186)&amp;"|"&amp;IF(OR(Comparison!$I$9="Item # + Part # + Description",Comparison!$I$9="Part # + Description"),TRIM('List 2'!D186),"")))</f>
        <v/>
      </c>
      <c r="G186" s="0" t="str">
        <f aca="false">IF(F186="","",SUMPRODUCT(--($F$2:F186=F186)))</f>
        <v/>
      </c>
      <c r="H186" s="0" t="str">
        <f aca="false">IF(F186="","",F186&amp;"#"&amp;G186)</f>
        <v/>
      </c>
      <c r="I186" s="0" t="str">
        <f aca="false">IF(F186="","",IFERROR(--'List 2'!B186,0))</f>
        <v/>
      </c>
      <c r="K186" s="0" t="str">
        <f aca="false">C186</f>
        <v/>
      </c>
      <c r="L186" s="0" t="str">
        <f aca="false">IF(K186="","",IF(ISNUMBER('List 1'!A186),'List 1'!A186,TRIM('List 1'!A186)))</f>
        <v/>
      </c>
      <c r="M186" s="0" t="str">
        <f aca="false">IF(K186="","",IF(ISNUMBER('List 1'!C186),'List 1'!C186,TRIM('List 1'!C186)))</f>
        <v/>
      </c>
      <c r="N186" s="0" t="str">
        <f aca="false">IF(K186="","",IF(ISNUMBER('List 1'!D186),'List 1'!D186,TRIM('List 1'!D186)))</f>
        <v/>
      </c>
      <c r="O186" s="0" t="str">
        <f aca="false">IF(K186="","",D186)</f>
        <v/>
      </c>
      <c r="P186" s="0" t="str">
        <f aca="false">IF(K186="","",IF(R186,SUMPRODUCT(--($H$2:$H$501=K186),$I$2:$I$501),0))</f>
        <v/>
      </c>
      <c r="Q186" s="0" t="str">
        <f aca="false">IF(K186="","",TRUE())</f>
        <v/>
      </c>
      <c r="R186" s="0" t="str">
        <f aca="false">IF(K186="","",SUMPRODUCT(--($H$2:$H$501=K186))&gt;0)</f>
        <v/>
      </c>
      <c r="S186" s="0" t="str">
        <f aca="false">IF(K186="","",IF(AND(Q186,R186),IF(O186=P186,"Match","Qty Different"),IF(Q186,"Only in List 1","Only in List 2")))</f>
        <v/>
      </c>
      <c r="T186" s="0" t="str">
        <f aca="false">IF(K186="","",IF(ISNUMBER(--L186),TEXT(--L186,"000000000000.000"),LOWER(L186)))</f>
        <v/>
      </c>
      <c r="U186" s="0" t="str">
        <f aca="false">IF(K186="","",IF(ISNUMBER(--M186),TEXT(--M186,"000000000000.000"),LOWER(M186)))</f>
        <v/>
      </c>
      <c r="V186" s="0" t="str">
        <f aca="false">IF(K186="","",LOWER(N186))</f>
        <v/>
      </c>
      <c r="W186" s="0" t="str">
        <f aca="false">IF(K186="","",B186)</f>
        <v/>
      </c>
      <c r="X186" s="0" t="str">
        <f aca="false">IF(K186="","",1+SUMPRODUCT(($K$2:$K$1001&lt;&gt;"")*(($T$2:$T$1001&lt;T186)+($T$2:$T$1001=T186)*(($U$2:$U$1001&lt;U186)+($U$2:$U$1001=U186)*(($V$2:$V$1001&lt;V186)+($V$2:$V$1001=V186)*(($W$2:$W$1001&lt;W186)+($W$2:$W$1001=W186)*(ROW($K$2:$K$1001)&lt;ROW(K186))))))))</f>
        <v/>
      </c>
    </row>
    <row r="187" customFormat="false" ht="15" hidden="false" customHeight="false" outlineLevel="0" collapsed="false">
      <c r="A187" s="0" t="str">
        <f aca="false">IF(TRIM('List 1'!A187&amp;'List 1'!C187&amp;'List 1'!D187)="","",LOWER(IF(OR(Comparison!$I$9="Item # + Part # + Description",Comparison!$I$9="Item # + Part #"),TRIM('List 1'!A187),"")&amp;"|"&amp;TRIM('List 1'!C187)&amp;"|"&amp;IF(OR(Comparison!$I$9="Item # + Part # + Description",Comparison!$I$9="Part # + Description"),TRIM('List 1'!D187),"")))</f>
        <v/>
      </c>
      <c r="B187" s="0" t="str">
        <f aca="false">IF(A187="","",SUMPRODUCT(--($A$2:A187=A187)))</f>
        <v/>
      </c>
      <c r="C187" s="0" t="str">
        <f aca="false">IF(A187="","",A187&amp;"#"&amp;B187)</f>
        <v/>
      </c>
      <c r="D187" s="0" t="str">
        <f aca="false">IF(A187="","",IFERROR(--'List 1'!B187,0))</f>
        <v/>
      </c>
      <c r="F187" s="0" t="str">
        <f aca="false">IF(TRIM('List 2'!A187&amp;'List 2'!C187&amp;'List 2'!D187)="","",LOWER(IF(OR(Comparison!$I$9="Item # + Part # + Description",Comparison!$I$9="Item # + Part #"),TRIM('List 2'!A187),"")&amp;"|"&amp;TRIM('List 2'!C187)&amp;"|"&amp;IF(OR(Comparison!$I$9="Item # + Part # + Description",Comparison!$I$9="Part # + Description"),TRIM('List 2'!D187),"")))</f>
        <v/>
      </c>
      <c r="G187" s="0" t="str">
        <f aca="false">IF(F187="","",SUMPRODUCT(--($F$2:F187=F187)))</f>
        <v/>
      </c>
      <c r="H187" s="0" t="str">
        <f aca="false">IF(F187="","",F187&amp;"#"&amp;G187)</f>
        <v/>
      </c>
      <c r="I187" s="0" t="str">
        <f aca="false">IF(F187="","",IFERROR(--'List 2'!B187,0))</f>
        <v/>
      </c>
      <c r="K187" s="0" t="str">
        <f aca="false">C187</f>
        <v/>
      </c>
      <c r="L187" s="0" t="str">
        <f aca="false">IF(K187="","",IF(ISNUMBER('List 1'!A187),'List 1'!A187,TRIM('List 1'!A187)))</f>
        <v/>
      </c>
      <c r="M187" s="0" t="str">
        <f aca="false">IF(K187="","",IF(ISNUMBER('List 1'!C187),'List 1'!C187,TRIM('List 1'!C187)))</f>
        <v/>
      </c>
      <c r="N187" s="0" t="str">
        <f aca="false">IF(K187="","",IF(ISNUMBER('List 1'!D187),'List 1'!D187,TRIM('List 1'!D187)))</f>
        <v/>
      </c>
      <c r="O187" s="0" t="str">
        <f aca="false">IF(K187="","",D187)</f>
        <v/>
      </c>
      <c r="P187" s="0" t="str">
        <f aca="false">IF(K187="","",IF(R187,SUMPRODUCT(--($H$2:$H$501=K187),$I$2:$I$501),0))</f>
        <v/>
      </c>
      <c r="Q187" s="0" t="str">
        <f aca="false">IF(K187="","",TRUE())</f>
        <v/>
      </c>
      <c r="R187" s="0" t="str">
        <f aca="false">IF(K187="","",SUMPRODUCT(--($H$2:$H$501=K187))&gt;0)</f>
        <v/>
      </c>
      <c r="S187" s="0" t="str">
        <f aca="false">IF(K187="","",IF(AND(Q187,R187),IF(O187=P187,"Match","Qty Different"),IF(Q187,"Only in List 1","Only in List 2")))</f>
        <v/>
      </c>
      <c r="T187" s="0" t="str">
        <f aca="false">IF(K187="","",IF(ISNUMBER(--L187),TEXT(--L187,"000000000000.000"),LOWER(L187)))</f>
        <v/>
      </c>
      <c r="U187" s="0" t="str">
        <f aca="false">IF(K187="","",IF(ISNUMBER(--M187),TEXT(--M187,"000000000000.000"),LOWER(M187)))</f>
        <v/>
      </c>
      <c r="V187" s="0" t="str">
        <f aca="false">IF(K187="","",LOWER(N187))</f>
        <v/>
      </c>
      <c r="W187" s="0" t="str">
        <f aca="false">IF(K187="","",B187)</f>
        <v/>
      </c>
      <c r="X187" s="0" t="str">
        <f aca="false">IF(K187="","",1+SUMPRODUCT(($K$2:$K$1001&lt;&gt;"")*(($T$2:$T$1001&lt;T187)+($T$2:$T$1001=T187)*(($U$2:$U$1001&lt;U187)+($U$2:$U$1001=U187)*(($V$2:$V$1001&lt;V187)+($V$2:$V$1001=V187)*(($W$2:$W$1001&lt;W187)+($W$2:$W$1001=W187)*(ROW($K$2:$K$1001)&lt;ROW(K187))))))))</f>
        <v/>
      </c>
    </row>
    <row r="188" customFormat="false" ht="15" hidden="false" customHeight="false" outlineLevel="0" collapsed="false">
      <c r="A188" s="0" t="str">
        <f aca="false">IF(TRIM('List 1'!A188&amp;'List 1'!C188&amp;'List 1'!D188)="","",LOWER(IF(OR(Comparison!$I$9="Item # + Part # + Description",Comparison!$I$9="Item # + Part #"),TRIM('List 1'!A188),"")&amp;"|"&amp;TRIM('List 1'!C188)&amp;"|"&amp;IF(OR(Comparison!$I$9="Item # + Part # + Description",Comparison!$I$9="Part # + Description"),TRIM('List 1'!D188),"")))</f>
        <v/>
      </c>
      <c r="B188" s="0" t="str">
        <f aca="false">IF(A188="","",SUMPRODUCT(--($A$2:A188=A188)))</f>
        <v/>
      </c>
      <c r="C188" s="0" t="str">
        <f aca="false">IF(A188="","",A188&amp;"#"&amp;B188)</f>
        <v/>
      </c>
      <c r="D188" s="0" t="str">
        <f aca="false">IF(A188="","",IFERROR(--'List 1'!B188,0))</f>
        <v/>
      </c>
      <c r="F188" s="0" t="str">
        <f aca="false">IF(TRIM('List 2'!A188&amp;'List 2'!C188&amp;'List 2'!D188)="","",LOWER(IF(OR(Comparison!$I$9="Item # + Part # + Description",Comparison!$I$9="Item # + Part #"),TRIM('List 2'!A188),"")&amp;"|"&amp;TRIM('List 2'!C188)&amp;"|"&amp;IF(OR(Comparison!$I$9="Item # + Part # + Description",Comparison!$I$9="Part # + Description"),TRIM('List 2'!D188),"")))</f>
        <v/>
      </c>
      <c r="G188" s="0" t="str">
        <f aca="false">IF(F188="","",SUMPRODUCT(--($F$2:F188=F188)))</f>
        <v/>
      </c>
      <c r="H188" s="0" t="str">
        <f aca="false">IF(F188="","",F188&amp;"#"&amp;G188)</f>
        <v/>
      </c>
      <c r="I188" s="0" t="str">
        <f aca="false">IF(F188="","",IFERROR(--'List 2'!B188,0))</f>
        <v/>
      </c>
      <c r="K188" s="0" t="str">
        <f aca="false">C188</f>
        <v/>
      </c>
      <c r="L188" s="0" t="str">
        <f aca="false">IF(K188="","",IF(ISNUMBER('List 1'!A188),'List 1'!A188,TRIM('List 1'!A188)))</f>
        <v/>
      </c>
      <c r="M188" s="0" t="str">
        <f aca="false">IF(K188="","",IF(ISNUMBER('List 1'!C188),'List 1'!C188,TRIM('List 1'!C188)))</f>
        <v/>
      </c>
      <c r="N188" s="0" t="str">
        <f aca="false">IF(K188="","",IF(ISNUMBER('List 1'!D188),'List 1'!D188,TRIM('List 1'!D188)))</f>
        <v/>
      </c>
      <c r="O188" s="0" t="str">
        <f aca="false">IF(K188="","",D188)</f>
        <v/>
      </c>
      <c r="P188" s="0" t="str">
        <f aca="false">IF(K188="","",IF(R188,SUMPRODUCT(--($H$2:$H$501=K188),$I$2:$I$501),0))</f>
        <v/>
      </c>
      <c r="Q188" s="0" t="str">
        <f aca="false">IF(K188="","",TRUE())</f>
        <v/>
      </c>
      <c r="R188" s="0" t="str">
        <f aca="false">IF(K188="","",SUMPRODUCT(--($H$2:$H$501=K188))&gt;0)</f>
        <v/>
      </c>
      <c r="S188" s="0" t="str">
        <f aca="false">IF(K188="","",IF(AND(Q188,R188),IF(O188=P188,"Match","Qty Different"),IF(Q188,"Only in List 1","Only in List 2")))</f>
        <v/>
      </c>
      <c r="T188" s="0" t="str">
        <f aca="false">IF(K188="","",IF(ISNUMBER(--L188),TEXT(--L188,"000000000000.000"),LOWER(L188)))</f>
        <v/>
      </c>
      <c r="U188" s="0" t="str">
        <f aca="false">IF(K188="","",IF(ISNUMBER(--M188),TEXT(--M188,"000000000000.000"),LOWER(M188)))</f>
        <v/>
      </c>
      <c r="V188" s="0" t="str">
        <f aca="false">IF(K188="","",LOWER(N188))</f>
        <v/>
      </c>
      <c r="W188" s="0" t="str">
        <f aca="false">IF(K188="","",B188)</f>
        <v/>
      </c>
      <c r="X188" s="0" t="str">
        <f aca="false">IF(K188="","",1+SUMPRODUCT(($K$2:$K$1001&lt;&gt;"")*(($T$2:$T$1001&lt;T188)+($T$2:$T$1001=T188)*(($U$2:$U$1001&lt;U188)+($U$2:$U$1001=U188)*(($V$2:$V$1001&lt;V188)+($V$2:$V$1001=V188)*(($W$2:$W$1001&lt;W188)+($W$2:$W$1001=W188)*(ROW($K$2:$K$1001)&lt;ROW(K188))))))))</f>
        <v/>
      </c>
    </row>
    <row r="189" customFormat="false" ht="15" hidden="false" customHeight="false" outlineLevel="0" collapsed="false">
      <c r="A189" s="0" t="str">
        <f aca="false">IF(TRIM('List 1'!A189&amp;'List 1'!C189&amp;'List 1'!D189)="","",LOWER(IF(OR(Comparison!$I$9="Item # + Part # + Description",Comparison!$I$9="Item # + Part #"),TRIM('List 1'!A189),"")&amp;"|"&amp;TRIM('List 1'!C189)&amp;"|"&amp;IF(OR(Comparison!$I$9="Item # + Part # + Description",Comparison!$I$9="Part # + Description"),TRIM('List 1'!D189),"")))</f>
        <v/>
      </c>
      <c r="B189" s="0" t="str">
        <f aca="false">IF(A189="","",SUMPRODUCT(--($A$2:A189=A189)))</f>
        <v/>
      </c>
      <c r="C189" s="0" t="str">
        <f aca="false">IF(A189="","",A189&amp;"#"&amp;B189)</f>
        <v/>
      </c>
      <c r="D189" s="0" t="str">
        <f aca="false">IF(A189="","",IFERROR(--'List 1'!B189,0))</f>
        <v/>
      </c>
      <c r="F189" s="0" t="str">
        <f aca="false">IF(TRIM('List 2'!A189&amp;'List 2'!C189&amp;'List 2'!D189)="","",LOWER(IF(OR(Comparison!$I$9="Item # + Part # + Description",Comparison!$I$9="Item # + Part #"),TRIM('List 2'!A189),"")&amp;"|"&amp;TRIM('List 2'!C189)&amp;"|"&amp;IF(OR(Comparison!$I$9="Item # + Part # + Description",Comparison!$I$9="Part # + Description"),TRIM('List 2'!D189),"")))</f>
        <v/>
      </c>
      <c r="G189" s="0" t="str">
        <f aca="false">IF(F189="","",SUMPRODUCT(--($F$2:F189=F189)))</f>
        <v/>
      </c>
      <c r="H189" s="0" t="str">
        <f aca="false">IF(F189="","",F189&amp;"#"&amp;G189)</f>
        <v/>
      </c>
      <c r="I189" s="0" t="str">
        <f aca="false">IF(F189="","",IFERROR(--'List 2'!B189,0))</f>
        <v/>
      </c>
      <c r="K189" s="0" t="str">
        <f aca="false">C189</f>
        <v/>
      </c>
      <c r="L189" s="0" t="str">
        <f aca="false">IF(K189="","",IF(ISNUMBER('List 1'!A189),'List 1'!A189,TRIM('List 1'!A189)))</f>
        <v/>
      </c>
      <c r="M189" s="0" t="str">
        <f aca="false">IF(K189="","",IF(ISNUMBER('List 1'!C189),'List 1'!C189,TRIM('List 1'!C189)))</f>
        <v/>
      </c>
      <c r="N189" s="0" t="str">
        <f aca="false">IF(K189="","",IF(ISNUMBER('List 1'!D189),'List 1'!D189,TRIM('List 1'!D189)))</f>
        <v/>
      </c>
      <c r="O189" s="0" t="str">
        <f aca="false">IF(K189="","",D189)</f>
        <v/>
      </c>
      <c r="P189" s="0" t="str">
        <f aca="false">IF(K189="","",IF(R189,SUMPRODUCT(--($H$2:$H$501=K189),$I$2:$I$501),0))</f>
        <v/>
      </c>
      <c r="Q189" s="0" t="str">
        <f aca="false">IF(K189="","",TRUE())</f>
        <v/>
      </c>
      <c r="R189" s="0" t="str">
        <f aca="false">IF(K189="","",SUMPRODUCT(--($H$2:$H$501=K189))&gt;0)</f>
        <v/>
      </c>
      <c r="S189" s="0" t="str">
        <f aca="false">IF(K189="","",IF(AND(Q189,R189),IF(O189=P189,"Match","Qty Different"),IF(Q189,"Only in List 1","Only in List 2")))</f>
        <v/>
      </c>
      <c r="T189" s="0" t="str">
        <f aca="false">IF(K189="","",IF(ISNUMBER(--L189),TEXT(--L189,"000000000000.000"),LOWER(L189)))</f>
        <v/>
      </c>
      <c r="U189" s="0" t="str">
        <f aca="false">IF(K189="","",IF(ISNUMBER(--M189),TEXT(--M189,"000000000000.000"),LOWER(M189)))</f>
        <v/>
      </c>
      <c r="V189" s="0" t="str">
        <f aca="false">IF(K189="","",LOWER(N189))</f>
        <v/>
      </c>
      <c r="W189" s="0" t="str">
        <f aca="false">IF(K189="","",B189)</f>
        <v/>
      </c>
      <c r="X189" s="0" t="str">
        <f aca="false">IF(K189="","",1+SUMPRODUCT(($K$2:$K$1001&lt;&gt;"")*(($T$2:$T$1001&lt;T189)+($T$2:$T$1001=T189)*(($U$2:$U$1001&lt;U189)+($U$2:$U$1001=U189)*(($V$2:$V$1001&lt;V189)+($V$2:$V$1001=V189)*(($W$2:$W$1001&lt;W189)+($W$2:$W$1001=W189)*(ROW($K$2:$K$1001)&lt;ROW(K189))))))))</f>
        <v/>
      </c>
    </row>
    <row r="190" customFormat="false" ht="15" hidden="false" customHeight="false" outlineLevel="0" collapsed="false">
      <c r="A190" s="0" t="str">
        <f aca="false">IF(TRIM('List 1'!A190&amp;'List 1'!C190&amp;'List 1'!D190)="","",LOWER(IF(OR(Comparison!$I$9="Item # + Part # + Description",Comparison!$I$9="Item # + Part #"),TRIM('List 1'!A190),"")&amp;"|"&amp;TRIM('List 1'!C190)&amp;"|"&amp;IF(OR(Comparison!$I$9="Item # + Part # + Description",Comparison!$I$9="Part # + Description"),TRIM('List 1'!D190),"")))</f>
        <v/>
      </c>
      <c r="B190" s="0" t="str">
        <f aca="false">IF(A190="","",SUMPRODUCT(--($A$2:A190=A190)))</f>
        <v/>
      </c>
      <c r="C190" s="0" t="str">
        <f aca="false">IF(A190="","",A190&amp;"#"&amp;B190)</f>
        <v/>
      </c>
      <c r="D190" s="0" t="str">
        <f aca="false">IF(A190="","",IFERROR(--'List 1'!B190,0))</f>
        <v/>
      </c>
      <c r="F190" s="0" t="str">
        <f aca="false">IF(TRIM('List 2'!A190&amp;'List 2'!C190&amp;'List 2'!D190)="","",LOWER(IF(OR(Comparison!$I$9="Item # + Part # + Description",Comparison!$I$9="Item # + Part #"),TRIM('List 2'!A190),"")&amp;"|"&amp;TRIM('List 2'!C190)&amp;"|"&amp;IF(OR(Comparison!$I$9="Item # + Part # + Description",Comparison!$I$9="Part # + Description"),TRIM('List 2'!D190),"")))</f>
        <v/>
      </c>
      <c r="G190" s="0" t="str">
        <f aca="false">IF(F190="","",SUMPRODUCT(--($F$2:F190=F190)))</f>
        <v/>
      </c>
      <c r="H190" s="0" t="str">
        <f aca="false">IF(F190="","",F190&amp;"#"&amp;G190)</f>
        <v/>
      </c>
      <c r="I190" s="0" t="str">
        <f aca="false">IF(F190="","",IFERROR(--'List 2'!B190,0))</f>
        <v/>
      </c>
      <c r="K190" s="0" t="str">
        <f aca="false">C190</f>
        <v/>
      </c>
      <c r="L190" s="0" t="str">
        <f aca="false">IF(K190="","",IF(ISNUMBER('List 1'!A190),'List 1'!A190,TRIM('List 1'!A190)))</f>
        <v/>
      </c>
      <c r="M190" s="0" t="str">
        <f aca="false">IF(K190="","",IF(ISNUMBER('List 1'!C190),'List 1'!C190,TRIM('List 1'!C190)))</f>
        <v/>
      </c>
      <c r="N190" s="0" t="str">
        <f aca="false">IF(K190="","",IF(ISNUMBER('List 1'!D190),'List 1'!D190,TRIM('List 1'!D190)))</f>
        <v/>
      </c>
      <c r="O190" s="0" t="str">
        <f aca="false">IF(K190="","",D190)</f>
        <v/>
      </c>
      <c r="P190" s="0" t="str">
        <f aca="false">IF(K190="","",IF(R190,SUMPRODUCT(--($H$2:$H$501=K190),$I$2:$I$501),0))</f>
        <v/>
      </c>
      <c r="Q190" s="0" t="str">
        <f aca="false">IF(K190="","",TRUE())</f>
        <v/>
      </c>
      <c r="R190" s="0" t="str">
        <f aca="false">IF(K190="","",SUMPRODUCT(--($H$2:$H$501=K190))&gt;0)</f>
        <v/>
      </c>
      <c r="S190" s="0" t="str">
        <f aca="false">IF(K190="","",IF(AND(Q190,R190),IF(O190=P190,"Match","Qty Different"),IF(Q190,"Only in List 1","Only in List 2")))</f>
        <v/>
      </c>
      <c r="T190" s="0" t="str">
        <f aca="false">IF(K190="","",IF(ISNUMBER(--L190),TEXT(--L190,"000000000000.000"),LOWER(L190)))</f>
        <v/>
      </c>
      <c r="U190" s="0" t="str">
        <f aca="false">IF(K190="","",IF(ISNUMBER(--M190),TEXT(--M190,"000000000000.000"),LOWER(M190)))</f>
        <v/>
      </c>
      <c r="V190" s="0" t="str">
        <f aca="false">IF(K190="","",LOWER(N190))</f>
        <v/>
      </c>
      <c r="W190" s="0" t="str">
        <f aca="false">IF(K190="","",B190)</f>
        <v/>
      </c>
      <c r="X190" s="0" t="str">
        <f aca="false">IF(K190="","",1+SUMPRODUCT(($K$2:$K$1001&lt;&gt;"")*(($T$2:$T$1001&lt;T190)+($T$2:$T$1001=T190)*(($U$2:$U$1001&lt;U190)+($U$2:$U$1001=U190)*(($V$2:$V$1001&lt;V190)+($V$2:$V$1001=V190)*(($W$2:$W$1001&lt;W190)+($W$2:$W$1001=W190)*(ROW($K$2:$K$1001)&lt;ROW(K190))))))))</f>
        <v/>
      </c>
    </row>
    <row r="191" customFormat="false" ht="15" hidden="false" customHeight="false" outlineLevel="0" collapsed="false">
      <c r="A191" s="0" t="str">
        <f aca="false">IF(TRIM('List 1'!A191&amp;'List 1'!C191&amp;'List 1'!D191)="","",LOWER(IF(OR(Comparison!$I$9="Item # + Part # + Description",Comparison!$I$9="Item # + Part #"),TRIM('List 1'!A191),"")&amp;"|"&amp;TRIM('List 1'!C191)&amp;"|"&amp;IF(OR(Comparison!$I$9="Item # + Part # + Description",Comparison!$I$9="Part # + Description"),TRIM('List 1'!D191),"")))</f>
        <v/>
      </c>
      <c r="B191" s="0" t="str">
        <f aca="false">IF(A191="","",SUMPRODUCT(--($A$2:A191=A191)))</f>
        <v/>
      </c>
      <c r="C191" s="0" t="str">
        <f aca="false">IF(A191="","",A191&amp;"#"&amp;B191)</f>
        <v/>
      </c>
      <c r="D191" s="0" t="str">
        <f aca="false">IF(A191="","",IFERROR(--'List 1'!B191,0))</f>
        <v/>
      </c>
      <c r="F191" s="0" t="str">
        <f aca="false">IF(TRIM('List 2'!A191&amp;'List 2'!C191&amp;'List 2'!D191)="","",LOWER(IF(OR(Comparison!$I$9="Item # + Part # + Description",Comparison!$I$9="Item # + Part #"),TRIM('List 2'!A191),"")&amp;"|"&amp;TRIM('List 2'!C191)&amp;"|"&amp;IF(OR(Comparison!$I$9="Item # + Part # + Description",Comparison!$I$9="Part # + Description"),TRIM('List 2'!D191),"")))</f>
        <v/>
      </c>
      <c r="G191" s="0" t="str">
        <f aca="false">IF(F191="","",SUMPRODUCT(--($F$2:F191=F191)))</f>
        <v/>
      </c>
      <c r="H191" s="0" t="str">
        <f aca="false">IF(F191="","",F191&amp;"#"&amp;G191)</f>
        <v/>
      </c>
      <c r="I191" s="0" t="str">
        <f aca="false">IF(F191="","",IFERROR(--'List 2'!B191,0))</f>
        <v/>
      </c>
      <c r="K191" s="0" t="str">
        <f aca="false">C191</f>
        <v/>
      </c>
      <c r="L191" s="0" t="str">
        <f aca="false">IF(K191="","",IF(ISNUMBER('List 1'!A191),'List 1'!A191,TRIM('List 1'!A191)))</f>
        <v/>
      </c>
      <c r="M191" s="0" t="str">
        <f aca="false">IF(K191="","",IF(ISNUMBER('List 1'!C191),'List 1'!C191,TRIM('List 1'!C191)))</f>
        <v/>
      </c>
      <c r="N191" s="0" t="str">
        <f aca="false">IF(K191="","",IF(ISNUMBER('List 1'!D191),'List 1'!D191,TRIM('List 1'!D191)))</f>
        <v/>
      </c>
      <c r="O191" s="0" t="str">
        <f aca="false">IF(K191="","",D191)</f>
        <v/>
      </c>
      <c r="P191" s="0" t="str">
        <f aca="false">IF(K191="","",IF(R191,SUMPRODUCT(--($H$2:$H$501=K191),$I$2:$I$501),0))</f>
        <v/>
      </c>
      <c r="Q191" s="0" t="str">
        <f aca="false">IF(K191="","",TRUE())</f>
        <v/>
      </c>
      <c r="R191" s="0" t="str">
        <f aca="false">IF(K191="","",SUMPRODUCT(--($H$2:$H$501=K191))&gt;0)</f>
        <v/>
      </c>
      <c r="S191" s="0" t="str">
        <f aca="false">IF(K191="","",IF(AND(Q191,R191),IF(O191=P191,"Match","Qty Different"),IF(Q191,"Only in List 1","Only in List 2")))</f>
        <v/>
      </c>
      <c r="T191" s="0" t="str">
        <f aca="false">IF(K191="","",IF(ISNUMBER(--L191),TEXT(--L191,"000000000000.000"),LOWER(L191)))</f>
        <v/>
      </c>
      <c r="U191" s="0" t="str">
        <f aca="false">IF(K191="","",IF(ISNUMBER(--M191),TEXT(--M191,"000000000000.000"),LOWER(M191)))</f>
        <v/>
      </c>
      <c r="V191" s="0" t="str">
        <f aca="false">IF(K191="","",LOWER(N191))</f>
        <v/>
      </c>
      <c r="W191" s="0" t="str">
        <f aca="false">IF(K191="","",B191)</f>
        <v/>
      </c>
      <c r="X191" s="0" t="str">
        <f aca="false">IF(K191="","",1+SUMPRODUCT(($K$2:$K$1001&lt;&gt;"")*(($T$2:$T$1001&lt;T191)+($T$2:$T$1001=T191)*(($U$2:$U$1001&lt;U191)+($U$2:$U$1001=U191)*(($V$2:$V$1001&lt;V191)+($V$2:$V$1001=V191)*(($W$2:$W$1001&lt;W191)+($W$2:$W$1001=W191)*(ROW($K$2:$K$1001)&lt;ROW(K191))))))))</f>
        <v/>
      </c>
    </row>
    <row r="192" customFormat="false" ht="15" hidden="false" customHeight="false" outlineLevel="0" collapsed="false">
      <c r="A192" s="0" t="str">
        <f aca="false">IF(TRIM('List 1'!A192&amp;'List 1'!C192&amp;'List 1'!D192)="","",LOWER(IF(OR(Comparison!$I$9="Item # + Part # + Description",Comparison!$I$9="Item # + Part #"),TRIM('List 1'!A192),"")&amp;"|"&amp;TRIM('List 1'!C192)&amp;"|"&amp;IF(OR(Comparison!$I$9="Item # + Part # + Description",Comparison!$I$9="Part # + Description"),TRIM('List 1'!D192),"")))</f>
        <v/>
      </c>
      <c r="B192" s="0" t="str">
        <f aca="false">IF(A192="","",SUMPRODUCT(--($A$2:A192=A192)))</f>
        <v/>
      </c>
      <c r="C192" s="0" t="str">
        <f aca="false">IF(A192="","",A192&amp;"#"&amp;B192)</f>
        <v/>
      </c>
      <c r="D192" s="0" t="str">
        <f aca="false">IF(A192="","",IFERROR(--'List 1'!B192,0))</f>
        <v/>
      </c>
      <c r="F192" s="0" t="str">
        <f aca="false">IF(TRIM('List 2'!A192&amp;'List 2'!C192&amp;'List 2'!D192)="","",LOWER(IF(OR(Comparison!$I$9="Item # + Part # + Description",Comparison!$I$9="Item # + Part #"),TRIM('List 2'!A192),"")&amp;"|"&amp;TRIM('List 2'!C192)&amp;"|"&amp;IF(OR(Comparison!$I$9="Item # + Part # + Description",Comparison!$I$9="Part # + Description"),TRIM('List 2'!D192),"")))</f>
        <v/>
      </c>
      <c r="G192" s="0" t="str">
        <f aca="false">IF(F192="","",SUMPRODUCT(--($F$2:F192=F192)))</f>
        <v/>
      </c>
      <c r="H192" s="0" t="str">
        <f aca="false">IF(F192="","",F192&amp;"#"&amp;G192)</f>
        <v/>
      </c>
      <c r="I192" s="0" t="str">
        <f aca="false">IF(F192="","",IFERROR(--'List 2'!B192,0))</f>
        <v/>
      </c>
      <c r="K192" s="0" t="str">
        <f aca="false">C192</f>
        <v/>
      </c>
      <c r="L192" s="0" t="str">
        <f aca="false">IF(K192="","",IF(ISNUMBER('List 1'!A192),'List 1'!A192,TRIM('List 1'!A192)))</f>
        <v/>
      </c>
      <c r="M192" s="0" t="str">
        <f aca="false">IF(K192="","",IF(ISNUMBER('List 1'!C192),'List 1'!C192,TRIM('List 1'!C192)))</f>
        <v/>
      </c>
      <c r="N192" s="0" t="str">
        <f aca="false">IF(K192="","",IF(ISNUMBER('List 1'!D192),'List 1'!D192,TRIM('List 1'!D192)))</f>
        <v/>
      </c>
      <c r="O192" s="0" t="str">
        <f aca="false">IF(K192="","",D192)</f>
        <v/>
      </c>
      <c r="P192" s="0" t="str">
        <f aca="false">IF(K192="","",IF(R192,SUMPRODUCT(--($H$2:$H$501=K192),$I$2:$I$501),0))</f>
        <v/>
      </c>
      <c r="Q192" s="0" t="str">
        <f aca="false">IF(K192="","",TRUE())</f>
        <v/>
      </c>
      <c r="R192" s="0" t="str">
        <f aca="false">IF(K192="","",SUMPRODUCT(--($H$2:$H$501=K192))&gt;0)</f>
        <v/>
      </c>
      <c r="S192" s="0" t="str">
        <f aca="false">IF(K192="","",IF(AND(Q192,R192),IF(O192=P192,"Match","Qty Different"),IF(Q192,"Only in List 1","Only in List 2")))</f>
        <v/>
      </c>
      <c r="T192" s="0" t="str">
        <f aca="false">IF(K192="","",IF(ISNUMBER(--L192),TEXT(--L192,"000000000000.000"),LOWER(L192)))</f>
        <v/>
      </c>
      <c r="U192" s="0" t="str">
        <f aca="false">IF(K192="","",IF(ISNUMBER(--M192),TEXT(--M192,"000000000000.000"),LOWER(M192)))</f>
        <v/>
      </c>
      <c r="V192" s="0" t="str">
        <f aca="false">IF(K192="","",LOWER(N192))</f>
        <v/>
      </c>
      <c r="W192" s="0" t="str">
        <f aca="false">IF(K192="","",B192)</f>
        <v/>
      </c>
      <c r="X192" s="0" t="str">
        <f aca="false">IF(K192="","",1+SUMPRODUCT(($K$2:$K$1001&lt;&gt;"")*(($T$2:$T$1001&lt;T192)+($T$2:$T$1001=T192)*(($U$2:$U$1001&lt;U192)+($U$2:$U$1001=U192)*(($V$2:$V$1001&lt;V192)+($V$2:$V$1001=V192)*(($W$2:$W$1001&lt;W192)+($W$2:$W$1001=W192)*(ROW($K$2:$K$1001)&lt;ROW(K192))))))))</f>
        <v/>
      </c>
    </row>
    <row r="193" customFormat="false" ht="15" hidden="false" customHeight="false" outlineLevel="0" collapsed="false">
      <c r="A193" s="0" t="str">
        <f aca="false">IF(TRIM('List 1'!A193&amp;'List 1'!C193&amp;'List 1'!D193)="","",LOWER(IF(OR(Comparison!$I$9="Item # + Part # + Description",Comparison!$I$9="Item # + Part #"),TRIM('List 1'!A193),"")&amp;"|"&amp;TRIM('List 1'!C193)&amp;"|"&amp;IF(OR(Comparison!$I$9="Item # + Part # + Description",Comparison!$I$9="Part # + Description"),TRIM('List 1'!D193),"")))</f>
        <v/>
      </c>
      <c r="B193" s="0" t="str">
        <f aca="false">IF(A193="","",SUMPRODUCT(--($A$2:A193=A193)))</f>
        <v/>
      </c>
      <c r="C193" s="0" t="str">
        <f aca="false">IF(A193="","",A193&amp;"#"&amp;B193)</f>
        <v/>
      </c>
      <c r="D193" s="0" t="str">
        <f aca="false">IF(A193="","",IFERROR(--'List 1'!B193,0))</f>
        <v/>
      </c>
      <c r="F193" s="0" t="str">
        <f aca="false">IF(TRIM('List 2'!A193&amp;'List 2'!C193&amp;'List 2'!D193)="","",LOWER(IF(OR(Comparison!$I$9="Item # + Part # + Description",Comparison!$I$9="Item # + Part #"),TRIM('List 2'!A193),"")&amp;"|"&amp;TRIM('List 2'!C193)&amp;"|"&amp;IF(OR(Comparison!$I$9="Item # + Part # + Description",Comparison!$I$9="Part # + Description"),TRIM('List 2'!D193),"")))</f>
        <v/>
      </c>
      <c r="G193" s="0" t="str">
        <f aca="false">IF(F193="","",SUMPRODUCT(--($F$2:F193=F193)))</f>
        <v/>
      </c>
      <c r="H193" s="0" t="str">
        <f aca="false">IF(F193="","",F193&amp;"#"&amp;G193)</f>
        <v/>
      </c>
      <c r="I193" s="0" t="str">
        <f aca="false">IF(F193="","",IFERROR(--'List 2'!B193,0))</f>
        <v/>
      </c>
      <c r="K193" s="0" t="str">
        <f aca="false">C193</f>
        <v/>
      </c>
      <c r="L193" s="0" t="str">
        <f aca="false">IF(K193="","",IF(ISNUMBER('List 1'!A193),'List 1'!A193,TRIM('List 1'!A193)))</f>
        <v/>
      </c>
      <c r="M193" s="0" t="str">
        <f aca="false">IF(K193="","",IF(ISNUMBER('List 1'!C193),'List 1'!C193,TRIM('List 1'!C193)))</f>
        <v/>
      </c>
      <c r="N193" s="0" t="str">
        <f aca="false">IF(K193="","",IF(ISNUMBER('List 1'!D193),'List 1'!D193,TRIM('List 1'!D193)))</f>
        <v/>
      </c>
      <c r="O193" s="0" t="str">
        <f aca="false">IF(K193="","",D193)</f>
        <v/>
      </c>
      <c r="P193" s="0" t="str">
        <f aca="false">IF(K193="","",IF(R193,SUMPRODUCT(--($H$2:$H$501=K193),$I$2:$I$501),0))</f>
        <v/>
      </c>
      <c r="Q193" s="0" t="str">
        <f aca="false">IF(K193="","",TRUE())</f>
        <v/>
      </c>
      <c r="R193" s="0" t="str">
        <f aca="false">IF(K193="","",SUMPRODUCT(--($H$2:$H$501=K193))&gt;0)</f>
        <v/>
      </c>
      <c r="S193" s="0" t="str">
        <f aca="false">IF(K193="","",IF(AND(Q193,R193),IF(O193=P193,"Match","Qty Different"),IF(Q193,"Only in List 1","Only in List 2")))</f>
        <v/>
      </c>
      <c r="T193" s="0" t="str">
        <f aca="false">IF(K193="","",IF(ISNUMBER(--L193),TEXT(--L193,"000000000000.000"),LOWER(L193)))</f>
        <v/>
      </c>
      <c r="U193" s="0" t="str">
        <f aca="false">IF(K193="","",IF(ISNUMBER(--M193),TEXT(--M193,"000000000000.000"),LOWER(M193)))</f>
        <v/>
      </c>
      <c r="V193" s="0" t="str">
        <f aca="false">IF(K193="","",LOWER(N193))</f>
        <v/>
      </c>
      <c r="W193" s="0" t="str">
        <f aca="false">IF(K193="","",B193)</f>
        <v/>
      </c>
      <c r="X193" s="0" t="str">
        <f aca="false">IF(K193="","",1+SUMPRODUCT(($K$2:$K$1001&lt;&gt;"")*(($T$2:$T$1001&lt;T193)+($T$2:$T$1001=T193)*(($U$2:$U$1001&lt;U193)+($U$2:$U$1001=U193)*(($V$2:$V$1001&lt;V193)+($V$2:$V$1001=V193)*(($W$2:$W$1001&lt;W193)+($W$2:$W$1001=W193)*(ROW($K$2:$K$1001)&lt;ROW(K193))))))))</f>
        <v/>
      </c>
    </row>
    <row r="194" customFormat="false" ht="15" hidden="false" customHeight="false" outlineLevel="0" collapsed="false">
      <c r="A194" s="0" t="str">
        <f aca="false">IF(TRIM('List 1'!A194&amp;'List 1'!C194&amp;'List 1'!D194)="","",LOWER(IF(OR(Comparison!$I$9="Item # + Part # + Description",Comparison!$I$9="Item # + Part #"),TRIM('List 1'!A194),"")&amp;"|"&amp;TRIM('List 1'!C194)&amp;"|"&amp;IF(OR(Comparison!$I$9="Item # + Part # + Description",Comparison!$I$9="Part # + Description"),TRIM('List 1'!D194),"")))</f>
        <v/>
      </c>
      <c r="B194" s="0" t="str">
        <f aca="false">IF(A194="","",SUMPRODUCT(--($A$2:A194=A194)))</f>
        <v/>
      </c>
      <c r="C194" s="0" t="str">
        <f aca="false">IF(A194="","",A194&amp;"#"&amp;B194)</f>
        <v/>
      </c>
      <c r="D194" s="0" t="str">
        <f aca="false">IF(A194="","",IFERROR(--'List 1'!B194,0))</f>
        <v/>
      </c>
      <c r="F194" s="0" t="str">
        <f aca="false">IF(TRIM('List 2'!A194&amp;'List 2'!C194&amp;'List 2'!D194)="","",LOWER(IF(OR(Comparison!$I$9="Item # + Part # + Description",Comparison!$I$9="Item # + Part #"),TRIM('List 2'!A194),"")&amp;"|"&amp;TRIM('List 2'!C194)&amp;"|"&amp;IF(OR(Comparison!$I$9="Item # + Part # + Description",Comparison!$I$9="Part # + Description"),TRIM('List 2'!D194),"")))</f>
        <v/>
      </c>
      <c r="G194" s="0" t="str">
        <f aca="false">IF(F194="","",SUMPRODUCT(--($F$2:F194=F194)))</f>
        <v/>
      </c>
      <c r="H194" s="0" t="str">
        <f aca="false">IF(F194="","",F194&amp;"#"&amp;G194)</f>
        <v/>
      </c>
      <c r="I194" s="0" t="str">
        <f aca="false">IF(F194="","",IFERROR(--'List 2'!B194,0))</f>
        <v/>
      </c>
      <c r="K194" s="0" t="str">
        <f aca="false">C194</f>
        <v/>
      </c>
      <c r="L194" s="0" t="str">
        <f aca="false">IF(K194="","",IF(ISNUMBER('List 1'!A194),'List 1'!A194,TRIM('List 1'!A194)))</f>
        <v/>
      </c>
      <c r="M194" s="0" t="str">
        <f aca="false">IF(K194="","",IF(ISNUMBER('List 1'!C194),'List 1'!C194,TRIM('List 1'!C194)))</f>
        <v/>
      </c>
      <c r="N194" s="0" t="str">
        <f aca="false">IF(K194="","",IF(ISNUMBER('List 1'!D194),'List 1'!D194,TRIM('List 1'!D194)))</f>
        <v/>
      </c>
      <c r="O194" s="0" t="str">
        <f aca="false">IF(K194="","",D194)</f>
        <v/>
      </c>
      <c r="P194" s="0" t="str">
        <f aca="false">IF(K194="","",IF(R194,SUMPRODUCT(--($H$2:$H$501=K194),$I$2:$I$501),0))</f>
        <v/>
      </c>
      <c r="Q194" s="0" t="str">
        <f aca="false">IF(K194="","",TRUE())</f>
        <v/>
      </c>
      <c r="R194" s="0" t="str">
        <f aca="false">IF(K194="","",SUMPRODUCT(--($H$2:$H$501=K194))&gt;0)</f>
        <v/>
      </c>
      <c r="S194" s="0" t="str">
        <f aca="false">IF(K194="","",IF(AND(Q194,R194),IF(O194=P194,"Match","Qty Different"),IF(Q194,"Only in List 1","Only in List 2")))</f>
        <v/>
      </c>
      <c r="T194" s="0" t="str">
        <f aca="false">IF(K194="","",IF(ISNUMBER(--L194),TEXT(--L194,"000000000000.000"),LOWER(L194)))</f>
        <v/>
      </c>
      <c r="U194" s="0" t="str">
        <f aca="false">IF(K194="","",IF(ISNUMBER(--M194),TEXT(--M194,"000000000000.000"),LOWER(M194)))</f>
        <v/>
      </c>
      <c r="V194" s="0" t="str">
        <f aca="false">IF(K194="","",LOWER(N194))</f>
        <v/>
      </c>
      <c r="W194" s="0" t="str">
        <f aca="false">IF(K194="","",B194)</f>
        <v/>
      </c>
      <c r="X194" s="0" t="str">
        <f aca="false">IF(K194="","",1+SUMPRODUCT(($K$2:$K$1001&lt;&gt;"")*(($T$2:$T$1001&lt;T194)+($T$2:$T$1001=T194)*(($U$2:$U$1001&lt;U194)+($U$2:$U$1001=U194)*(($V$2:$V$1001&lt;V194)+($V$2:$V$1001=V194)*(($W$2:$W$1001&lt;W194)+($W$2:$W$1001=W194)*(ROW($K$2:$K$1001)&lt;ROW(K194))))))))</f>
        <v/>
      </c>
    </row>
    <row r="195" customFormat="false" ht="15" hidden="false" customHeight="false" outlineLevel="0" collapsed="false">
      <c r="A195" s="0" t="str">
        <f aca="false">IF(TRIM('List 1'!A195&amp;'List 1'!C195&amp;'List 1'!D195)="","",LOWER(IF(OR(Comparison!$I$9="Item # + Part # + Description",Comparison!$I$9="Item # + Part #"),TRIM('List 1'!A195),"")&amp;"|"&amp;TRIM('List 1'!C195)&amp;"|"&amp;IF(OR(Comparison!$I$9="Item # + Part # + Description",Comparison!$I$9="Part # + Description"),TRIM('List 1'!D195),"")))</f>
        <v/>
      </c>
      <c r="B195" s="0" t="str">
        <f aca="false">IF(A195="","",SUMPRODUCT(--($A$2:A195=A195)))</f>
        <v/>
      </c>
      <c r="C195" s="0" t="str">
        <f aca="false">IF(A195="","",A195&amp;"#"&amp;B195)</f>
        <v/>
      </c>
      <c r="D195" s="0" t="str">
        <f aca="false">IF(A195="","",IFERROR(--'List 1'!B195,0))</f>
        <v/>
      </c>
      <c r="F195" s="0" t="str">
        <f aca="false">IF(TRIM('List 2'!A195&amp;'List 2'!C195&amp;'List 2'!D195)="","",LOWER(IF(OR(Comparison!$I$9="Item # + Part # + Description",Comparison!$I$9="Item # + Part #"),TRIM('List 2'!A195),"")&amp;"|"&amp;TRIM('List 2'!C195)&amp;"|"&amp;IF(OR(Comparison!$I$9="Item # + Part # + Description",Comparison!$I$9="Part # + Description"),TRIM('List 2'!D195),"")))</f>
        <v/>
      </c>
      <c r="G195" s="0" t="str">
        <f aca="false">IF(F195="","",SUMPRODUCT(--($F$2:F195=F195)))</f>
        <v/>
      </c>
      <c r="H195" s="0" t="str">
        <f aca="false">IF(F195="","",F195&amp;"#"&amp;G195)</f>
        <v/>
      </c>
      <c r="I195" s="0" t="str">
        <f aca="false">IF(F195="","",IFERROR(--'List 2'!B195,0))</f>
        <v/>
      </c>
      <c r="K195" s="0" t="str">
        <f aca="false">C195</f>
        <v/>
      </c>
      <c r="L195" s="0" t="str">
        <f aca="false">IF(K195="","",IF(ISNUMBER('List 1'!A195),'List 1'!A195,TRIM('List 1'!A195)))</f>
        <v/>
      </c>
      <c r="M195" s="0" t="str">
        <f aca="false">IF(K195="","",IF(ISNUMBER('List 1'!C195),'List 1'!C195,TRIM('List 1'!C195)))</f>
        <v/>
      </c>
      <c r="N195" s="0" t="str">
        <f aca="false">IF(K195="","",IF(ISNUMBER('List 1'!D195),'List 1'!D195,TRIM('List 1'!D195)))</f>
        <v/>
      </c>
      <c r="O195" s="0" t="str">
        <f aca="false">IF(K195="","",D195)</f>
        <v/>
      </c>
      <c r="P195" s="0" t="str">
        <f aca="false">IF(K195="","",IF(R195,SUMPRODUCT(--($H$2:$H$501=K195),$I$2:$I$501),0))</f>
        <v/>
      </c>
      <c r="Q195" s="0" t="str">
        <f aca="false">IF(K195="","",TRUE())</f>
        <v/>
      </c>
      <c r="R195" s="0" t="str">
        <f aca="false">IF(K195="","",SUMPRODUCT(--($H$2:$H$501=K195))&gt;0)</f>
        <v/>
      </c>
      <c r="S195" s="0" t="str">
        <f aca="false">IF(K195="","",IF(AND(Q195,R195),IF(O195=P195,"Match","Qty Different"),IF(Q195,"Only in List 1","Only in List 2")))</f>
        <v/>
      </c>
      <c r="T195" s="0" t="str">
        <f aca="false">IF(K195="","",IF(ISNUMBER(--L195),TEXT(--L195,"000000000000.000"),LOWER(L195)))</f>
        <v/>
      </c>
      <c r="U195" s="0" t="str">
        <f aca="false">IF(K195="","",IF(ISNUMBER(--M195),TEXT(--M195,"000000000000.000"),LOWER(M195)))</f>
        <v/>
      </c>
      <c r="V195" s="0" t="str">
        <f aca="false">IF(K195="","",LOWER(N195))</f>
        <v/>
      </c>
      <c r="W195" s="0" t="str">
        <f aca="false">IF(K195="","",B195)</f>
        <v/>
      </c>
      <c r="X195" s="0" t="str">
        <f aca="false">IF(K195="","",1+SUMPRODUCT(($K$2:$K$1001&lt;&gt;"")*(($T$2:$T$1001&lt;T195)+($T$2:$T$1001=T195)*(($U$2:$U$1001&lt;U195)+($U$2:$U$1001=U195)*(($V$2:$V$1001&lt;V195)+($V$2:$V$1001=V195)*(($W$2:$W$1001&lt;W195)+($W$2:$W$1001=W195)*(ROW($K$2:$K$1001)&lt;ROW(K195))))))))</f>
        <v/>
      </c>
    </row>
    <row r="196" customFormat="false" ht="15" hidden="false" customHeight="false" outlineLevel="0" collapsed="false">
      <c r="A196" s="0" t="str">
        <f aca="false">IF(TRIM('List 1'!A196&amp;'List 1'!C196&amp;'List 1'!D196)="","",LOWER(IF(OR(Comparison!$I$9="Item # + Part # + Description",Comparison!$I$9="Item # + Part #"),TRIM('List 1'!A196),"")&amp;"|"&amp;TRIM('List 1'!C196)&amp;"|"&amp;IF(OR(Comparison!$I$9="Item # + Part # + Description",Comparison!$I$9="Part # + Description"),TRIM('List 1'!D196),"")))</f>
        <v/>
      </c>
      <c r="B196" s="0" t="str">
        <f aca="false">IF(A196="","",SUMPRODUCT(--($A$2:A196=A196)))</f>
        <v/>
      </c>
      <c r="C196" s="0" t="str">
        <f aca="false">IF(A196="","",A196&amp;"#"&amp;B196)</f>
        <v/>
      </c>
      <c r="D196" s="0" t="str">
        <f aca="false">IF(A196="","",IFERROR(--'List 1'!B196,0))</f>
        <v/>
      </c>
      <c r="F196" s="0" t="str">
        <f aca="false">IF(TRIM('List 2'!A196&amp;'List 2'!C196&amp;'List 2'!D196)="","",LOWER(IF(OR(Comparison!$I$9="Item # + Part # + Description",Comparison!$I$9="Item # + Part #"),TRIM('List 2'!A196),"")&amp;"|"&amp;TRIM('List 2'!C196)&amp;"|"&amp;IF(OR(Comparison!$I$9="Item # + Part # + Description",Comparison!$I$9="Part # + Description"),TRIM('List 2'!D196),"")))</f>
        <v/>
      </c>
      <c r="G196" s="0" t="str">
        <f aca="false">IF(F196="","",SUMPRODUCT(--($F$2:F196=F196)))</f>
        <v/>
      </c>
      <c r="H196" s="0" t="str">
        <f aca="false">IF(F196="","",F196&amp;"#"&amp;G196)</f>
        <v/>
      </c>
      <c r="I196" s="0" t="str">
        <f aca="false">IF(F196="","",IFERROR(--'List 2'!B196,0))</f>
        <v/>
      </c>
      <c r="K196" s="0" t="str">
        <f aca="false">C196</f>
        <v/>
      </c>
      <c r="L196" s="0" t="str">
        <f aca="false">IF(K196="","",IF(ISNUMBER('List 1'!A196),'List 1'!A196,TRIM('List 1'!A196)))</f>
        <v/>
      </c>
      <c r="M196" s="0" t="str">
        <f aca="false">IF(K196="","",IF(ISNUMBER('List 1'!C196),'List 1'!C196,TRIM('List 1'!C196)))</f>
        <v/>
      </c>
      <c r="N196" s="0" t="str">
        <f aca="false">IF(K196="","",IF(ISNUMBER('List 1'!D196),'List 1'!D196,TRIM('List 1'!D196)))</f>
        <v/>
      </c>
      <c r="O196" s="0" t="str">
        <f aca="false">IF(K196="","",D196)</f>
        <v/>
      </c>
      <c r="P196" s="0" t="str">
        <f aca="false">IF(K196="","",IF(R196,SUMPRODUCT(--($H$2:$H$501=K196),$I$2:$I$501),0))</f>
        <v/>
      </c>
      <c r="Q196" s="0" t="str">
        <f aca="false">IF(K196="","",TRUE())</f>
        <v/>
      </c>
      <c r="R196" s="0" t="str">
        <f aca="false">IF(K196="","",SUMPRODUCT(--($H$2:$H$501=K196))&gt;0)</f>
        <v/>
      </c>
      <c r="S196" s="0" t="str">
        <f aca="false">IF(K196="","",IF(AND(Q196,R196),IF(O196=P196,"Match","Qty Different"),IF(Q196,"Only in List 1","Only in List 2")))</f>
        <v/>
      </c>
      <c r="T196" s="0" t="str">
        <f aca="false">IF(K196="","",IF(ISNUMBER(--L196),TEXT(--L196,"000000000000.000"),LOWER(L196)))</f>
        <v/>
      </c>
      <c r="U196" s="0" t="str">
        <f aca="false">IF(K196="","",IF(ISNUMBER(--M196),TEXT(--M196,"000000000000.000"),LOWER(M196)))</f>
        <v/>
      </c>
      <c r="V196" s="0" t="str">
        <f aca="false">IF(K196="","",LOWER(N196))</f>
        <v/>
      </c>
      <c r="W196" s="0" t="str">
        <f aca="false">IF(K196="","",B196)</f>
        <v/>
      </c>
      <c r="X196" s="0" t="str">
        <f aca="false">IF(K196="","",1+SUMPRODUCT(($K$2:$K$1001&lt;&gt;"")*(($T$2:$T$1001&lt;T196)+($T$2:$T$1001=T196)*(($U$2:$U$1001&lt;U196)+($U$2:$U$1001=U196)*(($V$2:$V$1001&lt;V196)+($V$2:$V$1001=V196)*(($W$2:$W$1001&lt;W196)+($W$2:$W$1001=W196)*(ROW($K$2:$K$1001)&lt;ROW(K196))))))))</f>
        <v/>
      </c>
    </row>
    <row r="197" customFormat="false" ht="15" hidden="false" customHeight="false" outlineLevel="0" collapsed="false">
      <c r="A197" s="0" t="str">
        <f aca="false">IF(TRIM('List 1'!A197&amp;'List 1'!C197&amp;'List 1'!D197)="","",LOWER(IF(OR(Comparison!$I$9="Item # + Part # + Description",Comparison!$I$9="Item # + Part #"),TRIM('List 1'!A197),"")&amp;"|"&amp;TRIM('List 1'!C197)&amp;"|"&amp;IF(OR(Comparison!$I$9="Item # + Part # + Description",Comparison!$I$9="Part # + Description"),TRIM('List 1'!D197),"")))</f>
        <v/>
      </c>
      <c r="B197" s="0" t="str">
        <f aca="false">IF(A197="","",SUMPRODUCT(--($A$2:A197=A197)))</f>
        <v/>
      </c>
      <c r="C197" s="0" t="str">
        <f aca="false">IF(A197="","",A197&amp;"#"&amp;B197)</f>
        <v/>
      </c>
      <c r="D197" s="0" t="str">
        <f aca="false">IF(A197="","",IFERROR(--'List 1'!B197,0))</f>
        <v/>
      </c>
      <c r="F197" s="0" t="str">
        <f aca="false">IF(TRIM('List 2'!A197&amp;'List 2'!C197&amp;'List 2'!D197)="","",LOWER(IF(OR(Comparison!$I$9="Item # + Part # + Description",Comparison!$I$9="Item # + Part #"),TRIM('List 2'!A197),"")&amp;"|"&amp;TRIM('List 2'!C197)&amp;"|"&amp;IF(OR(Comparison!$I$9="Item # + Part # + Description",Comparison!$I$9="Part # + Description"),TRIM('List 2'!D197),"")))</f>
        <v/>
      </c>
      <c r="G197" s="0" t="str">
        <f aca="false">IF(F197="","",SUMPRODUCT(--($F$2:F197=F197)))</f>
        <v/>
      </c>
      <c r="H197" s="0" t="str">
        <f aca="false">IF(F197="","",F197&amp;"#"&amp;G197)</f>
        <v/>
      </c>
      <c r="I197" s="0" t="str">
        <f aca="false">IF(F197="","",IFERROR(--'List 2'!B197,0))</f>
        <v/>
      </c>
      <c r="K197" s="0" t="str">
        <f aca="false">C197</f>
        <v/>
      </c>
      <c r="L197" s="0" t="str">
        <f aca="false">IF(K197="","",IF(ISNUMBER('List 1'!A197),'List 1'!A197,TRIM('List 1'!A197)))</f>
        <v/>
      </c>
      <c r="M197" s="0" t="str">
        <f aca="false">IF(K197="","",IF(ISNUMBER('List 1'!C197),'List 1'!C197,TRIM('List 1'!C197)))</f>
        <v/>
      </c>
      <c r="N197" s="0" t="str">
        <f aca="false">IF(K197="","",IF(ISNUMBER('List 1'!D197),'List 1'!D197,TRIM('List 1'!D197)))</f>
        <v/>
      </c>
      <c r="O197" s="0" t="str">
        <f aca="false">IF(K197="","",D197)</f>
        <v/>
      </c>
      <c r="P197" s="0" t="str">
        <f aca="false">IF(K197="","",IF(R197,SUMPRODUCT(--($H$2:$H$501=K197),$I$2:$I$501),0))</f>
        <v/>
      </c>
      <c r="Q197" s="0" t="str">
        <f aca="false">IF(K197="","",TRUE())</f>
        <v/>
      </c>
      <c r="R197" s="0" t="str">
        <f aca="false">IF(K197="","",SUMPRODUCT(--($H$2:$H$501=K197))&gt;0)</f>
        <v/>
      </c>
      <c r="S197" s="0" t="str">
        <f aca="false">IF(K197="","",IF(AND(Q197,R197),IF(O197=P197,"Match","Qty Different"),IF(Q197,"Only in List 1","Only in List 2")))</f>
        <v/>
      </c>
      <c r="T197" s="0" t="str">
        <f aca="false">IF(K197="","",IF(ISNUMBER(--L197),TEXT(--L197,"000000000000.000"),LOWER(L197)))</f>
        <v/>
      </c>
      <c r="U197" s="0" t="str">
        <f aca="false">IF(K197="","",IF(ISNUMBER(--M197),TEXT(--M197,"000000000000.000"),LOWER(M197)))</f>
        <v/>
      </c>
      <c r="V197" s="0" t="str">
        <f aca="false">IF(K197="","",LOWER(N197))</f>
        <v/>
      </c>
      <c r="W197" s="0" t="str">
        <f aca="false">IF(K197="","",B197)</f>
        <v/>
      </c>
      <c r="X197" s="0" t="str">
        <f aca="false">IF(K197="","",1+SUMPRODUCT(($K$2:$K$1001&lt;&gt;"")*(($T$2:$T$1001&lt;T197)+($T$2:$T$1001=T197)*(($U$2:$U$1001&lt;U197)+($U$2:$U$1001=U197)*(($V$2:$V$1001&lt;V197)+($V$2:$V$1001=V197)*(($W$2:$W$1001&lt;W197)+($W$2:$W$1001=W197)*(ROW($K$2:$K$1001)&lt;ROW(K197))))))))</f>
        <v/>
      </c>
    </row>
    <row r="198" customFormat="false" ht="15" hidden="false" customHeight="false" outlineLevel="0" collapsed="false">
      <c r="A198" s="0" t="str">
        <f aca="false">IF(TRIM('List 1'!A198&amp;'List 1'!C198&amp;'List 1'!D198)="","",LOWER(IF(OR(Comparison!$I$9="Item # + Part # + Description",Comparison!$I$9="Item # + Part #"),TRIM('List 1'!A198),"")&amp;"|"&amp;TRIM('List 1'!C198)&amp;"|"&amp;IF(OR(Comparison!$I$9="Item # + Part # + Description",Comparison!$I$9="Part # + Description"),TRIM('List 1'!D198),"")))</f>
        <v/>
      </c>
      <c r="B198" s="0" t="str">
        <f aca="false">IF(A198="","",SUMPRODUCT(--($A$2:A198=A198)))</f>
        <v/>
      </c>
      <c r="C198" s="0" t="str">
        <f aca="false">IF(A198="","",A198&amp;"#"&amp;B198)</f>
        <v/>
      </c>
      <c r="D198" s="0" t="str">
        <f aca="false">IF(A198="","",IFERROR(--'List 1'!B198,0))</f>
        <v/>
      </c>
      <c r="F198" s="0" t="str">
        <f aca="false">IF(TRIM('List 2'!A198&amp;'List 2'!C198&amp;'List 2'!D198)="","",LOWER(IF(OR(Comparison!$I$9="Item # + Part # + Description",Comparison!$I$9="Item # + Part #"),TRIM('List 2'!A198),"")&amp;"|"&amp;TRIM('List 2'!C198)&amp;"|"&amp;IF(OR(Comparison!$I$9="Item # + Part # + Description",Comparison!$I$9="Part # + Description"),TRIM('List 2'!D198),"")))</f>
        <v/>
      </c>
      <c r="G198" s="0" t="str">
        <f aca="false">IF(F198="","",SUMPRODUCT(--($F$2:F198=F198)))</f>
        <v/>
      </c>
      <c r="H198" s="0" t="str">
        <f aca="false">IF(F198="","",F198&amp;"#"&amp;G198)</f>
        <v/>
      </c>
      <c r="I198" s="0" t="str">
        <f aca="false">IF(F198="","",IFERROR(--'List 2'!B198,0))</f>
        <v/>
      </c>
      <c r="K198" s="0" t="str">
        <f aca="false">C198</f>
        <v/>
      </c>
      <c r="L198" s="0" t="str">
        <f aca="false">IF(K198="","",IF(ISNUMBER('List 1'!A198),'List 1'!A198,TRIM('List 1'!A198)))</f>
        <v/>
      </c>
      <c r="M198" s="0" t="str">
        <f aca="false">IF(K198="","",IF(ISNUMBER('List 1'!C198),'List 1'!C198,TRIM('List 1'!C198)))</f>
        <v/>
      </c>
      <c r="N198" s="0" t="str">
        <f aca="false">IF(K198="","",IF(ISNUMBER('List 1'!D198),'List 1'!D198,TRIM('List 1'!D198)))</f>
        <v/>
      </c>
      <c r="O198" s="0" t="str">
        <f aca="false">IF(K198="","",D198)</f>
        <v/>
      </c>
      <c r="P198" s="0" t="str">
        <f aca="false">IF(K198="","",IF(R198,SUMPRODUCT(--($H$2:$H$501=K198),$I$2:$I$501),0))</f>
        <v/>
      </c>
      <c r="Q198" s="0" t="str">
        <f aca="false">IF(K198="","",TRUE())</f>
        <v/>
      </c>
      <c r="R198" s="0" t="str">
        <f aca="false">IF(K198="","",SUMPRODUCT(--($H$2:$H$501=K198))&gt;0)</f>
        <v/>
      </c>
      <c r="S198" s="0" t="str">
        <f aca="false">IF(K198="","",IF(AND(Q198,R198),IF(O198=P198,"Match","Qty Different"),IF(Q198,"Only in List 1","Only in List 2")))</f>
        <v/>
      </c>
      <c r="T198" s="0" t="str">
        <f aca="false">IF(K198="","",IF(ISNUMBER(--L198),TEXT(--L198,"000000000000.000"),LOWER(L198)))</f>
        <v/>
      </c>
      <c r="U198" s="0" t="str">
        <f aca="false">IF(K198="","",IF(ISNUMBER(--M198),TEXT(--M198,"000000000000.000"),LOWER(M198)))</f>
        <v/>
      </c>
      <c r="V198" s="0" t="str">
        <f aca="false">IF(K198="","",LOWER(N198))</f>
        <v/>
      </c>
      <c r="W198" s="0" t="str">
        <f aca="false">IF(K198="","",B198)</f>
        <v/>
      </c>
      <c r="X198" s="0" t="str">
        <f aca="false">IF(K198="","",1+SUMPRODUCT(($K$2:$K$1001&lt;&gt;"")*(($T$2:$T$1001&lt;T198)+($T$2:$T$1001=T198)*(($U$2:$U$1001&lt;U198)+($U$2:$U$1001=U198)*(($V$2:$V$1001&lt;V198)+($V$2:$V$1001=V198)*(($W$2:$W$1001&lt;W198)+($W$2:$W$1001=W198)*(ROW($K$2:$K$1001)&lt;ROW(K198))))))))</f>
        <v/>
      </c>
    </row>
    <row r="199" customFormat="false" ht="15" hidden="false" customHeight="false" outlineLevel="0" collapsed="false">
      <c r="A199" s="0" t="str">
        <f aca="false">IF(TRIM('List 1'!A199&amp;'List 1'!C199&amp;'List 1'!D199)="","",LOWER(IF(OR(Comparison!$I$9="Item # + Part # + Description",Comparison!$I$9="Item # + Part #"),TRIM('List 1'!A199),"")&amp;"|"&amp;TRIM('List 1'!C199)&amp;"|"&amp;IF(OR(Comparison!$I$9="Item # + Part # + Description",Comparison!$I$9="Part # + Description"),TRIM('List 1'!D199),"")))</f>
        <v/>
      </c>
      <c r="B199" s="0" t="str">
        <f aca="false">IF(A199="","",SUMPRODUCT(--($A$2:A199=A199)))</f>
        <v/>
      </c>
      <c r="C199" s="0" t="str">
        <f aca="false">IF(A199="","",A199&amp;"#"&amp;B199)</f>
        <v/>
      </c>
      <c r="D199" s="0" t="str">
        <f aca="false">IF(A199="","",IFERROR(--'List 1'!B199,0))</f>
        <v/>
      </c>
      <c r="F199" s="0" t="str">
        <f aca="false">IF(TRIM('List 2'!A199&amp;'List 2'!C199&amp;'List 2'!D199)="","",LOWER(IF(OR(Comparison!$I$9="Item # + Part # + Description",Comparison!$I$9="Item # + Part #"),TRIM('List 2'!A199),"")&amp;"|"&amp;TRIM('List 2'!C199)&amp;"|"&amp;IF(OR(Comparison!$I$9="Item # + Part # + Description",Comparison!$I$9="Part # + Description"),TRIM('List 2'!D199),"")))</f>
        <v/>
      </c>
      <c r="G199" s="0" t="str">
        <f aca="false">IF(F199="","",SUMPRODUCT(--($F$2:F199=F199)))</f>
        <v/>
      </c>
      <c r="H199" s="0" t="str">
        <f aca="false">IF(F199="","",F199&amp;"#"&amp;G199)</f>
        <v/>
      </c>
      <c r="I199" s="0" t="str">
        <f aca="false">IF(F199="","",IFERROR(--'List 2'!B199,0))</f>
        <v/>
      </c>
      <c r="K199" s="0" t="str">
        <f aca="false">C199</f>
        <v/>
      </c>
      <c r="L199" s="0" t="str">
        <f aca="false">IF(K199="","",IF(ISNUMBER('List 1'!A199),'List 1'!A199,TRIM('List 1'!A199)))</f>
        <v/>
      </c>
      <c r="M199" s="0" t="str">
        <f aca="false">IF(K199="","",IF(ISNUMBER('List 1'!C199),'List 1'!C199,TRIM('List 1'!C199)))</f>
        <v/>
      </c>
      <c r="N199" s="0" t="str">
        <f aca="false">IF(K199="","",IF(ISNUMBER('List 1'!D199),'List 1'!D199,TRIM('List 1'!D199)))</f>
        <v/>
      </c>
      <c r="O199" s="0" t="str">
        <f aca="false">IF(K199="","",D199)</f>
        <v/>
      </c>
      <c r="P199" s="0" t="str">
        <f aca="false">IF(K199="","",IF(R199,SUMPRODUCT(--($H$2:$H$501=K199),$I$2:$I$501),0))</f>
        <v/>
      </c>
      <c r="Q199" s="0" t="str">
        <f aca="false">IF(K199="","",TRUE())</f>
        <v/>
      </c>
      <c r="R199" s="0" t="str">
        <f aca="false">IF(K199="","",SUMPRODUCT(--($H$2:$H$501=K199))&gt;0)</f>
        <v/>
      </c>
      <c r="S199" s="0" t="str">
        <f aca="false">IF(K199="","",IF(AND(Q199,R199),IF(O199=P199,"Match","Qty Different"),IF(Q199,"Only in List 1","Only in List 2")))</f>
        <v/>
      </c>
      <c r="T199" s="0" t="str">
        <f aca="false">IF(K199="","",IF(ISNUMBER(--L199),TEXT(--L199,"000000000000.000"),LOWER(L199)))</f>
        <v/>
      </c>
      <c r="U199" s="0" t="str">
        <f aca="false">IF(K199="","",IF(ISNUMBER(--M199),TEXT(--M199,"000000000000.000"),LOWER(M199)))</f>
        <v/>
      </c>
      <c r="V199" s="0" t="str">
        <f aca="false">IF(K199="","",LOWER(N199))</f>
        <v/>
      </c>
      <c r="W199" s="0" t="str">
        <f aca="false">IF(K199="","",B199)</f>
        <v/>
      </c>
      <c r="X199" s="0" t="str">
        <f aca="false">IF(K199="","",1+SUMPRODUCT(($K$2:$K$1001&lt;&gt;"")*(($T$2:$T$1001&lt;T199)+($T$2:$T$1001=T199)*(($U$2:$U$1001&lt;U199)+($U$2:$U$1001=U199)*(($V$2:$V$1001&lt;V199)+($V$2:$V$1001=V199)*(($W$2:$W$1001&lt;W199)+($W$2:$W$1001=W199)*(ROW($K$2:$K$1001)&lt;ROW(K199))))))))</f>
        <v/>
      </c>
    </row>
    <row r="200" customFormat="false" ht="15" hidden="false" customHeight="false" outlineLevel="0" collapsed="false">
      <c r="A200" s="0" t="str">
        <f aca="false">IF(TRIM('List 1'!A200&amp;'List 1'!C200&amp;'List 1'!D200)="","",LOWER(IF(OR(Comparison!$I$9="Item # + Part # + Description",Comparison!$I$9="Item # + Part #"),TRIM('List 1'!A200),"")&amp;"|"&amp;TRIM('List 1'!C200)&amp;"|"&amp;IF(OR(Comparison!$I$9="Item # + Part # + Description",Comparison!$I$9="Part # + Description"),TRIM('List 1'!D200),"")))</f>
        <v/>
      </c>
      <c r="B200" s="0" t="str">
        <f aca="false">IF(A200="","",SUMPRODUCT(--($A$2:A200=A200)))</f>
        <v/>
      </c>
      <c r="C200" s="0" t="str">
        <f aca="false">IF(A200="","",A200&amp;"#"&amp;B200)</f>
        <v/>
      </c>
      <c r="D200" s="0" t="str">
        <f aca="false">IF(A200="","",IFERROR(--'List 1'!B200,0))</f>
        <v/>
      </c>
      <c r="F200" s="0" t="str">
        <f aca="false">IF(TRIM('List 2'!A200&amp;'List 2'!C200&amp;'List 2'!D200)="","",LOWER(IF(OR(Comparison!$I$9="Item # + Part # + Description",Comparison!$I$9="Item # + Part #"),TRIM('List 2'!A200),"")&amp;"|"&amp;TRIM('List 2'!C200)&amp;"|"&amp;IF(OR(Comparison!$I$9="Item # + Part # + Description",Comparison!$I$9="Part # + Description"),TRIM('List 2'!D200),"")))</f>
        <v/>
      </c>
      <c r="G200" s="0" t="str">
        <f aca="false">IF(F200="","",SUMPRODUCT(--($F$2:F200=F200)))</f>
        <v/>
      </c>
      <c r="H200" s="0" t="str">
        <f aca="false">IF(F200="","",F200&amp;"#"&amp;G200)</f>
        <v/>
      </c>
      <c r="I200" s="0" t="str">
        <f aca="false">IF(F200="","",IFERROR(--'List 2'!B200,0))</f>
        <v/>
      </c>
      <c r="K200" s="0" t="str">
        <f aca="false">C200</f>
        <v/>
      </c>
      <c r="L200" s="0" t="str">
        <f aca="false">IF(K200="","",IF(ISNUMBER('List 1'!A200),'List 1'!A200,TRIM('List 1'!A200)))</f>
        <v/>
      </c>
      <c r="M200" s="0" t="str">
        <f aca="false">IF(K200="","",IF(ISNUMBER('List 1'!C200),'List 1'!C200,TRIM('List 1'!C200)))</f>
        <v/>
      </c>
      <c r="N200" s="0" t="str">
        <f aca="false">IF(K200="","",IF(ISNUMBER('List 1'!D200),'List 1'!D200,TRIM('List 1'!D200)))</f>
        <v/>
      </c>
      <c r="O200" s="0" t="str">
        <f aca="false">IF(K200="","",D200)</f>
        <v/>
      </c>
      <c r="P200" s="0" t="str">
        <f aca="false">IF(K200="","",IF(R200,SUMPRODUCT(--($H$2:$H$501=K200),$I$2:$I$501),0))</f>
        <v/>
      </c>
      <c r="Q200" s="0" t="str">
        <f aca="false">IF(K200="","",TRUE())</f>
        <v/>
      </c>
      <c r="R200" s="0" t="str">
        <f aca="false">IF(K200="","",SUMPRODUCT(--($H$2:$H$501=K200))&gt;0)</f>
        <v/>
      </c>
      <c r="S200" s="0" t="str">
        <f aca="false">IF(K200="","",IF(AND(Q200,R200),IF(O200=P200,"Match","Qty Different"),IF(Q200,"Only in List 1","Only in List 2")))</f>
        <v/>
      </c>
      <c r="T200" s="0" t="str">
        <f aca="false">IF(K200="","",IF(ISNUMBER(--L200),TEXT(--L200,"000000000000.000"),LOWER(L200)))</f>
        <v/>
      </c>
      <c r="U200" s="0" t="str">
        <f aca="false">IF(K200="","",IF(ISNUMBER(--M200),TEXT(--M200,"000000000000.000"),LOWER(M200)))</f>
        <v/>
      </c>
      <c r="V200" s="0" t="str">
        <f aca="false">IF(K200="","",LOWER(N200))</f>
        <v/>
      </c>
      <c r="W200" s="0" t="str">
        <f aca="false">IF(K200="","",B200)</f>
        <v/>
      </c>
      <c r="X200" s="0" t="str">
        <f aca="false">IF(K200="","",1+SUMPRODUCT(($K$2:$K$1001&lt;&gt;"")*(($T$2:$T$1001&lt;T200)+($T$2:$T$1001=T200)*(($U$2:$U$1001&lt;U200)+($U$2:$U$1001=U200)*(($V$2:$V$1001&lt;V200)+($V$2:$V$1001=V200)*(($W$2:$W$1001&lt;W200)+($W$2:$W$1001=W200)*(ROW($K$2:$K$1001)&lt;ROW(K200))))))))</f>
        <v/>
      </c>
    </row>
    <row r="201" customFormat="false" ht="15" hidden="false" customHeight="false" outlineLevel="0" collapsed="false">
      <c r="A201" s="0" t="str">
        <f aca="false">IF(TRIM('List 1'!A201&amp;'List 1'!C201&amp;'List 1'!D201)="","",LOWER(IF(OR(Comparison!$I$9="Item # + Part # + Description",Comparison!$I$9="Item # + Part #"),TRIM('List 1'!A201),"")&amp;"|"&amp;TRIM('List 1'!C201)&amp;"|"&amp;IF(OR(Comparison!$I$9="Item # + Part # + Description",Comparison!$I$9="Part # + Description"),TRIM('List 1'!D201),"")))</f>
        <v/>
      </c>
      <c r="B201" s="0" t="str">
        <f aca="false">IF(A201="","",SUMPRODUCT(--($A$2:A201=A201)))</f>
        <v/>
      </c>
      <c r="C201" s="0" t="str">
        <f aca="false">IF(A201="","",A201&amp;"#"&amp;B201)</f>
        <v/>
      </c>
      <c r="D201" s="0" t="str">
        <f aca="false">IF(A201="","",IFERROR(--'List 1'!B201,0))</f>
        <v/>
      </c>
      <c r="F201" s="0" t="str">
        <f aca="false">IF(TRIM('List 2'!A201&amp;'List 2'!C201&amp;'List 2'!D201)="","",LOWER(IF(OR(Comparison!$I$9="Item # + Part # + Description",Comparison!$I$9="Item # + Part #"),TRIM('List 2'!A201),"")&amp;"|"&amp;TRIM('List 2'!C201)&amp;"|"&amp;IF(OR(Comparison!$I$9="Item # + Part # + Description",Comparison!$I$9="Part # + Description"),TRIM('List 2'!D201),"")))</f>
        <v/>
      </c>
      <c r="G201" s="0" t="str">
        <f aca="false">IF(F201="","",SUMPRODUCT(--($F$2:F201=F201)))</f>
        <v/>
      </c>
      <c r="H201" s="0" t="str">
        <f aca="false">IF(F201="","",F201&amp;"#"&amp;G201)</f>
        <v/>
      </c>
      <c r="I201" s="0" t="str">
        <f aca="false">IF(F201="","",IFERROR(--'List 2'!B201,0))</f>
        <v/>
      </c>
      <c r="K201" s="0" t="str">
        <f aca="false">C201</f>
        <v/>
      </c>
      <c r="L201" s="0" t="str">
        <f aca="false">IF(K201="","",IF(ISNUMBER('List 1'!A201),'List 1'!A201,TRIM('List 1'!A201)))</f>
        <v/>
      </c>
      <c r="M201" s="0" t="str">
        <f aca="false">IF(K201="","",IF(ISNUMBER('List 1'!C201),'List 1'!C201,TRIM('List 1'!C201)))</f>
        <v/>
      </c>
      <c r="N201" s="0" t="str">
        <f aca="false">IF(K201="","",IF(ISNUMBER('List 1'!D201),'List 1'!D201,TRIM('List 1'!D201)))</f>
        <v/>
      </c>
      <c r="O201" s="0" t="str">
        <f aca="false">IF(K201="","",D201)</f>
        <v/>
      </c>
      <c r="P201" s="0" t="str">
        <f aca="false">IF(K201="","",IF(R201,SUMPRODUCT(--($H$2:$H$501=K201),$I$2:$I$501),0))</f>
        <v/>
      </c>
      <c r="Q201" s="0" t="str">
        <f aca="false">IF(K201="","",TRUE())</f>
        <v/>
      </c>
      <c r="R201" s="0" t="str">
        <f aca="false">IF(K201="","",SUMPRODUCT(--($H$2:$H$501=K201))&gt;0)</f>
        <v/>
      </c>
      <c r="S201" s="0" t="str">
        <f aca="false">IF(K201="","",IF(AND(Q201,R201),IF(O201=P201,"Match","Qty Different"),IF(Q201,"Only in List 1","Only in List 2")))</f>
        <v/>
      </c>
      <c r="T201" s="0" t="str">
        <f aca="false">IF(K201="","",IF(ISNUMBER(--L201),TEXT(--L201,"000000000000.000"),LOWER(L201)))</f>
        <v/>
      </c>
      <c r="U201" s="0" t="str">
        <f aca="false">IF(K201="","",IF(ISNUMBER(--M201),TEXT(--M201,"000000000000.000"),LOWER(M201)))</f>
        <v/>
      </c>
      <c r="V201" s="0" t="str">
        <f aca="false">IF(K201="","",LOWER(N201))</f>
        <v/>
      </c>
      <c r="W201" s="0" t="str">
        <f aca="false">IF(K201="","",B201)</f>
        <v/>
      </c>
      <c r="X201" s="0" t="str">
        <f aca="false">IF(K201="","",1+SUMPRODUCT(($K$2:$K$1001&lt;&gt;"")*(($T$2:$T$1001&lt;T201)+($T$2:$T$1001=T201)*(($U$2:$U$1001&lt;U201)+($U$2:$U$1001=U201)*(($V$2:$V$1001&lt;V201)+($V$2:$V$1001=V201)*(($W$2:$W$1001&lt;W201)+($W$2:$W$1001=W201)*(ROW($K$2:$K$1001)&lt;ROW(K201))))))))</f>
        <v/>
      </c>
    </row>
    <row r="202" customFormat="false" ht="15" hidden="false" customHeight="false" outlineLevel="0" collapsed="false">
      <c r="A202" s="0" t="str">
        <f aca="false">IF(TRIM('List 1'!A202&amp;'List 1'!C202&amp;'List 1'!D202)="","",LOWER(IF(OR(Comparison!$I$9="Item # + Part # + Description",Comparison!$I$9="Item # + Part #"),TRIM('List 1'!A202),"")&amp;"|"&amp;TRIM('List 1'!C202)&amp;"|"&amp;IF(OR(Comparison!$I$9="Item # + Part # + Description",Comparison!$I$9="Part # + Description"),TRIM('List 1'!D202),"")))</f>
        <v/>
      </c>
      <c r="B202" s="0" t="str">
        <f aca="false">IF(A202="","",SUMPRODUCT(--($A$2:A202=A202)))</f>
        <v/>
      </c>
      <c r="C202" s="0" t="str">
        <f aca="false">IF(A202="","",A202&amp;"#"&amp;B202)</f>
        <v/>
      </c>
      <c r="D202" s="0" t="str">
        <f aca="false">IF(A202="","",IFERROR(--'List 1'!B202,0))</f>
        <v/>
      </c>
      <c r="F202" s="0" t="str">
        <f aca="false">IF(TRIM('List 2'!A202&amp;'List 2'!C202&amp;'List 2'!D202)="","",LOWER(IF(OR(Comparison!$I$9="Item # + Part # + Description",Comparison!$I$9="Item # + Part #"),TRIM('List 2'!A202),"")&amp;"|"&amp;TRIM('List 2'!C202)&amp;"|"&amp;IF(OR(Comparison!$I$9="Item # + Part # + Description",Comparison!$I$9="Part # + Description"),TRIM('List 2'!D202),"")))</f>
        <v/>
      </c>
      <c r="G202" s="0" t="str">
        <f aca="false">IF(F202="","",SUMPRODUCT(--($F$2:F202=F202)))</f>
        <v/>
      </c>
      <c r="H202" s="0" t="str">
        <f aca="false">IF(F202="","",F202&amp;"#"&amp;G202)</f>
        <v/>
      </c>
      <c r="I202" s="0" t="str">
        <f aca="false">IF(F202="","",IFERROR(--'List 2'!B202,0))</f>
        <v/>
      </c>
      <c r="K202" s="0" t="str">
        <f aca="false">C202</f>
        <v/>
      </c>
      <c r="L202" s="0" t="str">
        <f aca="false">IF(K202="","",IF(ISNUMBER('List 1'!A202),'List 1'!A202,TRIM('List 1'!A202)))</f>
        <v/>
      </c>
      <c r="M202" s="0" t="str">
        <f aca="false">IF(K202="","",IF(ISNUMBER('List 1'!C202),'List 1'!C202,TRIM('List 1'!C202)))</f>
        <v/>
      </c>
      <c r="N202" s="0" t="str">
        <f aca="false">IF(K202="","",IF(ISNUMBER('List 1'!D202),'List 1'!D202,TRIM('List 1'!D202)))</f>
        <v/>
      </c>
      <c r="O202" s="0" t="str">
        <f aca="false">IF(K202="","",D202)</f>
        <v/>
      </c>
      <c r="P202" s="0" t="str">
        <f aca="false">IF(K202="","",IF(R202,SUMPRODUCT(--($H$2:$H$501=K202),$I$2:$I$501),0))</f>
        <v/>
      </c>
      <c r="Q202" s="0" t="str">
        <f aca="false">IF(K202="","",TRUE())</f>
        <v/>
      </c>
      <c r="R202" s="0" t="str">
        <f aca="false">IF(K202="","",SUMPRODUCT(--($H$2:$H$501=K202))&gt;0)</f>
        <v/>
      </c>
      <c r="S202" s="0" t="str">
        <f aca="false">IF(K202="","",IF(AND(Q202,R202),IF(O202=P202,"Match","Qty Different"),IF(Q202,"Only in List 1","Only in List 2")))</f>
        <v/>
      </c>
      <c r="T202" s="0" t="str">
        <f aca="false">IF(K202="","",IF(ISNUMBER(--L202),TEXT(--L202,"000000000000.000"),LOWER(L202)))</f>
        <v/>
      </c>
      <c r="U202" s="0" t="str">
        <f aca="false">IF(K202="","",IF(ISNUMBER(--M202),TEXT(--M202,"000000000000.000"),LOWER(M202)))</f>
        <v/>
      </c>
      <c r="V202" s="0" t="str">
        <f aca="false">IF(K202="","",LOWER(N202))</f>
        <v/>
      </c>
      <c r="W202" s="0" t="str">
        <f aca="false">IF(K202="","",B202)</f>
        <v/>
      </c>
      <c r="X202" s="0" t="str">
        <f aca="false">IF(K202="","",1+SUMPRODUCT(($K$2:$K$1001&lt;&gt;"")*(($T$2:$T$1001&lt;T202)+($T$2:$T$1001=T202)*(($U$2:$U$1001&lt;U202)+($U$2:$U$1001=U202)*(($V$2:$V$1001&lt;V202)+($V$2:$V$1001=V202)*(($W$2:$W$1001&lt;W202)+($W$2:$W$1001=W202)*(ROW($K$2:$K$1001)&lt;ROW(K202))))))))</f>
        <v/>
      </c>
    </row>
    <row r="203" customFormat="false" ht="15" hidden="false" customHeight="false" outlineLevel="0" collapsed="false">
      <c r="A203" s="0" t="str">
        <f aca="false">IF(TRIM('List 1'!A203&amp;'List 1'!C203&amp;'List 1'!D203)="","",LOWER(IF(OR(Comparison!$I$9="Item # + Part # + Description",Comparison!$I$9="Item # + Part #"),TRIM('List 1'!A203),"")&amp;"|"&amp;TRIM('List 1'!C203)&amp;"|"&amp;IF(OR(Comparison!$I$9="Item # + Part # + Description",Comparison!$I$9="Part # + Description"),TRIM('List 1'!D203),"")))</f>
        <v/>
      </c>
      <c r="B203" s="0" t="str">
        <f aca="false">IF(A203="","",SUMPRODUCT(--($A$2:A203=A203)))</f>
        <v/>
      </c>
      <c r="C203" s="0" t="str">
        <f aca="false">IF(A203="","",A203&amp;"#"&amp;B203)</f>
        <v/>
      </c>
      <c r="D203" s="0" t="str">
        <f aca="false">IF(A203="","",IFERROR(--'List 1'!B203,0))</f>
        <v/>
      </c>
      <c r="F203" s="0" t="str">
        <f aca="false">IF(TRIM('List 2'!A203&amp;'List 2'!C203&amp;'List 2'!D203)="","",LOWER(IF(OR(Comparison!$I$9="Item # + Part # + Description",Comparison!$I$9="Item # + Part #"),TRIM('List 2'!A203),"")&amp;"|"&amp;TRIM('List 2'!C203)&amp;"|"&amp;IF(OR(Comparison!$I$9="Item # + Part # + Description",Comparison!$I$9="Part # + Description"),TRIM('List 2'!D203),"")))</f>
        <v/>
      </c>
      <c r="G203" s="0" t="str">
        <f aca="false">IF(F203="","",SUMPRODUCT(--($F$2:F203=F203)))</f>
        <v/>
      </c>
      <c r="H203" s="0" t="str">
        <f aca="false">IF(F203="","",F203&amp;"#"&amp;G203)</f>
        <v/>
      </c>
      <c r="I203" s="0" t="str">
        <f aca="false">IF(F203="","",IFERROR(--'List 2'!B203,0))</f>
        <v/>
      </c>
      <c r="K203" s="0" t="str">
        <f aca="false">C203</f>
        <v/>
      </c>
      <c r="L203" s="0" t="str">
        <f aca="false">IF(K203="","",IF(ISNUMBER('List 1'!A203),'List 1'!A203,TRIM('List 1'!A203)))</f>
        <v/>
      </c>
      <c r="M203" s="0" t="str">
        <f aca="false">IF(K203="","",IF(ISNUMBER('List 1'!C203),'List 1'!C203,TRIM('List 1'!C203)))</f>
        <v/>
      </c>
      <c r="N203" s="0" t="str">
        <f aca="false">IF(K203="","",IF(ISNUMBER('List 1'!D203),'List 1'!D203,TRIM('List 1'!D203)))</f>
        <v/>
      </c>
      <c r="O203" s="0" t="str">
        <f aca="false">IF(K203="","",D203)</f>
        <v/>
      </c>
      <c r="P203" s="0" t="str">
        <f aca="false">IF(K203="","",IF(R203,SUMPRODUCT(--($H$2:$H$501=K203),$I$2:$I$501),0))</f>
        <v/>
      </c>
      <c r="Q203" s="0" t="str">
        <f aca="false">IF(K203="","",TRUE())</f>
        <v/>
      </c>
      <c r="R203" s="0" t="str">
        <f aca="false">IF(K203="","",SUMPRODUCT(--($H$2:$H$501=K203))&gt;0)</f>
        <v/>
      </c>
      <c r="S203" s="0" t="str">
        <f aca="false">IF(K203="","",IF(AND(Q203,R203),IF(O203=P203,"Match","Qty Different"),IF(Q203,"Only in List 1","Only in List 2")))</f>
        <v/>
      </c>
      <c r="T203" s="0" t="str">
        <f aca="false">IF(K203="","",IF(ISNUMBER(--L203),TEXT(--L203,"000000000000.000"),LOWER(L203)))</f>
        <v/>
      </c>
      <c r="U203" s="0" t="str">
        <f aca="false">IF(K203="","",IF(ISNUMBER(--M203),TEXT(--M203,"000000000000.000"),LOWER(M203)))</f>
        <v/>
      </c>
      <c r="V203" s="0" t="str">
        <f aca="false">IF(K203="","",LOWER(N203))</f>
        <v/>
      </c>
      <c r="W203" s="0" t="str">
        <f aca="false">IF(K203="","",B203)</f>
        <v/>
      </c>
      <c r="X203" s="0" t="str">
        <f aca="false">IF(K203="","",1+SUMPRODUCT(($K$2:$K$1001&lt;&gt;"")*(($T$2:$T$1001&lt;T203)+($T$2:$T$1001=T203)*(($U$2:$U$1001&lt;U203)+($U$2:$U$1001=U203)*(($V$2:$V$1001&lt;V203)+($V$2:$V$1001=V203)*(($W$2:$W$1001&lt;W203)+($W$2:$W$1001=W203)*(ROW($K$2:$K$1001)&lt;ROW(K203))))))))</f>
        <v/>
      </c>
    </row>
    <row r="204" customFormat="false" ht="15" hidden="false" customHeight="false" outlineLevel="0" collapsed="false">
      <c r="A204" s="0" t="str">
        <f aca="false">IF(TRIM('List 1'!A204&amp;'List 1'!C204&amp;'List 1'!D204)="","",LOWER(IF(OR(Comparison!$I$9="Item # + Part # + Description",Comparison!$I$9="Item # + Part #"),TRIM('List 1'!A204),"")&amp;"|"&amp;TRIM('List 1'!C204)&amp;"|"&amp;IF(OR(Comparison!$I$9="Item # + Part # + Description",Comparison!$I$9="Part # + Description"),TRIM('List 1'!D204),"")))</f>
        <v/>
      </c>
      <c r="B204" s="0" t="str">
        <f aca="false">IF(A204="","",SUMPRODUCT(--($A$2:A204=A204)))</f>
        <v/>
      </c>
      <c r="C204" s="0" t="str">
        <f aca="false">IF(A204="","",A204&amp;"#"&amp;B204)</f>
        <v/>
      </c>
      <c r="D204" s="0" t="str">
        <f aca="false">IF(A204="","",IFERROR(--'List 1'!B204,0))</f>
        <v/>
      </c>
      <c r="F204" s="0" t="str">
        <f aca="false">IF(TRIM('List 2'!A204&amp;'List 2'!C204&amp;'List 2'!D204)="","",LOWER(IF(OR(Comparison!$I$9="Item # + Part # + Description",Comparison!$I$9="Item # + Part #"),TRIM('List 2'!A204),"")&amp;"|"&amp;TRIM('List 2'!C204)&amp;"|"&amp;IF(OR(Comparison!$I$9="Item # + Part # + Description",Comparison!$I$9="Part # + Description"),TRIM('List 2'!D204),"")))</f>
        <v/>
      </c>
      <c r="G204" s="0" t="str">
        <f aca="false">IF(F204="","",SUMPRODUCT(--($F$2:F204=F204)))</f>
        <v/>
      </c>
      <c r="H204" s="0" t="str">
        <f aca="false">IF(F204="","",F204&amp;"#"&amp;G204)</f>
        <v/>
      </c>
      <c r="I204" s="0" t="str">
        <f aca="false">IF(F204="","",IFERROR(--'List 2'!B204,0))</f>
        <v/>
      </c>
      <c r="K204" s="0" t="str">
        <f aca="false">C204</f>
        <v/>
      </c>
      <c r="L204" s="0" t="str">
        <f aca="false">IF(K204="","",IF(ISNUMBER('List 1'!A204),'List 1'!A204,TRIM('List 1'!A204)))</f>
        <v/>
      </c>
      <c r="M204" s="0" t="str">
        <f aca="false">IF(K204="","",IF(ISNUMBER('List 1'!C204),'List 1'!C204,TRIM('List 1'!C204)))</f>
        <v/>
      </c>
      <c r="N204" s="0" t="str">
        <f aca="false">IF(K204="","",IF(ISNUMBER('List 1'!D204),'List 1'!D204,TRIM('List 1'!D204)))</f>
        <v/>
      </c>
      <c r="O204" s="0" t="str">
        <f aca="false">IF(K204="","",D204)</f>
        <v/>
      </c>
      <c r="P204" s="0" t="str">
        <f aca="false">IF(K204="","",IF(R204,SUMPRODUCT(--($H$2:$H$501=K204),$I$2:$I$501),0))</f>
        <v/>
      </c>
      <c r="Q204" s="0" t="str">
        <f aca="false">IF(K204="","",TRUE())</f>
        <v/>
      </c>
      <c r="R204" s="0" t="str">
        <f aca="false">IF(K204="","",SUMPRODUCT(--($H$2:$H$501=K204))&gt;0)</f>
        <v/>
      </c>
      <c r="S204" s="0" t="str">
        <f aca="false">IF(K204="","",IF(AND(Q204,R204),IF(O204=P204,"Match","Qty Different"),IF(Q204,"Only in List 1","Only in List 2")))</f>
        <v/>
      </c>
      <c r="T204" s="0" t="str">
        <f aca="false">IF(K204="","",IF(ISNUMBER(--L204),TEXT(--L204,"000000000000.000"),LOWER(L204)))</f>
        <v/>
      </c>
      <c r="U204" s="0" t="str">
        <f aca="false">IF(K204="","",IF(ISNUMBER(--M204),TEXT(--M204,"000000000000.000"),LOWER(M204)))</f>
        <v/>
      </c>
      <c r="V204" s="0" t="str">
        <f aca="false">IF(K204="","",LOWER(N204))</f>
        <v/>
      </c>
      <c r="W204" s="0" t="str">
        <f aca="false">IF(K204="","",B204)</f>
        <v/>
      </c>
      <c r="X204" s="0" t="str">
        <f aca="false">IF(K204="","",1+SUMPRODUCT(($K$2:$K$1001&lt;&gt;"")*(($T$2:$T$1001&lt;T204)+($T$2:$T$1001=T204)*(($U$2:$U$1001&lt;U204)+($U$2:$U$1001=U204)*(($V$2:$V$1001&lt;V204)+($V$2:$V$1001=V204)*(($W$2:$W$1001&lt;W204)+($W$2:$W$1001=W204)*(ROW($K$2:$K$1001)&lt;ROW(K204))))))))</f>
        <v/>
      </c>
    </row>
    <row r="205" customFormat="false" ht="15" hidden="false" customHeight="false" outlineLevel="0" collapsed="false">
      <c r="A205" s="0" t="str">
        <f aca="false">IF(TRIM('List 1'!A205&amp;'List 1'!C205&amp;'List 1'!D205)="","",LOWER(IF(OR(Comparison!$I$9="Item # + Part # + Description",Comparison!$I$9="Item # + Part #"),TRIM('List 1'!A205),"")&amp;"|"&amp;TRIM('List 1'!C205)&amp;"|"&amp;IF(OR(Comparison!$I$9="Item # + Part # + Description",Comparison!$I$9="Part # + Description"),TRIM('List 1'!D205),"")))</f>
        <v/>
      </c>
      <c r="B205" s="0" t="str">
        <f aca="false">IF(A205="","",SUMPRODUCT(--($A$2:A205=A205)))</f>
        <v/>
      </c>
      <c r="C205" s="0" t="str">
        <f aca="false">IF(A205="","",A205&amp;"#"&amp;B205)</f>
        <v/>
      </c>
      <c r="D205" s="0" t="str">
        <f aca="false">IF(A205="","",IFERROR(--'List 1'!B205,0))</f>
        <v/>
      </c>
      <c r="F205" s="0" t="str">
        <f aca="false">IF(TRIM('List 2'!A205&amp;'List 2'!C205&amp;'List 2'!D205)="","",LOWER(IF(OR(Comparison!$I$9="Item # + Part # + Description",Comparison!$I$9="Item # + Part #"),TRIM('List 2'!A205),"")&amp;"|"&amp;TRIM('List 2'!C205)&amp;"|"&amp;IF(OR(Comparison!$I$9="Item # + Part # + Description",Comparison!$I$9="Part # + Description"),TRIM('List 2'!D205),"")))</f>
        <v/>
      </c>
      <c r="G205" s="0" t="str">
        <f aca="false">IF(F205="","",SUMPRODUCT(--($F$2:F205=F205)))</f>
        <v/>
      </c>
      <c r="H205" s="0" t="str">
        <f aca="false">IF(F205="","",F205&amp;"#"&amp;G205)</f>
        <v/>
      </c>
      <c r="I205" s="0" t="str">
        <f aca="false">IF(F205="","",IFERROR(--'List 2'!B205,0))</f>
        <v/>
      </c>
      <c r="K205" s="0" t="str">
        <f aca="false">C205</f>
        <v/>
      </c>
      <c r="L205" s="0" t="str">
        <f aca="false">IF(K205="","",IF(ISNUMBER('List 1'!A205),'List 1'!A205,TRIM('List 1'!A205)))</f>
        <v/>
      </c>
      <c r="M205" s="0" t="str">
        <f aca="false">IF(K205="","",IF(ISNUMBER('List 1'!C205),'List 1'!C205,TRIM('List 1'!C205)))</f>
        <v/>
      </c>
      <c r="N205" s="0" t="str">
        <f aca="false">IF(K205="","",IF(ISNUMBER('List 1'!D205),'List 1'!D205,TRIM('List 1'!D205)))</f>
        <v/>
      </c>
      <c r="O205" s="0" t="str">
        <f aca="false">IF(K205="","",D205)</f>
        <v/>
      </c>
      <c r="P205" s="0" t="str">
        <f aca="false">IF(K205="","",IF(R205,SUMPRODUCT(--($H$2:$H$501=K205),$I$2:$I$501),0))</f>
        <v/>
      </c>
      <c r="Q205" s="0" t="str">
        <f aca="false">IF(K205="","",TRUE())</f>
        <v/>
      </c>
      <c r="R205" s="0" t="str">
        <f aca="false">IF(K205="","",SUMPRODUCT(--($H$2:$H$501=K205))&gt;0)</f>
        <v/>
      </c>
      <c r="S205" s="0" t="str">
        <f aca="false">IF(K205="","",IF(AND(Q205,R205),IF(O205=P205,"Match","Qty Different"),IF(Q205,"Only in List 1","Only in List 2")))</f>
        <v/>
      </c>
      <c r="T205" s="0" t="str">
        <f aca="false">IF(K205="","",IF(ISNUMBER(--L205),TEXT(--L205,"000000000000.000"),LOWER(L205)))</f>
        <v/>
      </c>
      <c r="U205" s="0" t="str">
        <f aca="false">IF(K205="","",IF(ISNUMBER(--M205),TEXT(--M205,"000000000000.000"),LOWER(M205)))</f>
        <v/>
      </c>
      <c r="V205" s="0" t="str">
        <f aca="false">IF(K205="","",LOWER(N205))</f>
        <v/>
      </c>
      <c r="W205" s="0" t="str">
        <f aca="false">IF(K205="","",B205)</f>
        <v/>
      </c>
      <c r="X205" s="0" t="str">
        <f aca="false">IF(K205="","",1+SUMPRODUCT(($K$2:$K$1001&lt;&gt;"")*(($T$2:$T$1001&lt;T205)+($T$2:$T$1001=T205)*(($U$2:$U$1001&lt;U205)+($U$2:$U$1001=U205)*(($V$2:$V$1001&lt;V205)+($V$2:$V$1001=V205)*(($W$2:$W$1001&lt;W205)+($W$2:$W$1001=W205)*(ROW($K$2:$K$1001)&lt;ROW(K205))))))))</f>
        <v/>
      </c>
    </row>
    <row r="206" customFormat="false" ht="15" hidden="false" customHeight="false" outlineLevel="0" collapsed="false">
      <c r="A206" s="0" t="str">
        <f aca="false">IF(TRIM('List 1'!A206&amp;'List 1'!C206&amp;'List 1'!D206)="","",LOWER(IF(OR(Comparison!$I$9="Item # + Part # + Description",Comparison!$I$9="Item # + Part #"),TRIM('List 1'!A206),"")&amp;"|"&amp;TRIM('List 1'!C206)&amp;"|"&amp;IF(OR(Comparison!$I$9="Item # + Part # + Description",Comparison!$I$9="Part # + Description"),TRIM('List 1'!D206),"")))</f>
        <v/>
      </c>
      <c r="B206" s="0" t="str">
        <f aca="false">IF(A206="","",SUMPRODUCT(--($A$2:A206=A206)))</f>
        <v/>
      </c>
      <c r="C206" s="0" t="str">
        <f aca="false">IF(A206="","",A206&amp;"#"&amp;B206)</f>
        <v/>
      </c>
      <c r="D206" s="0" t="str">
        <f aca="false">IF(A206="","",IFERROR(--'List 1'!B206,0))</f>
        <v/>
      </c>
      <c r="F206" s="0" t="str">
        <f aca="false">IF(TRIM('List 2'!A206&amp;'List 2'!C206&amp;'List 2'!D206)="","",LOWER(IF(OR(Comparison!$I$9="Item # + Part # + Description",Comparison!$I$9="Item # + Part #"),TRIM('List 2'!A206),"")&amp;"|"&amp;TRIM('List 2'!C206)&amp;"|"&amp;IF(OR(Comparison!$I$9="Item # + Part # + Description",Comparison!$I$9="Part # + Description"),TRIM('List 2'!D206),"")))</f>
        <v/>
      </c>
      <c r="G206" s="0" t="str">
        <f aca="false">IF(F206="","",SUMPRODUCT(--($F$2:F206=F206)))</f>
        <v/>
      </c>
      <c r="H206" s="0" t="str">
        <f aca="false">IF(F206="","",F206&amp;"#"&amp;G206)</f>
        <v/>
      </c>
      <c r="I206" s="0" t="str">
        <f aca="false">IF(F206="","",IFERROR(--'List 2'!B206,0))</f>
        <v/>
      </c>
      <c r="K206" s="0" t="str">
        <f aca="false">C206</f>
        <v/>
      </c>
      <c r="L206" s="0" t="str">
        <f aca="false">IF(K206="","",IF(ISNUMBER('List 1'!A206),'List 1'!A206,TRIM('List 1'!A206)))</f>
        <v/>
      </c>
      <c r="M206" s="0" t="str">
        <f aca="false">IF(K206="","",IF(ISNUMBER('List 1'!C206),'List 1'!C206,TRIM('List 1'!C206)))</f>
        <v/>
      </c>
      <c r="N206" s="0" t="str">
        <f aca="false">IF(K206="","",IF(ISNUMBER('List 1'!D206),'List 1'!D206,TRIM('List 1'!D206)))</f>
        <v/>
      </c>
      <c r="O206" s="0" t="str">
        <f aca="false">IF(K206="","",D206)</f>
        <v/>
      </c>
      <c r="P206" s="0" t="str">
        <f aca="false">IF(K206="","",IF(R206,SUMPRODUCT(--($H$2:$H$501=K206),$I$2:$I$501),0))</f>
        <v/>
      </c>
      <c r="Q206" s="0" t="str">
        <f aca="false">IF(K206="","",TRUE())</f>
        <v/>
      </c>
      <c r="R206" s="0" t="str">
        <f aca="false">IF(K206="","",SUMPRODUCT(--($H$2:$H$501=K206))&gt;0)</f>
        <v/>
      </c>
      <c r="S206" s="0" t="str">
        <f aca="false">IF(K206="","",IF(AND(Q206,R206),IF(O206=P206,"Match","Qty Different"),IF(Q206,"Only in List 1","Only in List 2")))</f>
        <v/>
      </c>
      <c r="T206" s="0" t="str">
        <f aca="false">IF(K206="","",IF(ISNUMBER(--L206),TEXT(--L206,"000000000000.000"),LOWER(L206)))</f>
        <v/>
      </c>
      <c r="U206" s="0" t="str">
        <f aca="false">IF(K206="","",IF(ISNUMBER(--M206),TEXT(--M206,"000000000000.000"),LOWER(M206)))</f>
        <v/>
      </c>
      <c r="V206" s="0" t="str">
        <f aca="false">IF(K206="","",LOWER(N206))</f>
        <v/>
      </c>
      <c r="W206" s="0" t="str">
        <f aca="false">IF(K206="","",B206)</f>
        <v/>
      </c>
      <c r="X206" s="0" t="str">
        <f aca="false">IF(K206="","",1+SUMPRODUCT(($K$2:$K$1001&lt;&gt;"")*(($T$2:$T$1001&lt;T206)+($T$2:$T$1001=T206)*(($U$2:$U$1001&lt;U206)+($U$2:$U$1001=U206)*(($V$2:$V$1001&lt;V206)+($V$2:$V$1001=V206)*(($W$2:$W$1001&lt;W206)+($W$2:$W$1001=W206)*(ROW($K$2:$K$1001)&lt;ROW(K206))))))))</f>
        <v/>
      </c>
    </row>
    <row r="207" customFormat="false" ht="15" hidden="false" customHeight="false" outlineLevel="0" collapsed="false">
      <c r="A207" s="0" t="str">
        <f aca="false">IF(TRIM('List 1'!A207&amp;'List 1'!C207&amp;'List 1'!D207)="","",LOWER(IF(OR(Comparison!$I$9="Item # + Part # + Description",Comparison!$I$9="Item # + Part #"),TRIM('List 1'!A207),"")&amp;"|"&amp;TRIM('List 1'!C207)&amp;"|"&amp;IF(OR(Comparison!$I$9="Item # + Part # + Description",Comparison!$I$9="Part # + Description"),TRIM('List 1'!D207),"")))</f>
        <v/>
      </c>
      <c r="B207" s="0" t="str">
        <f aca="false">IF(A207="","",SUMPRODUCT(--($A$2:A207=A207)))</f>
        <v/>
      </c>
      <c r="C207" s="0" t="str">
        <f aca="false">IF(A207="","",A207&amp;"#"&amp;B207)</f>
        <v/>
      </c>
      <c r="D207" s="0" t="str">
        <f aca="false">IF(A207="","",IFERROR(--'List 1'!B207,0))</f>
        <v/>
      </c>
      <c r="F207" s="0" t="str">
        <f aca="false">IF(TRIM('List 2'!A207&amp;'List 2'!C207&amp;'List 2'!D207)="","",LOWER(IF(OR(Comparison!$I$9="Item # + Part # + Description",Comparison!$I$9="Item # + Part #"),TRIM('List 2'!A207),"")&amp;"|"&amp;TRIM('List 2'!C207)&amp;"|"&amp;IF(OR(Comparison!$I$9="Item # + Part # + Description",Comparison!$I$9="Part # + Description"),TRIM('List 2'!D207),"")))</f>
        <v/>
      </c>
      <c r="G207" s="0" t="str">
        <f aca="false">IF(F207="","",SUMPRODUCT(--($F$2:F207=F207)))</f>
        <v/>
      </c>
      <c r="H207" s="0" t="str">
        <f aca="false">IF(F207="","",F207&amp;"#"&amp;G207)</f>
        <v/>
      </c>
      <c r="I207" s="0" t="str">
        <f aca="false">IF(F207="","",IFERROR(--'List 2'!B207,0))</f>
        <v/>
      </c>
      <c r="K207" s="0" t="str">
        <f aca="false">C207</f>
        <v/>
      </c>
      <c r="L207" s="0" t="str">
        <f aca="false">IF(K207="","",IF(ISNUMBER('List 1'!A207),'List 1'!A207,TRIM('List 1'!A207)))</f>
        <v/>
      </c>
      <c r="M207" s="0" t="str">
        <f aca="false">IF(K207="","",IF(ISNUMBER('List 1'!C207),'List 1'!C207,TRIM('List 1'!C207)))</f>
        <v/>
      </c>
      <c r="N207" s="0" t="str">
        <f aca="false">IF(K207="","",IF(ISNUMBER('List 1'!D207),'List 1'!D207,TRIM('List 1'!D207)))</f>
        <v/>
      </c>
      <c r="O207" s="0" t="str">
        <f aca="false">IF(K207="","",D207)</f>
        <v/>
      </c>
      <c r="P207" s="0" t="str">
        <f aca="false">IF(K207="","",IF(R207,SUMPRODUCT(--($H$2:$H$501=K207),$I$2:$I$501),0))</f>
        <v/>
      </c>
      <c r="Q207" s="0" t="str">
        <f aca="false">IF(K207="","",TRUE())</f>
        <v/>
      </c>
      <c r="R207" s="0" t="str">
        <f aca="false">IF(K207="","",SUMPRODUCT(--($H$2:$H$501=K207))&gt;0)</f>
        <v/>
      </c>
      <c r="S207" s="0" t="str">
        <f aca="false">IF(K207="","",IF(AND(Q207,R207),IF(O207=P207,"Match","Qty Different"),IF(Q207,"Only in List 1","Only in List 2")))</f>
        <v/>
      </c>
      <c r="T207" s="0" t="str">
        <f aca="false">IF(K207="","",IF(ISNUMBER(--L207),TEXT(--L207,"000000000000.000"),LOWER(L207)))</f>
        <v/>
      </c>
      <c r="U207" s="0" t="str">
        <f aca="false">IF(K207="","",IF(ISNUMBER(--M207),TEXT(--M207,"000000000000.000"),LOWER(M207)))</f>
        <v/>
      </c>
      <c r="V207" s="0" t="str">
        <f aca="false">IF(K207="","",LOWER(N207))</f>
        <v/>
      </c>
      <c r="W207" s="0" t="str">
        <f aca="false">IF(K207="","",B207)</f>
        <v/>
      </c>
      <c r="X207" s="0" t="str">
        <f aca="false">IF(K207="","",1+SUMPRODUCT(($K$2:$K$1001&lt;&gt;"")*(($T$2:$T$1001&lt;T207)+($T$2:$T$1001=T207)*(($U$2:$U$1001&lt;U207)+($U$2:$U$1001=U207)*(($V$2:$V$1001&lt;V207)+($V$2:$V$1001=V207)*(($W$2:$W$1001&lt;W207)+($W$2:$W$1001=W207)*(ROW($K$2:$K$1001)&lt;ROW(K207))))))))</f>
        <v/>
      </c>
    </row>
    <row r="208" customFormat="false" ht="15" hidden="false" customHeight="false" outlineLevel="0" collapsed="false">
      <c r="A208" s="0" t="str">
        <f aca="false">IF(TRIM('List 1'!A208&amp;'List 1'!C208&amp;'List 1'!D208)="","",LOWER(IF(OR(Comparison!$I$9="Item # + Part # + Description",Comparison!$I$9="Item # + Part #"),TRIM('List 1'!A208),"")&amp;"|"&amp;TRIM('List 1'!C208)&amp;"|"&amp;IF(OR(Comparison!$I$9="Item # + Part # + Description",Comparison!$I$9="Part # + Description"),TRIM('List 1'!D208),"")))</f>
        <v/>
      </c>
      <c r="B208" s="0" t="str">
        <f aca="false">IF(A208="","",SUMPRODUCT(--($A$2:A208=A208)))</f>
        <v/>
      </c>
      <c r="C208" s="0" t="str">
        <f aca="false">IF(A208="","",A208&amp;"#"&amp;B208)</f>
        <v/>
      </c>
      <c r="D208" s="0" t="str">
        <f aca="false">IF(A208="","",IFERROR(--'List 1'!B208,0))</f>
        <v/>
      </c>
      <c r="F208" s="0" t="str">
        <f aca="false">IF(TRIM('List 2'!A208&amp;'List 2'!C208&amp;'List 2'!D208)="","",LOWER(IF(OR(Comparison!$I$9="Item # + Part # + Description",Comparison!$I$9="Item # + Part #"),TRIM('List 2'!A208),"")&amp;"|"&amp;TRIM('List 2'!C208)&amp;"|"&amp;IF(OR(Comparison!$I$9="Item # + Part # + Description",Comparison!$I$9="Part # + Description"),TRIM('List 2'!D208),"")))</f>
        <v/>
      </c>
      <c r="G208" s="0" t="str">
        <f aca="false">IF(F208="","",SUMPRODUCT(--($F$2:F208=F208)))</f>
        <v/>
      </c>
      <c r="H208" s="0" t="str">
        <f aca="false">IF(F208="","",F208&amp;"#"&amp;G208)</f>
        <v/>
      </c>
      <c r="I208" s="0" t="str">
        <f aca="false">IF(F208="","",IFERROR(--'List 2'!B208,0))</f>
        <v/>
      </c>
      <c r="K208" s="0" t="str">
        <f aca="false">C208</f>
        <v/>
      </c>
      <c r="L208" s="0" t="str">
        <f aca="false">IF(K208="","",IF(ISNUMBER('List 1'!A208),'List 1'!A208,TRIM('List 1'!A208)))</f>
        <v/>
      </c>
      <c r="M208" s="0" t="str">
        <f aca="false">IF(K208="","",IF(ISNUMBER('List 1'!C208),'List 1'!C208,TRIM('List 1'!C208)))</f>
        <v/>
      </c>
      <c r="N208" s="0" t="str">
        <f aca="false">IF(K208="","",IF(ISNUMBER('List 1'!D208),'List 1'!D208,TRIM('List 1'!D208)))</f>
        <v/>
      </c>
      <c r="O208" s="0" t="str">
        <f aca="false">IF(K208="","",D208)</f>
        <v/>
      </c>
      <c r="P208" s="0" t="str">
        <f aca="false">IF(K208="","",IF(R208,SUMPRODUCT(--($H$2:$H$501=K208),$I$2:$I$501),0))</f>
        <v/>
      </c>
      <c r="Q208" s="0" t="str">
        <f aca="false">IF(K208="","",TRUE())</f>
        <v/>
      </c>
      <c r="R208" s="0" t="str">
        <f aca="false">IF(K208="","",SUMPRODUCT(--($H$2:$H$501=K208))&gt;0)</f>
        <v/>
      </c>
      <c r="S208" s="0" t="str">
        <f aca="false">IF(K208="","",IF(AND(Q208,R208),IF(O208=P208,"Match","Qty Different"),IF(Q208,"Only in List 1","Only in List 2")))</f>
        <v/>
      </c>
      <c r="T208" s="0" t="str">
        <f aca="false">IF(K208="","",IF(ISNUMBER(--L208),TEXT(--L208,"000000000000.000"),LOWER(L208)))</f>
        <v/>
      </c>
      <c r="U208" s="0" t="str">
        <f aca="false">IF(K208="","",IF(ISNUMBER(--M208),TEXT(--M208,"000000000000.000"),LOWER(M208)))</f>
        <v/>
      </c>
      <c r="V208" s="0" t="str">
        <f aca="false">IF(K208="","",LOWER(N208))</f>
        <v/>
      </c>
      <c r="W208" s="0" t="str">
        <f aca="false">IF(K208="","",B208)</f>
        <v/>
      </c>
      <c r="X208" s="0" t="str">
        <f aca="false">IF(K208="","",1+SUMPRODUCT(($K$2:$K$1001&lt;&gt;"")*(($T$2:$T$1001&lt;T208)+($T$2:$T$1001=T208)*(($U$2:$U$1001&lt;U208)+($U$2:$U$1001=U208)*(($V$2:$V$1001&lt;V208)+($V$2:$V$1001=V208)*(($W$2:$W$1001&lt;W208)+($W$2:$W$1001=W208)*(ROW($K$2:$K$1001)&lt;ROW(K208))))))))</f>
        <v/>
      </c>
    </row>
    <row r="209" customFormat="false" ht="15" hidden="false" customHeight="false" outlineLevel="0" collapsed="false">
      <c r="A209" s="0" t="str">
        <f aca="false">IF(TRIM('List 1'!A209&amp;'List 1'!C209&amp;'List 1'!D209)="","",LOWER(IF(OR(Comparison!$I$9="Item # + Part # + Description",Comparison!$I$9="Item # + Part #"),TRIM('List 1'!A209),"")&amp;"|"&amp;TRIM('List 1'!C209)&amp;"|"&amp;IF(OR(Comparison!$I$9="Item # + Part # + Description",Comparison!$I$9="Part # + Description"),TRIM('List 1'!D209),"")))</f>
        <v/>
      </c>
      <c r="B209" s="0" t="str">
        <f aca="false">IF(A209="","",SUMPRODUCT(--($A$2:A209=A209)))</f>
        <v/>
      </c>
      <c r="C209" s="0" t="str">
        <f aca="false">IF(A209="","",A209&amp;"#"&amp;B209)</f>
        <v/>
      </c>
      <c r="D209" s="0" t="str">
        <f aca="false">IF(A209="","",IFERROR(--'List 1'!B209,0))</f>
        <v/>
      </c>
      <c r="F209" s="0" t="str">
        <f aca="false">IF(TRIM('List 2'!A209&amp;'List 2'!C209&amp;'List 2'!D209)="","",LOWER(IF(OR(Comparison!$I$9="Item # + Part # + Description",Comparison!$I$9="Item # + Part #"),TRIM('List 2'!A209),"")&amp;"|"&amp;TRIM('List 2'!C209)&amp;"|"&amp;IF(OR(Comparison!$I$9="Item # + Part # + Description",Comparison!$I$9="Part # + Description"),TRIM('List 2'!D209),"")))</f>
        <v/>
      </c>
      <c r="G209" s="0" t="str">
        <f aca="false">IF(F209="","",SUMPRODUCT(--($F$2:F209=F209)))</f>
        <v/>
      </c>
      <c r="H209" s="0" t="str">
        <f aca="false">IF(F209="","",F209&amp;"#"&amp;G209)</f>
        <v/>
      </c>
      <c r="I209" s="0" t="str">
        <f aca="false">IF(F209="","",IFERROR(--'List 2'!B209,0))</f>
        <v/>
      </c>
      <c r="K209" s="0" t="str">
        <f aca="false">C209</f>
        <v/>
      </c>
      <c r="L209" s="0" t="str">
        <f aca="false">IF(K209="","",IF(ISNUMBER('List 1'!A209),'List 1'!A209,TRIM('List 1'!A209)))</f>
        <v/>
      </c>
      <c r="M209" s="0" t="str">
        <f aca="false">IF(K209="","",IF(ISNUMBER('List 1'!C209),'List 1'!C209,TRIM('List 1'!C209)))</f>
        <v/>
      </c>
      <c r="N209" s="0" t="str">
        <f aca="false">IF(K209="","",IF(ISNUMBER('List 1'!D209),'List 1'!D209,TRIM('List 1'!D209)))</f>
        <v/>
      </c>
      <c r="O209" s="0" t="str">
        <f aca="false">IF(K209="","",D209)</f>
        <v/>
      </c>
      <c r="P209" s="0" t="str">
        <f aca="false">IF(K209="","",IF(R209,SUMPRODUCT(--($H$2:$H$501=K209),$I$2:$I$501),0))</f>
        <v/>
      </c>
      <c r="Q209" s="0" t="str">
        <f aca="false">IF(K209="","",TRUE())</f>
        <v/>
      </c>
      <c r="R209" s="0" t="str">
        <f aca="false">IF(K209="","",SUMPRODUCT(--($H$2:$H$501=K209))&gt;0)</f>
        <v/>
      </c>
      <c r="S209" s="0" t="str">
        <f aca="false">IF(K209="","",IF(AND(Q209,R209),IF(O209=P209,"Match","Qty Different"),IF(Q209,"Only in List 1","Only in List 2")))</f>
        <v/>
      </c>
      <c r="T209" s="0" t="str">
        <f aca="false">IF(K209="","",IF(ISNUMBER(--L209),TEXT(--L209,"000000000000.000"),LOWER(L209)))</f>
        <v/>
      </c>
      <c r="U209" s="0" t="str">
        <f aca="false">IF(K209="","",IF(ISNUMBER(--M209),TEXT(--M209,"000000000000.000"),LOWER(M209)))</f>
        <v/>
      </c>
      <c r="V209" s="0" t="str">
        <f aca="false">IF(K209="","",LOWER(N209))</f>
        <v/>
      </c>
      <c r="W209" s="0" t="str">
        <f aca="false">IF(K209="","",B209)</f>
        <v/>
      </c>
      <c r="X209" s="0" t="str">
        <f aca="false">IF(K209="","",1+SUMPRODUCT(($K$2:$K$1001&lt;&gt;"")*(($T$2:$T$1001&lt;T209)+($T$2:$T$1001=T209)*(($U$2:$U$1001&lt;U209)+($U$2:$U$1001=U209)*(($V$2:$V$1001&lt;V209)+($V$2:$V$1001=V209)*(($W$2:$W$1001&lt;W209)+($W$2:$W$1001=W209)*(ROW($K$2:$K$1001)&lt;ROW(K209))))))))</f>
        <v/>
      </c>
    </row>
    <row r="210" customFormat="false" ht="15" hidden="false" customHeight="false" outlineLevel="0" collapsed="false">
      <c r="A210" s="0" t="str">
        <f aca="false">IF(TRIM('List 1'!A210&amp;'List 1'!C210&amp;'List 1'!D210)="","",LOWER(IF(OR(Comparison!$I$9="Item # + Part # + Description",Comparison!$I$9="Item # + Part #"),TRIM('List 1'!A210),"")&amp;"|"&amp;TRIM('List 1'!C210)&amp;"|"&amp;IF(OR(Comparison!$I$9="Item # + Part # + Description",Comparison!$I$9="Part # + Description"),TRIM('List 1'!D210),"")))</f>
        <v/>
      </c>
      <c r="B210" s="0" t="str">
        <f aca="false">IF(A210="","",SUMPRODUCT(--($A$2:A210=A210)))</f>
        <v/>
      </c>
      <c r="C210" s="0" t="str">
        <f aca="false">IF(A210="","",A210&amp;"#"&amp;B210)</f>
        <v/>
      </c>
      <c r="D210" s="0" t="str">
        <f aca="false">IF(A210="","",IFERROR(--'List 1'!B210,0))</f>
        <v/>
      </c>
      <c r="F210" s="0" t="str">
        <f aca="false">IF(TRIM('List 2'!A210&amp;'List 2'!C210&amp;'List 2'!D210)="","",LOWER(IF(OR(Comparison!$I$9="Item # + Part # + Description",Comparison!$I$9="Item # + Part #"),TRIM('List 2'!A210),"")&amp;"|"&amp;TRIM('List 2'!C210)&amp;"|"&amp;IF(OR(Comparison!$I$9="Item # + Part # + Description",Comparison!$I$9="Part # + Description"),TRIM('List 2'!D210),"")))</f>
        <v/>
      </c>
      <c r="G210" s="0" t="str">
        <f aca="false">IF(F210="","",SUMPRODUCT(--($F$2:F210=F210)))</f>
        <v/>
      </c>
      <c r="H210" s="0" t="str">
        <f aca="false">IF(F210="","",F210&amp;"#"&amp;G210)</f>
        <v/>
      </c>
      <c r="I210" s="0" t="str">
        <f aca="false">IF(F210="","",IFERROR(--'List 2'!B210,0))</f>
        <v/>
      </c>
      <c r="K210" s="0" t="str">
        <f aca="false">C210</f>
        <v/>
      </c>
      <c r="L210" s="0" t="str">
        <f aca="false">IF(K210="","",IF(ISNUMBER('List 1'!A210),'List 1'!A210,TRIM('List 1'!A210)))</f>
        <v/>
      </c>
      <c r="M210" s="0" t="str">
        <f aca="false">IF(K210="","",IF(ISNUMBER('List 1'!C210),'List 1'!C210,TRIM('List 1'!C210)))</f>
        <v/>
      </c>
      <c r="N210" s="0" t="str">
        <f aca="false">IF(K210="","",IF(ISNUMBER('List 1'!D210),'List 1'!D210,TRIM('List 1'!D210)))</f>
        <v/>
      </c>
      <c r="O210" s="0" t="str">
        <f aca="false">IF(K210="","",D210)</f>
        <v/>
      </c>
      <c r="P210" s="0" t="str">
        <f aca="false">IF(K210="","",IF(R210,SUMPRODUCT(--($H$2:$H$501=K210),$I$2:$I$501),0))</f>
        <v/>
      </c>
      <c r="Q210" s="0" t="str">
        <f aca="false">IF(K210="","",TRUE())</f>
        <v/>
      </c>
      <c r="R210" s="0" t="str">
        <f aca="false">IF(K210="","",SUMPRODUCT(--($H$2:$H$501=K210))&gt;0)</f>
        <v/>
      </c>
      <c r="S210" s="0" t="str">
        <f aca="false">IF(K210="","",IF(AND(Q210,R210),IF(O210=P210,"Match","Qty Different"),IF(Q210,"Only in List 1","Only in List 2")))</f>
        <v/>
      </c>
      <c r="T210" s="0" t="str">
        <f aca="false">IF(K210="","",IF(ISNUMBER(--L210),TEXT(--L210,"000000000000.000"),LOWER(L210)))</f>
        <v/>
      </c>
      <c r="U210" s="0" t="str">
        <f aca="false">IF(K210="","",IF(ISNUMBER(--M210),TEXT(--M210,"000000000000.000"),LOWER(M210)))</f>
        <v/>
      </c>
      <c r="V210" s="0" t="str">
        <f aca="false">IF(K210="","",LOWER(N210))</f>
        <v/>
      </c>
      <c r="W210" s="0" t="str">
        <f aca="false">IF(K210="","",B210)</f>
        <v/>
      </c>
      <c r="X210" s="0" t="str">
        <f aca="false">IF(K210="","",1+SUMPRODUCT(($K$2:$K$1001&lt;&gt;"")*(($T$2:$T$1001&lt;T210)+($T$2:$T$1001=T210)*(($U$2:$U$1001&lt;U210)+($U$2:$U$1001=U210)*(($V$2:$V$1001&lt;V210)+($V$2:$V$1001=V210)*(($W$2:$W$1001&lt;W210)+($W$2:$W$1001=W210)*(ROW($K$2:$K$1001)&lt;ROW(K210))))))))</f>
        <v/>
      </c>
    </row>
    <row r="211" customFormat="false" ht="15" hidden="false" customHeight="false" outlineLevel="0" collapsed="false">
      <c r="A211" s="0" t="str">
        <f aca="false">IF(TRIM('List 1'!A211&amp;'List 1'!C211&amp;'List 1'!D211)="","",LOWER(IF(OR(Comparison!$I$9="Item # + Part # + Description",Comparison!$I$9="Item # + Part #"),TRIM('List 1'!A211),"")&amp;"|"&amp;TRIM('List 1'!C211)&amp;"|"&amp;IF(OR(Comparison!$I$9="Item # + Part # + Description",Comparison!$I$9="Part # + Description"),TRIM('List 1'!D211),"")))</f>
        <v/>
      </c>
      <c r="B211" s="0" t="str">
        <f aca="false">IF(A211="","",SUMPRODUCT(--($A$2:A211=A211)))</f>
        <v/>
      </c>
      <c r="C211" s="0" t="str">
        <f aca="false">IF(A211="","",A211&amp;"#"&amp;B211)</f>
        <v/>
      </c>
      <c r="D211" s="0" t="str">
        <f aca="false">IF(A211="","",IFERROR(--'List 1'!B211,0))</f>
        <v/>
      </c>
      <c r="F211" s="0" t="str">
        <f aca="false">IF(TRIM('List 2'!A211&amp;'List 2'!C211&amp;'List 2'!D211)="","",LOWER(IF(OR(Comparison!$I$9="Item # + Part # + Description",Comparison!$I$9="Item # + Part #"),TRIM('List 2'!A211),"")&amp;"|"&amp;TRIM('List 2'!C211)&amp;"|"&amp;IF(OR(Comparison!$I$9="Item # + Part # + Description",Comparison!$I$9="Part # + Description"),TRIM('List 2'!D211),"")))</f>
        <v/>
      </c>
      <c r="G211" s="0" t="str">
        <f aca="false">IF(F211="","",SUMPRODUCT(--($F$2:F211=F211)))</f>
        <v/>
      </c>
      <c r="H211" s="0" t="str">
        <f aca="false">IF(F211="","",F211&amp;"#"&amp;G211)</f>
        <v/>
      </c>
      <c r="I211" s="0" t="str">
        <f aca="false">IF(F211="","",IFERROR(--'List 2'!B211,0))</f>
        <v/>
      </c>
      <c r="K211" s="0" t="str">
        <f aca="false">C211</f>
        <v/>
      </c>
      <c r="L211" s="0" t="str">
        <f aca="false">IF(K211="","",IF(ISNUMBER('List 1'!A211),'List 1'!A211,TRIM('List 1'!A211)))</f>
        <v/>
      </c>
      <c r="M211" s="0" t="str">
        <f aca="false">IF(K211="","",IF(ISNUMBER('List 1'!C211),'List 1'!C211,TRIM('List 1'!C211)))</f>
        <v/>
      </c>
      <c r="N211" s="0" t="str">
        <f aca="false">IF(K211="","",IF(ISNUMBER('List 1'!D211),'List 1'!D211,TRIM('List 1'!D211)))</f>
        <v/>
      </c>
      <c r="O211" s="0" t="str">
        <f aca="false">IF(K211="","",D211)</f>
        <v/>
      </c>
      <c r="P211" s="0" t="str">
        <f aca="false">IF(K211="","",IF(R211,SUMPRODUCT(--($H$2:$H$501=K211),$I$2:$I$501),0))</f>
        <v/>
      </c>
      <c r="Q211" s="0" t="str">
        <f aca="false">IF(K211="","",TRUE())</f>
        <v/>
      </c>
      <c r="R211" s="0" t="str">
        <f aca="false">IF(K211="","",SUMPRODUCT(--($H$2:$H$501=K211))&gt;0)</f>
        <v/>
      </c>
      <c r="S211" s="0" t="str">
        <f aca="false">IF(K211="","",IF(AND(Q211,R211),IF(O211=P211,"Match","Qty Different"),IF(Q211,"Only in List 1","Only in List 2")))</f>
        <v/>
      </c>
      <c r="T211" s="0" t="str">
        <f aca="false">IF(K211="","",IF(ISNUMBER(--L211),TEXT(--L211,"000000000000.000"),LOWER(L211)))</f>
        <v/>
      </c>
      <c r="U211" s="0" t="str">
        <f aca="false">IF(K211="","",IF(ISNUMBER(--M211),TEXT(--M211,"000000000000.000"),LOWER(M211)))</f>
        <v/>
      </c>
      <c r="V211" s="0" t="str">
        <f aca="false">IF(K211="","",LOWER(N211))</f>
        <v/>
      </c>
      <c r="W211" s="0" t="str">
        <f aca="false">IF(K211="","",B211)</f>
        <v/>
      </c>
      <c r="X211" s="0" t="str">
        <f aca="false">IF(K211="","",1+SUMPRODUCT(($K$2:$K$1001&lt;&gt;"")*(($T$2:$T$1001&lt;T211)+($T$2:$T$1001=T211)*(($U$2:$U$1001&lt;U211)+($U$2:$U$1001=U211)*(($V$2:$V$1001&lt;V211)+($V$2:$V$1001=V211)*(($W$2:$W$1001&lt;W211)+($W$2:$W$1001=W211)*(ROW($K$2:$K$1001)&lt;ROW(K211))))))))</f>
        <v/>
      </c>
    </row>
    <row r="212" customFormat="false" ht="15" hidden="false" customHeight="false" outlineLevel="0" collapsed="false">
      <c r="A212" s="0" t="str">
        <f aca="false">IF(TRIM('List 1'!A212&amp;'List 1'!C212&amp;'List 1'!D212)="","",LOWER(IF(OR(Comparison!$I$9="Item # + Part # + Description",Comparison!$I$9="Item # + Part #"),TRIM('List 1'!A212),"")&amp;"|"&amp;TRIM('List 1'!C212)&amp;"|"&amp;IF(OR(Comparison!$I$9="Item # + Part # + Description",Comparison!$I$9="Part # + Description"),TRIM('List 1'!D212),"")))</f>
        <v/>
      </c>
      <c r="B212" s="0" t="str">
        <f aca="false">IF(A212="","",SUMPRODUCT(--($A$2:A212=A212)))</f>
        <v/>
      </c>
      <c r="C212" s="0" t="str">
        <f aca="false">IF(A212="","",A212&amp;"#"&amp;B212)</f>
        <v/>
      </c>
      <c r="D212" s="0" t="str">
        <f aca="false">IF(A212="","",IFERROR(--'List 1'!B212,0))</f>
        <v/>
      </c>
      <c r="F212" s="0" t="str">
        <f aca="false">IF(TRIM('List 2'!A212&amp;'List 2'!C212&amp;'List 2'!D212)="","",LOWER(IF(OR(Comparison!$I$9="Item # + Part # + Description",Comparison!$I$9="Item # + Part #"),TRIM('List 2'!A212),"")&amp;"|"&amp;TRIM('List 2'!C212)&amp;"|"&amp;IF(OR(Comparison!$I$9="Item # + Part # + Description",Comparison!$I$9="Part # + Description"),TRIM('List 2'!D212),"")))</f>
        <v/>
      </c>
      <c r="G212" s="0" t="str">
        <f aca="false">IF(F212="","",SUMPRODUCT(--($F$2:F212=F212)))</f>
        <v/>
      </c>
      <c r="H212" s="0" t="str">
        <f aca="false">IF(F212="","",F212&amp;"#"&amp;G212)</f>
        <v/>
      </c>
      <c r="I212" s="0" t="str">
        <f aca="false">IF(F212="","",IFERROR(--'List 2'!B212,0))</f>
        <v/>
      </c>
      <c r="K212" s="0" t="str">
        <f aca="false">C212</f>
        <v/>
      </c>
      <c r="L212" s="0" t="str">
        <f aca="false">IF(K212="","",IF(ISNUMBER('List 1'!A212),'List 1'!A212,TRIM('List 1'!A212)))</f>
        <v/>
      </c>
      <c r="M212" s="0" t="str">
        <f aca="false">IF(K212="","",IF(ISNUMBER('List 1'!C212),'List 1'!C212,TRIM('List 1'!C212)))</f>
        <v/>
      </c>
      <c r="N212" s="0" t="str">
        <f aca="false">IF(K212="","",IF(ISNUMBER('List 1'!D212),'List 1'!D212,TRIM('List 1'!D212)))</f>
        <v/>
      </c>
      <c r="O212" s="0" t="str">
        <f aca="false">IF(K212="","",D212)</f>
        <v/>
      </c>
      <c r="P212" s="0" t="str">
        <f aca="false">IF(K212="","",IF(R212,SUMPRODUCT(--($H$2:$H$501=K212),$I$2:$I$501),0))</f>
        <v/>
      </c>
      <c r="Q212" s="0" t="str">
        <f aca="false">IF(K212="","",TRUE())</f>
        <v/>
      </c>
      <c r="R212" s="0" t="str">
        <f aca="false">IF(K212="","",SUMPRODUCT(--($H$2:$H$501=K212))&gt;0)</f>
        <v/>
      </c>
      <c r="S212" s="0" t="str">
        <f aca="false">IF(K212="","",IF(AND(Q212,R212),IF(O212=P212,"Match","Qty Different"),IF(Q212,"Only in List 1","Only in List 2")))</f>
        <v/>
      </c>
      <c r="T212" s="0" t="str">
        <f aca="false">IF(K212="","",IF(ISNUMBER(--L212),TEXT(--L212,"000000000000.000"),LOWER(L212)))</f>
        <v/>
      </c>
      <c r="U212" s="0" t="str">
        <f aca="false">IF(K212="","",IF(ISNUMBER(--M212),TEXT(--M212,"000000000000.000"),LOWER(M212)))</f>
        <v/>
      </c>
      <c r="V212" s="0" t="str">
        <f aca="false">IF(K212="","",LOWER(N212))</f>
        <v/>
      </c>
      <c r="W212" s="0" t="str">
        <f aca="false">IF(K212="","",B212)</f>
        <v/>
      </c>
      <c r="X212" s="0" t="str">
        <f aca="false">IF(K212="","",1+SUMPRODUCT(($K$2:$K$1001&lt;&gt;"")*(($T$2:$T$1001&lt;T212)+($T$2:$T$1001=T212)*(($U$2:$U$1001&lt;U212)+($U$2:$U$1001=U212)*(($V$2:$V$1001&lt;V212)+($V$2:$V$1001=V212)*(($W$2:$W$1001&lt;W212)+($W$2:$W$1001=W212)*(ROW($K$2:$K$1001)&lt;ROW(K212))))))))</f>
        <v/>
      </c>
    </row>
    <row r="213" customFormat="false" ht="15" hidden="false" customHeight="false" outlineLevel="0" collapsed="false">
      <c r="A213" s="0" t="str">
        <f aca="false">IF(TRIM('List 1'!A213&amp;'List 1'!C213&amp;'List 1'!D213)="","",LOWER(IF(OR(Comparison!$I$9="Item # + Part # + Description",Comparison!$I$9="Item # + Part #"),TRIM('List 1'!A213),"")&amp;"|"&amp;TRIM('List 1'!C213)&amp;"|"&amp;IF(OR(Comparison!$I$9="Item # + Part # + Description",Comparison!$I$9="Part # + Description"),TRIM('List 1'!D213),"")))</f>
        <v/>
      </c>
      <c r="B213" s="0" t="str">
        <f aca="false">IF(A213="","",SUMPRODUCT(--($A$2:A213=A213)))</f>
        <v/>
      </c>
      <c r="C213" s="0" t="str">
        <f aca="false">IF(A213="","",A213&amp;"#"&amp;B213)</f>
        <v/>
      </c>
      <c r="D213" s="0" t="str">
        <f aca="false">IF(A213="","",IFERROR(--'List 1'!B213,0))</f>
        <v/>
      </c>
      <c r="F213" s="0" t="str">
        <f aca="false">IF(TRIM('List 2'!A213&amp;'List 2'!C213&amp;'List 2'!D213)="","",LOWER(IF(OR(Comparison!$I$9="Item # + Part # + Description",Comparison!$I$9="Item # + Part #"),TRIM('List 2'!A213),"")&amp;"|"&amp;TRIM('List 2'!C213)&amp;"|"&amp;IF(OR(Comparison!$I$9="Item # + Part # + Description",Comparison!$I$9="Part # + Description"),TRIM('List 2'!D213),"")))</f>
        <v/>
      </c>
      <c r="G213" s="0" t="str">
        <f aca="false">IF(F213="","",SUMPRODUCT(--($F$2:F213=F213)))</f>
        <v/>
      </c>
      <c r="H213" s="0" t="str">
        <f aca="false">IF(F213="","",F213&amp;"#"&amp;G213)</f>
        <v/>
      </c>
      <c r="I213" s="0" t="str">
        <f aca="false">IF(F213="","",IFERROR(--'List 2'!B213,0))</f>
        <v/>
      </c>
      <c r="K213" s="0" t="str">
        <f aca="false">C213</f>
        <v/>
      </c>
      <c r="L213" s="0" t="str">
        <f aca="false">IF(K213="","",IF(ISNUMBER('List 1'!A213),'List 1'!A213,TRIM('List 1'!A213)))</f>
        <v/>
      </c>
      <c r="M213" s="0" t="str">
        <f aca="false">IF(K213="","",IF(ISNUMBER('List 1'!C213),'List 1'!C213,TRIM('List 1'!C213)))</f>
        <v/>
      </c>
      <c r="N213" s="0" t="str">
        <f aca="false">IF(K213="","",IF(ISNUMBER('List 1'!D213),'List 1'!D213,TRIM('List 1'!D213)))</f>
        <v/>
      </c>
      <c r="O213" s="0" t="str">
        <f aca="false">IF(K213="","",D213)</f>
        <v/>
      </c>
      <c r="P213" s="0" t="str">
        <f aca="false">IF(K213="","",IF(R213,SUMPRODUCT(--($H$2:$H$501=K213),$I$2:$I$501),0))</f>
        <v/>
      </c>
      <c r="Q213" s="0" t="str">
        <f aca="false">IF(K213="","",TRUE())</f>
        <v/>
      </c>
      <c r="R213" s="0" t="str">
        <f aca="false">IF(K213="","",SUMPRODUCT(--($H$2:$H$501=K213))&gt;0)</f>
        <v/>
      </c>
      <c r="S213" s="0" t="str">
        <f aca="false">IF(K213="","",IF(AND(Q213,R213),IF(O213=P213,"Match","Qty Different"),IF(Q213,"Only in List 1","Only in List 2")))</f>
        <v/>
      </c>
      <c r="T213" s="0" t="str">
        <f aca="false">IF(K213="","",IF(ISNUMBER(--L213),TEXT(--L213,"000000000000.000"),LOWER(L213)))</f>
        <v/>
      </c>
      <c r="U213" s="0" t="str">
        <f aca="false">IF(K213="","",IF(ISNUMBER(--M213),TEXT(--M213,"000000000000.000"),LOWER(M213)))</f>
        <v/>
      </c>
      <c r="V213" s="0" t="str">
        <f aca="false">IF(K213="","",LOWER(N213))</f>
        <v/>
      </c>
      <c r="W213" s="0" t="str">
        <f aca="false">IF(K213="","",B213)</f>
        <v/>
      </c>
      <c r="X213" s="0" t="str">
        <f aca="false">IF(K213="","",1+SUMPRODUCT(($K$2:$K$1001&lt;&gt;"")*(($T$2:$T$1001&lt;T213)+($T$2:$T$1001=T213)*(($U$2:$U$1001&lt;U213)+($U$2:$U$1001=U213)*(($V$2:$V$1001&lt;V213)+($V$2:$V$1001=V213)*(($W$2:$W$1001&lt;W213)+($W$2:$W$1001=W213)*(ROW($K$2:$K$1001)&lt;ROW(K213))))))))</f>
        <v/>
      </c>
    </row>
    <row r="214" customFormat="false" ht="15" hidden="false" customHeight="false" outlineLevel="0" collapsed="false">
      <c r="A214" s="0" t="str">
        <f aca="false">IF(TRIM('List 1'!A214&amp;'List 1'!C214&amp;'List 1'!D214)="","",LOWER(IF(OR(Comparison!$I$9="Item # + Part # + Description",Comparison!$I$9="Item # + Part #"),TRIM('List 1'!A214),"")&amp;"|"&amp;TRIM('List 1'!C214)&amp;"|"&amp;IF(OR(Comparison!$I$9="Item # + Part # + Description",Comparison!$I$9="Part # + Description"),TRIM('List 1'!D214),"")))</f>
        <v/>
      </c>
      <c r="B214" s="0" t="str">
        <f aca="false">IF(A214="","",SUMPRODUCT(--($A$2:A214=A214)))</f>
        <v/>
      </c>
      <c r="C214" s="0" t="str">
        <f aca="false">IF(A214="","",A214&amp;"#"&amp;B214)</f>
        <v/>
      </c>
      <c r="D214" s="0" t="str">
        <f aca="false">IF(A214="","",IFERROR(--'List 1'!B214,0))</f>
        <v/>
      </c>
      <c r="F214" s="0" t="str">
        <f aca="false">IF(TRIM('List 2'!A214&amp;'List 2'!C214&amp;'List 2'!D214)="","",LOWER(IF(OR(Comparison!$I$9="Item # + Part # + Description",Comparison!$I$9="Item # + Part #"),TRIM('List 2'!A214),"")&amp;"|"&amp;TRIM('List 2'!C214)&amp;"|"&amp;IF(OR(Comparison!$I$9="Item # + Part # + Description",Comparison!$I$9="Part # + Description"),TRIM('List 2'!D214),"")))</f>
        <v/>
      </c>
      <c r="G214" s="0" t="str">
        <f aca="false">IF(F214="","",SUMPRODUCT(--($F$2:F214=F214)))</f>
        <v/>
      </c>
      <c r="H214" s="0" t="str">
        <f aca="false">IF(F214="","",F214&amp;"#"&amp;G214)</f>
        <v/>
      </c>
      <c r="I214" s="0" t="str">
        <f aca="false">IF(F214="","",IFERROR(--'List 2'!B214,0))</f>
        <v/>
      </c>
      <c r="K214" s="0" t="str">
        <f aca="false">C214</f>
        <v/>
      </c>
      <c r="L214" s="0" t="str">
        <f aca="false">IF(K214="","",IF(ISNUMBER('List 1'!A214),'List 1'!A214,TRIM('List 1'!A214)))</f>
        <v/>
      </c>
      <c r="M214" s="0" t="str">
        <f aca="false">IF(K214="","",IF(ISNUMBER('List 1'!C214),'List 1'!C214,TRIM('List 1'!C214)))</f>
        <v/>
      </c>
      <c r="N214" s="0" t="str">
        <f aca="false">IF(K214="","",IF(ISNUMBER('List 1'!D214),'List 1'!D214,TRIM('List 1'!D214)))</f>
        <v/>
      </c>
      <c r="O214" s="0" t="str">
        <f aca="false">IF(K214="","",D214)</f>
        <v/>
      </c>
      <c r="P214" s="0" t="str">
        <f aca="false">IF(K214="","",IF(R214,SUMPRODUCT(--($H$2:$H$501=K214),$I$2:$I$501),0))</f>
        <v/>
      </c>
      <c r="Q214" s="0" t="str">
        <f aca="false">IF(K214="","",TRUE())</f>
        <v/>
      </c>
      <c r="R214" s="0" t="str">
        <f aca="false">IF(K214="","",SUMPRODUCT(--($H$2:$H$501=K214))&gt;0)</f>
        <v/>
      </c>
      <c r="S214" s="0" t="str">
        <f aca="false">IF(K214="","",IF(AND(Q214,R214),IF(O214=P214,"Match","Qty Different"),IF(Q214,"Only in List 1","Only in List 2")))</f>
        <v/>
      </c>
      <c r="T214" s="0" t="str">
        <f aca="false">IF(K214="","",IF(ISNUMBER(--L214),TEXT(--L214,"000000000000.000"),LOWER(L214)))</f>
        <v/>
      </c>
      <c r="U214" s="0" t="str">
        <f aca="false">IF(K214="","",IF(ISNUMBER(--M214),TEXT(--M214,"000000000000.000"),LOWER(M214)))</f>
        <v/>
      </c>
      <c r="V214" s="0" t="str">
        <f aca="false">IF(K214="","",LOWER(N214))</f>
        <v/>
      </c>
      <c r="W214" s="0" t="str">
        <f aca="false">IF(K214="","",B214)</f>
        <v/>
      </c>
      <c r="X214" s="0" t="str">
        <f aca="false">IF(K214="","",1+SUMPRODUCT(($K$2:$K$1001&lt;&gt;"")*(($T$2:$T$1001&lt;T214)+($T$2:$T$1001=T214)*(($U$2:$U$1001&lt;U214)+($U$2:$U$1001=U214)*(($V$2:$V$1001&lt;V214)+($V$2:$V$1001=V214)*(($W$2:$W$1001&lt;W214)+($W$2:$W$1001=W214)*(ROW($K$2:$K$1001)&lt;ROW(K214))))))))</f>
        <v/>
      </c>
    </row>
    <row r="215" customFormat="false" ht="15" hidden="false" customHeight="false" outlineLevel="0" collapsed="false">
      <c r="A215" s="0" t="str">
        <f aca="false">IF(TRIM('List 1'!A215&amp;'List 1'!C215&amp;'List 1'!D215)="","",LOWER(IF(OR(Comparison!$I$9="Item # + Part # + Description",Comparison!$I$9="Item # + Part #"),TRIM('List 1'!A215),"")&amp;"|"&amp;TRIM('List 1'!C215)&amp;"|"&amp;IF(OR(Comparison!$I$9="Item # + Part # + Description",Comparison!$I$9="Part # + Description"),TRIM('List 1'!D215),"")))</f>
        <v/>
      </c>
      <c r="B215" s="0" t="str">
        <f aca="false">IF(A215="","",SUMPRODUCT(--($A$2:A215=A215)))</f>
        <v/>
      </c>
      <c r="C215" s="0" t="str">
        <f aca="false">IF(A215="","",A215&amp;"#"&amp;B215)</f>
        <v/>
      </c>
      <c r="D215" s="0" t="str">
        <f aca="false">IF(A215="","",IFERROR(--'List 1'!B215,0))</f>
        <v/>
      </c>
      <c r="F215" s="0" t="str">
        <f aca="false">IF(TRIM('List 2'!A215&amp;'List 2'!C215&amp;'List 2'!D215)="","",LOWER(IF(OR(Comparison!$I$9="Item # + Part # + Description",Comparison!$I$9="Item # + Part #"),TRIM('List 2'!A215),"")&amp;"|"&amp;TRIM('List 2'!C215)&amp;"|"&amp;IF(OR(Comparison!$I$9="Item # + Part # + Description",Comparison!$I$9="Part # + Description"),TRIM('List 2'!D215),"")))</f>
        <v/>
      </c>
      <c r="G215" s="0" t="str">
        <f aca="false">IF(F215="","",SUMPRODUCT(--($F$2:F215=F215)))</f>
        <v/>
      </c>
      <c r="H215" s="0" t="str">
        <f aca="false">IF(F215="","",F215&amp;"#"&amp;G215)</f>
        <v/>
      </c>
      <c r="I215" s="0" t="str">
        <f aca="false">IF(F215="","",IFERROR(--'List 2'!B215,0))</f>
        <v/>
      </c>
      <c r="K215" s="0" t="str">
        <f aca="false">C215</f>
        <v/>
      </c>
      <c r="L215" s="0" t="str">
        <f aca="false">IF(K215="","",IF(ISNUMBER('List 1'!A215),'List 1'!A215,TRIM('List 1'!A215)))</f>
        <v/>
      </c>
      <c r="M215" s="0" t="str">
        <f aca="false">IF(K215="","",IF(ISNUMBER('List 1'!C215),'List 1'!C215,TRIM('List 1'!C215)))</f>
        <v/>
      </c>
      <c r="N215" s="0" t="str">
        <f aca="false">IF(K215="","",IF(ISNUMBER('List 1'!D215),'List 1'!D215,TRIM('List 1'!D215)))</f>
        <v/>
      </c>
      <c r="O215" s="0" t="str">
        <f aca="false">IF(K215="","",D215)</f>
        <v/>
      </c>
      <c r="P215" s="0" t="str">
        <f aca="false">IF(K215="","",IF(R215,SUMPRODUCT(--($H$2:$H$501=K215),$I$2:$I$501),0))</f>
        <v/>
      </c>
      <c r="Q215" s="0" t="str">
        <f aca="false">IF(K215="","",TRUE())</f>
        <v/>
      </c>
      <c r="R215" s="0" t="str">
        <f aca="false">IF(K215="","",SUMPRODUCT(--($H$2:$H$501=K215))&gt;0)</f>
        <v/>
      </c>
      <c r="S215" s="0" t="str">
        <f aca="false">IF(K215="","",IF(AND(Q215,R215),IF(O215=P215,"Match","Qty Different"),IF(Q215,"Only in List 1","Only in List 2")))</f>
        <v/>
      </c>
      <c r="T215" s="0" t="str">
        <f aca="false">IF(K215="","",IF(ISNUMBER(--L215),TEXT(--L215,"000000000000.000"),LOWER(L215)))</f>
        <v/>
      </c>
      <c r="U215" s="0" t="str">
        <f aca="false">IF(K215="","",IF(ISNUMBER(--M215),TEXT(--M215,"000000000000.000"),LOWER(M215)))</f>
        <v/>
      </c>
      <c r="V215" s="0" t="str">
        <f aca="false">IF(K215="","",LOWER(N215))</f>
        <v/>
      </c>
      <c r="W215" s="0" t="str">
        <f aca="false">IF(K215="","",B215)</f>
        <v/>
      </c>
      <c r="X215" s="0" t="str">
        <f aca="false">IF(K215="","",1+SUMPRODUCT(($K$2:$K$1001&lt;&gt;"")*(($T$2:$T$1001&lt;T215)+($T$2:$T$1001=T215)*(($U$2:$U$1001&lt;U215)+($U$2:$U$1001=U215)*(($V$2:$V$1001&lt;V215)+($V$2:$V$1001=V215)*(($W$2:$W$1001&lt;W215)+($W$2:$W$1001=W215)*(ROW($K$2:$K$1001)&lt;ROW(K215))))))))</f>
        <v/>
      </c>
    </row>
    <row r="216" customFormat="false" ht="15" hidden="false" customHeight="false" outlineLevel="0" collapsed="false">
      <c r="A216" s="0" t="str">
        <f aca="false">IF(TRIM('List 1'!A216&amp;'List 1'!C216&amp;'List 1'!D216)="","",LOWER(IF(OR(Comparison!$I$9="Item # + Part # + Description",Comparison!$I$9="Item # + Part #"),TRIM('List 1'!A216),"")&amp;"|"&amp;TRIM('List 1'!C216)&amp;"|"&amp;IF(OR(Comparison!$I$9="Item # + Part # + Description",Comparison!$I$9="Part # + Description"),TRIM('List 1'!D216),"")))</f>
        <v/>
      </c>
      <c r="B216" s="0" t="str">
        <f aca="false">IF(A216="","",SUMPRODUCT(--($A$2:A216=A216)))</f>
        <v/>
      </c>
      <c r="C216" s="0" t="str">
        <f aca="false">IF(A216="","",A216&amp;"#"&amp;B216)</f>
        <v/>
      </c>
      <c r="D216" s="0" t="str">
        <f aca="false">IF(A216="","",IFERROR(--'List 1'!B216,0))</f>
        <v/>
      </c>
      <c r="F216" s="0" t="str">
        <f aca="false">IF(TRIM('List 2'!A216&amp;'List 2'!C216&amp;'List 2'!D216)="","",LOWER(IF(OR(Comparison!$I$9="Item # + Part # + Description",Comparison!$I$9="Item # + Part #"),TRIM('List 2'!A216),"")&amp;"|"&amp;TRIM('List 2'!C216)&amp;"|"&amp;IF(OR(Comparison!$I$9="Item # + Part # + Description",Comparison!$I$9="Part # + Description"),TRIM('List 2'!D216),"")))</f>
        <v/>
      </c>
      <c r="G216" s="0" t="str">
        <f aca="false">IF(F216="","",SUMPRODUCT(--($F$2:F216=F216)))</f>
        <v/>
      </c>
      <c r="H216" s="0" t="str">
        <f aca="false">IF(F216="","",F216&amp;"#"&amp;G216)</f>
        <v/>
      </c>
      <c r="I216" s="0" t="str">
        <f aca="false">IF(F216="","",IFERROR(--'List 2'!B216,0))</f>
        <v/>
      </c>
      <c r="K216" s="0" t="str">
        <f aca="false">C216</f>
        <v/>
      </c>
      <c r="L216" s="0" t="str">
        <f aca="false">IF(K216="","",IF(ISNUMBER('List 1'!A216),'List 1'!A216,TRIM('List 1'!A216)))</f>
        <v/>
      </c>
      <c r="M216" s="0" t="str">
        <f aca="false">IF(K216="","",IF(ISNUMBER('List 1'!C216),'List 1'!C216,TRIM('List 1'!C216)))</f>
        <v/>
      </c>
      <c r="N216" s="0" t="str">
        <f aca="false">IF(K216="","",IF(ISNUMBER('List 1'!D216),'List 1'!D216,TRIM('List 1'!D216)))</f>
        <v/>
      </c>
      <c r="O216" s="0" t="str">
        <f aca="false">IF(K216="","",D216)</f>
        <v/>
      </c>
      <c r="P216" s="0" t="str">
        <f aca="false">IF(K216="","",IF(R216,SUMPRODUCT(--($H$2:$H$501=K216),$I$2:$I$501),0))</f>
        <v/>
      </c>
      <c r="Q216" s="0" t="str">
        <f aca="false">IF(K216="","",TRUE())</f>
        <v/>
      </c>
      <c r="R216" s="0" t="str">
        <f aca="false">IF(K216="","",SUMPRODUCT(--($H$2:$H$501=K216))&gt;0)</f>
        <v/>
      </c>
      <c r="S216" s="0" t="str">
        <f aca="false">IF(K216="","",IF(AND(Q216,R216),IF(O216=P216,"Match","Qty Different"),IF(Q216,"Only in List 1","Only in List 2")))</f>
        <v/>
      </c>
      <c r="T216" s="0" t="str">
        <f aca="false">IF(K216="","",IF(ISNUMBER(--L216),TEXT(--L216,"000000000000.000"),LOWER(L216)))</f>
        <v/>
      </c>
      <c r="U216" s="0" t="str">
        <f aca="false">IF(K216="","",IF(ISNUMBER(--M216),TEXT(--M216,"000000000000.000"),LOWER(M216)))</f>
        <v/>
      </c>
      <c r="V216" s="0" t="str">
        <f aca="false">IF(K216="","",LOWER(N216))</f>
        <v/>
      </c>
      <c r="W216" s="0" t="str">
        <f aca="false">IF(K216="","",B216)</f>
        <v/>
      </c>
      <c r="X216" s="0" t="str">
        <f aca="false">IF(K216="","",1+SUMPRODUCT(($K$2:$K$1001&lt;&gt;"")*(($T$2:$T$1001&lt;T216)+($T$2:$T$1001=T216)*(($U$2:$U$1001&lt;U216)+($U$2:$U$1001=U216)*(($V$2:$V$1001&lt;V216)+($V$2:$V$1001=V216)*(($W$2:$W$1001&lt;W216)+($W$2:$W$1001=W216)*(ROW($K$2:$K$1001)&lt;ROW(K216))))))))</f>
        <v/>
      </c>
    </row>
    <row r="217" customFormat="false" ht="15" hidden="false" customHeight="false" outlineLevel="0" collapsed="false">
      <c r="A217" s="0" t="str">
        <f aca="false">IF(TRIM('List 1'!A217&amp;'List 1'!C217&amp;'List 1'!D217)="","",LOWER(IF(OR(Comparison!$I$9="Item # + Part # + Description",Comparison!$I$9="Item # + Part #"),TRIM('List 1'!A217),"")&amp;"|"&amp;TRIM('List 1'!C217)&amp;"|"&amp;IF(OR(Comparison!$I$9="Item # + Part # + Description",Comparison!$I$9="Part # + Description"),TRIM('List 1'!D217),"")))</f>
        <v/>
      </c>
      <c r="B217" s="0" t="str">
        <f aca="false">IF(A217="","",SUMPRODUCT(--($A$2:A217=A217)))</f>
        <v/>
      </c>
      <c r="C217" s="0" t="str">
        <f aca="false">IF(A217="","",A217&amp;"#"&amp;B217)</f>
        <v/>
      </c>
      <c r="D217" s="0" t="str">
        <f aca="false">IF(A217="","",IFERROR(--'List 1'!B217,0))</f>
        <v/>
      </c>
      <c r="F217" s="0" t="str">
        <f aca="false">IF(TRIM('List 2'!A217&amp;'List 2'!C217&amp;'List 2'!D217)="","",LOWER(IF(OR(Comparison!$I$9="Item # + Part # + Description",Comparison!$I$9="Item # + Part #"),TRIM('List 2'!A217),"")&amp;"|"&amp;TRIM('List 2'!C217)&amp;"|"&amp;IF(OR(Comparison!$I$9="Item # + Part # + Description",Comparison!$I$9="Part # + Description"),TRIM('List 2'!D217),"")))</f>
        <v/>
      </c>
      <c r="G217" s="0" t="str">
        <f aca="false">IF(F217="","",SUMPRODUCT(--($F$2:F217=F217)))</f>
        <v/>
      </c>
      <c r="H217" s="0" t="str">
        <f aca="false">IF(F217="","",F217&amp;"#"&amp;G217)</f>
        <v/>
      </c>
      <c r="I217" s="0" t="str">
        <f aca="false">IF(F217="","",IFERROR(--'List 2'!B217,0))</f>
        <v/>
      </c>
      <c r="K217" s="0" t="str">
        <f aca="false">C217</f>
        <v/>
      </c>
      <c r="L217" s="0" t="str">
        <f aca="false">IF(K217="","",IF(ISNUMBER('List 1'!A217),'List 1'!A217,TRIM('List 1'!A217)))</f>
        <v/>
      </c>
      <c r="M217" s="0" t="str">
        <f aca="false">IF(K217="","",IF(ISNUMBER('List 1'!C217),'List 1'!C217,TRIM('List 1'!C217)))</f>
        <v/>
      </c>
      <c r="N217" s="0" t="str">
        <f aca="false">IF(K217="","",IF(ISNUMBER('List 1'!D217),'List 1'!D217,TRIM('List 1'!D217)))</f>
        <v/>
      </c>
      <c r="O217" s="0" t="str">
        <f aca="false">IF(K217="","",D217)</f>
        <v/>
      </c>
      <c r="P217" s="0" t="str">
        <f aca="false">IF(K217="","",IF(R217,SUMPRODUCT(--($H$2:$H$501=K217),$I$2:$I$501),0))</f>
        <v/>
      </c>
      <c r="Q217" s="0" t="str">
        <f aca="false">IF(K217="","",TRUE())</f>
        <v/>
      </c>
      <c r="R217" s="0" t="str">
        <f aca="false">IF(K217="","",SUMPRODUCT(--($H$2:$H$501=K217))&gt;0)</f>
        <v/>
      </c>
      <c r="S217" s="0" t="str">
        <f aca="false">IF(K217="","",IF(AND(Q217,R217),IF(O217=P217,"Match","Qty Different"),IF(Q217,"Only in List 1","Only in List 2")))</f>
        <v/>
      </c>
      <c r="T217" s="0" t="str">
        <f aca="false">IF(K217="","",IF(ISNUMBER(--L217),TEXT(--L217,"000000000000.000"),LOWER(L217)))</f>
        <v/>
      </c>
      <c r="U217" s="0" t="str">
        <f aca="false">IF(K217="","",IF(ISNUMBER(--M217),TEXT(--M217,"000000000000.000"),LOWER(M217)))</f>
        <v/>
      </c>
      <c r="V217" s="0" t="str">
        <f aca="false">IF(K217="","",LOWER(N217))</f>
        <v/>
      </c>
      <c r="W217" s="0" t="str">
        <f aca="false">IF(K217="","",B217)</f>
        <v/>
      </c>
      <c r="X217" s="0" t="str">
        <f aca="false">IF(K217="","",1+SUMPRODUCT(($K$2:$K$1001&lt;&gt;"")*(($T$2:$T$1001&lt;T217)+($T$2:$T$1001=T217)*(($U$2:$U$1001&lt;U217)+($U$2:$U$1001=U217)*(($V$2:$V$1001&lt;V217)+($V$2:$V$1001=V217)*(($W$2:$W$1001&lt;W217)+($W$2:$W$1001=W217)*(ROW($K$2:$K$1001)&lt;ROW(K217))))))))</f>
        <v/>
      </c>
    </row>
    <row r="218" customFormat="false" ht="15" hidden="false" customHeight="false" outlineLevel="0" collapsed="false">
      <c r="A218" s="0" t="str">
        <f aca="false">IF(TRIM('List 1'!A218&amp;'List 1'!C218&amp;'List 1'!D218)="","",LOWER(IF(OR(Comparison!$I$9="Item # + Part # + Description",Comparison!$I$9="Item # + Part #"),TRIM('List 1'!A218),"")&amp;"|"&amp;TRIM('List 1'!C218)&amp;"|"&amp;IF(OR(Comparison!$I$9="Item # + Part # + Description",Comparison!$I$9="Part # + Description"),TRIM('List 1'!D218),"")))</f>
        <v/>
      </c>
      <c r="B218" s="0" t="str">
        <f aca="false">IF(A218="","",SUMPRODUCT(--($A$2:A218=A218)))</f>
        <v/>
      </c>
      <c r="C218" s="0" t="str">
        <f aca="false">IF(A218="","",A218&amp;"#"&amp;B218)</f>
        <v/>
      </c>
      <c r="D218" s="0" t="str">
        <f aca="false">IF(A218="","",IFERROR(--'List 1'!B218,0))</f>
        <v/>
      </c>
      <c r="F218" s="0" t="str">
        <f aca="false">IF(TRIM('List 2'!A218&amp;'List 2'!C218&amp;'List 2'!D218)="","",LOWER(IF(OR(Comparison!$I$9="Item # + Part # + Description",Comparison!$I$9="Item # + Part #"),TRIM('List 2'!A218),"")&amp;"|"&amp;TRIM('List 2'!C218)&amp;"|"&amp;IF(OR(Comparison!$I$9="Item # + Part # + Description",Comparison!$I$9="Part # + Description"),TRIM('List 2'!D218),"")))</f>
        <v/>
      </c>
      <c r="G218" s="0" t="str">
        <f aca="false">IF(F218="","",SUMPRODUCT(--($F$2:F218=F218)))</f>
        <v/>
      </c>
      <c r="H218" s="0" t="str">
        <f aca="false">IF(F218="","",F218&amp;"#"&amp;G218)</f>
        <v/>
      </c>
      <c r="I218" s="0" t="str">
        <f aca="false">IF(F218="","",IFERROR(--'List 2'!B218,0))</f>
        <v/>
      </c>
      <c r="K218" s="0" t="str">
        <f aca="false">C218</f>
        <v/>
      </c>
      <c r="L218" s="0" t="str">
        <f aca="false">IF(K218="","",IF(ISNUMBER('List 1'!A218),'List 1'!A218,TRIM('List 1'!A218)))</f>
        <v/>
      </c>
      <c r="M218" s="0" t="str">
        <f aca="false">IF(K218="","",IF(ISNUMBER('List 1'!C218),'List 1'!C218,TRIM('List 1'!C218)))</f>
        <v/>
      </c>
      <c r="N218" s="0" t="str">
        <f aca="false">IF(K218="","",IF(ISNUMBER('List 1'!D218),'List 1'!D218,TRIM('List 1'!D218)))</f>
        <v/>
      </c>
      <c r="O218" s="0" t="str">
        <f aca="false">IF(K218="","",D218)</f>
        <v/>
      </c>
      <c r="P218" s="0" t="str">
        <f aca="false">IF(K218="","",IF(R218,SUMPRODUCT(--($H$2:$H$501=K218),$I$2:$I$501),0))</f>
        <v/>
      </c>
      <c r="Q218" s="0" t="str">
        <f aca="false">IF(K218="","",TRUE())</f>
        <v/>
      </c>
      <c r="R218" s="0" t="str">
        <f aca="false">IF(K218="","",SUMPRODUCT(--($H$2:$H$501=K218))&gt;0)</f>
        <v/>
      </c>
      <c r="S218" s="0" t="str">
        <f aca="false">IF(K218="","",IF(AND(Q218,R218),IF(O218=P218,"Match","Qty Different"),IF(Q218,"Only in List 1","Only in List 2")))</f>
        <v/>
      </c>
      <c r="T218" s="0" t="str">
        <f aca="false">IF(K218="","",IF(ISNUMBER(--L218),TEXT(--L218,"000000000000.000"),LOWER(L218)))</f>
        <v/>
      </c>
      <c r="U218" s="0" t="str">
        <f aca="false">IF(K218="","",IF(ISNUMBER(--M218),TEXT(--M218,"000000000000.000"),LOWER(M218)))</f>
        <v/>
      </c>
      <c r="V218" s="0" t="str">
        <f aca="false">IF(K218="","",LOWER(N218))</f>
        <v/>
      </c>
      <c r="W218" s="0" t="str">
        <f aca="false">IF(K218="","",B218)</f>
        <v/>
      </c>
      <c r="X218" s="0" t="str">
        <f aca="false">IF(K218="","",1+SUMPRODUCT(($K$2:$K$1001&lt;&gt;"")*(($T$2:$T$1001&lt;T218)+($T$2:$T$1001=T218)*(($U$2:$U$1001&lt;U218)+($U$2:$U$1001=U218)*(($V$2:$V$1001&lt;V218)+($V$2:$V$1001=V218)*(($W$2:$W$1001&lt;W218)+($W$2:$W$1001=W218)*(ROW($K$2:$K$1001)&lt;ROW(K218))))))))</f>
        <v/>
      </c>
    </row>
    <row r="219" customFormat="false" ht="15" hidden="false" customHeight="false" outlineLevel="0" collapsed="false">
      <c r="A219" s="0" t="str">
        <f aca="false">IF(TRIM('List 1'!A219&amp;'List 1'!C219&amp;'List 1'!D219)="","",LOWER(IF(OR(Comparison!$I$9="Item # + Part # + Description",Comparison!$I$9="Item # + Part #"),TRIM('List 1'!A219),"")&amp;"|"&amp;TRIM('List 1'!C219)&amp;"|"&amp;IF(OR(Comparison!$I$9="Item # + Part # + Description",Comparison!$I$9="Part # + Description"),TRIM('List 1'!D219),"")))</f>
        <v/>
      </c>
      <c r="B219" s="0" t="str">
        <f aca="false">IF(A219="","",SUMPRODUCT(--($A$2:A219=A219)))</f>
        <v/>
      </c>
      <c r="C219" s="0" t="str">
        <f aca="false">IF(A219="","",A219&amp;"#"&amp;B219)</f>
        <v/>
      </c>
      <c r="D219" s="0" t="str">
        <f aca="false">IF(A219="","",IFERROR(--'List 1'!B219,0))</f>
        <v/>
      </c>
      <c r="F219" s="0" t="str">
        <f aca="false">IF(TRIM('List 2'!A219&amp;'List 2'!C219&amp;'List 2'!D219)="","",LOWER(IF(OR(Comparison!$I$9="Item # + Part # + Description",Comparison!$I$9="Item # + Part #"),TRIM('List 2'!A219),"")&amp;"|"&amp;TRIM('List 2'!C219)&amp;"|"&amp;IF(OR(Comparison!$I$9="Item # + Part # + Description",Comparison!$I$9="Part # + Description"),TRIM('List 2'!D219),"")))</f>
        <v/>
      </c>
      <c r="G219" s="0" t="str">
        <f aca="false">IF(F219="","",SUMPRODUCT(--($F$2:F219=F219)))</f>
        <v/>
      </c>
      <c r="H219" s="0" t="str">
        <f aca="false">IF(F219="","",F219&amp;"#"&amp;G219)</f>
        <v/>
      </c>
      <c r="I219" s="0" t="str">
        <f aca="false">IF(F219="","",IFERROR(--'List 2'!B219,0))</f>
        <v/>
      </c>
      <c r="K219" s="0" t="str">
        <f aca="false">C219</f>
        <v/>
      </c>
      <c r="L219" s="0" t="str">
        <f aca="false">IF(K219="","",IF(ISNUMBER('List 1'!A219),'List 1'!A219,TRIM('List 1'!A219)))</f>
        <v/>
      </c>
      <c r="M219" s="0" t="str">
        <f aca="false">IF(K219="","",IF(ISNUMBER('List 1'!C219),'List 1'!C219,TRIM('List 1'!C219)))</f>
        <v/>
      </c>
      <c r="N219" s="0" t="str">
        <f aca="false">IF(K219="","",IF(ISNUMBER('List 1'!D219),'List 1'!D219,TRIM('List 1'!D219)))</f>
        <v/>
      </c>
      <c r="O219" s="0" t="str">
        <f aca="false">IF(K219="","",D219)</f>
        <v/>
      </c>
      <c r="P219" s="0" t="str">
        <f aca="false">IF(K219="","",IF(R219,SUMPRODUCT(--($H$2:$H$501=K219),$I$2:$I$501),0))</f>
        <v/>
      </c>
      <c r="Q219" s="0" t="str">
        <f aca="false">IF(K219="","",TRUE())</f>
        <v/>
      </c>
      <c r="R219" s="0" t="str">
        <f aca="false">IF(K219="","",SUMPRODUCT(--($H$2:$H$501=K219))&gt;0)</f>
        <v/>
      </c>
      <c r="S219" s="0" t="str">
        <f aca="false">IF(K219="","",IF(AND(Q219,R219),IF(O219=P219,"Match","Qty Different"),IF(Q219,"Only in List 1","Only in List 2")))</f>
        <v/>
      </c>
      <c r="T219" s="0" t="str">
        <f aca="false">IF(K219="","",IF(ISNUMBER(--L219),TEXT(--L219,"000000000000.000"),LOWER(L219)))</f>
        <v/>
      </c>
      <c r="U219" s="0" t="str">
        <f aca="false">IF(K219="","",IF(ISNUMBER(--M219),TEXT(--M219,"000000000000.000"),LOWER(M219)))</f>
        <v/>
      </c>
      <c r="V219" s="0" t="str">
        <f aca="false">IF(K219="","",LOWER(N219))</f>
        <v/>
      </c>
      <c r="W219" s="0" t="str">
        <f aca="false">IF(K219="","",B219)</f>
        <v/>
      </c>
      <c r="X219" s="0" t="str">
        <f aca="false">IF(K219="","",1+SUMPRODUCT(($K$2:$K$1001&lt;&gt;"")*(($T$2:$T$1001&lt;T219)+($T$2:$T$1001=T219)*(($U$2:$U$1001&lt;U219)+($U$2:$U$1001=U219)*(($V$2:$V$1001&lt;V219)+($V$2:$V$1001=V219)*(($W$2:$W$1001&lt;W219)+($W$2:$W$1001=W219)*(ROW($K$2:$K$1001)&lt;ROW(K219))))))))</f>
        <v/>
      </c>
    </row>
    <row r="220" customFormat="false" ht="15" hidden="false" customHeight="false" outlineLevel="0" collapsed="false">
      <c r="A220" s="0" t="str">
        <f aca="false">IF(TRIM('List 1'!A220&amp;'List 1'!C220&amp;'List 1'!D220)="","",LOWER(IF(OR(Comparison!$I$9="Item # + Part # + Description",Comparison!$I$9="Item # + Part #"),TRIM('List 1'!A220),"")&amp;"|"&amp;TRIM('List 1'!C220)&amp;"|"&amp;IF(OR(Comparison!$I$9="Item # + Part # + Description",Comparison!$I$9="Part # + Description"),TRIM('List 1'!D220),"")))</f>
        <v/>
      </c>
      <c r="B220" s="0" t="str">
        <f aca="false">IF(A220="","",SUMPRODUCT(--($A$2:A220=A220)))</f>
        <v/>
      </c>
      <c r="C220" s="0" t="str">
        <f aca="false">IF(A220="","",A220&amp;"#"&amp;B220)</f>
        <v/>
      </c>
      <c r="D220" s="0" t="str">
        <f aca="false">IF(A220="","",IFERROR(--'List 1'!B220,0))</f>
        <v/>
      </c>
      <c r="F220" s="0" t="str">
        <f aca="false">IF(TRIM('List 2'!A220&amp;'List 2'!C220&amp;'List 2'!D220)="","",LOWER(IF(OR(Comparison!$I$9="Item # + Part # + Description",Comparison!$I$9="Item # + Part #"),TRIM('List 2'!A220),"")&amp;"|"&amp;TRIM('List 2'!C220)&amp;"|"&amp;IF(OR(Comparison!$I$9="Item # + Part # + Description",Comparison!$I$9="Part # + Description"),TRIM('List 2'!D220),"")))</f>
        <v/>
      </c>
      <c r="G220" s="0" t="str">
        <f aca="false">IF(F220="","",SUMPRODUCT(--($F$2:F220=F220)))</f>
        <v/>
      </c>
      <c r="H220" s="0" t="str">
        <f aca="false">IF(F220="","",F220&amp;"#"&amp;G220)</f>
        <v/>
      </c>
      <c r="I220" s="0" t="str">
        <f aca="false">IF(F220="","",IFERROR(--'List 2'!B220,0))</f>
        <v/>
      </c>
      <c r="K220" s="0" t="str">
        <f aca="false">C220</f>
        <v/>
      </c>
      <c r="L220" s="0" t="str">
        <f aca="false">IF(K220="","",IF(ISNUMBER('List 1'!A220),'List 1'!A220,TRIM('List 1'!A220)))</f>
        <v/>
      </c>
      <c r="M220" s="0" t="str">
        <f aca="false">IF(K220="","",IF(ISNUMBER('List 1'!C220),'List 1'!C220,TRIM('List 1'!C220)))</f>
        <v/>
      </c>
      <c r="N220" s="0" t="str">
        <f aca="false">IF(K220="","",IF(ISNUMBER('List 1'!D220),'List 1'!D220,TRIM('List 1'!D220)))</f>
        <v/>
      </c>
      <c r="O220" s="0" t="str">
        <f aca="false">IF(K220="","",D220)</f>
        <v/>
      </c>
      <c r="P220" s="0" t="str">
        <f aca="false">IF(K220="","",IF(R220,SUMPRODUCT(--($H$2:$H$501=K220),$I$2:$I$501),0))</f>
        <v/>
      </c>
      <c r="Q220" s="0" t="str">
        <f aca="false">IF(K220="","",TRUE())</f>
        <v/>
      </c>
      <c r="R220" s="0" t="str">
        <f aca="false">IF(K220="","",SUMPRODUCT(--($H$2:$H$501=K220))&gt;0)</f>
        <v/>
      </c>
      <c r="S220" s="0" t="str">
        <f aca="false">IF(K220="","",IF(AND(Q220,R220),IF(O220=P220,"Match","Qty Different"),IF(Q220,"Only in List 1","Only in List 2")))</f>
        <v/>
      </c>
      <c r="T220" s="0" t="str">
        <f aca="false">IF(K220="","",IF(ISNUMBER(--L220),TEXT(--L220,"000000000000.000"),LOWER(L220)))</f>
        <v/>
      </c>
      <c r="U220" s="0" t="str">
        <f aca="false">IF(K220="","",IF(ISNUMBER(--M220),TEXT(--M220,"000000000000.000"),LOWER(M220)))</f>
        <v/>
      </c>
      <c r="V220" s="0" t="str">
        <f aca="false">IF(K220="","",LOWER(N220))</f>
        <v/>
      </c>
      <c r="W220" s="0" t="str">
        <f aca="false">IF(K220="","",B220)</f>
        <v/>
      </c>
      <c r="X220" s="0" t="str">
        <f aca="false">IF(K220="","",1+SUMPRODUCT(($K$2:$K$1001&lt;&gt;"")*(($T$2:$T$1001&lt;T220)+($T$2:$T$1001=T220)*(($U$2:$U$1001&lt;U220)+($U$2:$U$1001=U220)*(($V$2:$V$1001&lt;V220)+($V$2:$V$1001=V220)*(($W$2:$W$1001&lt;W220)+($W$2:$W$1001=W220)*(ROW($K$2:$K$1001)&lt;ROW(K220))))))))</f>
        <v/>
      </c>
    </row>
    <row r="221" customFormat="false" ht="15" hidden="false" customHeight="false" outlineLevel="0" collapsed="false">
      <c r="A221" s="0" t="str">
        <f aca="false">IF(TRIM('List 1'!A221&amp;'List 1'!C221&amp;'List 1'!D221)="","",LOWER(IF(OR(Comparison!$I$9="Item # + Part # + Description",Comparison!$I$9="Item # + Part #"),TRIM('List 1'!A221),"")&amp;"|"&amp;TRIM('List 1'!C221)&amp;"|"&amp;IF(OR(Comparison!$I$9="Item # + Part # + Description",Comparison!$I$9="Part # + Description"),TRIM('List 1'!D221),"")))</f>
        <v/>
      </c>
      <c r="B221" s="0" t="str">
        <f aca="false">IF(A221="","",SUMPRODUCT(--($A$2:A221=A221)))</f>
        <v/>
      </c>
      <c r="C221" s="0" t="str">
        <f aca="false">IF(A221="","",A221&amp;"#"&amp;B221)</f>
        <v/>
      </c>
      <c r="D221" s="0" t="str">
        <f aca="false">IF(A221="","",IFERROR(--'List 1'!B221,0))</f>
        <v/>
      </c>
      <c r="F221" s="0" t="str">
        <f aca="false">IF(TRIM('List 2'!A221&amp;'List 2'!C221&amp;'List 2'!D221)="","",LOWER(IF(OR(Comparison!$I$9="Item # + Part # + Description",Comparison!$I$9="Item # + Part #"),TRIM('List 2'!A221),"")&amp;"|"&amp;TRIM('List 2'!C221)&amp;"|"&amp;IF(OR(Comparison!$I$9="Item # + Part # + Description",Comparison!$I$9="Part # + Description"),TRIM('List 2'!D221),"")))</f>
        <v/>
      </c>
      <c r="G221" s="0" t="str">
        <f aca="false">IF(F221="","",SUMPRODUCT(--($F$2:F221=F221)))</f>
        <v/>
      </c>
      <c r="H221" s="0" t="str">
        <f aca="false">IF(F221="","",F221&amp;"#"&amp;G221)</f>
        <v/>
      </c>
      <c r="I221" s="0" t="str">
        <f aca="false">IF(F221="","",IFERROR(--'List 2'!B221,0))</f>
        <v/>
      </c>
      <c r="K221" s="0" t="str">
        <f aca="false">C221</f>
        <v/>
      </c>
      <c r="L221" s="0" t="str">
        <f aca="false">IF(K221="","",IF(ISNUMBER('List 1'!A221),'List 1'!A221,TRIM('List 1'!A221)))</f>
        <v/>
      </c>
      <c r="M221" s="0" t="str">
        <f aca="false">IF(K221="","",IF(ISNUMBER('List 1'!C221),'List 1'!C221,TRIM('List 1'!C221)))</f>
        <v/>
      </c>
      <c r="N221" s="0" t="str">
        <f aca="false">IF(K221="","",IF(ISNUMBER('List 1'!D221),'List 1'!D221,TRIM('List 1'!D221)))</f>
        <v/>
      </c>
      <c r="O221" s="0" t="str">
        <f aca="false">IF(K221="","",D221)</f>
        <v/>
      </c>
      <c r="P221" s="0" t="str">
        <f aca="false">IF(K221="","",IF(R221,SUMPRODUCT(--($H$2:$H$501=K221),$I$2:$I$501),0))</f>
        <v/>
      </c>
      <c r="Q221" s="0" t="str">
        <f aca="false">IF(K221="","",TRUE())</f>
        <v/>
      </c>
      <c r="R221" s="0" t="str">
        <f aca="false">IF(K221="","",SUMPRODUCT(--($H$2:$H$501=K221))&gt;0)</f>
        <v/>
      </c>
      <c r="S221" s="0" t="str">
        <f aca="false">IF(K221="","",IF(AND(Q221,R221),IF(O221=P221,"Match","Qty Different"),IF(Q221,"Only in List 1","Only in List 2")))</f>
        <v/>
      </c>
      <c r="T221" s="0" t="str">
        <f aca="false">IF(K221="","",IF(ISNUMBER(--L221),TEXT(--L221,"000000000000.000"),LOWER(L221)))</f>
        <v/>
      </c>
      <c r="U221" s="0" t="str">
        <f aca="false">IF(K221="","",IF(ISNUMBER(--M221),TEXT(--M221,"000000000000.000"),LOWER(M221)))</f>
        <v/>
      </c>
      <c r="V221" s="0" t="str">
        <f aca="false">IF(K221="","",LOWER(N221))</f>
        <v/>
      </c>
      <c r="W221" s="0" t="str">
        <f aca="false">IF(K221="","",B221)</f>
        <v/>
      </c>
      <c r="X221" s="0" t="str">
        <f aca="false">IF(K221="","",1+SUMPRODUCT(($K$2:$K$1001&lt;&gt;"")*(($T$2:$T$1001&lt;T221)+($T$2:$T$1001=T221)*(($U$2:$U$1001&lt;U221)+($U$2:$U$1001=U221)*(($V$2:$V$1001&lt;V221)+($V$2:$V$1001=V221)*(($W$2:$W$1001&lt;W221)+($W$2:$W$1001=W221)*(ROW($K$2:$K$1001)&lt;ROW(K221))))))))</f>
        <v/>
      </c>
    </row>
    <row r="222" customFormat="false" ht="15" hidden="false" customHeight="false" outlineLevel="0" collapsed="false">
      <c r="A222" s="0" t="str">
        <f aca="false">IF(TRIM('List 1'!A222&amp;'List 1'!C222&amp;'List 1'!D222)="","",LOWER(IF(OR(Comparison!$I$9="Item # + Part # + Description",Comparison!$I$9="Item # + Part #"),TRIM('List 1'!A222),"")&amp;"|"&amp;TRIM('List 1'!C222)&amp;"|"&amp;IF(OR(Comparison!$I$9="Item # + Part # + Description",Comparison!$I$9="Part # + Description"),TRIM('List 1'!D222),"")))</f>
        <v/>
      </c>
      <c r="B222" s="0" t="str">
        <f aca="false">IF(A222="","",SUMPRODUCT(--($A$2:A222=A222)))</f>
        <v/>
      </c>
      <c r="C222" s="0" t="str">
        <f aca="false">IF(A222="","",A222&amp;"#"&amp;B222)</f>
        <v/>
      </c>
      <c r="D222" s="0" t="str">
        <f aca="false">IF(A222="","",IFERROR(--'List 1'!B222,0))</f>
        <v/>
      </c>
      <c r="F222" s="0" t="str">
        <f aca="false">IF(TRIM('List 2'!A222&amp;'List 2'!C222&amp;'List 2'!D222)="","",LOWER(IF(OR(Comparison!$I$9="Item # + Part # + Description",Comparison!$I$9="Item # + Part #"),TRIM('List 2'!A222),"")&amp;"|"&amp;TRIM('List 2'!C222)&amp;"|"&amp;IF(OR(Comparison!$I$9="Item # + Part # + Description",Comparison!$I$9="Part # + Description"),TRIM('List 2'!D222),"")))</f>
        <v/>
      </c>
      <c r="G222" s="0" t="str">
        <f aca="false">IF(F222="","",SUMPRODUCT(--($F$2:F222=F222)))</f>
        <v/>
      </c>
      <c r="H222" s="0" t="str">
        <f aca="false">IF(F222="","",F222&amp;"#"&amp;G222)</f>
        <v/>
      </c>
      <c r="I222" s="0" t="str">
        <f aca="false">IF(F222="","",IFERROR(--'List 2'!B222,0))</f>
        <v/>
      </c>
      <c r="K222" s="0" t="str">
        <f aca="false">C222</f>
        <v/>
      </c>
      <c r="L222" s="0" t="str">
        <f aca="false">IF(K222="","",IF(ISNUMBER('List 1'!A222),'List 1'!A222,TRIM('List 1'!A222)))</f>
        <v/>
      </c>
      <c r="M222" s="0" t="str">
        <f aca="false">IF(K222="","",IF(ISNUMBER('List 1'!C222),'List 1'!C222,TRIM('List 1'!C222)))</f>
        <v/>
      </c>
      <c r="N222" s="0" t="str">
        <f aca="false">IF(K222="","",IF(ISNUMBER('List 1'!D222),'List 1'!D222,TRIM('List 1'!D222)))</f>
        <v/>
      </c>
      <c r="O222" s="0" t="str">
        <f aca="false">IF(K222="","",D222)</f>
        <v/>
      </c>
      <c r="P222" s="0" t="str">
        <f aca="false">IF(K222="","",IF(R222,SUMPRODUCT(--($H$2:$H$501=K222),$I$2:$I$501),0))</f>
        <v/>
      </c>
      <c r="Q222" s="0" t="str">
        <f aca="false">IF(K222="","",TRUE())</f>
        <v/>
      </c>
      <c r="R222" s="0" t="str">
        <f aca="false">IF(K222="","",SUMPRODUCT(--($H$2:$H$501=K222))&gt;0)</f>
        <v/>
      </c>
      <c r="S222" s="0" t="str">
        <f aca="false">IF(K222="","",IF(AND(Q222,R222),IF(O222=P222,"Match","Qty Different"),IF(Q222,"Only in List 1","Only in List 2")))</f>
        <v/>
      </c>
      <c r="T222" s="0" t="str">
        <f aca="false">IF(K222="","",IF(ISNUMBER(--L222),TEXT(--L222,"000000000000.000"),LOWER(L222)))</f>
        <v/>
      </c>
      <c r="U222" s="0" t="str">
        <f aca="false">IF(K222="","",IF(ISNUMBER(--M222),TEXT(--M222,"000000000000.000"),LOWER(M222)))</f>
        <v/>
      </c>
      <c r="V222" s="0" t="str">
        <f aca="false">IF(K222="","",LOWER(N222))</f>
        <v/>
      </c>
      <c r="W222" s="0" t="str">
        <f aca="false">IF(K222="","",B222)</f>
        <v/>
      </c>
      <c r="X222" s="0" t="str">
        <f aca="false">IF(K222="","",1+SUMPRODUCT(($K$2:$K$1001&lt;&gt;"")*(($T$2:$T$1001&lt;T222)+($T$2:$T$1001=T222)*(($U$2:$U$1001&lt;U222)+($U$2:$U$1001=U222)*(($V$2:$V$1001&lt;V222)+($V$2:$V$1001=V222)*(($W$2:$W$1001&lt;W222)+($W$2:$W$1001=W222)*(ROW($K$2:$K$1001)&lt;ROW(K222))))))))</f>
        <v/>
      </c>
    </row>
    <row r="223" customFormat="false" ht="15" hidden="false" customHeight="false" outlineLevel="0" collapsed="false">
      <c r="A223" s="0" t="str">
        <f aca="false">IF(TRIM('List 1'!A223&amp;'List 1'!C223&amp;'List 1'!D223)="","",LOWER(IF(OR(Comparison!$I$9="Item # + Part # + Description",Comparison!$I$9="Item # + Part #"),TRIM('List 1'!A223),"")&amp;"|"&amp;TRIM('List 1'!C223)&amp;"|"&amp;IF(OR(Comparison!$I$9="Item # + Part # + Description",Comparison!$I$9="Part # + Description"),TRIM('List 1'!D223),"")))</f>
        <v/>
      </c>
      <c r="B223" s="0" t="str">
        <f aca="false">IF(A223="","",SUMPRODUCT(--($A$2:A223=A223)))</f>
        <v/>
      </c>
      <c r="C223" s="0" t="str">
        <f aca="false">IF(A223="","",A223&amp;"#"&amp;B223)</f>
        <v/>
      </c>
      <c r="D223" s="0" t="str">
        <f aca="false">IF(A223="","",IFERROR(--'List 1'!B223,0))</f>
        <v/>
      </c>
      <c r="F223" s="0" t="str">
        <f aca="false">IF(TRIM('List 2'!A223&amp;'List 2'!C223&amp;'List 2'!D223)="","",LOWER(IF(OR(Comparison!$I$9="Item # + Part # + Description",Comparison!$I$9="Item # + Part #"),TRIM('List 2'!A223),"")&amp;"|"&amp;TRIM('List 2'!C223)&amp;"|"&amp;IF(OR(Comparison!$I$9="Item # + Part # + Description",Comparison!$I$9="Part # + Description"),TRIM('List 2'!D223),"")))</f>
        <v/>
      </c>
      <c r="G223" s="0" t="str">
        <f aca="false">IF(F223="","",SUMPRODUCT(--($F$2:F223=F223)))</f>
        <v/>
      </c>
      <c r="H223" s="0" t="str">
        <f aca="false">IF(F223="","",F223&amp;"#"&amp;G223)</f>
        <v/>
      </c>
      <c r="I223" s="0" t="str">
        <f aca="false">IF(F223="","",IFERROR(--'List 2'!B223,0))</f>
        <v/>
      </c>
      <c r="K223" s="0" t="str">
        <f aca="false">C223</f>
        <v/>
      </c>
      <c r="L223" s="0" t="str">
        <f aca="false">IF(K223="","",IF(ISNUMBER('List 1'!A223),'List 1'!A223,TRIM('List 1'!A223)))</f>
        <v/>
      </c>
      <c r="M223" s="0" t="str">
        <f aca="false">IF(K223="","",IF(ISNUMBER('List 1'!C223),'List 1'!C223,TRIM('List 1'!C223)))</f>
        <v/>
      </c>
      <c r="N223" s="0" t="str">
        <f aca="false">IF(K223="","",IF(ISNUMBER('List 1'!D223),'List 1'!D223,TRIM('List 1'!D223)))</f>
        <v/>
      </c>
      <c r="O223" s="0" t="str">
        <f aca="false">IF(K223="","",D223)</f>
        <v/>
      </c>
      <c r="P223" s="0" t="str">
        <f aca="false">IF(K223="","",IF(R223,SUMPRODUCT(--($H$2:$H$501=K223),$I$2:$I$501),0))</f>
        <v/>
      </c>
      <c r="Q223" s="0" t="str">
        <f aca="false">IF(K223="","",TRUE())</f>
        <v/>
      </c>
      <c r="R223" s="0" t="str">
        <f aca="false">IF(K223="","",SUMPRODUCT(--($H$2:$H$501=K223))&gt;0)</f>
        <v/>
      </c>
      <c r="S223" s="0" t="str">
        <f aca="false">IF(K223="","",IF(AND(Q223,R223),IF(O223=P223,"Match","Qty Different"),IF(Q223,"Only in List 1","Only in List 2")))</f>
        <v/>
      </c>
      <c r="T223" s="0" t="str">
        <f aca="false">IF(K223="","",IF(ISNUMBER(--L223),TEXT(--L223,"000000000000.000"),LOWER(L223)))</f>
        <v/>
      </c>
      <c r="U223" s="0" t="str">
        <f aca="false">IF(K223="","",IF(ISNUMBER(--M223),TEXT(--M223,"000000000000.000"),LOWER(M223)))</f>
        <v/>
      </c>
      <c r="V223" s="0" t="str">
        <f aca="false">IF(K223="","",LOWER(N223))</f>
        <v/>
      </c>
      <c r="W223" s="0" t="str">
        <f aca="false">IF(K223="","",B223)</f>
        <v/>
      </c>
      <c r="X223" s="0" t="str">
        <f aca="false">IF(K223="","",1+SUMPRODUCT(($K$2:$K$1001&lt;&gt;"")*(($T$2:$T$1001&lt;T223)+($T$2:$T$1001=T223)*(($U$2:$U$1001&lt;U223)+($U$2:$U$1001=U223)*(($V$2:$V$1001&lt;V223)+($V$2:$V$1001=V223)*(($W$2:$W$1001&lt;W223)+($W$2:$W$1001=W223)*(ROW($K$2:$K$1001)&lt;ROW(K223))))))))</f>
        <v/>
      </c>
    </row>
    <row r="224" customFormat="false" ht="15" hidden="false" customHeight="false" outlineLevel="0" collapsed="false">
      <c r="A224" s="0" t="str">
        <f aca="false">IF(TRIM('List 1'!A224&amp;'List 1'!C224&amp;'List 1'!D224)="","",LOWER(IF(OR(Comparison!$I$9="Item # + Part # + Description",Comparison!$I$9="Item # + Part #"),TRIM('List 1'!A224),"")&amp;"|"&amp;TRIM('List 1'!C224)&amp;"|"&amp;IF(OR(Comparison!$I$9="Item # + Part # + Description",Comparison!$I$9="Part # + Description"),TRIM('List 1'!D224),"")))</f>
        <v/>
      </c>
      <c r="B224" s="0" t="str">
        <f aca="false">IF(A224="","",SUMPRODUCT(--($A$2:A224=A224)))</f>
        <v/>
      </c>
      <c r="C224" s="0" t="str">
        <f aca="false">IF(A224="","",A224&amp;"#"&amp;B224)</f>
        <v/>
      </c>
      <c r="D224" s="0" t="str">
        <f aca="false">IF(A224="","",IFERROR(--'List 1'!B224,0))</f>
        <v/>
      </c>
      <c r="F224" s="0" t="str">
        <f aca="false">IF(TRIM('List 2'!A224&amp;'List 2'!C224&amp;'List 2'!D224)="","",LOWER(IF(OR(Comparison!$I$9="Item # + Part # + Description",Comparison!$I$9="Item # + Part #"),TRIM('List 2'!A224),"")&amp;"|"&amp;TRIM('List 2'!C224)&amp;"|"&amp;IF(OR(Comparison!$I$9="Item # + Part # + Description",Comparison!$I$9="Part # + Description"),TRIM('List 2'!D224),"")))</f>
        <v/>
      </c>
      <c r="G224" s="0" t="str">
        <f aca="false">IF(F224="","",SUMPRODUCT(--($F$2:F224=F224)))</f>
        <v/>
      </c>
      <c r="H224" s="0" t="str">
        <f aca="false">IF(F224="","",F224&amp;"#"&amp;G224)</f>
        <v/>
      </c>
      <c r="I224" s="0" t="str">
        <f aca="false">IF(F224="","",IFERROR(--'List 2'!B224,0))</f>
        <v/>
      </c>
      <c r="K224" s="0" t="str">
        <f aca="false">C224</f>
        <v/>
      </c>
      <c r="L224" s="0" t="str">
        <f aca="false">IF(K224="","",IF(ISNUMBER('List 1'!A224),'List 1'!A224,TRIM('List 1'!A224)))</f>
        <v/>
      </c>
      <c r="M224" s="0" t="str">
        <f aca="false">IF(K224="","",IF(ISNUMBER('List 1'!C224),'List 1'!C224,TRIM('List 1'!C224)))</f>
        <v/>
      </c>
      <c r="N224" s="0" t="str">
        <f aca="false">IF(K224="","",IF(ISNUMBER('List 1'!D224),'List 1'!D224,TRIM('List 1'!D224)))</f>
        <v/>
      </c>
      <c r="O224" s="0" t="str">
        <f aca="false">IF(K224="","",D224)</f>
        <v/>
      </c>
      <c r="P224" s="0" t="str">
        <f aca="false">IF(K224="","",IF(R224,SUMPRODUCT(--($H$2:$H$501=K224),$I$2:$I$501),0))</f>
        <v/>
      </c>
      <c r="Q224" s="0" t="str">
        <f aca="false">IF(K224="","",TRUE())</f>
        <v/>
      </c>
      <c r="R224" s="0" t="str">
        <f aca="false">IF(K224="","",SUMPRODUCT(--($H$2:$H$501=K224))&gt;0)</f>
        <v/>
      </c>
      <c r="S224" s="0" t="str">
        <f aca="false">IF(K224="","",IF(AND(Q224,R224),IF(O224=P224,"Match","Qty Different"),IF(Q224,"Only in List 1","Only in List 2")))</f>
        <v/>
      </c>
      <c r="T224" s="0" t="str">
        <f aca="false">IF(K224="","",IF(ISNUMBER(--L224),TEXT(--L224,"000000000000.000"),LOWER(L224)))</f>
        <v/>
      </c>
      <c r="U224" s="0" t="str">
        <f aca="false">IF(K224="","",IF(ISNUMBER(--M224),TEXT(--M224,"000000000000.000"),LOWER(M224)))</f>
        <v/>
      </c>
      <c r="V224" s="0" t="str">
        <f aca="false">IF(K224="","",LOWER(N224))</f>
        <v/>
      </c>
      <c r="W224" s="0" t="str">
        <f aca="false">IF(K224="","",B224)</f>
        <v/>
      </c>
      <c r="X224" s="0" t="str">
        <f aca="false">IF(K224="","",1+SUMPRODUCT(($K$2:$K$1001&lt;&gt;"")*(($T$2:$T$1001&lt;T224)+($T$2:$T$1001=T224)*(($U$2:$U$1001&lt;U224)+($U$2:$U$1001=U224)*(($V$2:$V$1001&lt;V224)+($V$2:$V$1001=V224)*(($W$2:$W$1001&lt;W224)+($W$2:$W$1001=W224)*(ROW($K$2:$K$1001)&lt;ROW(K224))))))))</f>
        <v/>
      </c>
    </row>
    <row r="225" customFormat="false" ht="15" hidden="false" customHeight="false" outlineLevel="0" collapsed="false">
      <c r="A225" s="0" t="str">
        <f aca="false">IF(TRIM('List 1'!A225&amp;'List 1'!C225&amp;'List 1'!D225)="","",LOWER(IF(OR(Comparison!$I$9="Item # + Part # + Description",Comparison!$I$9="Item # + Part #"),TRIM('List 1'!A225),"")&amp;"|"&amp;TRIM('List 1'!C225)&amp;"|"&amp;IF(OR(Comparison!$I$9="Item # + Part # + Description",Comparison!$I$9="Part # + Description"),TRIM('List 1'!D225),"")))</f>
        <v/>
      </c>
      <c r="B225" s="0" t="str">
        <f aca="false">IF(A225="","",SUMPRODUCT(--($A$2:A225=A225)))</f>
        <v/>
      </c>
      <c r="C225" s="0" t="str">
        <f aca="false">IF(A225="","",A225&amp;"#"&amp;B225)</f>
        <v/>
      </c>
      <c r="D225" s="0" t="str">
        <f aca="false">IF(A225="","",IFERROR(--'List 1'!B225,0))</f>
        <v/>
      </c>
      <c r="F225" s="0" t="str">
        <f aca="false">IF(TRIM('List 2'!A225&amp;'List 2'!C225&amp;'List 2'!D225)="","",LOWER(IF(OR(Comparison!$I$9="Item # + Part # + Description",Comparison!$I$9="Item # + Part #"),TRIM('List 2'!A225),"")&amp;"|"&amp;TRIM('List 2'!C225)&amp;"|"&amp;IF(OR(Comparison!$I$9="Item # + Part # + Description",Comparison!$I$9="Part # + Description"),TRIM('List 2'!D225),"")))</f>
        <v/>
      </c>
      <c r="G225" s="0" t="str">
        <f aca="false">IF(F225="","",SUMPRODUCT(--($F$2:F225=F225)))</f>
        <v/>
      </c>
      <c r="H225" s="0" t="str">
        <f aca="false">IF(F225="","",F225&amp;"#"&amp;G225)</f>
        <v/>
      </c>
      <c r="I225" s="0" t="str">
        <f aca="false">IF(F225="","",IFERROR(--'List 2'!B225,0))</f>
        <v/>
      </c>
      <c r="K225" s="0" t="str">
        <f aca="false">C225</f>
        <v/>
      </c>
      <c r="L225" s="0" t="str">
        <f aca="false">IF(K225="","",IF(ISNUMBER('List 1'!A225),'List 1'!A225,TRIM('List 1'!A225)))</f>
        <v/>
      </c>
      <c r="M225" s="0" t="str">
        <f aca="false">IF(K225="","",IF(ISNUMBER('List 1'!C225),'List 1'!C225,TRIM('List 1'!C225)))</f>
        <v/>
      </c>
      <c r="N225" s="0" t="str">
        <f aca="false">IF(K225="","",IF(ISNUMBER('List 1'!D225),'List 1'!D225,TRIM('List 1'!D225)))</f>
        <v/>
      </c>
      <c r="O225" s="0" t="str">
        <f aca="false">IF(K225="","",D225)</f>
        <v/>
      </c>
      <c r="P225" s="0" t="str">
        <f aca="false">IF(K225="","",IF(R225,SUMPRODUCT(--($H$2:$H$501=K225),$I$2:$I$501),0))</f>
        <v/>
      </c>
      <c r="Q225" s="0" t="str">
        <f aca="false">IF(K225="","",TRUE())</f>
        <v/>
      </c>
      <c r="R225" s="0" t="str">
        <f aca="false">IF(K225="","",SUMPRODUCT(--($H$2:$H$501=K225))&gt;0)</f>
        <v/>
      </c>
      <c r="S225" s="0" t="str">
        <f aca="false">IF(K225="","",IF(AND(Q225,R225),IF(O225=P225,"Match","Qty Different"),IF(Q225,"Only in List 1","Only in List 2")))</f>
        <v/>
      </c>
      <c r="T225" s="0" t="str">
        <f aca="false">IF(K225="","",IF(ISNUMBER(--L225),TEXT(--L225,"000000000000.000"),LOWER(L225)))</f>
        <v/>
      </c>
      <c r="U225" s="0" t="str">
        <f aca="false">IF(K225="","",IF(ISNUMBER(--M225),TEXT(--M225,"000000000000.000"),LOWER(M225)))</f>
        <v/>
      </c>
      <c r="V225" s="0" t="str">
        <f aca="false">IF(K225="","",LOWER(N225))</f>
        <v/>
      </c>
      <c r="W225" s="0" t="str">
        <f aca="false">IF(K225="","",B225)</f>
        <v/>
      </c>
      <c r="X225" s="0" t="str">
        <f aca="false">IF(K225="","",1+SUMPRODUCT(($K$2:$K$1001&lt;&gt;"")*(($T$2:$T$1001&lt;T225)+($T$2:$T$1001=T225)*(($U$2:$U$1001&lt;U225)+($U$2:$U$1001=U225)*(($V$2:$V$1001&lt;V225)+($V$2:$V$1001=V225)*(($W$2:$W$1001&lt;W225)+($W$2:$W$1001=W225)*(ROW($K$2:$K$1001)&lt;ROW(K225))))))))</f>
        <v/>
      </c>
    </row>
    <row r="226" customFormat="false" ht="15" hidden="false" customHeight="false" outlineLevel="0" collapsed="false">
      <c r="A226" s="0" t="str">
        <f aca="false">IF(TRIM('List 1'!A226&amp;'List 1'!C226&amp;'List 1'!D226)="","",LOWER(IF(OR(Comparison!$I$9="Item # + Part # + Description",Comparison!$I$9="Item # + Part #"),TRIM('List 1'!A226),"")&amp;"|"&amp;TRIM('List 1'!C226)&amp;"|"&amp;IF(OR(Comparison!$I$9="Item # + Part # + Description",Comparison!$I$9="Part # + Description"),TRIM('List 1'!D226),"")))</f>
        <v/>
      </c>
      <c r="B226" s="0" t="str">
        <f aca="false">IF(A226="","",SUMPRODUCT(--($A$2:A226=A226)))</f>
        <v/>
      </c>
      <c r="C226" s="0" t="str">
        <f aca="false">IF(A226="","",A226&amp;"#"&amp;B226)</f>
        <v/>
      </c>
      <c r="D226" s="0" t="str">
        <f aca="false">IF(A226="","",IFERROR(--'List 1'!B226,0))</f>
        <v/>
      </c>
      <c r="F226" s="0" t="str">
        <f aca="false">IF(TRIM('List 2'!A226&amp;'List 2'!C226&amp;'List 2'!D226)="","",LOWER(IF(OR(Comparison!$I$9="Item # + Part # + Description",Comparison!$I$9="Item # + Part #"),TRIM('List 2'!A226),"")&amp;"|"&amp;TRIM('List 2'!C226)&amp;"|"&amp;IF(OR(Comparison!$I$9="Item # + Part # + Description",Comparison!$I$9="Part # + Description"),TRIM('List 2'!D226),"")))</f>
        <v/>
      </c>
      <c r="G226" s="0" t="str">
        <f aca="false">IF(F226="","",SUMPRODUCT(--($F$2:F226=F226)))</f>
        <v/>
      </c>
      <c r="H226" s="0" t="str">
        <f aca="false">IF(F226="","",F226&amp;"#"&amp;G226)</f>
        <v/>
      </c>
      <c r="I226" s="0" t="str">
        <f aca="false">IF(F226="","",IFERROR(--'List 2'!B226,0))</f>
        <v/>
      </c>
      <c r="K226" s="0" t="str">
        <f aca="false">C226</f>
        <v/>
      </c>
      <c r="L226" s="0" t="str">
        <f aca="false">IF(K226="","",IF(ISNUMBER('List 1'!A226),'List 1'!A226,TRIM('List 1'!A226)))</f>
        <v/>
      </c>
      <c r="M226" s="0" t="str">
        <f aca="false">IF(K226="","",IF(ISNUMBER('List 1'!C226),'List 1'!C226,TRIM('List 1'!C226)))</f>
        <v/>
      </c>
      <c r="N226" s="0" t="str">
        <f aca="false">IF(K226="","",IF(ISNUMBER('List 1'!D226),'List 1'!D226,TRIM('List 1'!D226)))</f>
        <v/>
      </c>
      <c r="O226" s="0" t="str">
        <f aca="false">IF(K226="","",D226)</f>
        <v/>
      </c>
      <c r="P226" s="0" t="str">
        <f aca="false">IF(K226="","",IF(R226,SUMPRODUCT(--($H$2:$H$501=K226),$I$2:$I$501),0))</f>
        <v/>
      </c>
      <c r="Q226" s="0" t="str">
        <f aca="false">IF(K226="","",TRUE())</f>
        <v/>
      </c>
      <c r="R226" s="0" t="str">
        <f aca="false">IF(K226="","",SUMPRODUCT(--($H$2:$H$501=K226))&gt;0)</f>
        <v/>
      </c>
      <c r="S226" s="0" t="str">
        <f aca="false">IF(K226="","",IF(AND(Q226,R226),IF(O226=P226,"Match","Qty Different"),IF(Q226,"Only in List 1","Only in List 2")))</f>
        <v/>
      </c>
      <c r="T226" s="0" t="str">
        <f aca="false">IF(K226="","",IF(ISNUMBER(--L226),TEXT(--L226,"000000000000.000"),LOWER(L226)))</f>
        <v/>
      </c>
      <c r="U226" s="0" t="str">
        <f aca="false">IF(K226="","",IF(ISNUMBER(--M226),TEXT(--M226,"000000000000.000"),LOWER(M226)))</f>
        <v/>
      </c>
      <c r="V226" s="0" t="str">
        <f aca="false">IF(K226="","",LOWER(N226))</f>
        <v/>
      </c>
      <c r="W226" s="0" t="str">
        <f aca="false">IF(K226="","",B226)</f>
        <v/>
      </c>
      <c r="X226" s="0" t="str">
        <f aca="false">IF(K226="","",1+SUMPRODUCT(($K$2:$K$1001&lt;&gt;"")*(($T$2:$T$1001&lt;T226)+($T$2:$T$1001=T226)*(($U$2:$U$1001&lt;U226)+($U$2:$U$1001=U226)*(($V$2:$V$1001&lt;V226)+($V$2:$V$1001=V226)*(($W$2:$W$1001&lt;W226)+($W$2:$W$1001=W226)*(ROW($K$2:$K$1001)&lt;ROW(K226))))))))</f>
        <v/>
      </c>
    </row>
    <row r="227" customFormat="false" ht="15" hidden="false" customHeight="false" outlineLevel="0" collapsed="false">
      <c r="A227" s="0" t="str">
        <f aca="false">IF(TRIM('List 1'!A227&amp;'List 1'!C227&amp;'List 1'!D227)="","",LOWER(IF(OR(Comparison!$I$9="Item # + Part # + Description",Comparison!$I$9="Item # + Part #"),TRIM('List 1'!A227),"")&amp;"|"&amp;TRIM('List 1'!C227)&amp;"|"&amp;IF(OR(Comparison!$I$9="Item # + Part # + Description",Comparison!$I$9="Part # + Description"),TRIM('List 1'!D227),"")))</f>
        <v/>
      </c>
      <c r="B227" s="0" t="str">
        <f aca="false">IF(A227="","",SUMPRODUCT(--($A$2:A227=A227)))</f>
        <v/>
      </c>
      <c r="C227" s="0" t="str">
        <f aca="false">IF(A227="","",A227&amp;"#"&amp;B227)</f>
        <v/>
      </c>
      <c r="D227" s="0" t="str">
        <f aca="false">IF(A227="","",IFERROR(--'List 1'!B227,0))</f>
        <v/>
      </c>
      <c r="F227" s="0" t="str">
        <f aca="false">IF(TRIM('List 2'!A227&amp;'List 2'!C227&amp;'List 2'!D227)="","",LOWER(IF(OR(Comparison!$I$9="Item # + Part # + Description",Comparison!$I$9="Item # + Part #"),TRIM('List 2'!A227),"")&amp;"|"&amp;TRIM('List 2'!C227)&amp;"|"&amp;IF(OR(Comparison!$I$9="Item # + Part # + Description",Comparison!$I$9="Part # + Description"),TRIM('List 2'!D227),"")))</f>
        <v/>
      </c>
      <c r="G227" s="0" t="str">
        <f aca="false">IF(F227="","",SUMPRODUCT(--($F$2:F227=F227)))</f>
        <v/>
      </c>
      <c r="H227" s="0" t="str">
        <f aca="false">IF(F227="","",F227&amp;"#"&amp;G227)</f>
        <v/>
      </c>
      <c r="I227" s="0" t="str">
        <f aca="false">IF(F227="","",IFERROR(--'List 2'!B227,0))</f>
        <v/>
      </c>
      <c r="K227" s="0" t="str">
        <f aca="false">C227</f>
        <v/>
      </c>
      <c r="L227" s="0" t="str">
        <f aca="false">IF(K227="","",IF(ISNUMBER('List 1'!A227),'List 1'!A227,TRIM('List 1'!A227)))</f>
        <v/>
      </c>
      <c r="M227" s="0" t="str">
        <f aca="false">IF(K227="","",IF(ISNUMBER('List 1'!C227),'List 1'!C227,TRIM('List 1'!C227)))</f>
        <v/>
      </c>
      <c r="N227" s="0" t="str">
        <f aca="false">IF(K227="","",IF(ISNUMBER('List 1'!D227),'List 1'!D227,TRIM('List 1'!D227)))</f>
        <v/>
      </c>
      <c r="O227" s="0" t="str">
        <f aca="false">IF(K227="","",D227)</f>
        <v/>
      </c>
      <c r="P227" s="0" t="str">
        <f aca="false">IF(K227="","",IF(R227,SUMPRODUCT(--($H$2:$H$501=K227),$I$2:$I$501),0))</f>
        <v/>
      </c>
      <c r="Q227" s="0" t="str">
        <f aca="false">IF(K227="","",TRUE())</f>
        <v/>
      </c>
      <c r="R227" s="0" t="str">
        <f aca="false">IF(K227="","",SUMPRODUCT(--($H$2:$H$501=K227))&gt;0)</f>
        <v/>
      </c>
      <c r="S227" s="0" t="str">
        <f aca="false">IF(K227="","",IF(AND(Q227,R227),IF(O227=P227,"Match","Qty Different"),IF(Q227,"Only in List 1","Only in List 2")))</f>
        <v/>
      </c>
      <c r="T227" s="0" t="str">
        <f aca="false">IF(K227="","",IF(ISNUMBER(--L227),TEXT(--L227,"000000000000.000"),LOWER(L227)))</f>
        <v/>
      </c>
      <c r="U227" s="0" t="str">
        <f aca="false">IF(K227="","",IF(ISNUMBER(--M227),TEXT(--M227,"000000000000.000"),LOWER(M227)))</f>
        <v/>
      </c>
      <c r="V227" s="0" t="str">
        <f aca="false">IF(K227="","",LOWER(N227))</f>
        <v/>
      </c>
      <c r="W227" s="0" t="str">
        <f aca="false">IF(K227="","",B227)</f>
        <v/>
      </c>
      <c r="X227" s="0" t="str">
        <f aca="false">IF(K227="","",1+SUMPRODUCT(($K$2:$K$1001&lt;&gt;"")*(($T$2:$T$1001&lt;T227)+($T$2:$T$1001=T227)*(($U$2:$U$1001&lt;U227)+($U$2:$U$1001=U227)*(($V$2:$V$1001&lt;V227)+($V$2:$V$1001=V227)*(($W$2:$W$1001&lt;W227)+($W$2:$W$1001=W227)*(ROW($K$2:$K$1001)&lt;ROW(K227))))))))</f>
        <v/>
      </c>
    </row>
    <row r="228" customFormat="false" ht="15" hidden="false" customHeight="false" outlineLevel="0" collapsed="false">
      <c r="A228" s="0" t="str">
        <f aca="false">IF(TRIM('List 1'!A228&amp;'List 1'!C228&amp;'List 1'!D228)="","",LOWER(IF(OR(Comparison!$I$9="Item # + Part # + Description",Comparison!$I$9="Item # + Part #"),TRIM('List 1'!A228),"")&amp;"|"&amp;TRIM('List 1'!C228)&amp;"|"&amp;IF(OR(Comparison!$I$9="Item # + Part # + Description",Comparison!$I$9="Part # + Description"),TRIM('List 1'!D228),"")))</f>
        <v/>
      </c>
      <c r="B228" s="0" t="str">
        <f aca="false">IF(A228="","",SUMPRODUCT(--($A$2:A228=A228)))</f>
        <v/>
      </c>
      <c r="C228" s="0" t="str">
        <f aca="false">IF(A228="","",A228&amp;"#"&amp;B228)</f>
        <v/>
      </c>
      <c r="D228" s="0" t="str">
        <f aca="false">IF(A228="","",IFERROR(--'List 1'!B228,0))</f>
        <v/>
      </c>
      <c r="F228" s="0" t="str">
        <f aca="false">IF(TRIM('List 2'!A228&amp;'List 2'!C228&amp;'List 2'!D228)="","",LOWER(IF(OR(Comparison!$I$9="Item # + Part # + Description",Comparison!$I$9="Item # + Part #"),TRIM('List 2'!A228),"")&amp;"|"&amp;TRIM('List 2'!C228)&amp;"|"&amp;IF(OR(Comparison!$I$9="Item # + Part # + Description",Comparison!$I$9="Part # + Description"),TRIM('List 2'!D228),"")))</f>
        <v/>
      </c>
      <c r="G228" s="0" t="str">
        <f aca="false">IF(F228="","",SUMPRODUCT(--($F$2:F228=F228)))</f>
        <v/>
      </c>
      <c r="H228" s="0" t="str">
        <f aca="false">IF(F228="","",F228&amp;"#"&amp;G228)</f>
        <v/>
      </c>
      <c r="I228" s="0" t="str">
        <f aca="false">IF(F228="","",IFERROR(--'List 2'!B228,0))</f>
        <v/>
      </c>
      <c r="K228" s="0" t="str">
        <f aca="false">C228</f>
        <v/>
      </c>
      <c r="L228" s="0" t="str">
        <f aca="false">IF(K228="","",IF(ISNUMBER('List 1'!A228),'List 1'!A228,TRIM('List 1'!A228)))</f>
        <v/>
      </c>
      <c r="M228" s="0" t="str">
        <f aca="false">IF(K228="","",IF(ISNUMBER('List 1'!C228),'List 1'!C228,TRIM('List 1'!C228)))</f>
        <v/>
      </c>
      <c r="N228" s="0" t="str">
        <f aca="false">IF(K228="","",IF(ISNUMBER('List 1'!D228),'List 1'!D228,TRIM('List 1'!D228)))</f>
        <v/>
      </c>
      <c r="O228" s="0" t="str">
        <f aca="false">IF(K228="","",D228)</f>
        <v/>
      </c>
      <c r="P228" s="0" t="str">
        <f aca="false">IF(K228="","",IF(R228,SUMPRODUCT(--($H$2:$H$501=K228),$I$2:$I$501),0))</f>
        <v/>
      </c>
      <c r="Q228" s="0" t="str">
        <f aca="false">IF(K228="","",TRUE())</f>
        <v/>
      </c>
      <c r="R228" s="0" t="str">
        <f aca="false">IF(K228="","",SUMPRODUCT(--($H$2:$H$501=K228))&gt;0)</f>
        <v/>
      </c>
      <c r="S228" s="0" t="str">
        <f aca="false">IF(K228="","",IF(AND(Q228,R228),IF(O228=P228,"Match","Qty Different"),IF(Q228,"Only in List 1","Only in List 2")))</f>
        <v/>
      </c>
      <c r="T228" s="0" t="str">
        <f aca="false">IF(K228="","",IF(ISNUMBER(--L228),TEXT(--L228,"000000000000.000"),LOWER(L228)))</f>
        <v/>
      </c>
      <c r="U228" s="0" t="str">
        <f aca="false">IF(K228="","",IF(ISNUMBER(--M228),TEXT(--M228,"000000000000.000"),LOWER(M228)))</f>
        <v/>
      </c>
      <c r="V228" s="0" t="str">
        <f aca="false">IF(K228="","",LOWER(N228))</f>
        <v/>
      </c>
      <c r="W228" s="0" t="str">
        <f aca="false">IF(K228="","",B228)</f>
        <v/>
      </c>
      <c r="X228" s="0" t="str">
        <f aca="false">IF(K228="","",1+SUMPRODUCT(($K$2:$K$1001&lt;&gt;"")*(($T$2:$T$1001&lt;T228)+($T$2:$T$1001=T228)*(($U$2:$U$1001&lt;U228)+($U$2:$U$1001=U228)*(($V$2:$V$1001&lt;V228)+($V$2:$V$1001=V228)*(($W$2:$W$1001&lt;W228)+($W$2:$W$1001=W228)*(ROW($K$2:$K$1001)&lt;ROW(K228))))))))</f>
        <v/>
      </c>
    </row>
    <row r="229" customFormat="false" ht="15" hidden="false" customHeight="false" outlineLevel="0" collapsed="false">
      <c r="A229" s="0" t="str">
        <f aca="false">IF(TRIM('List 1'!A229&amp;'List 1'!C229&amp;'List 1'!D229)="","",LOWER(IF(OR(Comparison!$I$9="Item # + Part # + Description",Comparison!$I$9="Item # + Part #"),TRIM('List 1'!A229),"")&amp;"|"&amp;TRIM('List 1'!C229)&amp;"|"&amp;IF(OR(Comparison!$I$9="Item # + Part # + Description",Comparison!$I$9="Part # + Description"),TRIM('List 1'!D229),"")))</f>
        <v/>
      </c>
      <c r="B229" s="0" t="str">
        <f aca="false">IF(A229="","",SUMPRODUCT(--($A$2:A229=A229)))</f>
        <v/>
      </c>
      <c r="C229" s="0" t="str">
        <f aca="false">IF(A229="","",A229&amp;"#"&amp;B229)</f>
        <v/>
      </c>
      <c r="D229" s="0" t="str">
        <f aca="false">IF(A229="","",IFERROR(--'List 1'!B229,0))</f>
        <v/>
      </c>
      <c r="F229" s="0" t="str">
        <f aca="false">IF(TRIM('List 2'!A229&amp;'List 2'!C229&amp;'List 2'!D229)="","",LOWER(IF(OR(Comparison!$I$9="Item # + Part # + Description",Comparison!$I$9="Item # + Part #"),TRIM('List 2'!A229),"")&amp;"|"&amp;TRIM('List 2'!C229)&amp;"|"&amp;IF(OR(Comparison!$I$9="Item # + Part # + Description",Comparison!$I$9="Part # + Description"),TRIM('List 2'!D229),"")))</f>
        <v/>
      </c>
      <c r="G229" s="0" t="str">
        <f aca="false">IF(F229="","",SUMPRODUCT(--($F$2:F229=F229)))</f>
        <v/>
      </c>
      <c r="H229" s="0" t="str">
        <f aca="false">IF(F229="","",F229&amp;"#"&amp;G229)</f>
        <v/>
      </c>
      <c r="I229" s="0" t="str">
        <f aca="false">IF(F229="","",IFERROR(--'List 2'!B229,0))</f>
        <v/>
      </c>
      <c r="K229" s="0" t="str">
        <f aca="false">C229</f>
        <v/>
      </c>
      <c r="L229" s="0" t="str">
        <f aca="false">IF(K229="","",IF(ISNUMBER('List 1'!A229),'List 1'!A229,TRIM('List 1'!A229)))</f>
        <v/>
      </c>
      <c r="M229" s="0" t="str">
        <f aca="false">IF(K229="","",IF(ISNUMBER('List 1'!C229),'List 1'!C229,TRIM('List 1'!C229)))</f>
        <v/>
      </c>
      <c r="N229" s="0" t="str">
        <f aca="false">IF(K229="","",IF(ISNUMBER('List 1'!D229),'List 1'!D229,TRIM('List 1'!D229)))</f>
        <v/>
      </c>
      <c r="O229" s="0" t="str">
        <f aca="false">IF(K229="","",D229)</f>
        <v/>
      </c>
      <c r="P229" s="0" t="str">
        <f aca="false">IF(K229="","",IF(R229,SUMPRODUCT(--($H$2:$H$501=K229),$I$2:$I$501),0))</f>
        <v/>
      </c>
      <c r="Q229" s="0" t="str">
        <f aca="false">IF(K229="","",TRUE())</f>
        <v/>
      </c>
      <c r="R229" s="0" t="str">
        <f aca="false">IF(K229="","",SUMPRODUCT(--($H$2:$H$501=K229))&gt;0)</f>
        <v/>
      </c>
      <c r="S229" s="0" t="str">
        <f aca="false">IF(K229="","",IF(AND(Q229,R229),IF(O229=P229,"Match","Qty Different"),IF(Q229,"Only in List 1","Only in List 2")))</f>
        <v/>
      </c>
      <c r="T229" s="0" t="str">
        <f aca="false">IF(K229="","",IF(ISNUMBER(--L229),TEXT(--L229,"000000000000.000"),LOWER(L229)))</f>
        <v/>
      </c>
      <c r="U229" s="0" t="str">
        <f aca="false">IF(K229="","",IF(ISNUMBER(--M229),TEXT(--M229,"000000000000.000"),LOWER(M229)))</f>
        <v/>
      </c>
      <c r="V229" s="0" t="str">
        <f aca="false">IF(K229="","",LOWER(N229))</f>
        <v/>
      </c>
      <c r="W229" s="0" t="str">
        <f aca="false">IF(K229="","",B229)</f>
        <v/>
      </c>
      <c r="X229" s="0" t="str">
        <f aca="false">IF(K229="","",1+SUMPRODUCT(($K$2:$K$1001&lt;&gt;"")*(($T$2:$T$1001&lt;T229)+($T$2:$T$1001=T229)*(($U$2:$U$1001&lt;U229)+($U$2:$U$1001=U229)*(($V$2:$V$1001&lt;V229)+($V$2:$V$1001=V229)*(($W$2:$W$1001&lt;W229)+($W$2:$W$1001=W229)*(ROW($K$2:$K$1001)&lt;ROW(K229))))))))</f>
        <v/>
      </c>
    </row>
    <row r="230" customFormat="false" ht="15" hidden="false" customHeight="false" outlineLevel="0" collapsed="false">
      <c r="A230" s="0" t="str">
        <f aca="false">IF(TRIM('List 1'!A230&amp;'List 1'!C230&amp;'List 1'!D230)="","",LOWER(IF(OR(Comparison!$I$9="Item # + Part # + Description",Comparison!$I$9="Item # + Part #"),TRIM('List 1'!A230),"")&amp;"|"&amp;TRIM('List 1'!C230)&amp;"|"&amp;IF(OR(Comparison!$I$9="Item # + Part # + Description",Comparison!$I$9="Part # + Description"),TRIM('List 1'!D230),"")))</f>
        <v/>
      </c>
      <c r="B230" s="0" t="str">
        <f aca="false">IF(A230="","",SUMPRODUCT(--($A$2:A230=A230)))</f>
        <v/>
      </c>
      <c r="C230" s="0" t="str">
        <f aca="false">IF(A230="","",A230&amp;"#"&amp;B230)</f>
        <v/>
      </c>
      <c r="D230" s="0" t="str">
        <f aca="false">IF(A230="","",IFERROR(--'List 1'!B230,0))</f>
        <v/>
      </c>
      <c r="F230" s="0" t="str">
        <f aca="false">IF(TRIM('List 2'!A230&amp;'List 2'!C230&amp;'List 2'!D230)="","",LOWER(IF(OR(Comparison!$I$9="Item # + Part # + Description",Comparison!$I$9="Item # + Part #"),TRIM('List 2'!A230),"")&amp;"|"&amp;TRIM('List 2'!C230)&amp;"|"&amp;IF(OR(Comparison!$I$9="Item # + Part # + Description",Comparison!$I$9="Part # + Description"),TRIM('List 2'!D230),"")))</f>
        <v/>
      </c>
      <c r="G230" s="0" t="str">
        <f aca="false">IF(F230="","",SUMPRODUCT(--($F$2:F230=F230)))</f>
        <v/>
      </c>
      <c r="H230" s="0" t="str">
        <f aca="false">IF(F230="","",F230&amp;"#"&amp;G230)</f>
        <v/>
      </c>
      <c r="I230" s="0" t="str">
        <f aca="false">IF(F230="","",IFERROR(--'List 2'!B230,0))</f>
        <v/>
      </c>
      <c r="K230" s="0" t="str">
        <f aca="false">C230</f>
        <v/>
      </c>
      <c r="L230" s="0" t="str">
        <f aca="false">IF(K230="","",IF(ISNUMBER('List 1'!A230),'List 1'!A230,TRIM('List 1'!A230)))</f>
        <v/>
      </c>
      <c r="M230" s="0" t="str">
        <f aca="false">IF(K230="","",IF(ISNUMBER('List 1'!C230),'List 1'!C230,TRIM('List 1'!C230)))</f>
        <v/>
      </c>
      <c r="N230" s="0" t="str">
        <f aca="false">IF(K230="","",IF(ISNUMBER('List 1'!D230),'List 1'!D230,TRIM('List 1'!D230)))</f>
        <v/>
      </c>
      <c r="O230" s="0" t="str">
        <f aca="false">IF(K230="","",D230)</f>
        <v/>
      </c>
      <c r="P230" s="0" t="str">
        <f aca="false">IF(K230="","",IF(R230,SUMPRODUCT(--($H$2:$H$501=K230),$I$2:$I$501),0))</f>
        <v/>
      </c>
      <c r="Q230" s="0" t="str">
        <f aca="false">IF(K230="","",TRUE())</f>
        <v/>
      </c>
      <c r="R230" s="0" t="str">
        <f aca="false">IF(K230="","",SUMPRODUCT(--($H$2:$H$501=K230))&gt;0)</f>
        <v/>
      </c>
      <c r="S230" s="0" t="str">
        <f aca="false">IF(K230="","",IF(AND(Q230,R230),IF(O230=P230,"Match","Qty Different"),IF(Q230,"Only in List 1","Only in List 2")))</f>
        <v/>
      </c>
      <c r="T230" s="0" t="str">
        <f aca="false">IF(K230="","",IF(ISNUMBER(--L230),TEXT(--L230,"000000000000.000"),LOWER(L230)))</f>
        <v/>
      </c>
      <c r="U230" s="0" t="str">
        <f aca="false">IF(K230="","",IF(ISNUMBER(--M230),TEXT(--M230,"000000000000.000"),LOWER(M230)))</f>
        <v/>
      </c>
      <c r="V230" s="0" t="str">
        <f aca="false">IF(K230="","",LOWER(N230))</f>
        <v/>
      </c>
      <c r="W230" s="0" t="str">
        <f aca="false">IF(K230="","",B230)</f>
        <v/>
      </c>
      <c r="X230" s="0" t="str">
        <f aca="false">IF(K230="","",1+SUMPRODUCT(($K$2:$K$1001&lt;&gt;"")*(($T$2:$T$1001&lt;T230)+($T$2:$T$1001=T230)*(($U$2:$U$1001&lt;U230)+($U$2:$U$1001=U230)*(($V$2:$V$1001&lt;V230)+($V$2:$V$1001=V230)*(($W$2:$W$1001&lt;W230)+($W$2:$W$1001=W230)*(ROW($K$2:$K$1001)&lt;ROW(K230))))))))</f>
        <v/>
      </c>
    </row>
    <row r="231" customFormat="false" ht="15" hidden="false" customHeight="false" outlineLevel="0" collapsed="false">
      <c r="A231" s="0" t="str">
        <f aca="false">IF(TRIM('List 1'!A231&amp;'List 1'!C231&amp;'List 1'!D231)="","",LOWER(IF(OR(Comparison!$I$9="Item # + Part # + Description",Comparison!$I$9="Item # + Part #"),TRIM('List 1'!A231),"")&amp;"|"&amp;TRIM('List 1'!C231)&amp;"|"&amp;IF(OR(Comparison!$I$9="Item # + Part # + Description",Comparison!$I$9="Part # + Description"),TRIM('List 1'!D231),"")))</f>
        <v/>
      </c>
      <c r="B231" s="0" t="str">
        <f aca="false">IF(A231="","",SUMPRODUCT(--($A$2:A231=A231)))</f>
        <v/>
      </c>
      <c r="C231" s="0" t="str">
        <f aca="false">IF(A231="","",A231&amp;"#"&amp;B231)</f>
        <v/>
      </c>
      <c r="D231" s="0" t="str">
        <f aca="false">IF(A231="","",IFERROR(--'List 1'!B231,0))</f>
        <v/>
      </c>
      <c r="F231" s="0" t="str">
        <f aca="false">IF(TRIM('List 2'!A231&amp;'List 2'!C231&amp;'List 2'!D231)="","",LOWER(IF(OR(Comparison!$I$9="Item # + Part # + Description",Comparison!$I$9="Item # + Part #"),TRIM('List 2'!A231),"")&amp;"|"&amp;TRIM('List 2'!C231)&amp;"|"&amp;IF(OR(Comparison!$I$9="Item # + Part # + Description",Comparison!$I$9="Part # + Description"),TRIM('List 2'!D231),"")))</f>
        <v/>
      </c>
      <c r="G231" s="0" t="str">
        <f aca="false">IF(F231="","",SUMPRODUCT(--($F$2:F231=F231)))</f>
        <v/>
      </c>
      <c r="H231" s="0" t="str">
        <f aca="false">IF(F231="","",F231&amp;"#"&amp;G231)</f>
        <v/>
      </c>
      <c r="I231" s="0" t="str">
        <f aca="false">IF(F231="","",IFERROR(--'List 2'!B231,0))</f>
        <v/>
      </c>
      <c r="K231" s="0" t="str">
        <f aca="false">C231</f>
        <v/>
      </c>
      <c r="L231" s="0" t="str">
        <f aca="false">IF(K231="","",IF(ISNUMBER('List 1'!A231),'List 1'!A231,TRIM('List 1'!A231)))</f>
        <v/>
      </c>
      <c r="M231" s="0" t="str">
        <f aca="false">IF(K231="","",IF(ISNUMBER('List 1'!C231),'List 1'!C231,TRIM('List 1'!C231)))</f>
        <v/>
      </c>
      <c r="N231" s="0" t="str">
        <f aca="false">IF(K231="","",IF(ISNUMBER('List 1'!D231),'List 1'!D231,TRIM('List 1'!D231)))</f>
        <v/>
      </c>
      <c r="O231" s="0" t="str">
        <f aca="false">IF(K231="","",D231)</f>
        <v/>
      </c>
      <c r="P231" s="0" t="str">
        <f aca="false">IF(K231="","",IF(R231,SUMPRODUCT(--($H$2:$H$501=K231),$I$2:$I$501),0))</f>
        <v/>
      </c>
      <c r="Q231" s="0" t="str">
        <f aca="false">IF(K231="","",TRUE())</f>
        <v/>
      </c>
      <c r="R231" s="0" t="str">
        <f aca="false">IF(K231="","",SUMPRODUCT(--($H$2:$H$501=K231))&gt;0)</f>
        <v/>
      </c>
      <c r="S231" s="0" t="str">
        <f aca="false">IF(K231="","",IF(AND(Q231,R231),IF(O231=P231,"Match","Qty Different"),IF(Q231,"Only in List 1","Only in List 2")))</f>
        <v/>
      </c>
      <c r="T231" s="0" t="str">
        <f aca="false">IF(K231="","",IF(ISNUMBER(--L231),TEXT(--L231,"000000000000.000"),LOWER(L231)))</f>
        <v/>
      </c>
      <c r="U231" s="0" t="str">
        <f aca="false">IF(K231="","",IF(ISNUMBER(--M231),TEXT(--M231,"000000000000.000"),LOWER(M231)))</f>
        <v/>
      </c>
      <c r="V231" s="0" t="str">
        <f aca="false">IF(K231="","",LOWER(N231))</f>
        <v/>
      </c>
      <c r="W231" s="0" t="str">
        <f aca="false">IF(K231="","",B231)</f>
        <v/>
      </c>
      <c r="X231" s="0" t="str">
        <f aca="false">IF(K231="","",1+SUMPRODUCT(($K$2:$K$1001&lt;&gt;"")*(($T$2:$T$1001&lt;T231)+($T$2:$T$1001=T231)*(($U$2:$U$1001&lt;U231)+($U$2:$U$1001=U231)*(($V$2:$V$1001&lt;V231)+($V$2:$V$1001=V231)*(($W$2:$W$1001&lt;W231)+($W$2:$W$1001=W231)*(ROW($K$2:$K$1001)&lt;ROW(K231))))))))</f>
        <v/>
      </c>
    </row>
    <row r="232" customFormat="false" ht="15" hidden="false" customHeight="false" outlineLevel="0" collapsed="false">
      <c r="A232" s="0" t="str">
        <f aca="false">IF(TRIM('List 1'!A232&amp;'List 1'!C232&amp;'List 1'!D232)="","",LOWER(IF(OR(Comparison!$I$9="Item # + Part # + Description",Comparison!$I$9="Item # + Part #"),TRIM('List 1'!A232),"")&amp;"|"&amp;TRIM('List 1'!C232)&amp;"|"&amp;IF(OR(Comparison!$I$9="Item # + Part # + Description",Comparison!$I$9="Part # + Description"),TRIM('List 1'!D232),"")))</f>
        <v/>
      </c>
      <c r="B232" s="0" t="str">
        <f aca="false">IF(A232="","",SUMPRODUCT(--($A$2:A232=A232)))</f>
        <v/>
      </c>
      <c r="C232" s="0" t="str">
        <f aca="false">IF(A232="","",A232&amp;"#"&amp;B232)</f>
        <v/>
      </c>
      <c r="D232" s="0" t="str">
        <f aca="false">IF(A232="","",IFERROR(--'List 1'!B232,0))</f>
        <v/>
      </c>
      <c r="F232" s="0" t="str">
        <f aca="false">IF(TRIM('List 2'!A232&amp;'List 2'!C232&amp;'List 2'!D232)="","",LOWER(IF(OR(Comparison!$I$9="Item # + Part # + Description",Comparison!$I$9="Item # + Part #"),TRIM('List 2'!A232),"")&amp;"|"&amp;TRIM('List 2'!C232)&amp;"|"&amp;IF(OR(Comparison!$I$9="Item # + Part # + Description",Comparison!$I$9="Part # + Description"),TRIM('List 2'!D232),"")))</f>
        <v/>
      </c>
      <c r="G232" s="0" t="str">
        <f aca="false">IF(F232="","",SUMPRODUCT(--($F$2:F232=F232)))</f>
        <v/>
      </c>
      <c r="H232" s="0" t="str">
        <f aca="false">IF(F232="","",F232&amp;"#"&amp;G232)</f>
        <v/>
      </c>
      <c r="I232" s="0" t="str">
        <f aca="false">IF(F232="","",IFERROR(--'List 2'!B232,0))</f>
        <v/>
      </c>
      <c r="K232" s="0" t="str">
        <f aca="false">C232</f>
        <v/>
      </c>
      <c r="L232" s="0" t="str">
        <f aca="false">IF(K232="","",IF(ISNUMBER('List 1'!A232),'List 1'!A232,TRIM('List 1'!A232)))</f>
        <v/>
      </c>
      <c r="M232" s="0" t="str">
        <f aca="false">IF(K232="","",IF(ISNUMBER('List 1'!C232),'List 1'!C232,TRIM('List 1'!C232)))</f>
        <v/>
      </c>
      <c r="N232" s="0" t="str">
        <f aca="false">IF(K232="","",IF(ISNUMBER('List 1'!D232),'List 1'!D232,TRIM('List 1'!D232)))</f>
        <v/>
      </c>
      <c r="O232" s="0" t="str">
        <f aca="false">IF(K232="","",D232)</f>
        <v/>
      </c>
      <c r="P232" s="0" t="str">
        <f aca="false">IF(K232="","",IF(R232,SUMPRODUCT(--($H$2:$H$501=K232),$I$2:$I$501),0))</f>
        <v/>
      </c>
      <c r="Q232" s="0" t="str">
        <f aca="false">IF(K232="","",TRUE())</f>
        <v/>
      </c>
      <c r="R232" s="0" t="str">
        <f aca="false">IF(K232="","",SUMPRODUCT(--($H$2:$H$501=K232))&gt;0)</f>
        <v/>
      </c>
      <c r="S232" s="0" t="str">
        <f aca="false">IF(K232="","",IF(AND(Q232,R232),IF(O232=P232,"Match","Qty Different"),IF(Q232,"Only in List 1","Only in List 2")))</f>
        <v/>
      </c>
      <c r="T232" s="0" t="str">
        <f aca="false">IF(K232="","",IF(ISNUMBER(--L232),TEXT(--L232,"000000000000.000"),LOWER(L232)))</f>
        <v/>
      </c>
      <c r="U232" s="0" t="str">
        <f aca="false">IF(K232="","",IF(ISNUMBER(--M232),TEXT(--M232,"000000000000.000"),LOWER(M232)))</f>
        <v/>
      </c>
      <c r="V232" s="0" t="str">
        <f aca="false">IF(K232="","",LOWER(N232))</f>
        <v/>
      </c>
      <c r="W232" s="0" t="str">
        <f aca="false">IF(K232="","",B232)</f>
        <v/>
      </c>
      <c r="X232" s="0" t="str">
        <f aca="false">IF(K232="","",1+SUMPRODUCT(($K$2:$K$1001&lt;&gt;"")*(($T$2:$T$1001&lt;T232)+($T$2:$T$1001=T232)*(($U$2:$U$1001&lt;U232)+($U$2:$U$1001=U232)*(($V$2:$V$1001&lt;V232)+($V$2:$V$1001=V232)*(($W$2:$W$1001&lt;W232)+($W$2:$W$1001=W232)*(ROW($K$2:$K$1001)&lt;ROW(K232))))))))</f>
        <v/>
      </c>
    </row>
    <row r="233" customFormat="false" ht="15" hidden="false" customHeight="false" outlineLevel="0" collapsed="false">
      <c r="A233" s="0" t="str">
        <f aca="false">IF(TRIM('List 1'!A233&amp;'List 1'!C233&amp;'List 1'!D233)="","",LOWER(IF(OR(Comparison!$I$9="Item # + Part # + Description",Comparison!$I$9="Item # + Part #"),TRIM('List 1'!A233),"")&amp;"|"&amp;TRIM('List 1'!C233)&amp;"|"&amp;IF(OR(Comparison!$I$9="Item # + Part # + Description",Comparison!$I$9="Part # + Description"),TRIM('List 1'!D233),"")))</f>
        <v/>
      </c>
      <c r="B233" s="0" t="str">
        <f aca="false">IF(A233="","",SUMPRODUCT(--($A$2:A233=A233)))</f>
        <v/>
      </c>
      <c r="C233" s="0" t="str">
        <f aca="false">IF(A233="","",A233&amp;"#"&amp;B233)</f>
        <v/>
      </c>
      <c r="D233" s="0" t="str">
        <f aca="false">IF(A233="","",IFERROR(--'List 1'!B233,0))</f>
        <v/>
      </c>
      <c r="F233" s="0" t="str">
        <f aca="false">IF(TRIM('List 2'!A233&amp;'List 2'!C233&amp;'List 2'!D233)="","",LOWER(IF(OR(Comparison!$I$9="Item # + Part # + Description",Comparison!$I$9="Item # + Part #"),TRIM('List 2'!A233),"")&amp;"|"&amp;TRIM('List 2'!C233)&amp;"|"&amp;IF(OR(Comparison!$I$9="Item # + Part # + Description",Comparison!$I$9="Part # + Description"),TRIM('List 2'!D233),"")))</f>
        <v/>
      </c>
      <c r="G233" s="0" t="str">
        <f aca="false">IF(F233="","",SUMPRODUCT(--($F$2:F233=F233)))</f>
        <v/>
      </c>
      <c r="H233" s="0" t="str">
        <f aca="false">IF(F233="","",F233&amp;"#"&amp;G233)</f>
        <v/>
      </c>
      <c r="I233" s="0" t="str">
        <f aca="false">IF(F233="","",IFERROR(--'List 2'!B233,0))</f>
        <v/>
      </c>
      <c r="K233" s="0" t="str">
        <f aca="false">C233</f>
        <v/>
      </c>
      <c r="L233" s="0" t="str">
        <f aca="false">IF(K233="","",IF(ISNUMBER('List 1'!A233),'List 1'!A233,TRIM('List 1'!A233)))</f>
        <v/>
      </c>
      <c r="M233" s="0" t="str">
        <f aca="false">IF(K233="","",IF(ISNUMBER('List 1'!C233),'List 1'!C233,TRIM('List 1'!C233)))</f>
        <v/>
      </c>
      <c r="N233" s="0" t="str">
        <f aca="false">IF(K233="","",IF(ISNUMBER('List 1'!D233),'List 1'!D233,TRIM('List 1'!D233)))</f>
        <v/>
      </c>
      <c r="O233" s="0" t="str">
        <f aca="false">IF(K233="","",D233)</f>
        <v/>
      </c>
      <c r="P233" s="0" t="str">
        <f aca="false">IF(K233="","",IF(R233,SUMPRODUCT(--($H$2:$H$501=K233),$I$2:$I$501),0))</f>
        <v/>
      </c>
      <c r="Q233" s="0" t="str">
        <f aca="false">IF(K233="","",TRUE())</f>
        <v/>
      </c>
      <c r="R233" s="0" t="str">
        <f aca="false">IF(K233="","",SUMPRODUCT(--($H$2:$H$501=K233))&gt;0)</f>
        <v/>
      </c>
      <c r="S233" s="0" t="str">
        <f aca="false">IF(K233="","",IF(AND(Q233,R233),IF(O233=P233,"Match","Qty Different"),IF(Q233,"Only in List 1","Only in List 2")))</f>
        <v/>
      </c>
      <c r="T233" s="0" t="str">
        <f aca="false">IF(K233="","",IF(ISNUMBER(--L233),TEXT(--L233,"000000000000.000"),LOWER(L233)))</f>
        <v/>
      </c>
      <c r="U233" s="0" t="str">
        <f aca="false">IF(K233="","",IF(ISNUMBER(--M233),TEXT(--M233,"000000000000.000"),LOWER(M233)))</f>
        <v/>
      </c>
      <c r="V233" s="0" t="str">
        <f aca="false">IF(K233="","",LOWER(N233))</f>
        <v/>
      </c>
      <c r="W233" s="0" t="str">
        <f aca="false">IF(K233="","",B233)</f>
        <v/>
      </c>
      <c r="X233" s="0" t="str">
        <f aca="false">IF(K233="","",1+SUMPRODUCT(($K$2:$K$1001&lt;&gt;"")*(($T$2:$T$1001&lt;T233)+($T$2:$T$1001=T233)*(($U$2:$U$1001&lt;U233)+($U$2:$U$1001=U233)*(($V$2:$V$1001&lt;V233)+($V$2:$V$1001=V233)*(($W$2:$W$1001&lt;W233)+($W$2:$W$1001=W233)*(ROW($K$2:$K$1001)&lt;ROW(K233))))))))</f>
        <v/>
      </c>
    </row>
    <row r="234" customFormat="false" ht="15" hidden="false" customHeight="false" outlineLevel="0" collapsed="false">
      <c r="A234" s="0" t="str">
        <f aca="false">IF(TRIM('List 1'!A234&amp;'List 1'!C234&amp;'List 1'!D234)="","",LOWER(IF(OR(Comparison!$I$9="Item # + Part # + Description",Comparison!$I$9="Item # + Part #"),TRIM('List 1'!A234),"")&amp;"|"&amp;TRIM('List 1'!C234)&amp;"|"&amp;IF(OR(Comparison!$I$9="Item # + Part # + Description",Comparison!$I$9="Part # + Description"),TRIM('List 1'!D234),"")))</f>
        <v/>
      </c>
      <c r="B234" s="0" t="str">
        <f aca="false">IF(A234="","",SUMPRODUCT(--($A$2:A234=A234)))</f>
        <v/>
      </c>
      <c r="C234" s="0" t="str">
        <f aca="false">IF(A234="","",A234&amp;"#"&amp;B234)</f>
        <v/>
      </c>
      <c r="D234" s="0" t="str">
        <f aca="false">IF(A234="","",IFERROR(--'List 1'!B234,0))</f>
        <v/>
      </c>
      <c r="F234" s="0" t="str">
        <f aca="false">IF(TRIM('List 2'!A234&amp;'List 2'!C234&amp;'List 2'!D234)="","",LOWER(IF(OR(Comparison!$I$9="Item # + Part # + Description",Comparison!$I$9="Item # + Part #"),TRIM('List 2'!A234),"")&amp;"|"&amp;TRIM('List 2'!C234)&amp;"|"&amp;IF(OR(Comparison!$I$9="Item # + Part # + Description",Comparison!$I$9="Part # + Description"),TRIM('List 2'!D234),"")))</f>
        <v/>
      </c>
      <c r="G234" s="0" t="str">
        <f aca="false">IF(F234="","",SUMPRODUCT(--($F$2:F234=F234)))</f>
        <v/>
      </c>
      <c r="H234" s="0" t="str">
        <f aca="false">IF(F234="","",F234&amp;"#"&amp;G234)</f>
        <v/>
      </c>
      <c r="I234" s="0" t="str">
        <f aca="false">IF(F234="","",IFERROR(--'List 2'!B234,0))</f>
        <v/>
      </c>
      <c r="K234" s="0" t="str">
        <f aca="false">C234</f>
        <v/>
      </c>
      <c r="L234" s="0" t="str">
        <f aca="false">IF(K234="","",IF(ISNUMBER('List 1'!A234),'List 1'!A234,TRIM('List 1'!A234)))</f>
        <v/>
      </c>
      <c r="M234" s="0" t="str">
        <f aca="false">IF(K234="","",IF(ISNUMBER('List 1'!C234),'List 1'!C234,TRIM('List 1'!C234)))</f>
        <v/>
      </c>
      <c r="N234" s="0" t="str">
        <f aca="false">IF(K234="","",IF(ISNUMBER('List 1'!D234),'List 1'!D234,TRIM('List 1'!D234)))</f>
        <v/>
      </c>
      <c r="O234" s="0" t="str">
        <f aca="false">IF(K234="","",D234)</f>
        <v/>
      </c>
      <c r="P234" s="0" t="str">
        <f aca="false">IF(K234="","",IF(R234,SUMPRODUCT(--($H$2:$H$501=K234),$I$2:$I$501),0))</f>
        <v/>
      </c>
      <c r="Q234" s="0" t="str">
        <f aca="false">IF(K234="","",TRUE())</f>
        <v/>
      </c>
      <c r="R234" s="0" t="str">
        <f aca="false">IF(K234="","",SUMPRODUCT(--($H$2:$H$501=K234))&gt;0)</f>
        <v/>
      </c>
      <c r="S234" s="0" t="str">
        <f aca="false">IF(K234="","",IF(AND(Q234,R234),IF(O234=P234,"Match","Qty Different"),IF(Q234,"Only in List 1","Only in List 2")))</f>
        <v/>
      </c>
      <c r="T234" s="0" t="str">
        <f aca="false">IF(K234="","",IF(ISNUMBER(--L234),TEXT(--L234,"000000000000.000"),LOWER(L234)))</f>
        <v/>
      </c>
      <c r="U234" s="0" t="str">
        <f aca="false">IF(K234="","",IF(ISNUMBER(--M234),TEXT(--M234,"000000000000.000"),LOWER(M234)))</f>
        <v/>
      </c>
      <c r="V234" s="0" t="str">
        <f aca="false">IF(K234="","",LOWER(N234))</f>
        <v/>
      </c>
      <c r="W234" s="0" t="str">
        <f aca="false">IF(K234="","",B234)</f>
        <v/>
      </c>
      <c r="X234" s="0" t="str">
        <f aca="false">IF(K234="","",1+SUMPRODUCT(($K$2:$K$1001&lt;&gt;"")*(($T$2:$T$1001&lt;T234)+($T$2:$T$1001=T234)*(($U$2:$U$1001&lt;U234)+($U$2:$U$1001=U234)*(($V$2:$V$1001&lt;V234)+($V$2:$V$1001=V234)*(($W$2:$W$1001&lt;W234)+($W$2:$W$1001=W234)*(ROW($K$2:$K$1001)&lt;ROW(K234))))))))</f>
        <v/>
      </c>
    </row>
    <row r="235" customFormat="false" ht="15" hidden="false" customHeight="false" outlineLevel="0" collapsed="false">
      <c r="A235" s="0" t="str">
        <f aca="false">IF(TRIM('List 1'!A235&amp;'List 1'!C235&amp;'List 1'!D235)="","",LOWER(IF(OR(Comparison!$I$9="Item # + Part # + Description",Comparison!$I$9="Item # + Part #"),TRIM('List 1'!A235),"")&amp;"|"&amp;TRIM('List 1'!C235)&amp;"|"&amp;IF(OR(Comparison!$I$9="Item # + Part # + Description",Comparison!$I$9="Part # + Description"),TRIM('List 1'!D235),"")))</f>
        <v/>
      </c>
      <c r="B235" s="0" t="str">
        <f aca="false">IF(A235="","",SUMPRODUCT(--($A$2:A235=A235)))</f>
        <v/>
      </c>
      <c r="C235" s="0" t="str">
        <f aca="false">IF(A235="","",A235&amp;"#"&amp;B235)</f>
        <v/>
      </c>
      <c r="D235" s="0" t="str">
        <f aca="false">IF(A235="","",IFERROR(--'List 1'!B235,0))</f>
        <v/>
      </c>
      <c r="F235" s="0" t="str">
        <f aca="false">IF(TRIM('List 2'!A235&amp;'List 2'!C235&amp;'List 2'!D235)="","",LOWER(IF(OR(Comparison!$I$9="Item # + Part # + Description",Comparison!$I$9="Item # + Part #"),TRIM('List 2'!A235),"")&amp;"|"&amp;TRIM('List 2'!C235)&amp;"|"&amp;IF(OR(Comparison!$I$9="Item # + Part # + Description",Comparison!$I$9="Part # + Description"),TRIM('List 2'!D235),"")))</f>
        <v/>
      </c>
      <c r="G235" s="0" t="str">
        <f aca="false">IF(F235="","",SUMPRODUCT(--($F$2:F235=F235)))</f>
        <v/>
      </c>
      <c r="H235" s="0" t="str">
        <f aca="false">IF(F235="","",F235&amp;"#"&amp;G235)</f>
        <v/>
      </c>
      <c r="I235" s="0" t="str">
        <f aca="false">IF(F235="","",IFERROR(--'List 2'!B235,0))</f>
        <v/>
      </c>
      <c r="K235" s="0" t="str">
        <f aca="false">C235</f>
        <v/>
      </c>
      <c r="L235" s="0" t="str">
        <f aca="false">IF(K235="","",IF(ISNUMBER('List 1'!A235),'List 1'!A235,TRIM('List 1'!A235)))</f>
        <v/>
      </c>
      <c r="M235" s="0" t="str">
        <f aca="false">IF(K235="","",IF(ISNUMBER('List 1'!C235),'List 1'!C235,TRIM('List 1'!C235)))</f>
        <v/>
      </c>
      <c r="N235" s="0" t="str">
        <f aca="false">IF(K235="","",IF(ISNUMBER('List 1'!D235),'List 1'!D235,TRIM('List 1'!D235)))</f>
        <v/>
      </c>
      <c r="O235" s="0" t="str">
        <f aca="false">IF(K235="","",D235)</f>
        <v/>
      </c>
      <c r="P235" s="0" t="str">
        <f aca="false">IF(K235="","",IF(R235,SUMPRODUCT(--($H$2:$H$501=K235),$I$2:$I$501),0))</f>
        <v/>
      </c>
      <c r="Q235" s="0" t="str">
        <f aca="false">IF(K235="","",TRUE())</f>
        <v/>
      </c>
      <c r="R235" s="0" t="str">
        <f aca="false">IF(K235="","",SUMPRODUCT(--($H$2:$H$501=K235))&gt;0)</f>
        <v/>
      </c>
      <c r="S235" s="0" t="str">
        <f aca="false">IF(K235="","",IF(AND(Q235,R235),IF(O235=P235,"Match","Qty Different"),IF(Q235,"Only in List 1","Only in List 2")))</f>
        <v/>
      </c>
      <c r="T235" s="0" t="str">
        <f aca="false">IF(K235="","",IF(ISNUMBER(--L235),TEXT(--L235,"000000000000.000"),LOWER(L235)))</f>
        <v/>
      </c>
      <c r="U235" s="0" t="str">
        <f aca="false">IF(K235="","",IF(ISNUMBER(--M235),TEXT(--M235,"000000000000.000"),LOWER(M235)))</f>
        <v/>
      </c>
      <c r="V235" s="0" t="str">
        <f aca="false">IF(K235="","",LOWER(N235))</f>
        <v/>
      </c>
      <c r="W235" s="0" t="str">
        <f aca="false">IF(K235="","",B235)</f>
        <v/>
      </c>
      <c r="X235" s="0" t="str">
        <f aca="false">IF(K235="","",1+SUMPRODUCT(($K$2:$K$1001&lt;&gt;"")*(($T$2:$T$1001&lt;T235)+($T$2:$T$1001=T235)*(($U$2:$U$1001&lt;U235)+($U$2:$U$1001=U235)*(($V$2:$V$1001&lt;V235)+($V$2:$V$1001=V235)*(($W$2:$W$1001&lt;W235)+($W$2:$W$1001=W235)*(ROW($K$2:$K$1001)&lt;ROW(K235))))))))</f>
        <v/>
      </c>
    </row>
    <row r="236" customFormat="false" ht="15" hidden="false" customHeight="false" outlineLevel="0" collapsed="false">
      <c r="A236" s="0" t="str">
        <f aca="false">IF(TRIM('List 1'!A236&amp;'List 1'!C236&amp;'List 1'!D236)="","",LOWER(IF(OR(Comparison!$I$9="Item # + Part # + Description",Comparison!$I$9="Item # + Part #"),TRIM('List 1'!A236),"")&amp;"|"&amp;TRIM('List 1'!C236)&amp;"|"&amp;IF(OR(Comparison!$I$9="Item # + Part # + Description",Comparison!$I$9="Part # + Description"),TRIM('List 1'!D236),"")))</f>
        <v/>
      </c>
      <c r="B236" s="0" t="str">
        <f aca="false">IF(A236="","",SUMPRODUCT(--($A$2:A236=A236)))</f>
        <v/>
      </c>
      <c r="C236" s="0" t="str">
        <f aca="false">IF(A236="","",A236&amp;"#"&amp;B236)</f>
        <v/>
      </c>
      <c r="D236" s="0" t="str">
        <f aca="false">IF(A236="","",IFERROR(--'List 1'!B236,0))</f>
        <v/>
      </c>
      <c r="F236" s="0" t="str">
        <f aca="false">IF(TRIM('List 2'!A236&amp;'List 2'!C236&amp;'List 2'!D236)="","",LOWER(IF(OR(Comparison!$I$9="Item # + Part # + Description",Comparison!$I$9="Item # + Part #"),TRIM('List 2'!A236),"")&amp;"|"&amp;TRIM('List 2'!C236)&amp;"|"&amp;IF(OR(Comparison!$I$9="Item # + Part # + Description",Comparison!$I$9="Part # + Description"),TRIM('List 2'!D236),"")))</f>
        <v/>
      </c>
      <c r="G236" s="0" t="str">
        <f aca="false">IF(F236="","",SUMPRODUCT(--($F$2:F236=F236)))</f>
        <v/>
      </c>
      <c r="H236" s="0" t="str">
        <f aca="false">IF(F236="","",F236&amp;"#"&amp;G236)</f>
        <v/>
      </c>
      <c r="I236" s="0" t="str">
        <f aca="false">IF(F236="","",IFERROR(--'List 2'!B236,0))</f>
        <v/>
      </c>
      <c r="K236" s="0" t="str">
        <f aca="false">C236</f>
        <v/>
      </c>
      <c r="L236" s="0" t="str">
        <f aca="false">IF(K236="","",IF(ISNUMBER('List 1'!A236),'List 1'!A236,TRIM('List 1'!A236)))</f>
        <v/>
      </c>
      <c r="M236" s="0" t="str">
        <f aca="false">IF(K236="","",IF(ISNUMBER('List 1'!C236),'List 1'!C236,TRIM('List 1'!C236)))</f>
        <v/>
      </c>
      <c r="N236" s="0" t="str">
        <f aca="false">IF(K236="","",IF(ISNUMBER('List 1'!D236),'List 1'!D236,TRIM('List 1'!D236)))</f>
        <v/>
      </c>
      <c r="O236" s="0" t="str">
        <f aca="false">IF(K236="","",D236)</f>
        <v/>
      </c>
      <c r="P236" s="0" t="str">
        <f aca="false">IF(K236="","",IF(R236,SUMPRODUCT(--($H$2:$H$501=K236),$I$2:$I$501),0))</f>
        <v/>
      </c>
      <c r="Q236" s="0" t="str">
        <f aca="false">IF(K236="","",TRUE())</f>
        <v/>
      </c>
      <c r="R236" s="0" t="str">
        <f aca="false">IF(K236="","",SUMPRODUCT(--($H$2:$H$501=K236))&gt;0)</f>
        <v/>
      </c>
      <c r="S236" s="0" t="str">
        <f aca="false">IF(K236="","",IF(AND(Q236,R236),IF(O236=P236,"Match","Qty Different"),IF(Q236,"Only in List 1","Only in List 2")))</f>
        <v/>
      </c>
      <c r="T236" s="0" t="str">
        <f aca="false">IF(K236="","",IF(ISNUMBER(--L236),TEXT(--L236,"000000000000.000"),LOWER(L236)))</f>
        <v/>
      </c>
      <c r="U236" s="0" t="str">
        <f aca="false">IF(K236="","",IF(ISNUMBER(--M236),TEXT(--M236,"000000000000.000"),LOWER(M236)))</f>
        <v/>
      </c>
      <c r="V236" s="0" t="str">
        <f aca="false">IF(K236="","",LOWER(N236))</f>
        <v/>
      </c>
      <c r="W236" s="0" t="str">
        <f aca="false">IF(K236="","",B236)</f>
        <v/>
      </c>
      <c r="X236" s="0" t="str">
        <f aca="false">IF(K236="","",1+SUMPRODUCT(($K$2:$K$1001&lt;&gt;"")*(($T$2:$T$1001&lt;T236)+($T$2:$T$1001=T236)*(($U$2:$U$1001&lt;U236)+($U$2:$U$1001=U236)*(($V$2:$V$1001&lt;V236)+($V$2:$V$1001=V236)*(($W$2:$W$1001&lt;W236)+($W$2:$W$1001=W236)*(ROW($K$2:$K$1001)&lt;ROW(K236))))))))</f>
        <v/>
      </c>
    </row>
    <row r="237" customFormat="false" ht="15" hidden="false" customHeight="false" outlineLevel="0" collapsed="false">
      <c r="A237" s="0" t="str">
        <f aca="false">IF(TRIM('List 1'!A237&amp;'List 1'!C237&amp;'List 1'!D237)="","",LOWER(IF(OR(Comparison!$I$9="Item # + Part # + Description",Comparison!$I$9="Item # + Part #"),TRIM('List 1'!A237),"")&amp;"|"&amp;TRIM('List 1'!C237)&amp;"|"&amp;IF(OR(Comparison!$I$9="Item # + Part # + Description",Comparison!$I$9="Part # + Description"),TRIM('List 1'!D237),"")))</f>
        <v/>
      </c>
      <c r="B237" s="0" t="str">
        <f aca="false">IF(A237="","",SUMPRODUCT(--($A$2:A237=A237)))</f>
        <v/>
      </c>
      <c r="C237" s="0" t="str">
        <f aca="false">IF(A237="","",A237&amp;"#"&amp;B237)</f>
        <v/>
      </c>
      <c r="D237" s="0" t="str">
        <f aca="false">IF(A237="","",IFERROR(--'List 1'!B237,0))</f>
        <v/>
      </c>
      <c r="F237" s="0" t="str">
        <f aca="false">IF(TRIM('List 2'!A237&amp;'List 2'!C237&amp;'List 2'!D237)="","",LOWER(IF(OR(Comparison!$I$9="Item # + Part # + Description",Comparison!$I$9="Item # + Part #"),TRIM('List 2'!A237),"")&amp;"|"&amp;TRIM('List 2'!C237)&amp;"|"&amp;IF(OR(Comparison!$I$9="Item # + Part # + Description",Comparison!$I$9="Part # + Description"),TRIM('List 2'!D237),"")))</f>
        <v/>
      </c>
      <c r="G237" s="0" t="str">
        <f aca="false">IF(F237="","",SUMPRODUCT(--($F$2:F237=F237)))</f>
        <v/>
      </c>
      <c r="H237" s="0" t="str">
        <f aca="false">IF(F237="","",F237&amp;"#"&amp;G237)</f>
        <v/>
      </c>
      <c r="I237" s="0" t="str">
        <f aca="false">IF(F237="","",IFERROR(--'List 2'!B237,0))</f>
        <v/>
      </c>
      <c r="K237" s="0" t="str">
        <f aca="false">C237</f>
        <v/>
      </c>
      <c r="L237" s="0" t="str">
        <f aca="false">IF(K237="","",IF(ISNUMBER('List 1'!A237),'List 1'!A237,TRIM('List 1'!A237)))</f>
        <v/>
      </c>
      <c r="M237" s="0" t="str">
        <f aca="false">IF(K237="","",IF(ISNUMBER('List 1'!C237),'List 1'!C237,TRIM('List 1'!C237)))</f>
        <v/>
      </c>
      <c r="N237" s="0" t="str">
        <f aca="false">IF(K237="","",IF(ISNUMBER('List 1'!D237),'List 1'!D237,TRIM('List 1'!D237)))</f>
        <v/>
      </c>
      <c r="O237" s="0" t="str">
        <f aca="false">IF(K237="","",D237)</f>
        <v/>
      </c>
      <c r="P237" s="0" t="str">
        <f aca="false">IF(K237="","",IF(R237,SUMPRODUCT(--($H$2:$H$501=K237),$I$2:$I$501),0))</f>
        <v/>
      </c>
      <c r="Q237" s="0" t="str">
        <f aca="false">IF(K237="","",TRUE())</f>
        <v/>
      </c>
      <c r="R237" s="0" t="str">
        <f aca="false">IF(K237="","",SUMPRODUCT(--($H$2:$H$501=K237))&gt;0)</f>
        <v/>
      </c>
      <c r="S237" s="0" t="str">
        <f aca="false">IF(K237="","",IF(AND(Q237,R237),IF(O237=P237,"Match","Qty Different"),IF(Q237,"Only in List 1","Only in List 2")))</f>
        <v/>
      </c>
      <c r="T237" s="0" t="str">
        <f aca="false">IF(K237="","",IF(ISNUMBER(--L237),TEXT(--L237,"000000000000.000"),LOWER(L237)))</f>
        <v/>
      </c>
      <c r="U237" s="0" t="str">
        <f aca="false">IF(K237="","",IF(ISNUMBER(--M237),TEXT(--M237,"000000000000.000"),LOWER(M237)))</f>
        <v/>
      </c>
      <c r="V237" s="0" t="str">
        <f aca="false">IF(K237="","",LOWER(N237))</f>
        <v/>
      </c>
      <c r="W237" s="0" t="str">
        <f aca="false">IF(K237="","",B237)</f>
        <v/>
      </c>
      <c r="X237" s="0" t="str">
        <f aca="false">IF(K237="","",1+SUMPRODUCT(($K$2:$K$1001&lt;&gt;"")*(($T$2:$T$1001&lt;T237)+($T$2:$T$1001=T237)*(($U$2:$U$1001&lt;U237)+($U$2:$U$1001=U237)*(($V$2:$V$1001&lt;V237)+($V$2:$V$1001=V237)*(($W$2:$W$1001&lt;W237)+($W$2:$W$1001=W237)*(ROW($K$2:$K$1001)&lt;ROW(K237))))))))</f>
        <v/>
      </c>
    </row>
    <row r="238" customFormat="false" ht="15" hidden="false" customHeight="false" outlineLevel="0" collapsed="false">
      <c r="A238" s="0" t="str">
        <f aca="false">IF(TRIM('List 1'!A238&amp;'List 1'!C238&amp;'List 1'!D238)="","",LOWER(IF(OR(Comparison!$I$9="Item # + Part # + Description",Comparison!$I$9="Item # + Part #"),TRIM('List 1'!A238),"")&amp;"|"&amp;TRIM('List 1'!C238)&amp;"|"&amp;IF(OR(Comparison!$I$9="Item # + Part # + Description",Comparison!$I$9="Part # + Description"),TRIM('List 1'!D238),"")))</f>
        <v/>
      </c>
      <c r="B238" s="0" t="str">
        <f aca="false">IF(A238="","",SUMPRODUCT(--($A$2:A238=A238)))</f>
        <v/>
      </c>
      <c r="C238" s="0" t="str">
        <f aca="false">IF(A238="","",A238&amp;"#"&amp;B238)</f>
        <v/>
      </c>
      <c r="D238" s="0" t="str">
        <f aca="false">IF(A238="","",IFERROR(--'List 1'!B238,0))</f>
        <v/>
      </c>
      <c r="F238" s="0" t="str">
        <f aca="false">IF(TRIM('List 2'!A238&amp;'List 2'!C238&amp;'List 2'!D238)="","",LOWER(IF(OR(Comparison!$I$9="Item # + Part # + Description",Comparison!$I$9="Item # + Part #"),TRIM('List 2'!A238),"")&amp;"|"&amp;TRIM('List 2'!C238)&amp;"|"&amp;IF(OR(Comparison!$I$9="Item # + Part # + Description",Comparison!$I$9="Part # + Description"),TRIM('List 2'!D238),"")))</f>
        <v/>
      </c>
      <c r="G238" s="0" t="str">
        <f aca="false">IF(F238="","",SUMPRODUCT(--($F$2:F238=F238)))</f>
        <v/>
      </c>
      <c r="H238" s="0" t="str">
        <f aca="false">IF(F238="","",F238&amp;"#"&amp;G238)</f>
        <v/>
      </c>
      <c r="I238" s="0" t="str">
        <f aca="false">IF(F238="","",IFERROR(--'List 2'!B238,0))</f>
        <v/>
      </c>
      <c r="K238" s="0" t="str">
        <f aca="false">C238</f>
        <v/>
      </c>
      <c r="L238" s="0" t="str">
        <f aca="false">IF(K238="","",IF(ISNUMBER('List 1'!A238),'List 1'!A238,TRIM('List 1'!A238)))</f>
        <v/>
      </c>
      <c r="M238" s="0" t="str">
        <f aca="false">IF(K238="","",IF(ISNUMBER('List 1'!C238),'List 1'!C238,TRIM('List 1'!C238)))</f>
        <v/>
      </c>
      <c r="N238" s="0" t="str">
        <f aca="false">IF(K238="","",IF(ISNUMBER('List 1'!D238),'List 1'!D238,TRIM('List 1'!D238)))</f>
        <v/>
      </c>
      <c r="O238" s="0" t="str">
        <f aca="false">IF(K238="","",D238)</f>
        <v/>
      </c>
      <c r="P238" s="0" t="str">
        <f aca="false">IF(K238="","",IF(R238,SUMPRODUCT(--($H$2:$H$501=K238),$I$2:$I$501),0))</f>
        <v/>
      </c>
      <c r="Q238" s="0" t="str">
        <f aca="false">IF(K238="","",TRUE())</f>
        <v/>
      </c>
      <c r="R238" s="0" t="str">
        <f aca="false">IF(K238="","",SUMPRODUCT(--($H$2:$H$501=K238))&gt;0)</f>
        <v/>
      </c>
      <c r="S238" s="0" t="str">
        <f aca="false">IF(K238="","",IF(AND(Q238,R238),IF(O238=P238,"Match","Qty Different"),IF(Q238,"Only in List 1","Only in List 2")))</f>
        <v/>
      </c>
      <c r="T238" s="0" t="str">
        <f aca="false">IF(K238="","",IF(ISNUMBER(--L238),TEXT(--L238,"000000000000.000"),LOWER(L238)))</f>
        <v/>
      </c>
      <c r="U238" s="0" t="str">
        <f aca="false">IF(K238="","",IF(ISNUMBER(--M238),TEXT(--M238,"000000000000.000"),LOWER(M238)))</f>
        <v/>
      </c>
      <c r="V238" s="0" t="str">
        <f aca="false">IF(K238="","",LOWER(N238))</f>
        <v/>
      </c>
      <c r="W238" s="0" t="str">
        <f aca="false">IF(K238="","",B238)</f>
        <v/>
      </c>
      <c r="X238" s="0" t="str">
        <f aca="false">IF(K238="","",1+SUMPRODUCT(($K$2:$K$1001&lt;&gt;"")*(($T$2:$T$1001&lt;T238)+($T$2:$T$1001=T238)*(($U$2:$U$1001&lt;U238)+($U$2:$U$1001=U238)*(($V$2:$V$1001&lt;V238)+($V$2:$V$1001=V238)*(($W$2:$W$1001&lt;W238)+($W$2:$W$1001=W238)*(ROW($K$2:$K$1001)&lt;ROW(K238))))))))</f>
        <v/>
      </c>
    </row>
    <row r="239" customFormat="false" ht="15" hidden="false" customHeight="false" outlineLevel="0" collapsed="false">
      <c r="A239" s="0" t="str">
        <f aca="false">IF(TRIM('List 1'!A239&amp;'List 1'!C239&amp;'List 1'!D239)="","",LOWER(IF(OR(Comparison!$I$9="Item # + Part # + Description",Comparison!$I$9="Item # + Part #"),TRIM('List 1'!A239),"")&amp;"|"&amp;TRIM('List 1'!C239)&amp;"|"&amp;IF(OR(Comparison!$I$9="Item # + Part # + Description",Comparison!$I$9="Part # + Description"),TRIM('List 1'!D239),"")))</f>
        <v/>
      </c>
      <c r="B239" s="0" t="str">
        <f aca="false">IF(A239="","",SUMPRODUCT(--($A$2:A239=A239)))</f>
        <v/>
      </c>
      <c r="C239" s="0" t="str">
        <f aca="false">IF(A239="","",A239&amp;"#"&amp;B239)</f>
        <v/>
      </c>
      <c r="D239" s="0" t="str">
        <f aca="false">IF(A239="","",IFERROR(--'List 1'!B239,0))</f>
        <v/>
      </c>
      <c r="F239" s="0" t="str">
        <f aca="false">IF(TRIM('List 2'!A239&amp;'List 2'!C239&amp;'List 2'!D239)="","",LOWER(IF(OR(Comparison!$I$9="Item # + Part # + Description",Comparison!$I$9="Item # + Part #"),TRIM('List 2'!A239),"")&amp;"|"&amp;TRIM('List 2'!C239)&amp;"|"&amp;IF(OR(Comparison!$I$9="Item # + Part # + Description",Comparison!$I$9="Part # + Description"),TRIM('List 2'!D239),"")))</f>
        <v/>
      </c>
      <c r="G239" s="0" t="str">
        <f aca="false">IF(F239="","",SUMPRODUCT(--($F$2:F239=F239)))</f>
        <v/>
      </c>
      <c r="H239" s="0" t="str">
        <f aca="false">IF(F239="","",F239&amp;"#"&amp;G239)</f>
        <v/>
      </c>
      <c r="I239" s="0" t="str">
        <f aca="false">IF(F239="","",IFERROR(--'List 2'!B239,0))</f>
        <v/>
      </c>
      <c r="K239" s="0" t="str">
        <f aca="false">C239</f>
        <v/>
      </c>
      <c r="L239" s="0" t="str">
        <f aca="false">IF(K239="","",IF(ISNUMBER('List 1'!A239),'List 1'!A239,TRIM('List 1'!A239)))</f>
        <v/>
      </c>
      <c r="M239" s="0" t="str">
        <f aca="false">IF(K239="","",IF(ISNUMBER('List 1'!C239),'List 1'!C239,TRIM('List 1'!C239)))</f>
        <v/>
      </c>
      <c r="N239" s="0" t="str">
        <f aca="false">IF(K239="","",IF(ISNUMBER('List 1'!D239),'List 1'!D239,TRIM('List 1'!D239)))</f>
        <v/>
      </c>
      <c r="O239" s="0" t="str">
        <f aca="false">IF(K239="","",D239)</f>
        <v/>
      </c>
      <c r="P239" s="0" t="str">
        <f aca="false">IF(K239="","",IF(R239,SUMPRODUCT(--($H$2:$H$501=K239),$I$2:$I$501),0))</f>
        <v/>
      </c>
      <c r="Q239" s="0" t="str">
        <f aca="false">IF(K239="","",TRUE())</f>
        <v/>
      </c>
      <c r="R239" s="0" t="str">
        <f aca="false">IF(K239="","",SUMPRODUCT(--($H$2:$H$501=K239))&gt;0)</f>
        <v/>
      </c>
      <c r="S239" s="0" t="str">
        <f aca="false">IF(K239="","",IF(AND(Q239,R239),IF(O239=P239,"Match","Qty Different"),IF(Q239,"Only in List 1","Only in List 2")))</f>
        <v/>
      </c>
      <c r="T239" s="0" t="str">
        <f aca="false">IF(K239="","",IF(ISNUMBER(--L239),TEXT(--L239,"000000000000.000"),LOWER(L239)))</f>
        <v/>
      </c>
      <c r="U239" s="0" t="str">
        <f aca="false">IF(K239="","",IF(ISNUMBER(--M239),TEXT(--M239,"000000000000.000"),LOWER(M239)))</f>
        <v/>
      </c>
      <c r="V239" s="0" t="str">
        <f aca="false">IF(K239="","",LOWER(N239))</f>
        <v/>
      </c>
      <c r="W239" s="0" t="str">
        <f aca="false">IF(K239="","",B239)</f>
        <v/>
      </c>
      <c r="X239" s="0" t="str">
        <f aca="false">IF(K239="","",1+SUMPRODUCT(($K$2:$K$1001&lt;&gt;"")*(($T$2:$T$1001&lt;T239)+($T$2:$T$1001=T239)*(($U$2:$U$1001&lt;U239)+($U$2:$U$1001=U239)*(($V$2:$V$1001&lt;V239)+($V$2:$V$1001=V239)*(($W$2:$W$1001&lt;W239)+($W$2:$W$1001=W239)*(ROW($K$2:$K$1001)&lt;ROW(K239))))))))</f>
        <v/>
      </c>
    </row>
    <row r="240" customFormat="false" ht="15" hidden="false" customHeight="false" outlineLevel="0" collapsed="false">
      <c r="A240" s="0" t="str">
        <f aca="false">IF(TRIM('List 1'!A240&amp;'List 1'!C240&amp;'List 1'!D240)="","",LOWER(IF(OR(Comparison!$I$9="Item # + Part # + Description",Comparison!$I$9="Item # + Part #"),TRIM('List 1'!A240),"")&amp;"|"&amp;TRIM('List 1'!C240)&amp;"|"&amp;IF(OR(Comparison!$I$9="Item # + Part # + Description",Comparison!$I$9="Part # + Description"),TRIM('List 1'!D240),"")))</f>
        <v/>
      </c>
      <c r="B240" s="0" t="str">
        <f aca="false">IF(A240="","",SUMPRODUCT(--($A$2:A240=A240)))</f>
        <v/>
      </c>
      <c r="C240" s="0" t="str">
        <f aca="false">IF(A240="","",A240&amp;"#"&amp;B240)</f>
        <v/>
      </c>
      <c r="D240" s="0" t="str">
        <f aca="false">IF(A240="","",IFERROR(--'List 1'!B240,0))</f>
        <v/>
      </c>
      <c r="F240" s="0" t="str">
        <f aca="false">IF(TRIM('List 2'!A240&amp;'List 2'!C240&amp;'List 2'!D240)="","",LOWER(IF(OR(Comparison!$I$9="Item # + Part # + Description",Comparison!$I$9="Item # + Part #"),TRIM('List 2'!A240),"")&amp;"|"&amp;TRIM('List 2'!C240)&amp;"|"&amp;IF(OR(Comparison!$I$9="Item # + Part # + Description",Comparison!$I$9="Part # + Description"),TRIM('List 2'!D240),"")))</f>
        <v/>
      </c>
      <c r="G240" s="0" t="str">
        <f aca="false">IF(F240="","",SUMPRODUCT(--($F$2:F240=F240)))</f>
        <v/>
      </c>
      <c r="H240" s="0" t="str">
        <f aca="false">IF(F240="","",F240&amp;"#"&amp;G240)</f>
        <v/>
      </c>
      <c r="I240" s="0" t="str">
        <f aca="false">IF(F240="","",IFERROR(--'List 2'!B240,0))</f>
        <v/>
      </c>
      <c r="K240" s="0" t="str">
        <f aca="false">C240</f>
        <v/>
      </c>
      <c r="L240" s="0" t="str">
        <f aca="false">IF(K240="","",IF(ISNUMBER('List 1'!A240),'List 1'!A240,TRIM('List 1'!A240)))</f>
        <v/>
      </c>
      <c r="M240" s="0" t="str">
        <f aca="false">IF(K240="","",IF(ISNUMBER('List 1'!C240),'List 1'!C240,TRIM('List 1'!C240)))</f>
        <v/>
      </c>
      <c r="N240" s="0" t="str">
        <f aca="false">IF(K240="","",IF(ISNUMBER('List 1'!D240),'List 1'!D240,TRIM('List 1'!D240)))</f>
        <v/>
      </c>
      <c r="O240" s="0" t="str">
        <f aca="false">IF(K240="","",D240)</f>
        <v/>
      </c>
      <c r="P240" s="0" t="str">
        <f aca="false">IF(K240="","",IF(R240,SUMPRODUCT(--($H$2:$H$501=K240),$I$2:$I$501),0))</f>
        <v/>
      </c>
      <c r="Q240" s="0" t="str">
        <f aca="false">IF(K240="","",TRUE())</f>
        <v/>
      </c>
      <c r="R240" s="0" t="str">
        <f aca="false">IF(K240="","",SUMPRODUCT(--($H$2:$H$501=K240))&gt;0)</f>
        <v/>
      </c>
      <c r="S240" s="0" t="str">
        <f aca="false">IF(K240="","",IF(AND(Q240,R240),IF(O240=P240,"Match","Qty Different"),IF(Q240,"Only in List 1","Only in List 2")))</f>
        <v/>
      </c>
      <c r="T240" s="0" t="str">
        <f aca="false">IF(K240="","",IF(ISNUMBER(--L240),TEXT(--L240,"000000000000.000"),LOWER(L240)))</f>
        <v/>
      </c>
      <c r="U240" s="0" t="str">
        <f aca="false">IF(K240="","",IF(ISNUMBER(--M240),TEXT(--M240,"000000000000.000"),LOWER(M240)))</f>
        <v/>
      </c>
      <c r="V240" s="0" t="str">
        <f aca="false">IF(K240="","",LOWER(N240))</f>
        <v/>
      </c>
      <c r="W240" s="0" t="str">
        <f aca="false">IF(K240="","",B240)</f>
        <v/>
      </c>
      <c r="X240" s="0" t="str">
        <f aca="false">IF(K240="","",1+SUMPRODUCT(($K$2:$K$1001&lt;&gt;"")*(($T$2:$T$1001&lt;T240)+($T$2:$T$1001=T240)*(($U$2:$U$1001&lt;U240)+($U$2:$U$1001=U240)*(($V$2:$V$1001&lt;V240)+($V$2:$V$1001=V240)*(($W$2:$W$1001&lt;W240)+($W$2:$W$1001=W240)*(ROW($K$2:$K$1001)&lt;ROW(K240))))))))</f>
        <v/>
      </c>
    </row>
    <row r="241" customFormat="false" ht="15" hidden="false" customHeight="false" outlineLevel="0" collapsed="false">
      <c r="A241" s="0" t="str">
        <f aca="false">IF(TRIM('List 1'!A241&amp;'List 1'!C241&amp;'List 1'!D241)="","",LOWER(IF(OR(Comparison!$I$9="Item # + Part # + Description",Comparison!$I$9="Item # + Part #"),TRIM('List 1'!A241),"")&amp;"|"&amp;TRIM('List 1'!C241)&amp;"|"&amp;IF(OR(Comparison!$I$9="Item # + Part # + Description",Comparison!$I$9="Part # + Description"),TRIM('List 1'!D241),"")))</f>
        <v/>
      </c>
      <c r="B241" s="0" t="str">
        <f aca="false">IF(A241="","",SUMPRODUCT(--($A$2:A241=A241)))</f>
        <v/>
      </c>
      <c r="C241" s="0" t="str">
        <f aca="false">IF(A241="","",A241&amp;"#"&amp;B241)</f>
        <v/>
      </c>
      <c r="D241" s="0" t="str">
        <f aca="false">IF(A241="","",IFERROR(--'List 1'!B241,0))</f>
        <v/>
      </c>
      <c r="F241" s="0" t="str">
        <f aca="false">IF(TRIM('List 2'!A241&amp;'List 2'!C241&amp;'List 2'!D241)="","",LOWER(IF(OR(Comparison!$I$9="Item # + Part # + Description",Comparison!$I$9="Item # + Part #"),TRIM('List 2'!A241),"")&amp;"|"&amp;TRIM('List 2'!C241)&amp;"|"&amp;IF(OR(Comparison!$I$9="Item # + Part # + Description",Comparison!$I$9="Part # + Description"),TRIM('List 2'!D241),"")))</f>
        <v/>
      </c>
      <c r="G241" s="0" t="str">
        <f aca="false">IF(F241="","",SUMPRODUCT(--($F$2:F241=F241)))</f>
        <v/>
      </c>
      <c r="H241" s="0" t="str">
        <f aca="false">IF(F241="","",F241&amp;"#"&amp;G241)</f>
        <v/>
      </c>
      <c r="I241" s="0" t="str">
        <f aca="false">IF(F241="","",IFERROR(--'List 2'!B241,0))</f>
        <v/>
      </c>
      <c r="K241" s="0" t="str">
        <f aca="false">C241</f>
        <v/>
      </c>
      <c r="L241" s="0" t="str">
        <f aca="false">IF(K241="","",IF(ISNUMBER('List 1'!A241),'List 1'!A241,TRIM('List 1'!A241)))</f>
        <v/>
      </c>
      <c r="M241" s="0" t="str">
        <f aca="false">IF(K241="","",IF(ISNUMBER('List 1'!C241),'List 1'!C241,TRIM('List 1'!C241)))</f>
        <v/>
      </c>
      <c r="N241" s="0" t="str">
        <f aca="false">IF(K241="","",IF(ISNUMBER('List 1'!D241),'List 1'!D241,TRIM('List 1'!D241)))</f>
        <v/>
      </c>
      <c r="O241" s="0" t="str">
        <f aca="false">IF(K241="","",D241)</f>
        <v/>
      </c>
      <c r="P241" s="0" t="str">
        <f aca="false">IF(K241="","",IF(R241,SUMPRODUCT(--($H$2:$H$501=K241),$I$2:$I$501),0))</f>
        <v/>
      </c>
      <c r="Q241" s="0" t="str">
        <f aca="false">IF(K241="","",TRUE())</f>
        <v/>
      </c>
      <c r="R241" s="0" t="str">
        <f aca="false">IF(K241="","",SUMPRODUCT(--($H$2:$H$501=K241))&gt;0)</f>
        <v/>
      </c>
      <c r="S241" s="0" t="str">
        <f aca="false">IF(K241="","",IF(AND(Q241,R241),IF(O241=P241,"Match","Qty Different"),IF(Q241,"Only in List 1","Only in List 2")))</f>
        <v/>
      </c>
      <c r="T241" s="0" t="str">
        <f aca="false">IF(K241="","",IF(ISNUMBER(--L241),TEXT(--L241,"000000000000.000"),LOWER(L241)))</f>
        <v/>
      </c>
      <c r="U241" s="0" t="str">
        <f aca="false">IF(K241="","",IF(ISNUMBER(--M241),TEXT(--M241,"000000000000.000"),LOWER(M241)))</f>
        <v/>
      </c>
      <c r="V241" s="0" t="str">
        <f aca="false">IF(K241="","",LOWER(N241))</f>
        <v/>
      </c>
      <c r="W241" s="0" t="str">
        <f aca="false">IF(K241="","",B241)</f>
        <v/>
      </c>
      <c r="X241" s="0" t="str">
        <f aca="false">IF(K241="","",1+SUMPRODUCT(($K$2:$K$1001&lt;&gt;"")*(($T$2:$T$1001&lt;T241)+($T$2:$T$1001=T241)*(($U$2:$U$1001&lt;U241)+($U$2:$U$1001=U241)*(($V$2:$V$1001&lt;V241)+($V$2:$V$1001=V241)*(($W$2:$W$1001&lt;W241)+($W$2:$W$1001=W241)*(ROW($K$2:$K$1001)&lt;ROW(K241))))))))</f>
        <v/>
      </c>
    </row>
    <row r="242" customFormat="false" ht="15" hidden="false" customHeight="false" outlineLevel="0" collapsed="false">
      <c r="A242" s="0" t="str">
        <f aca="false">IF(TRIM('List 1'!A242&amp;'List 1'!C242&amp;'List 1'!D242)="","",LOWER(IF(OR(Comparison!$I$9="Item # + Part # + Description",Comparison!$I$9="Item # + Part #"),TRIM('List 1'!A242),"")&amp;"|"&amp;TRIM('List 1'!C242)&amp;"|"&amp;IF(OR(Comparison!$I$9="Item # + Part # + Description",Comparison!$I$9="Part # + Description"),TRIM('List 1'!D242),"")))</f>
        <v/>
      </c>
      <c r="B242" s="0" t="str">
        <f aca="false">IF(A242="","",SUMPRODUCT(--($A$2:A242=A242)))</f>
        <v/>
      </c>
      <c r="C242" s="0" t="str">
        <f aca="false">IF(A242="","",A242&amp;"#"&amp;B242)</f>
        <v/>
      </c>
      <c r="D242" s="0" t="str">
        <f aca="false">IF(A242="","",IFERROR(--'List 1'!B242,0))</f>
        <v/>
      </c>
      <c r="F242" s="0" t="str">
        <f aca="false">IF(TRIM('List 2'!A242&amp;'List 2'!C242&amp;'List 2'!D242)="","",LOWER(IF(OR(Comparison!$I$9="Item # + Part # + Description",Comparison!$I$9="Item # + Part #"),TRIM('List 2'!A242),"")&amp;"|"&amp;TRIM('List 2'!C242)&amp;"|"&amp;IF(OR(Comparison!$I$9="Item # + Part # + Description",Comparison!$I$9="Part # + Description"),TRIM('List 2'!D242),"")))</f>
        <v/>
      </c>
      <c r="G242" s="0" t="str">
        <f aca="false">IF(F242="","",SUMPRODUCT(--($F$2:F242=F242)))</f>
        <v/>
      </c>
      <c r="H242" s="0" t="str">
        <f aca="false">IF(F242="","",F242&amp;"#"&amp;G242)</f>
        <v/>
      </c>
      <c r="I242" s="0" t="str">
        <f aca="false">IF(F242="","",IFERROR(--'List 2'!B242,0))</f>
        <v/>
      </c>
      <c r="K242" s="0" t="str">
        <f aca="false">C242</f>
        <v/>
      </c>
      <c r="L242" s="0" t="str">
        <f aca="false">IF(K242="","",IF(ISNUMBER('List 1'!A242),'List 1'!A242,TRIM('List 1'!A242)))</f>
        <v/>
      </c>
      <c r="M242" s="0" t="str">
        <f aca="false">IF(K242="","",IF(ISNUMBER('List 1'!C242),'List 1'!C242,TRIM('List 1'!C242)))</f>
        <v/>
      </c>
      <c r="N242" s="0" t="str">
        <f aca="false">IF(K242="","",IF(ISNUMBER('List 1'!D242),'List 1'!D242,TRIM('List 1'!D242)))</f>
        <v/>
      </c>
      <c r="O242" s="0" t="str">
        <f aca="false">IF(K242="","",D242)</f>
        <v/>
      </c>
      <c r="P242" s="0" t="str">
        <f aca="false">IF(K242="","",IF(R242,SUMPRODUCT(--($H$2:$H$501=K242),$I$2:$I$501),0))</f>
        <v/>
      </c>
      <c r="Q242" s="0" t="str">
        <f aca="false">IF(K242="","",TRUE())</f>
        <v/>
      </c>
      <c r="R242" s="0" t="str">
        <f aca="false">IF(K242="","",SUMPRODUCT(--($H$2:$H$501=K242))&gt;0)</f>
        <v/>
      </c>
      <c r="S242" s="0" t="str">
        <f aca="false">IF(K242="","",IF(AND(Q242,R242),IF(O242=P242,"Match","Qty Different"),IF(Q242,"Only in List 1","Only in List 2")))</f>
        <v/>
      </c>
      <c r="T242" s="0" t="str">
        <f aca="false">IF(K242="","",IF(ISNUMBER(--L242),TEXT(--L242,"000000000000.000"),LOWER(L242)))</f>
        <v/>
      </c>
      <c r="U242" s="0" t="str">
        <f aca="false">IF(K242="","",IF(ISNUMBER(--M242),TEXT(--M242,"000000000000.000"),LOWER(M242)))</f>
        <v/>
      </c>
      <c r="V242" s="0" t="str">
        <f aca="false">IF(K242="","",LOWER(N242))</f>
        <v/>
      </c>
      <c r="W242" s="0" t="str">
        <f aca="false">IF(K242="","",B242)</f>
        <v/>
      </c>
      <c r="X242" s="0" t="str">
        <f aca="false">IF(K242="","",1+SUMPRODUCT(($K$2:$K$1001&lt;&gt;"")*(($T$2:$T$1001&lt;T242)+($T$2:$T$1001=T242)*(($U$2:$U$1001&lt;U242)+($U$2:$U$1001=U242)*(($V$2:$V$1001&lt;V242)+($V$2:$V$1001=V242)*(($W$2:$W$1001&lt;W242)+($W$2:$W$1001=W242)*(ROW($K$2:$K$1001)&lt;ROW(K242))))))))</f>
        <v/>
      </c>
    </row>
    <row r="243" customFormat="false" ht="15" hidden="false" customHeight="false" outlineLevel="0" collapsed="false">
      <c r="A243" s="0" t="str">
        <f aca="false">IF(TRIM('List 1'!A243&amp;'List 1'!C243&amp;'List 1'!D243)="","",LOWER(IF(OR(Comparison!$I$9="Item # + Part # + Description",Comparison!$I$9="Item # + Part #"),TRIM('List 1'!A243),"")&amp;"|"&amp;TRIM('List 1'!C243)&amp;"|"&amp;IF(OR(Comparison!$I$9="Item # + Part # + Description",Comparison!$I$9="Part # + Description"),TRIM('List 1'!D243),"")))</f>
        <v/>
      </c>
      <c r="B243" s="0" t="str">
        <f aca="false">IF(A243="","",SUMPRODUCT(--($A$2:A243=A243)))</f>
        <v/>
      </c>
      <c r="C243" s="0" t="str">
        <f aca="false">IF(A243="","",A243&amp;"#"&amp;B243)</f>
        <v/>
      </c>
      <c r="D243" s="0" t="str">
        <f aca="false">IF(A243="","",IFERROR(--'List 1'!B243,0))</f>
        <v/>
      </c>
      <c r="F243" s="0" t="str">
        <f aca="false">IF(TRIM('List 2'!A243&amp;'List 2'!C243&amp;'List 2'!D243)="","",LOWER(IF(OR(Comparison!$I$9="Item # + Part # + Description",Comparison!$I$9="Item # + Part #"),TRIM('List 2'!A243),"")&amp;"|"&amp;TRIM('List 2'!C243)&amp;"|"&amp;IF(OR(Comparison!$I$9="Item # + Part # + Description",Comparison!$I$9="Part # + Description"),TRIM('List 2'!D243),"")))</f>
        <v/>
      </c>
      <c r="G243" s="0" t="str">
        <f aca="false">IF(F243="","",SUMPRODUCT(--($F$2:F243=F243)))</f>
        <v/>
      </c>
      <c r="H243" s="0" t="str">
        <f aca="false">IF(F243="","",F243&amp;"#"&amp;G243)</f>
        <v/>
      </c>
      <c r="I243" s="0" t="str">
        <f aca="false">IF(F243="","",IFERROR(--'List 2'!B243,0))</f>
        <v/>
      </c>
      <c r="K243" s="0" t="str">
        <f aca="false">C243</f>
        <v/>
      </c>
      <c r="L243" s="0" t="str">
        <f aca="false">IF(K243="","",IF(ISNUMBER('List 1'!A243),'List 1'!A243,TRIM('List 1'!A243)))</f>
        <v/>
      </c>
      <c r="M243" s="0" t="str">
        <f aca="false">IF(K243="","",IF(ISNUMBER('List 1'!C243),'List 1'!C243,TRIM('List 1'!C243)))</f>
        <v/>
      </c>
      <c r="N243" s="0" t="str">
        <f aca="false">IF(K243="","",IF(ISNUMBER('List 1'!D243),'List 1'!D243,TRIM('List 1'!D243)))</f>
        <v/>
      </c>
      <c r="O243" s="0" t="str">
        <f aca="false">IF(K243="","",D243)</f>
        <v/>
      </c>
      <c r="P243" s="0" t="str">
        <f aca="false">IF(K243="","",IF(R243,SUMPRODUCT(--($H$2:$H$501=K243),$I$2:$I$501),0))</f>
        <v/>
      </c>
      <c r="Q243" s="0" t="str">
        <f aca="false">IF(K243="","",TRUE())</f>
        <v/>
      </c>
      <c r="R243" s="0" t="str">
        <f aca="false">IF(K243="","",SUMPRODUCT(--($H$2:$H$501=K243))&gt;0)</f>
        <v/>
      </c>
      <c r="S243" s="0" t="str">
        <f aca="false">IF(K243="","",IF(AND(Q243,R243),IF(O243=P243,"Match","Qty Different"),IF(Q243,"Only in List 1","Only in List 2")))</f>
        <v/>
      </c>
      <c r="T243" s="0" t="str">
        <f aca="false">IF(K243="","",IF(ISNUMBER(--L243),TEXT(--L243,"000000000000.000"),LOWER(L243)))</f>
        <v/>
      </c>
      <c r="U243" s="0" t="str">
        <f aca="false">IF(K243="","",IF(ISNUMBER(--M243),TEXT(--M243,"000000000000.000"),LOWER(M243)))</f>
        <v/>
      </c>
      <c r="V243" s="0" t="str">
        <f aca="false">IF(K243="","",LOWER(N243))</f>
        <v/>
      </c>
      <c r="W243" s="0" t="str">
        <f aca="false">IF(K243="","",B243)</f>
        <v/>
      </c>
      <c r="X243" s="0" t="str">
        <f aca="false">IF(K243="","",1+SUMPRODUCT(($K$2:$K$1001&lt;&gt;"")*(($T$2:$T$1001&lt;T243)+($T$2:$T$1001=T243)*(($U$2:$U$1001&lt;U243)+($U$2:$U$1001=U243)*(($V$2:$V$1001&lt;V243)+($V$2:$V$1001=V243)*(($W$2:$W$1001&lt;W243)+($W$2:$W$1001=W243)*(ROW($K$2:$K$1001)&lt;ROW(K243))))))))</f>
        <v/>
      </c>
    </row>
    <row r="244" customFormat="false" ht="15" hidden="false" customHeight="false" outlineLevel="0" collapsed="false">
      <c r="A244" s="0" t="str">
        <f aca="false">IF(TRIM('List 1'!A244&amp;'List 1'!C244&amp;'List 1'!D244)="","",LOWER(IF(OR(Comparison!$I$9="Item # + Part # + Description",Comparison!$I$9="Item # + Part #"),TRIM('List 1'!A244),"")&amp;"|"&amp;TRIM('List 1'!C244)&amp;"|"&amp;IF(OR(Comparison!$I$9="Item # + Part # + Description",Comparison!$I$9="Part # + Description"),TRIM('List 1'!D244),"")))</f>
        <v/>
      </c>
      <c r="B244" s="0" t="str">
        <f aca="false">IF(A244="","",SUMPRODUCT(--($A$2:A244=A244)))</f>
        <v/>
      </c>
      <c r="C244" s="0" t="str">
        <f aca="false">IF(A244="","",A244&amp;"#"&amp;B244)</f>
        <v/>
      </c>
      <c r="D244" s="0" t="str">
        <f aca="false">IF(A244="","",IFERROR(--'List 1'!B244,0))</f>
        <v/>
      </c>
      <c r="F244" s="0" t="str">
        <f aca="false">IF(TRIM('List 2'!A244&amp;'List 2'!C244&amp;'List 2'!D244)="","",LOWER(IF(OR(Comparison!$I$9="Item # + Part # + Description",Comparison!$I$9="Item # + Part #"),TRIM('List 2'!A244),"")&amp;"|"&amp;TRIM('List 2'!C244)&amp;"|"&amp;IF(OR(Comparison!$I$9="Item # + Part # + Description",Comparison!$I$9="Part # + Description"),TRIM('List 2'!D244),"")))</f>
        <v/>
      </c>
      <c r="G244" s="0" t="str">
        <f aca="false">IF(F244="","",SUMPRODUCT(--($F$2:F244=F244)))</f>
        <v/>
      </c>
      <c r="H244" s="0" t="str">
        <f aca="false">IF(F244="","",F244&amp;"#"&amp;G244)</f>
        <v/>
      </c>
      <c r="I244" s="0" t="str">
        <f aca="false">IF(F244="","",IFERROR(--'List 2'!B244,0))</f>
        <v/>
      </c>
      <c r="K244" s="0" t="str">
        <f aca="false">C244</f>
        <v/>
      </c>
      <c r="L244" s="0" t="str">
        <f aca="false">IF(K244="","",IF(ISNUMBER('List 1'!A244),'List 1'!A244,TRIM('List 1'!A244)))</f>
        <v/>
      </c>
      <c r="M244" s="0" t="str">
        <f aca="false">IF(K244="","",IF(ISNUMBER('List 1'!C244),'List 1'!C244,TRIM('List 1'!C244)))</f>
        <v/>
      </c>
      <c r="N244" s="0" t="str">
        <f aca="false">IF(K244="","",IF(ISNUMBER('List 1'!D244),'List 1'!D244,TRIM('List 1'!D244)))</f>
        <v/>
      </c>
      <c r="O244" s="0" t="str">
        <f aca="false">IF(K244="","",D244)</f>
        <v/>
      </c>
      <c r="P244" s="0" t="str">
        <f aca="false">IF(K244="","",IF(R244,SUMPRODUCT(--($H$2:$H$501=K244),$I$2:$I$501),0))</f>
        <v/>
      </c>
      <c r="Q244" s="0" t="str">
        <f aca="false">IF(K244="","",TRUE())</f>
        <v/>
      </c>
      <c r="R244" s="0" t="str">
        <f aca="false">IF(K244="","",SUMPRODUCT(--($H$2:$H$501=K244))&gt;0)</f>
        <v/>
      </c>
      <c r="S244" s="0" t="str">
        <f aca="false">IF(K244="","",IF(AND(Q244,R244),IF(O244=P244,"Match","Qty Different"),IF(Q244,"Only in List 1","Only in List 2")))</f>
        <v/>
      </c>
      <c r="T244" s="0" t="str">
        <f aca="false">IF(K244="","",IF(ISNUMBER(--L244),TEXT(--L244,"000000000000.000"),LOWER(L244)))</f>
        <v/>
      </c>
      <c r="U244" s="0" t="str">
        <f aca="false">IF(K244="","",IF(ISNUMBER(--M244),TEXT(--M244,"000000000000.000"),LOWER(M244)))</f>
        <v/>
      </c>
      <c r="V244" s="0" t="str">
        <f aca="false">IF(K244="","",LOWER(N244))</f>
        <v/>
      </c>
      <c r="W244" s="0" t="str">
        <f aca="false">IF(K244="","",B244)</f>
        <v/>
      </c>
      <c r="X244" s="0" t="str">
        <f aca="false">IF(K244="","",1+SUMPRODUCT(($K$2:$K$1001&lt;&gt;"")*(($T$2:$T$1001&lt;T244)+($T$2:$T$1001=T244)*(($U$2:$U$1001&lt;U244)+($U$2:$U$1001=U244)*(($V$2:$V$1001&lt;V244)+($V$2:$V$1001=V244)*(($W$2:$W$1001&lt;W244)+($W$2:$W$1001=W244)*(ROW($K$2:$K$1001)&lt;ROW(K244))))))))</f>
        <v/>
      </c>
    </row>
    <row r="245" customFormat="false" ht="15" hidden="false" customHeight="false" outlineLevel="0" collapsed="false">
      <c r="A245" s="0" t="str">
        <f aca="false">IF(TRIM('List 1'!A245&amp;'List 1'!C245&amp;'List 1'!D245)="","",LOWER(IF(OR(Comparison!$I$9="Item # + Part # + Description",Comparison!$I$9="Item # + Part #"),TRIM('List 1'!A245),"")&amp;"|"&amp;TRIM('List 1'!C245)&amp;"|"&amp;IF(OR(Comparison!$I$9="Item # + Part # + Description",Comparison!$I$9="Part # + Description"),TRIM('List 1'!D245),"")))</f>
        <v/>
      </c>
      <c r="B245" s="0" t="str">
        <f aca="false">IF(A245="","",SUMPRODUCT(--($A$2:A245=A245)))</f>
        <v/>
      </c>
      <c r="C245" s="0" t="str">
        <f aca="false">IF(A245="","",A245&amp;"#"&amp;B245)</f>
        <v/>
      </c>
      <c r="D245" s="0" t="str">
        <f aca="false">IF(A245="","",IFERROR(--'List 1'!B245,0))</f>
        <v/>
      </c>
      <c r="F245" s="0" t="str">
        <f aca="false">IF(TRIM('List 2'!A245&amp;'List 2'!C245&amp;'List 2'!D245)="","",LOWER(IF(OR(Comparison!$I$9="Item # + Part # + Description",Comparison!$I$9="Item # + Part #"),TRIM('List 2'!A245),"")&amp;"|"&amp;TRIM('List 2'!C245)&amp;"|"&amp;IF(OR(Comparison!$I$9="Item # + Part # + Description",Comparison!$I$9="Part # + Description"),TRIM('List 2'!D245),"")))</f>
        <v/>
      </c>
      <c r="G245" s="0" t="str">
        <f aca="false">IF(F245="","",SUMPRODUCT(--($F$2:F245=F245)))</f>
        <v/>
      </c>
      <c r="H245" s="0" t="str">
        <f aca="false">IF(F245="","",F245&amp;"#"&amp;G245)</f>
        <v/>
      </c>
      <c r="I245" s="0" t="str">
        <f aca="false">IF(F245="","",IFERROR(--'List 2'!B245,0))</f>
        <v/>
      </c>
      <c r="K245" s="0" t="str">
        <f aca="false">C245</f>
        <v/>
      </c>
      <c r="L245" s="0" t="str">
        <f aca="false">IF(K245="","",IF(ISNUMBER('List 1'!A245),'List 1'!A245,TRIM('List 1'!A245)))</f>
        <v/>
      </c>
      <c r="M245" s="0" t="str">
        <f aca="false">IF(K245="","",IF(ISNUMBER('List 1'!C245),'List 1'!C245,TRIM('List 1'!C245)))</f>
        <v/>
      </c>
      <c r="N245" s="0" t="str">
        <f aca="false">IF(K245="","",IF(ISNUMBER('List 1'!D245),'List 1'!D245,TRIM('List 1'!D245)))</f>
        <v/>
      </c>
      <c r="O245" s="0" t="str">
        <f aca="false">IF(K245="","",D245)</f>
        <v/>
      </c>
      <c r="P245" s="0" t="str">
        <f aca="false">IF(K245="","",IF(R245,SUMPRODUCT(--($H$2:$H$501=K245),$I$2:$I$501),0))</f>
        <v/>
      </c>
      <c r="Q245" s="0" t="str">
        <f aca="false">IF(K245="","",TRUE())</f>
        <v/>
      </c>
      <c r="R245" s="0" t="str">
        <f aca="false">IF(K245="","",SUMPRODUCT(--($H$2:$H$501=K245))&gt;0)</f>
        <v/>
      </c>
      <c r="S245" s="0" t="str">
        <f aca="false">IF(K245="","",IF(AND(Q245,R245),IF(O245=P245,"Match","Qty Different"),IF(Q245,"Only in List 1","Only in List 2")))</f>
        <v/>
      </c>
      <c r="T245" s="0" t="str">
        <f aca="false">IF(K245="","",IF(ISNUMBER(--L245),TEXT(--L245,"000000000000.000"),LOWER(L245)))</f>
        <v/>
      </c>
      <c r="U245" s="0" t="str">
        <f aca="false">IF(K245="","",IF(ISNUMBER(--M245),TEXT(--M245,"000000000000.000"),LOWER(M245)))</f>
        <v/>
      </c>
      <c r="V245" s="0" t="str">
        <f aca="false">IF(K245="","",LOWER(N245))</f>
        <v/>
      </c>
      <c r="W245" s="0" t="str">
        <f aca="false">IF(K245="","",B245)</f>
        <v/>
      </c>
      <c r="X245" s="0" t="str">
        <f aca="false">IF(K245="","",1+SUMPRODUCT(($K$2:$K$1001&lt;&gt;"")*(($T$2:$T$1001&lt;T245)+($T$2:$T$1001=T245)*(($U$2:$U$1001&lt;U245)+($U$2:$U$1001=U245)*(($V$2:$V$1001&lt;V245)+($V$2:$V$1001=V245)*(($W$2:$W$1001&lt;W245)+($W$2:$W$1001=W245)*(ROW($K$2:$K$1001)&lt;ROW(K245))))))))</f>
        <v/>
      </c>
    </row>
    <row r="246" customFormat="false" ht="15" hidden="false" customHeight="false" outlineLevel="0" collapsed="false">
      <c r="A246" s="0" t="str">
        <f aca="false">IF(TRIM('List 1'!A246&amp;'List 1'!C246&amp;'List 1'!D246)="","",LOWER(IF(OR(Comparison!$I$9="Item # + Part # + Description",Comparison!$I$9="Item # + Part #"),TRIM('List 1'!A246),"")&amp;"|"&amp;TRIM('List 1'!C246)&amp;"|"&amp;IF(OR(Comparison!$I$9="Item # + Part # + Description",Comparison!$I$9="Part # + Description"),TRIM('List 1'!D246),"")))</f>
        <v/>
      </c>
      <c r="B246" s="0" t="str">
        <f aca="false">IF(A246="","",SUMPRODUCT(--($A$2:A246=A246)))</f>
        <v/>
      </c>
      <c r="C246" s="0" t="str">
        <f aca="false">IF(A246="","",A246&amp;"#"&amp;B246)</f>
        <v/>
      </c>
      <c r="D246" s="0" t="str">
        <f aca="false">IF(A246="","",IFERROR(--'List 1'!B246,0))</f>
        <v/>
      </c>
      <c r="F246" s="0" t="str">
        <f aca="false">IF(TRIM('List 2'!A246&amp;'List 2'!C246&amp;'List 2'!D246)="","",LOWER(IF(OR(Comparison!$I$9="Item # + Part # + Description",Comparison!$I$9="Item # + Part #"),TRIM('List 2'!A246),"")&amp;"|"&amp;TRIM('List 2'!C246)&amp;"|"&amp;IF(OR(Comparison!$I$9="Item # + Part # + Description",Comparison!$I$9="Part # + Description"),TRIM('List 2'!D246),"")))</f>
        <v/>
      </c>
      <c r="G246" s="0" t="str">
        <f aca="false">IF(F246="","",SUMPRODUCT(--($F$2:F246=F246)))</f>
        <v/>
      </c>
      <c r="H246" s="0" t="str">
        <f aca="false">IF(F246="","",F246&amp;"#"&amp;G246)</f>
        <v/>
      </c>
      <c r="I246" s="0" t="str">
        <f aca="false">IF(F246="","",IFERROR(--'List 2'!B246,0))</f>
        <v/>
      </c>
      <c r="K246" s="0" t="str">
        <f aca="false">C246</f>
        <v/>
      </c>
      <c r="L246" s="0" t="str">
        <f aca="false">IF(K246="","",IF(ISNUMBER('List 1'!A246),'List 1'!A246,TRIM('List 1'!A246)))</f>
        <v/>
      </c>
      <c r="M246" s="0" t="str">
        <f aca="false">IF(K246="","",IF(ISNUMBER('List 1'!C246),'List 1'!C246,TRIM('List 1'!C246)))</f>
        <v/>
      </c>
      <c r="N246" s="0" t="str">
        <f aca="false">IF(K246="","",IF(ISNUMBER('List 1'!D246),'List 1'!D246,TRIM('List 1'!D246)))</f>
        <v/>
      </c>
      <c r="O246" s="0" t="str">
        <f aca="false">IF(K246="","",D246)</f>
        <v/>
      </c>
      <c r="P246" s="0" t="str">
        <f aca="false">IF(K246="","",IF(R246,SUMPRODUCT(--($H$2:$H$501=K246),$I$2:$I$501),0))</f>
        <v/>
      </c>
      <c r="Q246" s="0" t="str">
        <f aca="false">IF(K246="","",TRUE())</f>
        <v/>
      </c>
      <c r="R246" s="0" t="str">
        <f aca="false">IF(K246="","",SUMPRODUCT(--($H$2:$H$501=K246))&gt;0)</f>
        <v/>
      </c>
      <c r="S246" s="0" t="str">
        <f aca="false">IF(K246="","",IF(AND(Q246,R246),IF(O246=P246,"Match","Qty Different"),IF(Q246,"Only in List 1","Only in List 2")))</f>
        <v/>
      </c>
      <c r="T246" s="0" t="str">
        <f aca="false">IF(K246="","",IF(ISNUMBER(--L246),TEXT(--L246,"000000000000.000"),LOWER(L246)))</f>
        <v/>
      </c>
      <c r="U246" s="0" t="str">
        <f aca="false">IF(K246="","",IF(ISNUMBER(--M246),TEXT(--M246,"000000000000.000"),LOWER(M246)))</f>
        <v/>
      </c>
      <c r="V246" s="0" t="str">
        <f aca="false">IF(K246="","",LOWER(N246))</f>
        <v/>
      </c>
      <c r="W246" s="0" t="str">
        <f aca="false">IF(K246="","",B246)</f>
        <v/>
      </c>
      <c r="X246" s="0" t="str">
        <f aca="false">IF(K246="","",1+SUMPRODUCT(($K$2:$K$1001&lt;&gt;"")*(($T$2:$T$1001&lt;T246)+($T$2:$T$1001=T246)*(($U$2:$U$1001&lt;U246)+($U$2:$U$1001=U246)*(($V$2:$V$1001&lt;V246)+($V$2:$V$1001=V246)*(($W$2:$W$1001&lt;W246)+($W$2:$W$1001=W246)*(ROW($K$2:$K$1001)&lt;ROW(K246))))))))</f>
        <v/>
      </c>
    </row>
    <row r="247" customFormat="false" ht="15" hidden="false" customHeight="false" outlineLevel="0" collapsed="false">
      <c r="A247" s="0" t="str">
        <f aca="false">IF(TRIM('List 1'!A247&amp;'List 1'!C247&amp;'List 1'!D247)="","",LOWER(IF(OR(Comparison!$I$9="Item # + Part # + Description",Comparison!$I$9="Item # + Part #"),TRIM('List 1'!A247),"")&amp;"|"&amp;TRIM('List 1'!C247)&amp;"|"&amp;IF(OR(Comparison!$I$9="Item # + Part # + Description",Comparison!$I$9="Part # + Description"),TRIM('List 1'!D247),"")))</f>
        <v/>
      </c>
      <c r="B247" s="0" t="str">
        <f aca="false">IF(A247="","",SUMPRODUCT(--($A$2:A247=A247)))</f>
        <v/>
      </c>
      <c r="C247" s="0" t="str">
        <f aca="false">IF(A247="","",A247&amp;"#"&amp;B247)</f>
        <v/>
      </c>
      <c r="D247" s="0" t="str">
        <f aca="false">IF(A247="","",IFERROR(--'List 1'!B247,0))</f>
        <v/>
      </c>
      <c r="F247" s="0" t="str">
        <f aca="false">IF(TRIM('List 2'!A247&amp;'List 2'!C247&amp;'List 2'!D247)="","",LOWER(IF(OR(Comparison!$I$9="Item # + Part # + Description",Comparison!$I$9="Item # + Part #"),TRIM('List 2'!A247),"")&amp;"|"&amp;TRIM('List 2'!C247)&amp;"|"&amp;IF(OR(Comparison!$I$9="Item # + Part # + Description",Comparison!$I$9="Part # + Description"),TRIM('List 2'!D247),"")))</f>
        <v/>
      </c>
      <c r="G247" s="0" t="str">
        <f aca="false">IF(F247="","",SUMPRODUCT(--($F$2:F247=F247)))</f>
        <v/>
      </c>
      <c r="H247" s="0" t="str">
        <f aca="false">IF(F247="","",F247&amp;"#"&amp;G247)</f>
        <v/>
      </c>
      <c r="I247" s="0" t="str">
        <f aca="false">IF(F247="","",IFERROR(--'List 2'!B247,0))</f>
        <v/>
      </c>
      <c r="K247" s="0" t="str">
        <f aca="false">C247</f>
        <v/>
      </c>
      <c r="L247" s="0" t="str">
        <f aca="false">IF(K247="","",IF(ISNUMBER('List 1'!A247),'List 1'!A247,TRIM('List 1'!A247)))</f>
        <v/>
      </c>
      <c r="M247" s="0" t="str">
        <f aca="false">IF(K247="","",IF(ISNUMBER('List 1'!C247),'List 1'!C247,TRIM('List 1'!C247)))</f>
        <v/>
      </c>
      <c r="N247" s="0" t="str">
        <f aca="false">IF(K247="","",IF(ISNUMBER('List 1'!D247),'List 1'!D247,TRIM('List 1'!D247)))</f>
        <v/>
      </c>
      <c r="O247" s="0" t="str">
        <f aca="false">IF(K247="","",D247)</f>
        <v/>
      </c>
      <c r="P247" s="0" t="str">
        <f aca="false">IF(K247="","",IF(R247,SUMPRODUCT(--($H$2:$H$501=K247),$I$2:$I$501),0))</f>
        <v/>
      </c>
      <c r="Q247" s="0" t="str">
        <f aca="false">IF(K247="","",TRUE())</f>
        <v/>
      </c>
      <c r="R247" s="0" t="str">
        <f aca="false">IF(K247="","",SUMPRODUCT(--($H$2:$H$501=K247))&gt;0)</f>
        <v/>
      </c>
      <c r="S247" s="0" t="str">
        <f aca="false">IF(K247="","",IF(AND(Q247,R247),IF(O247=P247,"Match","Qty Different"),IF(Q247,"Only in List 1","Only in List 2")))</f>
        <v/>
      </c>
      <c r="T247" s="0" t="str">
        <f aca="false">IF(K247="","",IF(ISNUMBER(--L247),TEXT(--L247,"000000000000.000"),LOWER(L247)))</f>
        <v/>
      </c>
      <c r="U247" s="0" t="str">
        <f aca="false">IF(K247="","",IF(ISNUMBER(--M247),TEXT(--M247,"000000000000.000"),LOWER(M247)))</f>
        <v/>
      </c>
      <c r="V247" s="0" t="str">
        <f aca="false">IF(K247="","",LOWER(N247))</f>
        <v/>
      </c>
      <c r="W247" s="0" t="str">
        <f aca="false">IF(K247="","",B247)</f>
        <v/>
      </c>
      <c r="X247" s="0" t="str">
        <f aca="false">IF(K247="","",1+SUMPRODUCT(($K$2:$K$1001&lt;&gt;"")*(($T$2:$T$1001&lt;T247)+($T$2:$T$1001=T247)*(($U$2:$U$1001&lt;U247)+($U$2:$U$1001=U247)*(($V$2:$V$1001&lt;V247)+($V$2:$V$1001=V247)*(($W$2:$W$1001&lt;W247)+($W$2:$W$1001=W247)*(ROW($K$2:$K$1001)&lt;ROW(K247))))))))</f>
        <v/>
      </c>
    </row>
    <row r="248" customFormat="false" ht="15" hidden="false" customHeight="false" outlineLevel="0" collapsed="false">
      <c r="A248" s="0" t="str">
        <f aca="false">IF(TRIM('List 1'!A248&amp;'List 1'!C248&amp;'List 1'!D248)="","",LOWER(IF(OR(Comparison!$I$9="Item # + Part # + Description",Comparison!$I$9="Item # + Part #"),TRIM('List 1'!A248),"")&amp;"|"&amp;TRIM('List 1'!C248)&amp;"|"&amp;IF(OR(Comparison!$I$9="Item # + Part # + Description",Comparison!$I$9="Part # + Description"),TRIM('List 1'!D248),"")))</f>
        <v/>
      </c>
      <c r="B248" s="0" t="str">
        <f aca="false">IF(A248="","",SUMPRODUCT(--($A$2:A248=A248)))</f>
        <v/>
      </c>
      <c r="C248" s="0" t="str">
        <f aca="false">IF(A248="","",A248&amp;"#"&amp;B248)</f>
        <v/>
      </c>
      <c r="D248" s="0" t="str">
        <f aca="false">IF(A248="","",IFERROR(--'List 1'!B248,0))</f>
        <v/>
      </c>
      <c r="F248" s="0" t="str">
        <f aca="false">IF(TRIM('List 2'!A248&amp;'List 2'!C248&amp;'List 2'!D248)="","",LOWER(IF(OR(Comparison!$I$9="Item # + Part # + Description",Comparison!$I$9="Item # + Part #"),TRIM('List 2'!A248),"")&amp;"|"&amp;TRIM('List 2'!C248)&amp;"|"&amp;IF(OR(Comparison!$I$9="Item # + Part # + Description",Comparison!$I$9="Part # + Description"),TRIM('List 2'!D248),"")))</f>
        <v/>
      </c>
      <c r="G248" s="0" t="str">
        <f aca="false">IF(F248="","",SUMPRODUCT(--($F$2:F248=F248)))</f>
        <v/>
      </c>
      <c r="H248" s="0" t="str">
        <f aca="false">IF(F248="","",F248&amp;"#"&amp;G248)</f>
        <v/>
      </c>
      <c r="I248" s="0" t="str">
        <f aca="false">IF(F248="","",IFERROR(--'List 2'!B248,0))</f>
        <v/>
      </c>
      <c r="K248" s="0" t="str">
        <f aca="false">C248</f>
        <v/>
      </c>
      <c r="L248" s="0" t="str">
        <f aca="false">IF(K248="","",IF(ISNUMBER('List 1'!A248),'List 1'!A248,TRIM('List 1'!A248)))</f>
        <v/>
      </c>
      <c r="M248" s="0" t="str">
        <f aca="false">IF(K248="","",IF(ISNUMBER('List 1'!C248),'List 1'!C248,TRIM('List 1'!C248)))</f>
        <v/>
      </c>
      <c r="N248" s="0" t="str">
        <f aca="false">IF(K248="","",IF(ISNUMBER('List 1'!D248),'List 1'!D248,TRIM('List 1'!D248)))</f>
        <v/>
      </c>
      <c r="O248" s="0" t="str">
        <f aca="false">IF(K248="","",D248)</f>
        <v/>
      </c>
      <c r="P248" s="0" t="str">
        <f aca="false">IF(K248="","",IF(R248,SUMPRODUCT(--($H$2:$H$501=K248),$I$2:$I$501),0))</f>
        <v/>
      </c>
      <c r="Q248" s="0" t="str">
        <f aca="false">IF(K248="","",TRUE())</f>
        <v/>
      </c>
      <c r="R248" s="0" t="str">
        <f aca="false">IF(K248="","",SUMPRODUCT(--($H$2:$H$501=K248))&gt;0)</f>
        <v/>
      </c>
      <c r="S248" s="0" t="str">
        <f aca="false">IF(K248="","",IF(AND(Q248,R248),IF(O248=P248,"Match","Qty Different"),IF(Q248,"Only in List 1","Only in List 2")))</f>
        <v/>
      </c>
      <c r="T248" s="0" t="str">
        <f aca="false">IF(K248="","",IF(ISNUMBER(--L248),TEXT(--L248,"000000000000.000"),LOWER(L248)))</f>
        <v/>
      </c>
      <c r="U248" s="0" t="str">
        <f aca="false">IF(K248="","",IF(ISNUMBER(--M248),TEXT(--M248,"000000000000.000"),LOWER(M248)))</f>
        <v/>
      </c>
      <c r="V248" s="0" t="str">
        <f aca="false">IF(K248="","",LOWER(N248))</f>
        <v/>
      </c>
      <c r="W248" s="0" t="str">
        <f aca="false">IF(K248="","",B248)</f>
        <v/>
      </c>
      <c r="X248" s="0" t="str">
        <f aca="false">IF(K248="","",1+SUMPRODUCT(($K$2:$K$1001&lt;&gt;"")*(($T$2:$T$1001&lt;T248)+($T$2:$T$1001=T248)*(($U$2:$U$1001&lt;U248)+($U$2:$U$1001=U248)*(($V$2:$V$1001&lt;V248)+($V$2:$V$1001=V248)*(($W$2:$W$1001&lt;W248)+($W$2:$W$1001=W248)*(ROW($K$2:$K$1001)&lt;ROW(K248))))))))</f>
        <v/>
      </c>
    </row>
    <row r="249" customFormat="false" ht="15" hidden="false" customHeight="false" outlineLevel="0" collapsed="false">
      <c r="A249" s="0" t="str">
        <f aca="false">IF(TRIM('List 1'!A249&amp;'List 1'!C249&amp;'List 1'!D249)="","",LOWER(IF(OR(Comparison!$I$9="Item # + Part # + Description",Comparison!$I$9="Item # + Part #"),TRIM('List 1'!A249),"")&amp;"|"&amp;TRIM('List 1'!C249)&amp;"|"&amp;IF(OR(Comparison!$I$9="Item # + Part # + Description",Comparison!$I$9="Part # + Description"),TRIM('List 1'!D249),"")))</f>
        <v/>
      </c>
      <c r="B249" s="0" t="str">
        <f aca="false">IF(A249="","",SUMPRODUCT(--($A$2:A249=A249)))</f>
        <v/>
      </c>
      <c r="C249" s="0" t="str">
        <f aca="false">IF(A249="","",A249&amp;"#"&amp;B249)</f>
        <v/>
      </c>
      <c r="D249" s="0" t="str">
        <f aca="false">IF(A249="","",IFERROR(--'List 1'!B249,0))</f>
        <v/>
      </c>
      <c r="F249" s="0" t="str">
        <f aca="false">IF(TRIM('List 2'!A249&amp;'List 2'!C249&amp;'List 2'!D249)="","",LOWER(IF(OR(Comparison!$I$9="Item # + Part # + Description",Comparison!$I$9="Item # + Part #"),TRIM('List 2'!A249),"")&amp;"|"&amp;TRIM('List 2'!C249)&amp;"|"&amp;IF(OR(Comparison!$I$9="Item # + Part # + Description",Comparison!$I$9="Part # + Description"),TRIM('List 2'!D249),"")))</f>
        <v/>
      </c>
      <c r="G249" s="0" t="str">
        <f aca="false">IF(F249="","",SUMPRODUCT(--($F$2:F249=F249)))</f>
        <v/>
      </c>
      <c r="H249" s="0" t="str">
        <f aca="false">IF(F249="","",F249&amp;"#"&amp;G249)</f>
        <v/>
      </c>
      <c r="I249" s="0" t="str">
        <f aca="false">IF(F249="","",IFERROR(--'List 2'!B249,0))</f>
        <v/>
      </c>
      <c r="K249" s="0" t="str">
        <f aca="false">C249</f>
        <v/>
      </c>
      <c r="L249" s="0" t="str">
        <f aca="false">IF(K249="","",IF(ISNUMBER('List 1'!A249),'List 1'!A249,TRIM('List 1'!A249)))</f>
        <v/>
      </c>
      <c r="M249" s="0" t="str">
        <f aca="false">IF(K249="","",IF(ISNUMBER('List 1'!C249),'List 1'!C249,TRIM('List 1'!C249)))</f>
        <v/>
      </c>
      <c r="N249" s="0" t="str">
        <f aca="false">IF(K249="","",IF(ISNUMBER('List 1'!D249),'List 1'!D249,TRIM('List 1'!D249)))</f>
        <v/>
      </c>
      <c r="O249" s="0" t="str">
        <f aca="false">IF(K249="","",D249)</f>
        <v/>
      </c>
      <c r="P249" s="0" t="str">
        <f aca="false">IF(K249="","",IF(R249,SUMPRODUCT(--($H$2:$H$501=K249),$I$2:$I$501),0))</f>
        <v/>
      </c>
      <c r="Q249" s="0" t="str">
        <f aca="false">IF(K249="","",TRUE())</f>
        <v/>
      </c>
      <c r="R249" s="0" t="str">
        <f aca="false">IF(K249="","",SUMPRODUCT(--($H$2:$H$501=K249))&gt;0)</f>
        <v/>
      </c>
      <c r="S249" s="0" t="str">
        <f aca="false">IF(K249="","",IF(AND(Q249,R249),IF(O249=P249,"Match","Qty Different"),IF(Q249,"Only in List 1","Only in List 2")))</f>
        <v/>
      </c>
      <c r="T249" s="0" t="str">
        <f aca="false">IF(K249="","",IF(ISNUMBER(--L249),TEXT(--L249,"000000000000.000"),LOWER(L249)))</f>
        <v/>
      </c>
      <c r="U249" s="0" t="str">
        <f aca="false">IF(K249="","",IF(ISNUMBER(--M249),TEXT(--M249,"000000000000.000"),LOWER(M249)))</f>
        <v/>
      </c>
      <c r="V249" s="0" t="str">
        <f aca="false">IF(K249="","",LOWER(N249))</f>
        <v/>
      </c>
      <c r="W249" s="0" t="str">
        <f aca="false">IF(K249="","",B249)</f>
        <v/>
      </c>
      <c r="X249" s="0" t="str">
        <f aca="false">IF(K249="","",1+SUMPRODUCT(($K$2:$K$1001&lt;&gt;"")*(($T$2:$T$1001&lt;T249)+($T$2:$T$1001=T249)*(($U$2:$U$1001&lt;U249)+($U$2:$U$1001=U249)*(($V$2:$V$1001&lt;V249)+($V$2:$V$1001=V249)*(($W$2:$W$1001&lt;W249)+($W$2:$W$1001=W249)*(ROW($K$2:$K$1001)&lt;ROW(K249))))))))</f>
        <v/>
      </c>
    </row>
    <row r="250" customFormat="false" ht="15" hidden="false" customHeight="false" outlineLevel="0" collapsed="false">
      <c r="A250" s="0" t="str">
        <f aca="false">IF(TRIM('List 1'!A250&amp;'List 1'!C250&amp;'List 1'!D250)="","",LOWER(IF(OR(Comparison!$I$9="Item # + Part # + Description",Comparison!$I$9="Item # + Part #"),TRIM('List 1'!A250),"")&amp;"|"&amp;TRIM('List 1'!C250)&amp;"|"&amp;IF(OR(Comparison!$I$9="Item # + Part # + Description",Comparison!$I$9="Part # + Description"),TRIM('List 1'!D250),"")))</f>
        <v/>
      </c>
      <c r="B250" s="0" t="str">
        <f aca="false">IF(A250="","",SUMPRODUCT(--($A$2:A250=A250)))</f>
        <v/>
      </c>
      <c r="C250" s="0" t="str">
        <f aca="false">IF(A250="","",A250&amp;"#"&amp;B250)</f>
        <v/>
      </c>
      <c r="D250" s="0" t="str">
        <f aca="false">IF(A250="","",IFERROR(--'List 1'!B250,0))</f>
        <v/>
      </c>
      <c r="F250" s="0" t="str">
        <f aca="false">IF(TRIM('List 2'!A250&amp;'List 2'!C250&amp;'List 2'!D250)="","",LOWER(IF(OR(Comparison!$I$9="Item # + Part # + Description",Comparison!$I$9="Item # + Part #"),TRIM('List 2'!A250),"")&amp;"|"&amp;TRIM('List 2'!C250)&amp;"|"&amp;IF(OR(Comparison!$I$9="Item # + Part # + Description",Comparison!$I$9="Part # + Description"),TRIM('List 2'!D250),"")))</f>
        <v/>
      </c>
      <c r="G250" s="0" t="str">
        <f aca="false">IF(F250="","",SUMPRODUCT(--($F$2:F250=F250)))</f>
        <v/>
      </c>
      <c r="H250" s="0" t="str">
        <f aca="false">IF(F250="","",F250&amp;"#"&amp;G250)</f>
        <v/>
      </c>
      <c r="I250" s="0" t="str">
        <f aca="false">IF(F250="","",IFERROR(--'List 2'!B250,0))</f>
        <v/>
      </c>
      <c r="K250" s="0" t="str">
        <f aca="false">C250</f>
        <v/>
      </c>
      <c r="L250" s="0" t="str">
        <f aca="false">IF(K250="","",IF(ISNUMBER('List 1'!A250),'List 1'!A250,TRIM('List 1'!A250)))</f>
        <v/>
      </c>
      <c r="M250" s="0" t="str">
        <f aca="false">IF(K250="","",IF(ISNUMBER('List 1'!C250),'List 1'!C250,TRIM('List 1'!C250)))</f>
        <v/>
      </c>
      <c r="N250" s="0" t="str">
        <f aca="false">IF(K250="","",IF(ISNUMBER('List 1'!D250),'List 1'!D250,TRIM('List 1'!D250)))</f>
        <v/>
      </c>
      <c r="O250" s="0" t="str">
        <f aca="false">IF(K250="","",D250)</f>
        <v/>
      </c>
      <c r="P250" s="0" t="str">
        <f aca="false">IF(K250="","",IF(R250,SUMPRODUCT(--($H$2:$H$501=K250),$I$2:$I$501),0))</f>
        <v/>
      </c>
      <c r="Q250" s="0" t="str">
        <f aca="false">IF(K250="","",TRUE())</f>
        <v/>
      </c>
      <c r="R250" s="0" t="str">
        <f aca="false">IF(K250="","",SUMPRODUCT(--($H$2:$H$501=K250))&gt;0)</f>
        <v/>
      </c>
      <c r="S250" s="0" t="str">
        <f aca="false">IF(K250="","",IF(AND(Q250,R250),IF(O250=P250,"Match","Qty Different"),IF(Q250,"Only in List 1","Only in List 2")))</f>
        <v/>
      </c>
      <c r="T250" s="0" t="str">
        <f aca="false">IF(K250="","",IF(ISNUMBER(--L250),TEXT(--L250,"000000000000.000"),LOWER(L250)))</f>
        <v/>
      </c>
      <c r="U250" s="0" t="str">
        <f aca="false">IF(K250="","",IF(ISNUMBER(--M250),TEXT(--M250,"000000000000.000"),LOWER(M250)))</f>
        <v/>
      </c>
      <c r="V250" s="0" t="str">
        <f aca="false">IF(K250="","",LOWER(N250))</f>
        <v/>
      </c>
      <c r="W250" s="0" t="str">
        <f aca="false">IF(K250="","",B250)</f>
        <v/>
      </c>
      <c r="X250" s="0" t="str">
        <f aca="false">IF(K250="","",1+SUMPRODUCT(($K$2:$K$1001&lt;&gt;"")*(($T$2:$T$1001&lt;T250)+($T$2:$T$1001=T250)*(($U$2:$U$1001&lt;U250)+($U$2:$U$1001=U250)*(($V$2:$V$1001&lt;V250)+($V$2:$V$1001=V250)*(($W$2:$W$1001&lt;W250)+($W$2:$W$1001=W250)*(ROW($K$2:$K$1001)&lt;ROW(K250))))))))</f>
        <v/>
      </c>
    </row>
    <row r="251" customFormat="false" ht="15" hidden="false" customHeight="false" outlineLevel="0" collapsed="false">
      <c r="A251" s="0" t="str">
        <f aca="false">IF(TRIM('List 1'!A251&amp;'List 1'!C251&amp;'List 1'!D251)="","",LOWER(IF(OR(Comparison!$I$9="Item # + Part # + Description",Comparison!$I$9="Item # + Part #"),TRIM('List 1'!A251),"")&amp;"|"&amp;TRIM('List 1'!C251)&amp;"|"&amp;IF(OR(Comparison!$I$9="Item # + Part # + Description",Comparison!$I$9="Part # + Description"),TRIM('List 1'!D251),"")))</f>
        <v/>
      </c>
      <c r="B251" s="0" t="str">
        <f aca="false">IF(A251="","",SUMPRODUCT(--($A$2:A251=A251)))</f>
        <v/>
      </c>
      <c r="C251" s="0" t="str">
        <f aca="false">IF(A251="","",A251&amp;"#"&amp;B251)</f>
        <v/>
      </c>
      <c r="D251" s="0" t="str">
        <f aca="false">IF(A251="","",IFERROR(--'List 1'!B251,0))</f>
        <v/>
      </c>
      <c r="F251" s="0" t="str">
        <f aca="false">IF(TRIM('List 2'!A251&amp;'List 2'!C251&amp;'List 2'!D251)="","",LOWER(IF(OR(Comparison!$I$9="Item # + Part # + Description",Comparison!$I$9="Item # + Part #"),TRIM('List 2'!A251),"")&amp;"|"&amp;TRIM('List 2'!C251)&amp;"|"&amp;IF(OR(Comparison!$I$9="Item # + Part # + Description",Comparison!$I$9="Part # + Description"),TRIM('List 2'!D251),"")))</f>
        <v/>
      </c>
      <c r="G251" s="0" t="str">
        <f aca="false">IF(F251="","",SUMPRODUCT(--($F$2:F251=F251)))</f>
        <v/>
      </c>
      <c r="H251" s="0" t="str">
        <f aca="false">IF(F251="","",F251&amp;"#"&amp;G251)</f>
        <v/>
      </c>
      <c r="I251" s="0" t="str">
        <f aca="false">IF(F251="","",IFERROR(--'List 2'!B251,0))</f>
        <v/>
      </c>
      <c r="K251" s="0" t="str">
        <f aca="false">C251</f>
        <v/>
      </c>
      <c r="L251" s="0" t="str">
        <f aca="false">IF(K251="","",IF(ISNUMBER('List 1'!A251),'List 1'!A251,TRIM('List 1'!A251)))</f>
        <v/>
      </c>
      <c r="M251" s="0" t="str">
        <f aca="false">IF(K251="","",IF(ISNUMBER('List 1'!C251),'List 1'!C251,TRIM('List 1'!C251)))</f>
        <v/>
      </c>
      <c r="N251" s="0" t="str">
        <f aca="false">IF(K251="","",IF(ISNUMBER('List 1'!D251),'List 1'!D251,TRIM('List 1'!D251)))</f>
        <v/>
      </c>
      <c r="O251" s="0" t="str">
        <f aca="false">IF(K251="","",D251)</f>
        <v/>
      </c>
      <c r="P251" s="0" t="str">
        <f aca="false">IF(K251="","",IF(R251,SUMPRODUCT(--($H$2:$H$501=K251),$I$2:$I$501),0))</f>
        <v/>
      </c>
      <c r="Q251" s="0" t="str">
        <f aca="false">IF(K251="","",TRUE())</f>
        <v/>
      </c>
      <c r="R251" s="0" t="str">
        <f aca="false">IF(K251="","",SUMPRODUCT(--($H$2:$H$501=K251))&gt;0)</f>
        <v/>
      </c>
      <c r="S251" s="0" t="str">
        <f aca="false">IF(K251="","",IF(AND(Q251,R251),IF(O251=P251,"Match","Qty Different"),IF(Q251,"Only in List 1","Only in List 2")))</f>
        <v/>
      </c>
      <c r="T251" s="0" t="str">
        <f aca="false">IF(K251="","",IF(ISNUMBER(--L251),TEXT(--L251,"000000000000.000"),LOWER(L251)))</f>
        <v/>
      </c>
      <c r="U251" s="0" t="str">
        <f aca="false">IF(K251="","",IF(ISNUMBER(--M251),TEXT(--M251,"000000000000.000"),LOWER(M251)))</f>
        <v/>
      </c>
      <c r="V251" s="0" t="str">
        <f aca="false">IF(K251="","",LOWER(N251))</f>
        <v/>
      </c>
      <c r="W251" s="0" t="str">
        <f aca="false">IF(K251="","",B251)</f>
        <v/>
      </c>
      <c r="X251" s="0" t="str">
        <f aca="false">IF(K251="","",1+SUMPRODUCT(($K$2:$K$1001&lt;&gt;"")*(($T$2:$T$1001&lt;T251)+($T$2:$T$1001=T251)*(($U$2:$U$1001&lt;U251)+($U$2:$U$1001=U251)*(($V$2:$V$1001&lt;V251)+($V$2:$V$1001=V251)*(($W$2:$W$1001&lt;W251)+($W$2:$W$1001=W251)*(ROW($K$2:$K$1001)&lt;ROW(K251))))))))</f>
        <v/>
      </c>
    </row>
    <row r="252" customFormat="false" ht="15" hidden="false" customHeight="false" outlineLevel="0" collapsed="false">
      <c r="A252" s="0" t="str">
        <f aca="false">IF(TRIM('List 1'!A252&amp;'List 1'!C252&amp;'List 1'!D252)="","",LOWER(IF(OR(Comparison!$I$9="Item # + Part # + Description",Comparison!$I$9="Item # + Part #"),TRIM('List 1'!A252),"")&amp;"|"&amp;TRIM('List 1'!C252)&amp;"|"&amp;IF(OR(Comparison!$I$9="Item # + Part # + Description",Comparison!$I$9="Part # + Description"),TRIM('List 1'!D252),"")))</f>
        <v/>
      </c>
      <c r="B252" s="0" t="str">
        <f aca="false">IF(A252="","",SUMPRODUCT(--($A$2:A252=A252)))</f>
        <v/>
      </c>
      <c r="C252" s="0" t="str">
        <f aca="false">IF(A252="","",A252&amp;"#"&amp;B252)</f>
        <v/>
      </c>
      <c r="D252" s="0" t="str">
        <f aca="false">IF(A252="","",IFERROR(--'List 1'!B252,0))</f>
        <v/>
      </c>
      <c r="F252" s="0" t="str">
        <f aca="false">IF(TRIM('List 2'!A252&amp;'List 2'!C252&amp;'List 2'!D252)="","",LOWER(IF(OR(Comparison!$I$9="Item # + Part # + Description",Comparison!$I$9="Item # + Part #"),TRIM('List 2'!A252),"")&amp;"|"&amp;TRIM('List 2'!C252)&amp;"|"&amp;IF(OR(Comparison!$I$9="Item # + Part # + Description",Comparison!$I$9="Part # + Description"),TRIM('List 2'!D252),"")))</f>
        <v/>
      </c>
      <c r="G252" s="0" t="str">
        <f aca="false">IF(F252="","",SUMPRODUCT(--($F$2:F252=F252)))</f>
        <v/>
      </c>
      <c r="H252" s="0" t="str">
        <f aca="false">IF(F252="","",F252&amp;"#"&amp;G252)</f>
        <v/>
      </c>
      <c r="I252" s="0" t="str">
        <f aca="false">IF(F252="","",IFERROR(--'List 2'!B252,0))</f>
        <v/>
      </c>
      <c r="K252" s="0" t="str">
        <f aca="false">C252</f>
        <v/>
      </c>
      <c r="L252" s="0" t="str">
        <f aca="false">IF(K252="","",IF(ISNUMBER('List 1'!A252),'List 1'!A252,TRIM('List 1'!A252)))</f>
        <v/>
      </c>
      <c r="M252" s="0" t="str">
        <f aca="false">IF(K252="","",IF(ISNUMBER('List 1'!C252),'List 1'!C252,TRIM('List 1'!C252)))</f>
        <v/>
      </c>
      <c r="N252" s="0" t="str">
        <f aca="false">IF(K252="","",IF(ISNUMBER('List 1'!D252),'List 1'!D252,TRIM('List 1'!D252)))</f>
        <v/>
      </c>
      <c r="O252" s="0" t="str">
        <f aca="false">IF(K252="","",D252)</f>
        <v/>
      </c>
      <c r="P252" s="0" t="str">
        <f aca="false">IF(K252="","",IF(R252,SUMPRODUCT(--($H$2:$H$501=K252),$I$2:$I$501),0))</f>
        <v/>
      </c>
      <c r="Q252" s="0" t="str">
        <f aca="false">IF(K252="","",TRUE())</f>
        <v/>
      </c>
      <c r="R252" s="0" t="str">
        <f aca="false">IF(K252="","",SUMPRODUCT(--($H$2:$H$501=K252))&gt;0)</f>
        <v/>
      </c>
      <c r="S252" s="0" t="str">
        <f aca="false">IF(K252="","",IF(AND(Q252,R252),IF(O252=P252,"Match","Qty Different"),IF(Q252,"Only in List 1","Only in List 2")))</f>
        <v/>
      </c>
      <c r="T252" s="0" t="str">
        <f aca="false">IF(K252="","",IF(ISNUMBER(--L252),TEXT(--L252,"000000000000.000"),LOWER(L252)))</f>
        <v/>
      </c>
      <c r="U252" s="0" t="str">
        <f aca="false">IF(K252="","",IF(ISNUMBER(--M252),TEXT(--M252,"000000000000.000"),LOWER(M252)))</f>
        <v/>
      </c>
      <c r="V252" s="0" t="str">
        <f aca="false">IF(K252="","",LOWER(N252))</f>
        <v/>
      </c>
      <c r="W252" s="0" t="str">
        <f aca="false">IF(K252="","",B252)</f>
        <v/>
      </c>
      <c r="X252" s="0" t="str">
        <f aca="false">IF(K252="","",1+SUMPRODUCT(($K$2:$K$1001&lt;&gt;"")*(($T$2:$T$1001&lt;T252)+($T$2:$T$1001=T252)*(($U$2:$U$1001&lt;U252)+($U$2:$U$1001=U252)*(($V$2:$V$1001&lt;V252)+($V$2:$V$1001=V252)*(($W$2:$W$1001&lt;W252)+($W$2:$W$1001=W252)*(ROW($K$2:$K$1001)&lt;ROW(K252))))))))</f>
        <v/>
      </c>
    </row>
    <row r="253" customFormat="false" ht="15" hidden="false" customHeight="false" outlineLevel="0" collapsed="false">
      <c r="A253" s="0" t="str">
        <f aca="false">IF(TRIM('List 1'!A253&amp;'List 1'!C253&amp;'List 1'!D253)="","",LOWER(IF(OR(Comparison!$I$9="Item # + Part # + Description",Comparison!$I$9="Item # + Part #"),TRIM('List 1'!A253),"")&amp;"|"&amp;TRIM('List 1'!C253)&amp;"|"&amp;IF(OR(Comparison!$I$9="Item # + Part # + Description",Comparison!$I$9="Part # + Description"),TRIM('List 1'!D253),"")))</f>
        <v/>
      </c>
      <c r="B253" s="0" t="str">
        <f aca="false">IF(A253="","",SUMPRODUCT(--($A$2:A253=A253)))</f>
        <v/>
      </c>
      <c r="C253" s="0" t="str">
        <f aca="false">IF(A253="","",A253&amp;"#"&amp;B253)</f>
        <v/>
      </c>
      <c r="D253" s="0" t="str">
        <f aca="false">IF(A253="","",IFERROR(--'List 1'!B253,0))</f>
        <v/>
      </c>
      <c r="F253" s="0" t="str">
        <f aca="false">IF(TRIM('List 2'!A253&amp;'List 2'!C253&amp;'List 2'!D253)="","",LOWER(IF(OR(Comparison!$I$9="Item # + Part # + Description",Comparison!$I$9="Item # + Part #"),TRIM('List 2'!A253),"")&amp;"|"&amp;TRIM('List 2'!C253)&amp;"|"&amp;IF(OR(Comparison!$I$9="Item # + Part # + Description",Comparison!$I$9="Part # + Description"),TRIM('List 2'!D253),"")))</f>
        <v/>
      </c>
      <c r="G253" s="0" t="str">
        <f aca="false">IF(F253="","",SUMPRODUCT(--($F$2:F253=F253)))</f>
        <v/>
      </c>
      <c r="H253" s="0" t="str">
        <f aca="false">IF(F253="","",F253&amp;"#"&amp;G253)</f>
        <v/>
      </c>
      <c r="I253" s="0" t="str">
        <f aca="false">IF(F253="","",IFERROR(--'List 2'!B253,0))</f>
        <v/>
      </c>
      <c r="K253" s="0" t="str">
        <f aca="false">C253</f>
        <v/>
      </c>
      <c r="L253" s="0" t="str">
        <f aca="false">IF(K253="","",IF(ISNUMBER('List 1'!A253),'List 1'!A253,TRIM('List 1'!A253)))</f>
        <v/>
      </c>
      <c r="M253" s="0" t="str">
        <f aca="false">IF(K253="","",IF(ISNUMBER('List 1'!C253),'List 1'!C253,TRIM('List 1'!C253)))</f>
        <v/>
      </c>
      <c r="N253" s="0" t="str">
        <f aca="false">IF(K253="","",IF(ISNUMBER('List 1'!D253),'List 1'!D253,TRIM('List 1'!D253)))</f>
        <v/>
      </c>
      <c r="O253" s="0" t="str">
        <f aca="false">IF(K253="","",D253)</f>
        <v/>
      </c>
      <c r="P253" s="0" t="str">
        <f aca="false">IF(K253="","",IF(R253,SUMPRODUCT(--($H$2:$H$501=K253),$I$2:$I$501),0))</f>
        <v/>
      </c>
      <c r="Q253" s="0" t="str">
        <f aca="false">IF(K253="","",TRUE())</f>
        <v/>
      </c>
      <c r="R253" s="0" t="str">
        <f aca="false">IF(K253="","",SUMPRODUCT(--($H$2:$H$501=K253))&gt;0)</f>
        <v/>
      </c>
      <c r="S253" s="0" t="str">
        <f aca="false">IF(K253="","",IF(AND(Q253,R253),IF(O253=P253,"Match","Qty Different"),IF(Q253,"Only in List 1","Only in List 2")))</f>
        <v/>
      </c>
      <c r="T253" s="0" t="str">
        <f aca="false">IF(K253="","",IF(ISNUMBER(--L253),TEXT(--L253,"000000000000.000"),LOWER(L253)))</f>
        <v/>
      </c>
      <c r="U253" s="0" t="str">
        <f aca="false">IF(K253="","",IF(ISNUMBER(--M253),TEXT(--M253,"000000000000.000"),LOWER(M253)))</f>
        <v/>
      </c>
      <c r="V253" s="0" t="str">
        <f aca="false">IF(K253="","",LOWER(N253))</f>
        <v/>
      </c>
      <c r="W253" s="0" t="str">
        <f aca="false">IF(K253="","",B253)</f>
        <v/>
      </c>
      <c r="X253" s="0" t="str">
        <f aca="false">IF(K253="","",1+SUMPRODUCT(($K$2:$K$1001&lt;&gt;"")*(($T$2:$T$1001&lt;T253)+($T$2:$T$1001=T253)*(($U$2:$U$1001&lt;U253)+($U$2:$U$1001=U253)*(($V$2:$V$1001&lt;V253)+($V$2:$V$1001=V253)*(($W$2:$W$1001&lt;W253)+($W$2:$W$1001=W253)*(ROW($K$2:$K$1001)&lt;ROW(K253))))))))</f>
        <v/>
      </c>
    </row>
    <row r="254" customFormat="false" ht="15" hidden="false" customHeight="false" outlineLevel="0" collapsed="false">
      <c r="A254" s="0" t="str">
        <f aca="false">IF(TRIM('List 1'!A254&amp;'List 1'!C254&amp;'List 1'!D254)="","",LOWER(IF(OR(Comparison!$I$9="Item # + Part # + Description",Comparison!$I$9="Item # + Part #"),TRIM('List 1'!A254),"")&amp;"|"&amp;TRIM('List 1'!C254)&amp;"|"&amp;IF(OR(Comparison!$I$9="Item # + Part # + Description",Comparison!$I$9="Part # + Description"),TRIM('List 1'!D254),"")))</f>
        <v/>
      </c>
      <c r="B254" s="0" t="str">
        <f aca="false">IF(A254="","",SUMPRODUCT(--($A$2:A254=A254)))</f>
        <v/>
      </c>
      <c r="C254" s="0" t="str">
        <f aca="false">IF(A254="","",A254&amp;"#"&amp;B254)</f>
        <v/>
      </c>
      <c r="D254" s="0" t="str">
        <f aca="false">IF(A254="","",IFERROR(--'List 1'!B254,0))</f>
        <v/>
      </c>
      <c r="F254" s="0" t="str">
        <f aca="false">IF(TRIM('List 2'!A254&amp;'List 2'!C254&amp;'List 2'!D254)="","",LOWER(IF(OR(Comparison!$I$9="Item # + Part # + Description",Comparison!$I$9="Item # + Part #"),TRIM('List 2'!A254),"")&amp;"|"&amp;TRIM('List 2'!C254)&amp;"|"&amp;IF(OR(Comparison!$I$9="Item # + Part # + Description",Comparison!$I$9="Part # + Description"),TRIM('List 2'!D254),"")))</f>
        <v/>
      </c>
      <c r="G254" s="0" t="str">
        <f aca="false">IF(F254="","",SUMPRODUCT(--($F$2:F254=F254)))</f>
        <v/>
      </c>
      <c r="H254" s="0" t="str">
        <f aca="false">IF(F254="","",F254&amp;"#"&amp;G254)</f>
        <v/>
      </c>
      <c r="I254" s="0" t="str">
        <f aca="false">IF(F254="","",IFERROR(--'List 2'!B254,0))</f>
        <v/>
      </c>
      <c r="K254" s="0" t="str">
        <f aca="false">C254</f>
        <v/>
      </c>
      <c r="L254" s="0" t="str">
        <f aca="false">IF(K254="","",IF(ISNUMBER('List 1'!A254),'List 1'!A254,TRIM('List 1'!A254)))</f>
        <v/>
      </c>
      <c r="M254" s="0" t="str">
        <f aca="false">IF(K254="","",IF(ISNUMBER('List 1'!C254),'List 1'!C254,TRIM('List 1'!C254)))</f>
        <v/>
      </c>
      <c r="N254" s="0" t="str">
        <f aca="false">IF(K254="","",IF(ISNUMBER('List 1'!D254),'List 1'!D254,TRIM('List 1'!D254)))</f>
        <v/>
      </c>
      <c r="O254" s="0" t="str">
        <f aca="false">IF(K254="","",D254)</f>
        <v/>
      </c>
      <c r="P254" s="0" t="str">
        <f aca="false">IF(K254="","",IF(R254,SUMPRODUCT(--($H$2:$H$501=K254),$I$2:$I$501),0))</f>
        <v/>
      </c>
      <c r="Q254" s="0" t="str">
        <f aca="false">IF(K254="","",TRUE())</f>
        <v/>
      </c>
      <c r="R254" s="0" t="str">
        <f aca="false">IF(K254="","",SUMPRODUCT(--($H$2:$H$501=K254))&gt;0)</f>
        <v/>
      </c>
      <c r="S254" s="0" t="str">
        <f aca="false">IF(K254="","",IF(AND(Q254,R254),IF(O254=P254,"Match","Qty Different"),IF(Q254,"Only in List 1","Only in List 2")))</f>
        <v/>
      </c>
      <c r="T254" s="0" t="str">
        <f aca="false">IF(K254="","",IF(ISNUMBER(--L254),TEXT(--L254,"000000000000.000"),LOWER(L254)))</f>
        <v/>
      </c>
      <c r="U254" s="0" t="str">
        <f aca="false">IF(K254="","",IF(ISNUMBER(--M254),TEXT(--M254,"000000000000.000"),LOWER(M254)))</f>
        <v/>
      </c>
      <c r="V254" s="0" t="str">
        <f aca="false">IF(K254="","",LOWER(N254))</f>
        <v/>
      </c>
      <c r="W254" s="0" t="str">
        <f aca="false">IF(K254="","",B254)</f>
        <v/>
      </c>
      <c r="X254" s="0" t="str">
        <f aca="false">IF(K254="","",1+SUMPRODUCT(($K$2:$K$1001&lt;&gt;"")*(($T$2:$T$1001&lt;T254)+($T$2:$T$1001=T254)*(($U$2:$U$1001&lt;U254)+($U$2:$U$1001=U254)*(($V$2:$V$1001&lt;V254)+($V$2:$V$1001=V254)*(($W$2:$W$1001&lt;W254)+($W$2:$W$1001=W254)*(ROW($K$2:$K$1001)&lt;ROW(K254))))))))</f>
        <v/>
      </c>
    </row>
    <row r="255" customFormat="false" ht="15" hidden="false" customHeight="false" outlineLevel="0" collapsed="false">
      <c r="A255" s="0" t="str">
        <f aca="false">IF(TRIM('List 1'!A255&amp;'List 1'!C255&amp;'List 1'!D255)="","",LOWER(IF(OR(Comparison!$I$9="Item # + Part # + Description",Comparison!$I$9="Item # + Part #"),TRIM('List 1'!A255),"")&amp;"|"&amp;TRIM('List 1'!C255)&amp;"|"&amp;IF(OR(Comparison!$I$9="Item # + Part # + Description",Comparison!$I$9="Part # + Description"),TRIM('List 1'!D255),"")))</f>
        <v/>
      </c>
      <c r="B255" s="0" t="str">
        <f aca="false">IF(A255="","",SUMPRODUCT(--($A$2:A255=A255)))</f>
        <v/>
      </c>
      <c r="C255" s="0" t="str">
        <f aca="false">IF(A255="","",A255&amp;"#"&amp;B255)</f>
        <v/>
      </c>
      <c r="D255" s="0" t="str">
        <f aca="false">IF(A255="","",IFERROR(--'List 1'!B255,0))</f>
        <v/>
      </c>
      <c r="F255" s="0" t="str">
        <f aca="false">IF(TRIM('List 2'!A255&amp;'List 2'!C255&amp;'List 2'!D255)="","",LOWER(IF(OR(Comparison!$I$9="Item # + Part # + Description",Comparison!$I$9="Item # + Part #"),TRIM('List 2'!A255),"")&amp;"|"&amp;TRIM('List 2'!C255)&amp;"|"&amp;IF(OR(Comparison!$I$9="Item # + Part # + Description",Comparison!$I$9="Part # + Description"),TRIM('List 2'!D255),"")))</f>
        <v/>
      </c>
      <c r="G255" s="0" t="str">
        <f aca="false">IF(F255="","",SUMPRODUCT(--($F$2:F255=F255)))</f>
        <v/>
      </c>
      <c r="H255" s="0" t="str">
        <f aca="false">IF(F255="","",F255&amp;"#"&amp;G255)</f>
        <v/>
      </c>
      <c r="I255" s="0" t="str">
        <f aca="false">IF(F255="","",IFERROR(--'List 2'!B255,0))</f>
        <v/>
      </c>
      <c r="K255" s="0" t="str">
        <f aca="false">C255</f>
        <v/>
      </c>
      <c r="L255" s="0" t="str">
        <f aca="false">IF(K255="","",IF(ISNUMBER('List 1'!A255),'List 1'!A255,TRIM('List 1'!A255)))</f>
        <v/>
      </c>
      <c r="M255" s="0" t="str">
        <f aca="false">IF(K255="","",IF(ISNUMBER('List 1'!C255),'List 1'!C255,TRIM('List 1'!C255)))</f>
        <v/>
      </c>
      <c r="N255" s="0" t="str">
        <f aca="false">IF(K255="","",IF(ISNUMBER('List 1'!D255),'List 1'!D255,TRIM('List 1'!D255)))</f>
        <v/>
      </c>
      <c r="O255" s="0" t="str">
        <f aca="false">IF(K255="","",D255)</f>
        <v/>
      </c>
      <c r="P255" s="0" t="str">
        <f aca="false">IF(K255="","",IF(R255,SUMPRODUCT(--($H$2:$H$501=K255),$I$2:$I$501),0))</f>
        <v/>
      </c>
      <c r="Q255" s="0" t="str">
        <f aca="false">IF(K255="","",TRUE())</f>
        <v/>
      </c>
      <c r="R255" s="0" t="str">
        <f aca="false">IF(K255="","",SUMPRODUCT(--($H$2:$H$501=K255))&gt;0)</f>
        <v/>
      </c>
      <c r="S255" s="0" t="str">
        <f aca="false">IF(K255="","",IF(AND(Q255,R255),IF(O255=P255,"Match","Qty Different"),IF(Q255,"Only in List 1","Only in List 2")))</f>
        <v/>
      </c>
      <c r="T255" s="0" t="str">
        <f aca="false">IF(K255="","",IF(ISNUMBER(--L255),TEXT(--L255,"000000000000.000"),LOWER(L255)))</f>
        <v/>
      </c>
      <c r="U255" s="0" t="str">
        <f aca="false">IF(K255="","",IF(ISNUMBER(--M255),TEXT(--M255,"000000000000.000"),LOWER(M255)))</f>
        <v/>
      </c>
      <c r="V255" s="0" t="str">
        <f aca="false">IF(K255="","",LOWER(N255))</f>
        <v/>
      </c>
      <c r="W255" s="0" t="str">
        <f aca="false">IF(K255="","",B255)</f>
        <v/>
      </c>
      <c r="X255" s="0" t="str">
        <f aca="false">IF(K255="","",1+SUMPRODUCT(($K$2:$K$1001&lt;&gt;"")*(($T$2:$T$1001&lt;T255)+($T$2:$T$1001=T255)*(($U$2:$U$1001&lt;U255)+($U$2:$U$1001=U255)*(($V$2:$V$1001&lt;V255)+($V$2:$V$1001=V255)*(($W$2:$W$1001&lt;W255)+($W$2:$W$1001=W255)*(ROW($K$2:$K$1001)&lt;ROW(K255))))))))</f>
        <v/>
      </c>
    </row>
    <row r="256" customFormat="false" ht="15" hidden="false" customHeight="false" outlineLevel="0" collapsed="false">
      <c r="A256" s="0" t="str">
        <f aca="false">IF(TRIM('List 1'!A256&amp;'List 1'!C256&amp;'List 1'!D256)="","",LOWER(IF(OR(Comparison!$I$9="Item # + Part # + Description",Comparison!$I$9="Item # + Part #"),TRIM('List 1'!A256),"")&amp;"|"&amp;TRIM('List 1'!C256)&amp;"|"&amp;IF(OR(Comparison!$I$9="Item # + Part # + Description",Comparison!$I$9="Part # + Description"),TRIM('List 1'!D256),"")))</f>
        <v/>
      </c>
      <c r="B256" s="0" t="str">
        <f aca="false">IF(A256="","",SUMPRODUCT(--($A$2:A256=A256)))</f>
        <v/>
      </c>
      <c r="C256" s="0" t="str">
        <f aca="false">IF(A256="","",A256&amp;"#"&amp;B256)</f>
        <v/>
      </c>
      <c r="D256" s="0" t="str">
        <f aca="false">IF(A256="","",IFERROR(--'List 1'!B256,0))</f>
        <v/>
      </c>
      <c r="F256" s="0" t="str">
        <f aca="false">IF(TRIM('List 2'!A256&amp;'List 2'!C256&amp;'List 2'!D256)="","",LOWER(IF(OR(Comparison!$I$9="Item # + Part # + Description",Comparison!$I$9="Item # + Part #"),TRIM('List 2'!A256),"")&amp;"|"&amp;TRIM('List 2'!C256)&amp;"|"&amp;IF(OR(Comparison!$I$9="Item # + Part # + Description",Comparison!$I$9="Part # + Description"),TRIM('List 2'!D256),"")))</f>
        <v/>
      </c>
      <c r="G256" s="0" t="str">
        <f aca="false">IF(F256="","",SUMPRODUCT(--($F$2:F256=F256)))</f>
        <v/>
      </c>
      <c r="H256" s="0" t="str">
        <f aca="false">IF(F256="","",F256&amp;"#"&amp;G256)</f>
        <v/>
      </c>
      <c r="I256" s="0" t="str">
        <f aca="false">IF(F256="","",IFERROR(--'List 2'!B256,0))</f>
        <v/>
      </c>
      <c r="K256" s="0" t="str">
        <f aca="false">C256</f>
        <v/>
      </c>
      <c r="L256" s="0" t="str">
        <f aca="false">IF(K256="","",IF(ISNUMBER('List 1'!A256),'List 1'!A256,TRIM('List 1'!A256)))</f>
        <v/>
      </c>
      <c r="M256" s="0" t="str">
        <f aca="false">IF(K256="","",IF(ISNUMBER('List 1'!C256),'List 1'!C256,TRIM('List 1'!C256)))</f>
        <v/>
      </c>
      <c r="N256" s="0" t="str">
        <f aca="false">IF(K256="","",IF(ISNUMBER('List 1'!D256),'List 1'!D256,TRIM('List 1'!D256)))</f>
        <v/>
      </c>
      <c r="O256" s="0" t="str">
        <f aca="false">IF(K256="","",D256)</f>
        <v/>
      </c>
      <c r="P256" s="0" t="str">
        <f aca="false">IF(K256="","",IF(R256,SUMPRODUCT(--($H$2:$H$501=K256),$I$2:$I$501),0))</f>
        <v/>
      </c>
      <c r="Q256" s="0" t="str">
        <f aca="false">IF(K256="","",TRUE())</f>
        <v/>
      </c>
      <c r="R256" s="0" t="str">
        <f aca="false">IF(K256="","",SUMPRODUCT(--($H$2:$H$501=K256))&gt;0)</f>
        <v/>
      </c>
      <c r="S256" s="0" t="str">
        <f aca="false">IF(K256="","",IF(AND(Q256,R256),IF(O256=P256,"Match","Qty Different"),IF(Q256,"Only in List 1","Only in List 2")))</f>
        <v/>
      </c>
      <c r="T256" s="0" t="str">
        <f aca="false">IF(K256="","",IF(ISNUMBER(--L256),TEXT(--L256,"000000000000.000"),LOWER(L256)))</f>
        <v/>
      </c>
      <c r="U256" s="0" t="str">
        <f aca="false">IF(K256="","",IF(ISNUMBER(--M256),TEXT(--M256,"000000000000.000"),LOWER(M256)))</f>
        <v/>
      </c>
      <c r="V256" s="0" t="str">
        <f aca="false">IF(K256="","",LOWER(N256))</f>
        <v/>
      </c>
      <c r="W256" s="0" t="str">
        <f aca="false">IF(K256="","",B256)</f>
        <v/>
      </c>
      <c r="X256" s="0" t="str">
        <f aca="false">IF(K256="","",1+SUMPRODUCT(($K$2:$K$1001&lt;&gt;"")*(($T$2:$T$1001&lt;T256)+($T$2:$T$1001=T256)*(($U$2:$U$1001&lt;U256)+($U$2:$U$1001=U256)*(($V$2:$V$1001&lt;V256)+($V$2:$V$1001=V256)*(($W$2:$W$1001&lt;W256)+($W$2:$W$1001=W256)*(ROW($K$2:$K$1001)&lt;ROW(K256))))))))</f>
        <v/>
      </c>
    </row>
    <row r="257" customFormat="false" ht="15" hidden="false" customHeight="false" outlineLevel="0" collapsed="false">
      <c r="A257" s="0" t="str">
        <f aca="false">IF(TRIM('List 1'!A257&amp;'List 1'!C257&amp;'List 1'!D257)="","",LOWER(IF(OR(Comparison!$I$9="Item # + Part # + Description",Comparison!$I$9="Item # + Part #"),TRIM('List 1'!A257),"")&amp;"|"&amp;TRIM('List 1'!C257)&amp;"|"&amp;IF(OR(Comparison!$I$9="Item # + Part # + Description",Comparison!$I$9="Part # + Description"),TRIM('List 1'!D257),"")))</f>
        <v/>
      </c>
      <c r="B257" s="0" t="str">
        <f aca="false">IF(A257="","",SUMPRODUCT(--($A$2:A257=A257)))</f>
        <v/>
      </c>
      <c r="C257" s="0" t="str">
        <f aca="false">IF(A257="","",A257&amp;"#"&amp;B257)</f>
        <v/>
      </c>
      <c r="D257" s="0" t="str">
        <f aca="false">IF(A257="","",IFERROR(--'List 1'!B257,0))</f>
        <v/>
      </c>
      <c r="F257" s="0" t="str">
        <f aca="false">IF(TRIM('List 2'!A257&amp;'List 2'!C257&amp;'List 2'!D257)="","",LOWER(IF(OR(Comparison!$I$9="Item # + Part # + Description",Comparison!$I$9="Item # + Part #"),TRIM('List 2'!A257),"")&amp;"|"&amp;TRIM('List 2'!C257)&amp;"|"&amp;IF(OR(Comparison!$I$9="Item # + Part # + Description",Comparison!$I$9="Part # + Description"),TRIM('List 2'!D257),"")))</f>
        <v/>
      </c>
      <c r="G257" s="0" t="str">
        <f aca="false">IF(F257="","",SUMPRODUCT(--($F$2:F257=F257)))</f>
        <v/>
      </c>
      <c r="H257" s="0" t="str">
        <f aca="false">IF(F257="","",F257&amp;"#"&amp;G257)</f>
        <v/>
      </c>
      <c r="I257" s="0" t="str">
        <f aca="false">IF(F257="","",IFERROR(--'List 2'!B257,0))</f>
        <v/>
      </c>
      <c r="K257" s="0" t="str">
        <f aca="false">C257</f>
        <v/>
      </c>
      <c r="L257" s="0" t="str">
        <f aca="false">IF(K257="","",IF(ISNUMBER('List 1'!A257),'List 1'!A257,TRIM('List 1'!A257)))</f>
        <v/>
      </c>
      <c r="M257" s="0" t="str">
        <f aca="false">IF(K257="","",IF(ISNUMBER('List 1'!C257),'List 1'!C257,TRIM('List 1'!C257)))</f>
        <v/>
      </c>
      <c r="N257" s="0" t="str">
        <f aca="false">IF(K257="","",IF(ISNUMBER('List 1'!D257),'List 1'!D257,TRIM('List 1'!D257)))</f>
        <v/>
      </c>
      <c r="O257" s="0" t="str">
        <f aca="false">IF(K257="","",D257)</f>
        <v/>
      </c>
      <c r="P257" s="0" t="str">
        <f aca="false">IF(K257="","",IF(R257,SUMPRODUCT(--($H$2:$H$501=K257),$I$2:$I$501),0))</f>
        <v/>
      </c>
      <c r="Q257" s="0" t="str">
        <f aca="false">IF(K257="","",TRUE())</f>
        <v/>
      </c>
      <c r="R257" s="0" t="str">
        <f aca="false">IF(K257="","",SUMPRODUCT(--($H$2:$H$501=K257))&gt;0)</f>
        <v/>
      </c>
      <c r="S257" s="0" t="str">
        <f aca="false">IF(K257="","",IF(AND(Q257,R257),IF(O257=P257,"Match","Qty Different"),IF(Q257,"Only in List 1","Only in List 2")))</f>
        <v/>
      </c>
      <c r="T257" s="0" t="str">
        <f aca="false">IF(K257="","",IF(ISNUMBER(--L257),TEXT(--L257,"000000000000.000"),LOWER(L257)))</f>
        <v/>
      </c>
      <c r="U257" s="0" t="str">
        <f aca="false">IF(K257="","",IF(ISNUMBER(--M257),TEXT(--M257,"000000000000.000"),LOWER(M257)))</f>
        <v/>
      </c>
      <c r="V257" s="0" t="str">
        <f aca="false">IF(K257="","",LOWER(N257))</f>
        <v/>
      </c>
      <c r="W257" s="0" t="str">
        <f aca="false">IF(K257="","",B257)</f>
        <v/>
      </c>
      <c r="X257" s="0" t="str">
        <f aca="false">IF(K257="","",1+SUMPRODUCT(($K$2:$K$1001&lt;&gt;"")*(($T$2:$T$1001&lt;T257)+($T$2:$T$1001=T257)*(($U$2:$U$1001&lt;U257)+($U$2:$U$1001=U257)*(($V$2:$V$1001&lt;V257)+($V$2:$V$1001=V257)*(($W$2:$W$1001&lt;W257)+($W$2:$W$1001=W257)*(ROW($K$2:$K$1001)&lt;ROW(K257))))))))</f>
        <v/>
      </c>
    </row>
    <row r="258" customFormat="false" ht="15" hidden="false" customHeight="false" outlineLevel="0" collapsed="false">
      <c r="A258" s="0" t="str">
        <f aca="false">IF(TRIM('List 1'!A258&amp;'List 1'!C258&amp;'List 1'!D258)="","",LOWER(IF(OR(Comparison!$I$9="Item # + Part # + Description",Comparison!$I$9="Item # + Part #"),TRIM('List 1'!A258),"")&amp;"|"&amp;TRIM('List 1'!C258)&amp;"|"&amp;IF(OR(Comparison!$I$9="Item # + Part # + Description",Comparison!$I$9="Part # + Description"),TRIM('List 1'!D258),"")))</f>
        <v/>
      </c>
      <c r="B258" s="0" t="str">
        <f aca="false">IF(A258="","",SUMPRODUCT(--($A$2:A258=A258)))</f>
        <v/>
      </c>
      <c r="C258" s="0" t="str">
        <f aca="false">IF(A258="","",A258&amp;"#"&amp;B258)</f>
        <v/>
      </c>
      <c r="D258" s="0" t="str">
        <f aca="false">IF(A258="","",IFERROR(--'List 1'!B258,0))</f>
        <v/>
      </c>
      <c r="F258" s="0" t="str">
        <f aca="false">IF(TRIM('List 2'!A258&amp;'List 2'!C258&amp;'List 2'!D258)="","",LOWER(IF(OR(Comparison!$I$9="Item # + Part # + Description",Comparison!$I$9="Item # + Part #"),TRIM('List 2'!A258),"")&amp;"|"&amp;TRIM('List 2'!C258)&amp;"|"&amp;IF(OR(Comparison!$I$9="Item # + Part # + Description",Comparison!$I$9="Part # + Description"),TRIM('List 2'!D258),"")))</f>
        <v/>
      </c>
      <c r="G258" s="0" t="str">
        <f aca="false">IF(F258="","",SUMPRODUCT(--($F$2:F258=F258)))</f>
        <v/>
      </c>
      <c r="H258" s="0" t="str">
        <f aca="false">IF(F258="","",F258&amp;"#"&amp;G258)</f>
        <v/>
      </c>
      <c r="I258" s="0" t="str">
        <f aca="false">IF(F258="","",IFERROR(--'List 2'!B258,0))</f>
        <v/>
      </c>
      <c r="K258" s="0" t="str">
        <f aca="false">C258</f>
        <v/>
      </c>
      <c r="L258" s="0" t="str">
        <f aca="false">IF(K258="","",IF(ISNUMBER('List 1'!A258),'List 1'!A258,TRIM('List 1'!A258)))</f>
        <v/>
      </c>
      <c r="M258" s="0" t="str">
        <f aca="false">IF(K258="","",IF(ISNUMBER('List 1'!C258),'List 1'!C258,TRIM('List 1'!C258)))</f>
        <v/>
      </c>
      <c r="N258" s="0" t="str">
        <f aca="false">IF(K258="","",IF(ISNUMBER('List 1'!D258),'List 1'!D258,TRIM('List 1'!D258)))</f>
        <v/>
      </c>
      <c r="O258" s="0" t="str">
        <f aca="false">IF(K258="","",D258)</f>
        <v/>
      </c>
      <c r="P258" s="0" t="str">
        <f aca="false">IF(K258="","",IF(R258,SUMPRODUCT(--($H$2:$H$501=K258),$I$2:$I$501),0))</f>
        <v/>
      </c>
      <c r="Q258" s="0" t="str">
        <f aca="false">IF(K258="","",TRUE())</f>
        <v/>
      </c>
      <c r="R258" s="0" t="str">
        <f aca="false">IF(K258="","",SUMPRODUCT(--($H$2:$H$501=K258))&gt;0)</f>
        <v/>
      </c>
      <c r="S258" s="0" t="str">
        <f aca="false">IF(K258="","",IF(AND(Q258,R258),IF(O258=P258,"Match","Qty Different"),IF(Q258,"Only in List 1","Only in List 2")))</f>
        <v/>
      </c>
      <c r="T258" s="0" t="str">
        <f aca="false">IF(K258="","",IF(ISNUMBER(--L258),TEXT(--L258,"000000000000.000"),LOWER(L258)))</f>
        <v/>
      </c>
      <c r="U258" s="0" t="str">
        <f aca="false">IF(K258="","",IF(ISNUMBER(--M258),TEXT(--M258,"000000000000.000"),LOWER(M258)))</f>
        <v/>
      </c>
      <c r="V258" s="0" t="str">
        <f aca="false">IF(K258="","",LOWER(N258))</f>
        <v/>
      </c>
      <c r="W258" s="0" t="str">
        <f aca="false">IF(K258="","",B258)</f>
        <v/>
      </c>
      <c r="X258" s="0" t="str">
        <f aca="false">IF(K258="","",1+SUMPRODUCT(($K$2:$K$1001&lt;&gt;"")*(($T$2:$T$1001&lt;T258)+($T$2:$T$1001=T258)*(($U$2:$U$1001&lt;U258)+($U$2:$U$1001=U258)*(($V$2:$V$1001&lt;V258)+($V$2:$V$1001=V258)*(($W$2:$W$1001&lt;W258)+($W$2:$W$1001=W258)*(ROW($K$2:$K$1001)&lt;ROW(K258))))))))</f>
        <v/>
      </c>
    </row>
    <row r="259" customFormat="false" ht="15" hidden="false" customHeight="false" outlineLevel="0" collapsed="false">
      <c r="A259" s="0" t="str">
        <f aca="false">IF(TRIM('List 1'!A259&amp;'List 1'!C259&amp;'List 1'!D259)="","",LOWER(IF(OR(Comparison!$I$9="Item # + Part # + Description",Comparison!$I$9="Item # + Part #"),TRIM('List 1'!A259),"")&amp;"|"&amp;TRIM('List 1'!C259)&amp;"|"&amp;IF(OR(Comparison!$I$9="Item # + Part # + Description",Comparison!$I$9="Part # + Description"),TRIM('List 1'!D259),"")))</f>
        <v/>
      </c>
      <c r="B259" s="0" t="str">
        <f aca="false">IF(A259="","",SUMPRODUCT(--($A$2:A259=A259)))</f>
        <v/>
      </c>
      <c r="C259" s="0" t="str">
        <f aca="false">IF(A259="","",A259&amp;"#"&amp;B259)</f>
        <v/>
      </c>
      <c r="D259" s="0" t="str">
        <f aca="false">IF(A259="","",IFERROR(--'List 1'!B259,0))</f>
        <v/>
      </c>
      <c r="F259" s="0" t="str">
        <f aca="false">IF(TRIM('List 2'!A259&amp;'List 2'!C259&amp;'List 2'!D259)="","",LOWER(IF(OR(Comparison!$I$9="Item # + Part # + Description",Comparison!$I$9="Item # + Part #"),TRIM('List 2'!A259),"")&amp;"|"&amp;TRIM('List 2'!C259)&amp;"|"&amp;IF(OR(Comparison!$I$9="Item # + Part # + Description",Comparison!$I$9="Part # + Description"),TRIM('List 2'!D259),"")))</f>
        <v/>
      </c>
      <c r="G259" s="0" t="str">
        <f aca="false">IF(F259="","",SUMPRODUCT(--($F$2:F259=F259)))</f>
        <v/>
      </c>
      <c r="H259" s="0" t="str">
        <f aca="false">IF(F259="","",F259&amp;"#"&amp;G259)</f>
        <v/>
      </c>
      <c r="I259" s="0" t="str">
        <f aca="false">IF(F259="","",IFERROR(--'List 2'!B259,0))</f>
        <v/>
      </c>
      <c r="K259" s="0" t="str">
        <f aca="false">C259</f>
        <v/>
      </c>
      <c r="L259" s="0" t="str">
        <f aca="false">IF(K259="","",IF(ISNUMBER('List 1'!A259),'List 1'!A259,TRIM('List 1'!A259)))</f>
        <v/>
      </c>
      <c r="M259" s="0" t="str">
        <f aca="false">IF(K259="","",IF(ISNUMBER('List 1'!C259),'List 1'!C259,TRIM('List 1'!C259)))</f>
        <v/>
      </c>
      <c r="N259" s="0" t="str">
        <f aca="false">IF(K259="","",IF(ISNUMBER('List 1'!D259),'List 1'!D259,TRIM('List 1'!D259)))</f>
        <v/>
      </c>
      <c r="O259" s="0" t="str">
        <f aca="false">IF(K259="","",D259)</f>
        <v/>
      </c>
      <c r="P259" s="0" t="str">
        <f aca="false">IF(K259="","",IF(R259,SUMPRODUCT(--($H$2:$H$501=K259),$I$2:$I$501),0))</f>
        <v/>
      </c>
      <c r="Q259" s="0" t="str">
        <f aca="false">IF(K259="","",TRUE())</f>
        <v/>
      </c>
      <c r="R259" s="0" t="str">
        <f aca="false">IF(K259="","",SUMPRODUCT(--($H$2:$H$501=K259))&gt;0)</f>
        <v/>
      </c>
      <c r="S259" s="0" t="str">
        <f aca="false">IF(K259="","",IF(AND(Q259,R259),IF(O259=P259,"Match","Qty Different"),IF(Q259,"Only in List 1","Only in List 2")))</f>
        <v/>
      </c>
      <c r="T259" s="0" t="str">
        <f aca="false">IF(K259="","",IF(ISNUMBER(--L259),TEXT(--L259,"000000000000.000"),LOWER(L259)))</f>
        <v/>
      </c>
      <c r="U259" s="0" t="str">
        <f aca="false">IF(K259="","",IF(ISNUMBER(--M259),TEXT(--M259,"000000000000.000"),LOWER(M259)))</f>
        <v/>
      </c>
      <c r="V259" s="0" t="str">
        <f aca="false">IF(K259="","",LOWER(N259))</f>
        <v/>
      </c>
      <c r="W259" s="0" t="str">
        <f aca="false">IF(K259="","",B259)</f>
        <v/>
      </c>
      <c r="X259" s="0" t="str">
        <f aca="false">IF(K259="","",1+SUMPRODUCT(($K$2:$K$1001&lt;&gt;"")*(($T$2:$T$1001&lt;T259)+($T$2:$T$1001=T259)*(($U$2:$U$1001&lt;U259)+($U$2:$U$1001=U259)*(($V$2:$V$1001&lt;V259)+($V$2:$V$1001=V259)*(($W$2:$W$1001&lt;W259)+($W$2:$W$1001=W259)*(ROW($K$2:$K$1001)&lt;ROW(K259))))))))</f>
        <v/>
      </c>
    </row>
    <row r="260" customFormat="false" ht="15" hidden="false" customHeight="false" outlineLevel="0" collapsed="false">
      <c r="A260" s="0" t="str">
        <f aca="false">IF(TRIM('List 1'!A260&amp;'List 1'!C260&amp;'List 1'!D260)="","",LOWER(IF(OR(Comparison!$I$9="Item # + Part # + Description",Comparison!$I$9="Item # + Part #"),TRIM('List 1'!A260),"")&amp;"|"&amp;TRIM('List 1'!C260)&amp;"|"&amp;IF(OR(Comparison!$I$9="Item # + Part # + Description",Comparison!$I$9="Part # + Description"),TRIM('List 1'!D260),"")))</f>
        <v/>
      </c>
      <c r="B260" s="0" t="str">
        <f aca="false">IF(A260="","",SUMPRODUCT(--($A$2:A260=A260)))</f>
        <v/>
      </c>
      <c r="C260" s="0" t="str">
        <f aca="false">IF(A260="","",A260&amp;"#"&amp;B260)</f>
        <v/>
      </c>
      <c r="D260" s="0" t="str">
        <f aca="false">IF(A260="","",IFERROR(--'List 1'!B260,0))</f>
        <v/>
      </c>
      <c r="F260" s="0" t="str">
        <f aca="false">IF(TRIM('List 2'!A260&amp;'List 2'!C260&amp;'List 2'!D260)="","",LOWER(IF(OR(Comparison!$I$9="Item # + Part # + Description",Comparison!$I$9="Item # + Part #"),TRIM('List 2'!A260),"")&amp;"|"&amp;TRIM('List 2'!C260)&amp;"|"&amp;IF(OR(Comparison!$I$9="Item # + Part # + Description",Comparison!$I$9="Part # + Description"),TRIM('List 2'!D260),"")))</f>
        <v/>
      </c>
      <c r="G260" s="0" t="str">
        <f aca="false">IF(F260="","",SUMPRODUCT(--($F$2:F260=F260)))</f>
        <v/>
      </c>
      <c r="H260" s="0" t="str">
        <f aca="false">IF(F260="","",F260&amp;"#"&amp;G260)</f>
        <v/>
      </c>
      <c r="I260" s="0" t="str">
        <f aca="false">IF(F260="","",IFERROR(--'List 2'!B260,0))</f>
        <v/>
      </c>
      <c r="K260" s="0" t="str">
        <f aca="false">C260</f>
        <v/>
      </c>
      <c r="L260" s="0" t="str">
        <f aca="false">IF(K260="","",IF(ISNUMBER('List 1'!A260),'List 1'!A260,TRIM('List 1'!A260)))</f>
        <v/>
      </c>
      <c r="M260" s="0" t="str">
        <f aca="false">IF(K260="","",IF(ISNUMBER('List 1'!C260),'List 1'!C260,TRIM('List 1'!C260)))</f>
        <v/>
      </c>
      <c r="N260" s="0" t="str">
        <f aca="false">IF(K260="","",IF(ISNUMBER('List 1'!D260),'List 1'!D260,TRIM('List 1'!D260)))</f>
        <v/>
      </c>
      <c r="O260" s="0" t="str">
        <f aca="false">IF(K260="","",D260)</f>
        <v/>
      </c>
      <c r="P260" s="0" t="str">
        <f aca="false">IF(K260="","",IF(R260,SUMPRODUCT(--($H$2:$H$501=K260),$I$2:$I$501),0))</f>
        <v/>
      </c>
      <c r="Q260" s="0" t="str">
        <f aca="false">IF(K260="","",TRUE())</f>
        <v/>
      </c>
      <c r="R260" s="0" t="str">
        <f aca="false">IF(K260="","",SUMPRODUCT(--($H$2:$H$501=K260))&gt;0)</f>
        <v/>
      </c>
      <c r="S260" s="0" t="str">
        <f aca="false">IF(K260="","",IF(AND(Q260,R260),IF(O260=P260,"Match","Qty Different"),IF(Q260,"Only in List 1","Only in List 2")))</f>
        <v/>
      </c>
      <c r="T260" s="0" t="str">
        <f aca="false">IF(K260="","",IF(ISNUMBER(--L260),TEXT(--L260,"000000000000.000"),LOWER(L260)))</f>
        <v/>
      </c>
      <c r="U260" s="0" t="str">
        <f aca="false">IF(K260="","",IF(ISNUMBER(--M260),TEXT(--M260,"000000000000.000"),LOWER(M260)))</f>
        <v/>
      </c>
      <c r="V260" s="0" t="str">
        <f aca="false">IF(K260="","",LOWER(N260))</f>
        <v/>
      </c>
      <c r="W260" s="0" t="str">
        <f aca="false">IF(K260="","",B260)</f>
        <v/>
      </c>
      <c r="X260" s="0" t="str">
        <f aca="false">IF(K260="","",1+SUMPRODUCT(($K$2:$K$1001&lt;&gt;"")*(($T$2:$T$1001&lt;T260)+($T$2:$T$1001=T260)*(($U$2:$U$1001&lt;U260)+($U$2:$U$1001=U260)*(($V$2:$V$1001&lt;V260)+($V$2:$V$1001=V260)*(($W$2:$W$1001&lt;W260)+($W$2:$W$1001=W260)*(ROW($K$2:$K$1001)&lt;ROW(K260))))))))</f>
        <v/>
      </c>
    </row>
    <row r="261" customFormat="false" ht="15" hidden="false" customHeight="false" outlineLevel="0" collapsed="false">
      <c r="A261" s="0" t="str">
        <f aca="false">IF(TRIM('List 1'!A261&amp;'List 1'!C261&amp;'List 1'!D261)="","",LOWER(IF(OR(Comparison!$I$9="Item # + Part # + Description",Comparison!$I$9="Item # + Part #"),TRIM('List 1'!A261),"")&amp;"|"&amp;TRIM('List 1'!C261)&amp;"|"&amp;IF(OR(Comparison!$I$9="Item # + Part # + Description",Comparison!$I$9="Part # + Description"),TRIM('List 1'!D261),"")))</f>
        <v/>
      </c>
      <c r="B261" s="0" t="str">
        <f aca="false">IF(A261="","",SUMPRODUCT(--($A$2:A261=A261)))</f>
        <v/>
      </c>
      <c r="C261" s="0" t="str">
        <f aca="false">IF(A261="","",A261&amp;"#"&amp;B261)</f>
        <v/>
      </c>
      <c r="D261" s="0" t="str">
        <f aca="false">IF(A261="","",IFERROR(--'List 1'!B261,0))</f>
        <v/>
      </c>
      <c r="F261" s="0" t="str">
        <f aca="false">IF(TRIM('List 2'!A261&amp;'List 2'!C261&amp;'List 2'!D261)="","",LOWER(IF(OR(Comparison!$I$9="Item # + Part # + Description",Comparison!$I$9="Item # + Part #"),TRIM('List 2'!A261),"")&amp;"|"&amp;TRIM('List 2'!C261)&amp;"|"&amp;IF(OR(Comparison!$I$9="Item # + Part # + Description",Comparison!$I$9="Part # + Description"),TRIM('List 2'!D261),"")))</f>
        <v/>
      </c>
      <c r="G261" s="0" t="str">
        <f aca="false">IF(F261="","",SUMPRODUCT(--($F$2:F261=F261)))</f>
        <v/>
      </c>
      <c r="H261" s="0" t="str">
        <f aca="false">IF(F261="","",F261&amp;"#"&amp;G261)</f>
        <v/>
      </c>
      <c r="I261" s="0" t="str">
        <f aca="false">IF(F261="","",IFERROR(--'List 2'!B261,0))</f>
        <v/>
      </c>
      <c r="K261" s="0" t="str">
        <f aca="false">C261</f>
        <v/>
      </c>
      <c r="L261" s="0" t="str">
        <f aca="false">IF(K261="","",IF(ISNUMBER('List 1'!A261),'List 1'!A261,TRIM('List 1'!A261)))</f>
        <v/>
      </c>
      <c r="M261" s="0" t="str">
        <f aca="false">IF(K261="","",IF(ISNUMBER('List 1'!C261),'List 1'!C261,TRIM('List 1'!C261)))</f>
        <v/>
      </c>
      <c r="N261" s="0" t="str">
        <f aca="false">IF(K261="","",IF(ISNUMBER('List 1'!D261),'List 1'!D261,TRIM('List 1'!D261)))</f>
        <v/>
      </c>
      <c r="O261" s="0" t="str">
        <f aca="false">IF(K261="","",D261)</f>
        <v/>
      </c>
      <c r="P261" s="0" t="str">
        <f aca="false">IF(K261="","",IF(R261,SUMPRODUCT(--($H$2:$H$501=K261),$I$2:$I$501),0))</f>
        <v/>
      </c>
      <c r="Q261" s="0" t="str">
        <f aca="false">IF(K261="","",TRUE())</f>
        <v/>
      </c>
      <c r="R261" s="0" t="str">
        <f aca="false">IF(K261="","",SUMPRODUCT(--($H$2:$H$501=K261))&gt;0)</f>
        <v/>
      </c>
      <c r="S261" s="0" t="str">
        <f aca="false">IF(K261="","",IF(AND(Q261,R261),IF(O261=P261,"Match","Qty Different"),IF(Q261,"Only in List 1","Only in List 2")))</f>
        <v/>
      </c>
      <c r="T261" s="0" t="str">
        <f aca="false">IF(K261="","",IF(ISNUMBER(--L261),TEXT(--L261,"000000000000.000"),LOWER(L261)))</f>
        <v/>
      </c>
      <c r="U261" s="0" t="str">
        <f aca="false">IF(K261="","",IF(ISNUMBER(--M261),TEXT(--M261,"000000000000.000"),LOWER(M261)))</f>
        <v/>
      </c>
      <c r="V261" s="0" t="str">
        <f aca="false">IF(K261="","",LOWER(N261))</f>
        <v/>
      </c>
      <c r="W261" s="0" t="str">
        <f aca="false">IF(K261="","",B261)</f>
        <v/>
      </c>
      <c r="X261" s="0" t="str">
        <f aca="false">IF(K261="","",1+SUMPRODUCT(($K$2:$K$1001&lt;&gt;"")*(($T$2:$T$1001&lt;T261)+($T$2:$T$1001=T261)*(($U$2:$U$1001&lt;U261)+($U$2:$U$1001=U261)*(($V$2:$V$1001&lt;V261)+($V$2:$V$1001=V261)*(($W$2:$W$1001&lt;W261)+($W$2:$W$1001=W261)*(ROW($K$2:$K$1001)&lt;ROW(K261))))))))</f>
        <v/>
      </c>
    </row>
    <row r="262" customFormat="false" ht="15" hidden="false" customHeight="false" outlineLevel="0" collapsed="false">
      <c r="A262" s="0" t="str">
        <f aca="false">IF(TRIM('List 1'!A262&amp;'List 1'!C262&amp;'List 1'!D262)="","",LOWER(IF(OR(Comparison!$I$9="Item # + Part # + Description",Comparison!$I$9="Item # + Part #"),TRIM('List 1'!A262),"")&amp;"|"&amp;TRIM('List 1'!C262)&amp;"|"&amp;IF(OR(Comparison!$I$9="Item # + Part # + Description",Comparison!$I$9="Part # + Description"),TRIM('List 1'!D262),"")))</f>
        <v/>
      </c>
      <c r="B262" s="0" t="str">
        <f aca="false">IF(A262="","",SUMPRODUCT(--($A$2:A262=A262)))</f>
        <v/>
      </c>
      <c r="C262" s="0" t="str">
        <f aca="false">IF(A262="","",A262&amp;"#"&amp;B262)</f>
        <v/>
      </c>
      <c r="D262" s="0" t="str">
        <f aca="false">IF(A262="","",IFERROR(--'List 1'!B262,0))</f>
        <v/>
      </c>
      <c r="F262" s="0" t="str">
        <f aca="false">IF(TRIM('List 2'!A262&amp;'List 2'!C262&amp;'List 2'!D262)="","",LOWER(IF(OR(Comparison!$I$9="Item # + Part # + Description",Comparison!$I$9="Item # + Part #"),TRIM('List 2'!A262),"")&amp;"|"&amp;TRIM('List 2'!C262)&amp;"|"&amp;IF(OR(Comparison!$I$9="Item # + Part # + Description",Comparison!$I$9="Part # + Description"),TRIM('List 2'!D262),"")))</f>
        <v/>
      </c>
      <c r="G262" s="0" t="str">
        <f aca="false">IF(F262="","",SUMPRODUCT(--($F$2:F262=F262)))</f>
        <v/>
      </c>
      <c r="H262" s="0" t="str">
        <f aca="false">IF(F262="","",F262&amp;"#"&amp;G262)</f>
        <v/>
      </c>
      <c r="I262" s="0" t="str">
        <f aca="false">IF(F262="","",IFERROR(--'List 2'!B262,0))</f>
        <v/>
      </c>
      <c r="K262" s="0" t="str">
        <f aca="false">C262</f>
        <v/>
      </c>
      <c r="L262" s="0" t="str">
        <f aca="false">IF(K262="","",IF(ISNUMBER('List 1'!A262),'List 1'!A262,TRIM('List 1'!A262)))</f>
        <v/>
      </c>
      <c r="M262" s="0" t="str">
        <f aca="false">IF(K262="","",IF(ISNUMBER('List 1'!C262),'List 1'!C262,TRIM('List 1'!C262)))</f>
        <v/>
      </c>
      <c r="N262" s="0" t="str">
        <f aca="false">IF(K262="","",IF(ISNUMBER('List 1'!D262),'List 1'!D262,TRIM('List 1'!D262)))</f>
        <v/>
      </c>
      <c r="O262" s="0" t="str">
        <f aca="false">IF(K262="","",D262)</f>
        <v/>
      </c>
      <c r="P262" s="0" t="str">
        <f aca="false">IF(K262="","",IF(R262,SUMPRODUCT(--($H$2:$H$501=K262),$I$2:$I$501),0))</f>
        <v/>
      </c>
      <c r="Q262" s="0" t="str">
        <f aca="false">IF(K262="","",TRUE())</f>
        <v/>
      </c>
      <c r="R262" s="0" t="str">
        <f aca="false">IF(K262="","",SUMPRODUCT(--($H$2:$H$501=K262))&gt;0)</f>
        <v/>
      </c>
      <c r="S262" s="0" t="str">
        <f aca="false">IF(K262="","",IF(AND(Q262,R262),IF(O262=P262,"Match","Qty Different"),IF(Q262,"Only in List 1","Only in List 2")))</f>
        <v/>
      </c>
      <c r="T262" s="0" t="str">
        <f aca="false">IF(K262="","",IF(ISNUMBER(--L262),TEXT(--L262,"000000000000.000"),LOWER(L262)))</f>
        <v/>
      </c>
      <c r="U262" s="0" t="str">
        <f aca="false">IF(K262="","",IF(ISNUMBER(--M262),TEXT(--M262,"000000000000.000"),LOWER(M262)))</f>
        <v/>
      </c>
      <c r="V262" s="0" t="str">
        <f aca="false">IF(K262="","",LOWER(N262))</f>
        <v/>
      </c>
      <c r="W262" s="0" t="str">
        <f aca="false">IF(K262="","",B262)</f>
        <v/>
      </c>
      <c r="X262" s="0" t="str">
        <f aca="false">IF(K262="","",1+SUMPRODUCT(($K$2:$K$1001&lt;&gt;"")*(($T$2:$T$1001&lt;T262)+($T$2:$T$1001=T262)*(($U$2:$U$1001&lt;U262)+($U$2:$U$1001=U262)*(($V$2:$V$1001&lt;V262)+($V$2:$V$1001=V262)*(($W$2:$W$1001&lt;W262)+($W$2:$W$1001=W262)*(ROW($K$2:$K$1001)&lt;ROW(K262))))))))</f>
        <v/>
      </c>
    </row>
    <row r="263" customFormat="false" ht="15" hidden="false" customHeight="false" outlineLevel="0" collapsed="false">
      <c r="A263" s="0" t="str">
        <f aca="false">IF(TRIM('List 1'!A263&amp;'List 1'!C263&amp;'List 1'!D263)="","",LOWER(IF(OR(Comparison!$I$9="Item # + Part # + Description",Comparison!$I$9="Item # + Part #"),TRIM('List 1'!A263),"")&amp;"|"&amp;TRIM('List 1'!C263)&amp;"|"&amp;IF(OR(Comparison!$I$9="Item # + Part # + Description",Comparison!$I$9="Part # + Description"),TRIM('List 1'!D263),"")))</f>
        <v/>
      </c>
      <c r="B263" s="0" t="str">
        <f aca="false">IF(A263="","",SUMPRODUCT(--($A$2:A263=A263)))</f>
        <v/>
      </c>
      <c r="C263" s="0" t="str">
        <f aca="false">IF(A263="","",A263&amp;"#"&amp;B263)</f>
        <v/>
      </c>
      <c r="D263" s="0" t="str">
        <f aca="false">IF(A263="","",IFERROR(--'List 1'!B263,0))</f>
        <v/>
      </c>
      <c r="F263" s="0" t="str">
        <f aca="false">IF(TRIM('List 2'!A263&amp;'List 2'!C263&amp;'List 2'!D263)="","",LOWER(IF(OR(Comparison!$I$9="Item # + Part # + Description",Comparison!$I$9="Item # + Part #"),TRIM('List 2'!A263),"")&amp;"|"&amp;TRIM('List 2'!C263)&amp;"|"&amp;IF(OR(Comparison!$I$9="Item # + Part # + Description",Comparison!$I$9="Part # + Description"),TRIM('List 2'!D263),"")))</f>
        <v/>
      </c>
      <c r="G263" s="0" t="str">
        <f aca="false">IF(F263="","",SUMPRODUCT(--($F$2:F263=F263)))</f>
        <v/>
      </c>
      <c r="H263" s="0" t="str">
        <f aca="false">IF(F263="","",F263&amp;"#"&amp;G263)</f>
        <v/>
      </c>
      <c r="I263" s="0" t="str">
        <f aca="false">IF(F263="","",IFERROR(--'List 2'!B263,0))</f>
        <v/>
      </c>
      <c r="K263" s="0" t="str">
        <f aca="false">C263</f>
        <v/>
      </c>
      <c r="L263" s="0" t="str">
        <f aca="false">IF(K263="","",IF(ISNUMBER('List 1'!A263),'List 1'!A263,TRIM('List 1'!A263)))</f>
        <v/>
      </c>
      <c r="M263" s="0" t="str">
        <f aca="false">IF(K263="","",IF(ISNUMBER('List 1'!C263),'List 1'!C263,TRIM('List 1'!C263)))</f>
        <v/>
      </c>
      <c r="N263" s="0" t="str">
        <f aca="false">IF(K263="","",IF(ISNUMBER('List 1'!D263),'List 1'!D263,TRIM('List 1'!D263)))</f>
        <v/>
      </c>
      <c r="O263" s="0" t="str">
        <f aca="false">IF(K263="","",D263)</f>
        <v/>
      </c>
      <c r="P263" s="0" t="str">
        <f aca="false">IF(K263="","",IF(R263,SUMPRODUCT(--($H$2:$H$501=K263),$I$2:$I$501),0))</f>
        <v/>
      </c>
      <c r="Q263" s="0" t="str">
        <f aca="false">IF(K263="","",TRUE())</f>
        <v/>
      </c>
      <c r="R263" s="0" t="str">
        <f aca="false">IF(K263="","",SUMPRODUCT(--($H$2:$H$501=K263))&gt;0)</f>
        <v/>
      </c>
      <c r="S263" s="0" t="str">
        <f aca="false">IF(K263="","",IF(AND(Q263,R263),IF(O263=P263,"Match","Qty Different"),IF(Q263,"Only in List 1","Only in List 2")))</f>
        <v/>
      </c>
      <c r="T263" s="0" t="str">
        <f aca="false">IF(K263="","",IF(ISNUMBER(--L263),TEXT(--L263,"000000000000.000"),LOWER(L263)))</f>
        <v/>
      </c>
      <c r="U263" s="0" t="str">
        <f aca="false">IF(K263="","",IF(ISNUMBER(--M263),TEXT(--M263,"000000000000.000"),LOWER(M263)))</f>
        <v/>
      </c>
      <c r="V263" s="0" t="str">
        <f aca="false">IF(K263="","",LOWER(N263))</f>
        <v/>
      </c>
      <c r="W263" s="0" t="str">
        <f aca="false">IF(K263="","",B263)</f>
        <v/>
      </c>
      <c r="X263" s="0" t="str">
        <f aca="false">IF(K263="","",1+SUMPRODUCT(($K$2:$K$1001&lt;&gt;"")*(($T$2:$T$1001&lt;T263)+($T$2:$T$1001=T263)*(($U$2:$U$1001&lt;U263)+($U$2:$U$1001=U263)*(($V$2:$V$1001&lt;V263)+($V$2:$V$1001=V263)*(($W$2:$W$1001&lt;W263)+($W$2:$W$1001=W263)*(ROW($K$2:$K$1001)&lt;ROW(K263))))))))</f>
        <v/>
      </c>
    </row>
    <row r="264" customFormat="false" ht="15" hidden="false" customHeight="false" outlineLevel="0" collapsed="false">
      <c r="A264" s="0" t="str">
        <f aca="false">IF(TRIM('List 1'!A264&amp;'List 1'!C264&amp;'List 1'!D264)="","",LOWER(IF(OR(Comparison!$I$9="Item # + Part # + Description",Comparison!$I$9="Item # + Part #"),TRIM('List 1'!A264),"")&amp;"|"&amp;TRIM('List 1'!C264)&amp;"|"&amp;IF(OR(Comparison!$I$9="Item # + Part # + Description",Comparison!$I$9="Part # + Description"),TRIM('List 1'!D264),"")))</f>
        <v/>
      </c>
      <c r="B264" s="0" t="str">
        <f aca="false">IF(A264="","",SUMPRODUCT(--($A$2:A264=A264)))</f>
        <v/>
      </c>
      <c r="C264" s="0" t="str">
        <f aca="false">IF(A264="","",A264&amp;"#"&amp;B264)</f>
        <v/>
      </c>
      <c r="D264" s="0" t="str">
        <f aca="false">IF(A264="","",IFERROR(--'List 1'!B264,0))</f>
        <v/>
      </c>
      <c r="F264" s="0" t="str">
        <f aca="false">IF(TRIM('List 2'!A264&amp;'List 2'!C264&amp;'List 2'!D264)="","",LOWER(IF(OR(Comparison!$I$9="Item # + Part # + Description",Comparison!$I$9="Item # + Part #"),TRIM('List 2'!A264),"")&amp;"|"&amp;TRIM('List 2'!C264)&amp;"|"&amp;IF(OR(Comparison!$I$9="Item # + Part # + Description",Comparison!$I$9="Part # + Description"),TRIM('List 2'!D264),"")))</f>
        <v/>
      </c>
      <c r="G264" s="0" t="str">
        <f aca="false">IF(F264="","",SUMPRODUCT(--($F$2:F264=F264)))</f>
        <v/>
      </c>
      <c r="H264" s="0" t="str">
        <f aca="false">IF(F264="","",F264&amp;"#"&amp;G264)</f>
        <v/>
      </c>
      <c r="I264" s="0" t="str">
        <f aca="false">IF(F264="","",IFERROR(--'List 2'!B264,0))</f>
        <v/>
      </c>
      <c r="K264" s="0" t="str">
        <f aca="false">C264</f>
        <v/>
      </c>
      <c r="L264" s="0" t="str">
        <f aca="false">IF(K264="","",IF(ISNUMBER('List 1'!A264),'List 1'!A264,TRIM('List 1'!A264)))</f>
        <v/>
      </c>
      <c r="M264" s="0" t="str">
        <f aca="false">IF(K264="","",IF(ISNUMBER('List 1'!C264),'List 1'!C264,TRIM('List 1'!C264)))</f>
        <v/>
      </c>
      <c r="N264" s="0" t="str">
        <f aca="false">IF(K264="","",IF(ISNUMBER('List 1'!D264),'List 1'!D264,TRIM('List 1'!D264)))</f>
        <v/>
      </c>
      <c r="O264" s="0" t="str">
        <f aca="false">IF(K264="","",D264)</f>
        <v/>
      </c>
      <c r="P264" s="0" t="str">
        <f aca="false">IF(K264="","",IF(R264,SUMPRODUCT(--($H$2:$H$501=K264),$I$2:$I$501),0))</f>
        <v/>
      </c>
      <c r="Q264" s="0" t="str">
        <f aca="false">IF(K264="","",TRUE())</f>
        <v/>
      </c>
      <c r="R264" s="0" t="str">
        <f aca="false">IF(K264="","",SUMPRODUCT(--($H$2:$H$501=K264))&gt;0)</f>
        <v/>
      </c>
      <c r="S264" s="0" t="str">
        <f aca="false">IF(K264="","",IF(AND(Q264,R264),IF(O264=P264,"Match","Qty Different"),IF(Q264,"Only in List 1","Only in List 2")))</f>
        <v/>
      </c>
      <c r="T264" s="0" t="str">
        <f aca="false">IF(K264="","",IF(ISNUMBER(--L264),TEXT(--L264,"000000000000.000"),LOWER(L264)))</f>
        <v/>
      </c>
      <c r="U264" s="0" t="str">
        <f aca="false">IF(K264="","",IF(ISNUMBER(--M264),TEXT(--M264,"000000000000.000"),LOWER(M264)))</f>
        <v/>
      </c>
      <c r="V264" s="0" t="str">
        <f aca="false">IF(K264="","",LOWER(N264))</f>
        <v/>
      </c>
      <c r="W264" s="0" t="str">
        <f aca="false">IF(K264="","",B264)</f>
        <v/>
      </c>
      <c r="X264" s="0" t="str">
        <f aca="false">IF(K264="","",1+SUMPRODUCT(($K$2:$K$1001&lt;&gt;"")*(($T$2:$T$1001&lt;T264)+($T$2:$T$1001=T264)*(($U$2:$U$1001&lt;U264)+($U$2:$U$1001=U264)*(($V$2:$V$1001&lt;V264)+($V$2:$V$1001=V264)*(($W$2:$W$1001&lt;W264)+($W$2:$W$1001=W264)*(ROW($K$2:$K$1001)&lt;ROW(K264))))))))</f>
        <v/>
      </c>
    </row>
    <row r="265" customFormat="false" ht="15" hidden="false" customHeight="false" outlineLevel="0" collapsed="false">
      <c r="A265" s="0" t="str">
        <f aca="false">IF(TRIM('List 1'!A265&amp;'List 1'!C265&amp;'List 1'!D265)="","",LOWER(IF(OR(Comparison!$I$9="Item # + Part # + Description",Comparison!$I$9="Item # + Part #"),TRIM('List 1'!A265),"")&amp;"|"&amp;TRIM('List 1'!C265)&amp;"|"&amp;IF(OR(Comparison!$I$9="Item # + Part # + Description",Comparison!$I$9="Part # + Description"),TRIM('List 1'!D265),"")))</f>
        <v/>
      </c>
      <c r="B265" s="0" t="str">
        <f aca="false">IF(A265="","",SUMPRODUCT(--($A$2:A265=A265)))</f>
        <v/>
      </c>
      <c r="C265" s="0" t="str">
        <f aca="false">IF(A265="","",A265&amp;"#"&amp;B265)</f>
        <v/>
      </c>
      <c r="D265" s="0" t="str">
        <f aca="false">IF(A265="","",IFERROR(--'List 1'!B265,0))</f>
        <v/>
      </c>
      <c r="F265" s="0" t="str">
        <f aca="false">IF(TRIM('List 2'!A265&amp;'List 2'!C265&amp;'List 2'!D265)="","",LOWER(IF(OR(Comparison!$I$9="Item # + Part # + Description",Comparison!$I$9="Item # + Part #"),TRIM('List 2'!A265),"")&amp;"|"&amp;TRIM('List 2'!C265)&amp;"|"&amp;IF(OR(Comparison!$I$9="Item # + Part # + Description",Comparison!$I$9="Part # + Description"),TRIM('List 2'!D265),"")))</f>
        <v/>
      </c>
      <c r="G265" s="0" t="str">
        <f aca="false">IF(F265="","",SUMPRODUCT(--($F$2:F265=F265)))</f>
        <v/>
      </c>
      <c r="H265" s="0" t="str">
        <f aca="false">IF(F265="","",F265&amp;"#"&amp;G265)</f>
        <v/>
      </c>
      <c r="I265" s="0" t="str">
        <f aca="false">IF(F265="","",IFERROR(--'List 2'!B265,0))</f>
        <v/>
      </c>
      <c r="K265" s="0" t="str">
        <f aca="false">C265</f>
        <v/>
      </c>
      <c r="L265" s="0" t="str">
        <f aca="false">IF(K265="","",IF(ISNUMBER('List 1'!A265),'List 1'!A265,TRIM('List 1'!A265)))</f>
        <v/>
      </c>
      <c r="M265" s="0" t="str">
        <f aca="false">IF(K265="","",IF(ISNUMBER('List 1'!C265),'List 1'!C265,TRIM('List 1'!C265)))</f>
        <v/>
      </c>
      <c r="N265" s="0" t="str">
        <f aca="false">IF(K265="","",IF(ISNUMBER('List 1'!D265),'List 1'!D265,TRIM('List 1'!D265)))</f>
        <v/>
      </c>
      <c r="O265" s="0" t="str">
        <f aca="false">IF(K265="","",D265)</f>
        <v/>
      </c>
      <c r="P265" s="0" t="str">
        <f aca="false">IF(K265="","",IF(R265,SUMPRODUCT(--($H$2:$H$501=K265),$I$2:$I$501),0))</f>
        <v/>
      </c>
      <c r="Q265" s="0" t="str">
        <f aca="false">IF(K265="","",TRUE())</f>
        <v/>
      </c>
      <c r="R265" s="0" t="str">
        <f aca="false">IF(K265="","",SUMPRODUCT(--($H$2:$H$501=K265))&gt;0)</f>
        <v/>
      </c>
      <c r="S265" s="0" t="str">
        <f aca="false">IF(K265="","",IF(AND(Q265,R265),IF(O265=P265,"Match","Qty Different"),IF(Q265,"Only in List 1","Only in List 2")))</f>
        <v/>
      </c>
      <c r="T265" s="0" t="str">
        <f aca="false">IF(K265="","",IF(ISNUMBER(--L265),TEXT(--L265,"000000000000.000"),LOWER(L265)))</f>
        <v/>
      </c>
      <c r="U265" s="0" t="str">
        <f aca="false">IF(K265="","",IF(ISNUMBER(--M265),TEXT(--M265,"000000000000.000"),LOWER(M265)))</f>
        <v/>
      </c>
      <c r="V265" s="0" t="str">
        <f aca="false">IF(K265="","",LOWER(N265))</f>
        <v/>
      </c>
      <c r="W265" s="0" t="str">
        <f aca="false">IF(K265="","",B265)</f>
        <v/>
      </c>
      <c r="X265" s="0" t="str">
        <f aca="false">IF(K265="","",1+SUMPRODUCT(($K$2:$K$1001&lt;&gt;"")*(($T$2:$T$1001&lt;T265)+($T$2:$T$1001=T265)*(($U$2:$U$1001&lt;U265)+($U$2:$U$1001=U265)*(($V$2:$V$1001&lt;V265)+($V$2:$V$1001=V265)*(($W$2:$W$1001&lt;W265)+($W$2:$W$1001=W265)*(ROW($K$2:$K$1001)&lt;ROW(K265))))))))</f>
        <v/>
      </c>
    </row>
    <row r="266" customFormat="false" ht="15" hidden="false" customHeight="false" outlineLevel="0" collapsed="false">
      <c r="A266" s="0" t="str">
        <f aca="false">IF(TRIM('List 1'!A266&amp;'List 1'!C266&amp;'List 1'!D266)="","",LOWER(IF(OR(Comparison!$I$9="Item # + Part # + Description",Comparison!$I$9="Item # + Part #"),TRIM('List 1'!A266),"")&amp;"|"&amp;TRIM('List 1'!C266)&amp;"|"&amp;IF(OR(Comparison!$I$9="Item # + Part # + Description",Comparison!$I$9="Part # + Description"),TRIM('List 1'!D266),"")))</f>
        <v/>
      </c>
      <c r="B266" s="0" t="str">
        <f aca="false">IF(A266="","",SUMPRODUCT(--($A$2:A266=A266)))</f>
        <v/>
      </c>
      <c r="C266" s="0" t="str">
        <f aca="false">IF(A266="","",A266&amp;"#"&amp;B266)</f>
        <v/>
      </c>
      <c r="D266" s="0" t="str">
        <f aca="false">IF(A266="","",IFERROR(--'List 1'!B266,0))</f>
        <v/>
      </c>
      <c r="F266" s="0" t="str">
        <f aca="false">IF(TRIM('List 2'!A266&amp;'List 2'!C266&amp;'List 2'!D266)="","",LOWER(IF(OR(Comparison!$I$9="Item # + Part # + Description",Comparison!$I$9="Item # + Part #"),TRIM('List 2'!A266),"")&amp;"|"&amp;TRIM('List 2'!C266)&amp;"|"&amp;IF(OR(Comparison!$I$9="Item # + Part # + Description",Comparison!$I$9="Part # + Description"),TRIM('List 2'!D266),"")))</f>
        <v/>
      </c>
      <c r="G266" s="0" t="str">
        <f aca="false">IF(F266="","",SUMPRODUCT(--($F$2:F266=F266)))</f>
        <v/>
      </c>
      <c r="H266" s="0" t="str">
        <f aca="false">IF(F266="","",F266&amp;"#"&amp;G266)</f>
        <v/>
      </c>
      <c r="I266" s="0" t="str">
        <f aca="false">IF(F266="","",IFERROR(--'List 2'!B266,0))</f>
        <v/>
      </c>
      <c r="K266" s="0" t="str">
        <f aca="false">C266</f>
        <v/>
      </c>
      <c r="L266" s="0" t="str">
        <f aca="false">IF(K266="","",IF(ISNUMBER('List 1'!A266),'List 1'!A266,TRIM('List 1'!A266)))</f>
        <v/>
      </c>
      <c r="M266" s="0" t="str">
        <f aca="false">IF(K266="","",IF(ISNUMBER('List 1'!C266),'List 1'!C266,TRIM('List 1'!C266)))</f>
        <v/>
      </c>
      <c r="N266" s="0" t="str">
        <f aca="false">IF(K266="","",IF(ISNUMBER('List 1'!D266),'List 1'!D266,TRIM('List 1'!D266)))</f>
        <v/>
      </c>
      <c r="O266" s="0" t="str">
        <f aca="false">IF(K266="","",D266)</f>
        <v/>
      </c>
      <c r="P266" s="0" t="str">
        <f aca="false">IF(K266="","",IF(R266,SUMPRODUCT(--($H$2:$H$501=K266),$I$2:$I$501),0))</f>
        <v/>
      </c>
      <c r="Q266" s="0" t="str">
        <f aca="false">IF(K266="","",TRUE())</f>
        <v/>
      </c>
      <c r="R266" s="0" t="str">
        <f aca="false">IF(K266="","",SUMPRODUCT(--($H$2:$H$501=K266))&gt;0)</f>
        <v/>
      </c>
      <c r="S266" s="0" t="str">
        <f aca="false">IF(K266="","",IF(AND(Q266,R266),IF(O266=P266,"Match","Qty Different"),IF(Q266,"Only in List 1","Only in List 2")))</f>
        <v/>
      </c>
      <c r="T266" s="0" t="str">
        <f aca="false">IF(K266="","",IF(ISNUMBER(--L266),TEXT(--L266,"000000000000.000"),LOWER(L266)))</f>
        <v/>
      </c>
      <c r="U266" s="0" t="str">
        <f aca="false">IF(K266="","",IF(ISNUMBER(--M266),TEXT(--M266,"000000000000.000"),LOWER(M266)))</f>
        <v/>
      </c>
      <c r="V266" s="0" t="str">
        <f aca="false">IF(K266="","",LOWER(N266))</f>
        <v/>
      </c>
      <c r="W266" s="0" t="str">
        <f aca="false">IF(K266="","",B266)</f>
        <v/>
      </c>
      <c r="X266" s="0" t="str">
        <f aca="false">IF(K266="","",1+SUMPRODUCT(($K$2:$K$1001&lt;&gt;"")*(($T$2:$T$1001&lt;T266)+($T$2:$T$1001=T266)*(($U$2:$U$1001&lt;U266)+($U$2:$U$1001=U266)*(($V$2:$V$1001&lt;V266)+($V$2:$V$1001=V266)*(($W$2:$W$1001&lt;W266)+($W$2:$W$1001=W266)*(ROW($K$2:$K$1001)&lt;ROW(K266))))))))</f>
        <v/>
      </c>
    </row>
    <row r="267" customFormat="false" ht="15" hidden="false" customHeight="false" outlineLevel="0" collapsed="false">
      <c r="A267" s="0" t="str">
        <f aca="false">IF(TRIM('List 1'!A267&amp;'List 1'!C267&amp;'List 1'!D267)="","",LOWER(IF(OR(Comparison!$I$9="Item # + Part # + Description",Comparison!$I$9="Item # + Part #"),TRIM('List 1'!A267),"")&amp;"|"&amp;TRIM('List 1'!C267)&amp;"|"&amp;IF(OR(Comparison!$I$9="Item # + Part # + Description",Comparison!$I$9="Part # + Description"),TRIM('List 1'!D267),"")))</f>
        <v/>
      </c>
      <c r="B267" s="0" t="str">
        <f aca="false">IF(A267="","",SUMPRODUCT(--($A$2:A267=A267)))</f>
        <v/>
      </c>
      <c r="C267" s="0" t="str">
        <f aca="false">IF(A267="","",A267&amp;"#"&amp;B267)</f>
        <v/>
      </c>
      <c r="D267" s="0" t="str">
        <f aca="false">IF(A267="","",IFERROR(--'List 1'!B267,0))</f>
        <v/>
      </c>
      <c r="F267" s="0" t="str">
        <f aca="false">IF(TRIM('List 2'!A267&amp;'List 2'!C267&amp;'List 2'!D267)="","",LOWER(IF(OR(Comparison!$I$9="Item # + Part # + Description",Comparison!$I$9="Item # + Part #"),TRIM('List 2'!A267),"")&amp;"|"&amp;TRIM('List 2'!C267)&amp;"|"&amp;IF(OR(Comparison!$I$9="Item # + Part # + Description",Comparison!$I$9="Part # + Description"),TRIM('List 2'!D267),"")))</f>
        <v/>
      </c>
      <c r="G267" s="0" t="str">
        <f aca="false">IF(F267="","",SUMPRODUCT(--($F$2:F267=F267)))</f>
        <v/>
      </c>
      <c r="H267" s="0" t="str">
        <f aca="false">IF(F267="","",F267&amp;"#"&amp;G267)</f>
        <v/>
      </c>
      <c r="I267" s="0" t="str">
        <f aca="false">IF(F267="","",IFERROR(--'List 2'!B267,0))</f>
        <v/>
      </c>
      <c r="K267" s="0" t="str">
        <f aca="false">C267</f>
        <v/>
      </c>
      <c r="L267" s="0" t="str">
        <f aca="false">IF(K267="","",IF(ISNUMBER('List 1'!A267),'List 1'!A267,TRIM('List 1'!A267)))</f>
        <v/>
      </c>
      <c r="M267" s="0" t="str">
        <f aca="false">IF(K267="","",IF(ISNUMBER('List 1'!C267),'List 1'!C267,TRIM('List 1'!C267)))</f>
        <v/>
      </c>
      <c r="N267" s="0" t="str">
        <f aca="false">IF(K267="","",IF(ISNUMBER('List 1'!D267),'List 1'!D267,TRIM('List 1'!D267)))</f>
        <v/>
      </c>
      <c r="O267" s="0" t="str">
        <f aca="false">IF(K267="","",D267)</f>
        <v/>
      </c>
      <c r="P267" s="0" t="str">
        <f aca="false">IF(K267="","",IF(R267,SUMPRODUCT(--($H$2:$H$501=K267),$I$2:$I$501),0))</f>
        <v/>
      </c>
      <c r="Q267" s="0" t="str">
        <f aca="false">IF(K267="","",TRUE())</f>
        <v/>
      </c>
      <c r="R267" s="0" t="str">
        <f aca="false">IF(K267="","",SUMPRODUCT(--($H$2:$H$501=K267))&gt;0)</f>
        <v/>
      </c>
      <c r="S267" s="0" t="str">
        <f aca="false">IF(K267="","",IF(AND(Q267,R267),IF(O267=P267,"Match","Qty Different"),IF(Q267,"Only in List 1","Only in List 2")))</f>
        <v/>
      </c>
      <c r="T267" s="0" t="str">
        <f aca="false">IF(K267="","",IF(ISNUMBER(--L267),TEXT(--L267,"000000000000.000"),LOWER(L267)))</f>
        <v/>
      </c>
      <c r="U267" s="0" t="str">
        <f aca="false">IF(K267="","",IF(ISNUMBER(--M267),TEXT(--M267,"000000000000.000"),LOWER(M267)))</f>
        <v/>
      </c>
      <c r="V267" s="0" t="str">
        <f aca="false">IF(K267="","",LOWER(N267))</f>
        <v/>
      </c>
      <c r="W267" s="0" t="str">
        <f aca="false">IF(K267="","",B267)</f>
        <v/>
      </c>
      <c r="X267" s="0" t="str">
        <f aca="false">IF(K267="","",1+SUMPRODUCT(($K$2:$K$1001&lt;&gt;"")*(($T$2:$T$1001&lt;T267)+($T$2:$T$1001=T267)*(($U$2:$U$1001&lt;U267)+($U$2:$U$1001=U267)*(($V$2:$V$1001&lt;V267)+($V$2:$V$1001=V267)*(($W$2:$W$1001&lt;W267)+($W$2:$W$1001=W267)*(ROW($K$2:$K$1001)&lt;ROW(K267))))))))</f>
        <v/>
      </c>
    </row>
    <row r="268" customFormat="false" ht="15" hidden="false" customHeight="false" outlineLevel="0" collapsed="false">
      <c r="A268" s="0" t="str">
        <f aca="false">IF(TRIM('List 1'!A268&amp;'List 1'!C268&amp;'List 1'!D268)="","",LOWER(IF(OR(Comparison!$I$9="Item # + Part # + Description",Comparison!$I$9="Item # + Part #"),TRIM('List 1'!A268),"")&amp;"|"&amp;TRIM('List 1'!C268)&amp;"|"&amp;IF(OR(Comparison!$I$9="Item # + Part # + Description",Comparison!$I$9="Part # + Description"),TRIM('List 1'!D268),"")))</f>
        <v/>
      </c>
      <c r="B268" s="0" t="str">
        <f aca="false">IF(A268="","",SUMPRODUCT(--($A$2:A268=A268)))</f>
        <v/>
      </c>
      <c r="C268" s="0" t="str">
        <f aca="false">IF(A268="","",A268&amp;"#"&amp;B268)</f>
        <v/>
      </c>
      <c r="D268" s="0" t="str">
        <f aca="false">IF(A268="","",IFERROR(--'List 1'!B268,0))</f>
        <v/>
      </c>
      <c r="F268" s="0" t="str">
        <f aca="false">IF(TRIM('List 2'!A268&amp;'List 2'!C268&amp;'List 2'!D268)="","",LOWER(IF(OR(Comparison!$I$9="Item # + Part # + Description",Comparison!$I$9="Item # + Part #"),TRIM('List 2'!A268),"")&amp;"|"&amp;TRIM('List 2'!C268)&amp;"|"&amp;IF(OR(Comparison!$I$9="Item # + Part # + Description",Comparison!$I$9="Part # + Description"),TRIM('List 2'!D268),"")))</f>
        <v/>
      </c>
      <c r="G268" s="0" t="str">
        <f aca="false">IF(F268="","",SUMPRODUCT(--($F$2:F268=F268)))</f>
        <v/>
      </c>
      <c r="H268" s="0" t="str">
        <f aca="false">IF(F268="","",F268&amp;"#"&amp;G268)</f>
        <v/>
      </c>
      <c r="I268" s="0" t="str">
        <f aca="false">IF(F268="","",IFERROR(--'List 2'!B268,0))</f>
        <v/>
      </c>
      <c r="K268" s="0" t="str">
        <f aca="false">C268</f>
        <v/>
      </c>
      <c r="L268" s="0" t="str">
        <f aca="false">IF(K268="","",IF(ISNUMBER('List 1'!A268),'List 1'!A268,TRIM('List 1'!A268)))</f>
        <v/>
      </c>
      <c r="M268" s="0" t="str">
        <f aca="false">IF(K268="","",IF(ISNUMBER('List 1'!C268),'List 1'!C268,TRIM('List 1'!C268)))</f>
        <v/>
      </c>
      <c r="N268" s="0" t="str">
        <f aca="false">IF(K268="","",IF(ISNUMBER('List 1'!D268),'List 1'!D268,TRIM('List 1'!D268)))</f>
        <v/>
      </c>
      <c r="O268" s="0" t="str">
        <f aca="false">IF(K268="","",D268)</f>
        <v/>
      </c>
      <c r="P268" s="0" t="str">
        <f aca="false">IF(K268="","",IF(R268,SUMPRODUCT(--($H$2:$H$501=K268),$I$2:$I$501),0))</f>
        <v/>
      </c>
      <c r="Q268" s="0" t="str">
        <f aca="false">IF(K268="","",TRUE())</f>
        <v/>
      </c>
      <c r="R268" s="0" t="str">
        <f aca="false">IF(K268="","",SUMPRODUCT(--($H$2:$H$501=K268))&gt;0)</f>
        <v/>
      </c>
      <c r="S268" s="0" t="str">
        <f aca="false">IF(K268="","",IF(AND(Q268,R268),IF(O268=P268,"Match","Qty Different"),IF(Q268,"Only in List 1","Only in List 2")))</f>
        <v/>
      </c>
      <c r="T268" s="0" t="str">
        <f aca="false">IF(K268="","",IF(ISNUMBER(--L268),TEXT(--L268,"000000000000.000"),LOWER(L268)))</f>
        <v/>
      </c>
      <c r="U268" s="0" t="str">
        <f aca="false">IF(K268="","",IF(ISNUMBER(--M268),TEXT(--M268,"000000000000.000"),LOWER(M268)))</f>
        <v/>
      </c>
      <c r="V268" s="0" t="str">
        <f aca="false">IF(K268="","",LOWER(N268))</f>
        <v/>
      </c>
      <c r="W268" s="0" t="str">
        <f aca="false">IF(K268="","",B268)</f>
        <v/>
      </c>
      <c r="X268" s="0" t="str">
        <f aca="false">IF(K268="","",1+SUMPRODUCT(($K$2:$K$1001&lt;&gt;"")*(($T$2:$T$1001&lt;T268)+($T$2:$T$1001=T268)*(($U$2:$U$1001&lt;U268)+($U$2:$U$1001=U268)*(($V$2:$V$1001&lt;V268)+($V$2:$V$1001=V268)*(($W$2:$W$1001&lt;W268)+($W$2:$W$1001=W268)*(ROW($K$2:$K$1001)&lt;ROW(K268))))))))</f>
        <v/>
      </c>
    </row>
    <row r="269" customFormat="false" ht="15" hidden="false" customHeight="false" outlineLevel="0" collapsed="false">
      <c r="A269" s="0" t="str">
        <f aca="false">IF(TRIM('List 1'!A269&amp;'List 1'!C269&amp;'List 1'!D269)="","",LOWER(IF(OR(Comparison!$I$9="Item # + Part # + Description",Comparison!$I$9="Item # + Part #"),TRIM('List 1'!A269),"")&amp;"|"&amp;TRIM('List 1'!C269)&amp;"|"&amp;IF(OR(Comparison!$I$9="Item # + Part # + Description",Comparison!$I$9="Part # + Description"),TRIM('List 1'!D269),"")))</f>
        <v/>
      </c>
      <c r="B269" s="0" t="str">
        <f aca="false">IF(A269="","",SUMPRODUCT(--($A$2:A269=A269)))</f>
        <v/>
      </c>
      <c r="C269" s="0" t="str">
        <f aca="false">IF(A269="","",A269&amp;"#"&amp;B269)</f>
        <v/>
      </c>
      <c r="D269" s="0" t="str">
        <f aca="false">IF(A269="","",IFERROR(--'List 1'!B269,0))</f>
        <v/>
      </c>
      <c r="F269" s="0" t="str">
        <f aca="false">IF(TRIM('List 2'!A269&amp;'List 2'!C269&amp;'List 2'!D269)="","",LOWER(IF(OR(Comparison!$I$9="Item # + Part # + Description",Comparison!$I$9="Item # + Part #"),TRIM('List 2'!A269),"")&amp;"|"&amp;TRIM('List 2'!C269)&amp;"|"&amp;IF(OR(Comparison!$I$9="Item # + Part # + Description",Comparison!$I$9="Part # + Description"),TRIM('List 2'!D269),"")))</f>
        <v/>
      </c>
      <c r="G269" s="0" t="str">
        <f aca="false">IF(F269="","",SUMPRODUCT(--($F$2:F269=F269)))</f>
        <v/>
      </c>
      <c r="H269" s="0" t="str">
        <f aca="false">IF(F269="","",F269&amp;"#"&amp;G269)</f>
        <v/>
      </c>
      <c r="I269" s="0" t="str">
        <f aca="false">IF(F269="","",IFERROR(--'List 2'!B269,0))</f>
        <v/>
      </c>
      <c r="K269" s="0" t="str">
        <f aca="false">C269</f>
        <v/>
      </c>
      <c r="L269" s="0" t="str">
        <f aca="false">IF(K269="","",IF(ISNUMBER('List 1'!A269),'List 1'!A269,TRIM('List 1'!A269)))</f>
        <v/>
      </c>
      <c r="M269" s="0" t="str">
        <f aca="false">IF(K269="","",IF(ISNUMBER('List 1'!C269),'List 1'!C269,TRIM('List 1'!C269)))</f>
        <v/>
      </c>
      <c r="N269" s="0" t="str">
        <f aca="false">IF(K269="","",IF(ISNUMBER('List 1'!D269),'List 1'!D269,TRIM('List 1'!D269)))</f>
        <v/>
      </c>
      <c r="O269" s="0" t="str">
        <f aca="false">IF(K269="","",D269)</f>
        <v/>
      </c>
      <c r="P269" s="0" t="str">
        <f aca="false">IF(K269="","",IF(R269,SUMPRODUCT(--($H$2:$H$501=K269),$I$2:$I$501),0))</f>
        <v/>
      </c>
      <c r="Q269" s="0" t="str">
        <f aca="false">IF(K269="","",TRUE())</f>
        <v/>
      </c>
      <c r="R269" s="0" t="str">
        <f aca="false">IF(K269="","",SUMPRODUCT(--($H$2:$H$501=K269))&gt;0)</f>
        <v/>
      </c>
      <c r="S269" s="0" t="str">
        <f aca="false">IF(K269="","",IF(AND(Q269,R269),IF(O269=P269,"Match","Qty Different"),IF(Q269,"Only in List 1","Only in List 2")))</f>
        <v/>
      </c>
      <c r="T269" s="0" t="str">
        <f aca="false">IF(K269="","",IF(ISNUMBER(--L269),TEXT(--L269,"000000000000.000"),LOWER(L269)))</f>
        <v/>
      </c>
      <c r="U269" s="0" t="str">
        <f aca="false">IF(K269="","",IF(ISNUMBER(--M269),TEXT(--M269,"000000000000.000"),LOWER(M269)))</f>
        <v/>
      </c>
      <c r="V269" s="0" t="str">
        <f aca="false">IF(K269="","",LOWER(N269))</f>
        <v/>
      </c>
      <c r="W269" s="0" t="str">
        <f aca="false">IF(K269="","",B269)</f>
        <v/>
      </c>
      <c r="X269" s="0" t="str">
        <f aca="false">IF(K269="","",1+SUMPRODUCT(($K$2:$K$1001&lt;&gt;"")*(($T$2:$T$1001&lt;T269)+($T$2:$T$1001=T269)*(($U$2:$U$1001&lt;U269)+($U$2:$U$1001=U269)*(($V$2:$V$1001&lt;V269)+($V$2:$V$1001=V269)*(($W$2:$W$1001&lt;W269)+($W$2:$W$1001=W269)*(ROW($K$2:$K$1001)&lt;ROW(K269))))))))</f>
        <v/>
      </c>
    </row>
    <row r="270" customFormat="false" ht="15" hidden="false" customHeight="false" outlineLevel="0" collapsed="false">
      <c r="A270" s="0" t="str">
        <f aca="false">IF(TRIM('List 1'!A270&amp;'List 1'!C270&amp;'List 1'!D270)="","",LOWER(IF(OR(Comparison!$I$9="Item # + Part # + Description",Comparison!$I$9="Item # + Part #"),TRIM('List 1'!A270),"")&amp;"|"&amp;TRIM('List 1'!C270)&amp;"|"&amp;IF(OR(Comparison!$I$9="Item # + Part # + Description",Comparison!$I$9="Part # + Description"),TRIM('List 1'!D270),"")))</f>
        <v/>
      </c>
      <c r="B270" s="0" t="str">
        <f aca="false">IF(A270="","",SUMPRODUCT(--($A$2:A270=A270)))</f>
        <v/>
      </c>
      <c r="C270" s="0" t="str">
        <f aca="false">IF(A270="","",A270&amp;"#"&amp;B270)</f>
        <v/>
      </c>
      <c r="D270" s="0" t="str">
        <f aca="false">IF(A270="","",IFERROR(--'List 1'!B270,0))</f>
        <v/>
      </c>
      <c r="F270" s="0" t="str">
        <f aca="false">IF(TRIM('List 2'!A270&amp;'List 2'!C270&amp;'List 2'!D270)="","",LOWER(IF(OR(Comparison!$I$9="Item # + Part # + Description",Comparison!$I$9="Item # + Part #"),TRIM('List 2'!A270),"")&amp;"|"&amp;TRIM('List 2'!C270)&amp;"|"&amp;IF(OR(Comparison!$I$9="Item # + Part # + Description",Comparison!$I$9="Part # + Description"),TRIM('List 2'!D270),"")))</f>
        <v/>
      </c>
      <c r="G270" s="0" t="str">
        <f aca="false">IF(F270="","",SUMPRODUCT(--($F$2:F270=F270)))</f>
        <v/>
      </c>
      <c r="H270" s="0" t="str">
        <f aca="false">IF(F270="","",F270&amp;"#"&amp;G270)</f>
        <v/>
      </c>
      <c r="I270" s="0" t="str">
        <f aca="false">IF(F270="","",IFERROR(--'List 2'!B270,0))</f>
        <v/>
      </c>
      <c r="K270" s="0" t="str">
        <f aca="false">C270</f>
        <v/>
      </c>
      <c r="L270" s="0" t="str">
        <f aca="false">IF(K270="","",IF(ISNUMBER('List 1'!A270),'List 1'!A270,TRIM('List 1'!A270)))</f>
        <v/>
      </c>
      <c r="M270" s="0" t="str">
        <f aca="false">IF(K270="","",IF(ISNUMBER('List 1'!C270),'List 1'!C270,TRIM('List 1'!C270)))</f>
        <v/>
      </c>
      <c r="N270" s="0" t="str">
        <f aca="false">IF(K270="","",IF(ISNUMBER('List 1'!D270),'List 1'!D270,TRIM('List 1'!D270)))</f>
        <v/>
      </c>
      <c r="O270" s="0" t="str">
        <f aca="false">IF(K270="","",D270)</f>
        <v/>
      </c>
      <c r="P270" s="0" t="str">
        <f aca="false">IF(K270="","",IF(R270,SUMPRODUCT(--($H$2:$H$501=K270),$I$2:$I$501),0))</f>
        <v/>
      </c>
      <c r="Q270" s="0" t="str">
        <f aca="false">IF(K270="","",TRUE())</f>
        <v/>
      </c>
      <c r="R270" s="0" t="str">
        <f aca="false">IF(K270="","",SUMPRODUCT(--($H$2:$H$501=K270))&gt;0)</f>
        <v/>
      </c>
      <c r="S270" s="0" t="str">
        <f aca="false">IF(K270="","",IF(AND(Q270,R270),IF(O270=P270,"Match","Qty Different"),IF(Q270,"Only in List 1","Only in List 2")))</f>
        <v/>
      </c>
      <c r="T270" s="0" t="str">
        <f aca="false">IF(K270="","",IF(ISNUMBER(--L270),TEXT(--L270,"000000000000.000"),LOWER(L270)))</f>
        <v/>
      </c>
      <c r="U270" s="0" t="str">
        <f aca="false">IF(K270="","",IF(ISNUMBER(--M270),TEXT(--M270,"000000000000.000"),LOWER(M270)))</f>
        <v/>
      </c>
      <c r="V270" s="0" t="str">
        <f aca="false">IF(K270="","",LOWER(N270))</f>
        <v/>
      </c>
      <c r="W270" s="0" t="str">
        <f aca="false">IF(K270="","",B270)</f>
        <v/>
      </c>
      <c r="X270" s="0" t="str">
        <f aca="false">IF(K270="","",1+SUMPRODUCT(($K$2:$K$1001&lt;&gt;"")*(($T$2:$T$1001&lt;T270)+($T$2:$T$1001=T270)*(($U$2:$U$1001&lt;U270)+($U$2:$U$1001=U270)*(($V$2:$V$1001&lt;V270)+($V$2:$V$1001=V270)*(($W$2:$W$1001&lt;W270)+($W$2:$W$1001=W270)*(ROW($K$2:$K$1001)&lt;ROW(K270))))))))</f>
        <v/>
      </c>
    </row>
    <row r="271" customFormat="false" ht="15" hidden="false" customHeight="false" outlineLevel="0" collapsed="false">
      <c r="A271" s="0" t="str">
        <f aca="false">IF(TRIM('List 1'!A271&amp;'List 1'!C271&amp;'List 1'!D271)="","",LOWER(IF(OR(Comparison!$I$9="Item # + Part # + Description",Comparison!$I$9="Item # + Part #"),TRIM('List 1'!A271),"")&amp;"|"&amp;TRIM('List 1'!C271)&amp;"|"&amp;IF(OR(Comparison!$I$9="Item # + Part # + Description",Comparison!$I$9="Part # + Description"),TRIM('List 1'!D271),"")))</f>
        <v/>
      </c>
      <c r="B271" s="0" t="str">
        <f aca="false">IF(A271="","",SUMPRODUCT(--($A$2:A271=A271)))</f>
        <v/>
      </c>
      <c r="C271" s="0" t="str">
        <f aca="false">IF(A271="","",A271&amp;"#"&amp;B271)</f>
        <v/>
      </c>
      <c r="D271" s="0" t="str">
        <f aca="false">IF(A271="","",IFERROR(--'List 1'!B271,0))</f>
        <v/>
      </c>
      <c r="F271" s="0" t="str">
        <f aca="false">IF(TRIM('List 2'!A271&amp;'List 2'!C271&amp;'List 2'!D271)="","",LOWER(IF(OR(Comparison!$I$9="Item # + Part # + Description",Comparison!$I$9="Item # + Part #"),TRIM('List 2'!A271),"")&amp;"|"&amp;TRIM('List 2'!C271)&amp;"|"&amp;IF(OR(Comparison!$I$9="Item # + Part # + Description",Comparison!$I$9="Part # + Description"),TRIM('List 2'!D271),"")))</f>
        <v/>
      </c>
      <c r="G271" s="0" t="str">
        <f aca="false">IF(F271="","",SUMPRODUCT(--($F$2:F271=F271)))</f>
        <v/>
      </c>
      <c r="H271" s="0" t="str">
        <f aca="false">IF(F271="","",F271&amp;"#"&amp;G271)</f>
        <v/>
      </c>
      <c r="I271" s="0" t="str">
        <f aca="false">IF(F271="","",IFERROR(--'List 2'!B271,0))</f>
        <v/>
      </c>
      <c r="K271" s="0" t="str">
        <f aca="false">C271</f>
        <v/>
      </c>
      <c r="L271" s="0" t="str">
        <f aca="false">IF(K271="","",IF(ISNUMBER('List 1'!A271),'List 1'!A271,TRIM('List 1'!A271)))</f>
        <v/>
      </c>
      <c r="M271" s="0" t="str">
        <f aca="false">IF(K271="","",IF(ISNUMBER('List 1'!C271),'List 1'!C271,TRIM('List 1'!C271)))</f>
        <v/>
      </c>
      <c r="N271" s="0" t="str">
        <f aca="false">IF(K271="","",IF(ISNUMBER('List 1'!D271),'List 1'!D271,TRIM('List 1'!D271)))</f>
        <v/>
      </c>
      <c r="O271" s="0" t="str">
        <f aca="false">IF(K271="","",D271)</f>
        <v/>
      </c>
      <c r="P271" s="0" t="str">
        <f aca="false">IF(K271="","",IF(R271,SUMPRODUCT(--($H$2:$H$501=K271),$I$2:$I$501),0))</f>
        <v/>
      </c>
      <c r="Q271" s="0" t="str">
        <f aca="false">IF(K271="","",TRUE())</f>
        <v/>
      </c>
      <c r="R271" s="0" t="str">
        <f aca="false">IF(K271="","",SUMPRODUCT(--($H$2:$H$501=K271))&gt;0)</f>
        <v/>
      </c>
      <c r="S271" s="0" t="str">
        <f aca="false">IF(K271="","",IF(AND(Q271,R271),IF(O271=P271,"Match","Qty Different"),IF(Q271,"Only in List 1","Only in List 2")))</f>
        <v/>
      </c>
      <c r="T271" s="0" t="str">
        <f aca="false">IF(K271="","",IF(ISNUMBER(--L271),TEXT(--L271,"000000000000.000"),LOWER(L271)))</f>
        <v/>
      </c>
      <c r="U271" s="0" t="str">
        <f aca="false">IF(K271="","",IF(ISNUMBER(--M271),TEXT(--M271,"000000000000.000"),LOWER(M271)))</f>
        <v/>
      </c>
      <c r="V271" s="0" t="str">
        <f aca="false">IF(K271="","",LOWER(N271))</f>
        <v/>
      </c>
      <c r="W271" s="0" t="str">
        <f aca="false">IF(K271="","",B271)</f>
        <v/>
      </c>
      <c r="X271" s="0" t="str">
        <f aca="false">IF(K271="","",1+SUMPRODUCT(($K$2:$K$1001&lt;&gt;"")*(($T$2:$T$1001&lt;T271)+($T$2:$T$1001=T271)*(($U$2:$U$1001&lt;U271)+($U$2:$U$1001=U271)*(($V$2:$V$1001&lt;V271)+($V$2:$V$1001=V271)*(($W$2:$W$1001&lt;W271)+($W$2:$W$1001=W271)*(ROW($K$2:$K$1001)&lt;ROW(K271))))))))</f>
        <v/>
      </c>
    </row>
    <row r="272" customFormat="false" ht="15" hidden="false" customHeight="false" outlineLevel="0" collapsed="false">
      <c r="A272" s="0" t="str">
        <f aca="false">IF(TRIM('List 1'!A272&amp;'List 1'!C272&amp;'List 1'!D272)="","",LOWER(IF(OR(Comparison!$I$9="Item # + Part # + Description",Comparison!$I$9="Item # + Part #"),TRIM('List 1'!A272),"")&amp;"|"&amp;TRIM('List 1'!C272)&amp;"|"&amp;IF(OR(Comparison!$I$9="Item # + Part # + Description",Comparison!$I$9="Part # + Description"),TRIM('List 1'!D272),"")))</f>
        <v/>
      </c>
      <c r="B272" s="0" t="str">
        <f aca="false">IF(A272="","",SUMPRODUCT(--($A$2:A272=A272)))</f>
        <v/>
      </c>
      <c r="C272" s="0" t="str">
        <f aca="false">IF(A272="","",A272&amp;"#"&amp;B272)</f>
        <v/>
      </c>
      <c r="D272" s="0" t="str">
        <f aca="false">IF(A272="","",IFERROR(--'List 1'!B272,0))</f>
        <v/>
      </c>
      <c r="F272" s="0" t="str">
        <f aca="false">IF(TRIM('List 2'!A272&amp;'List 2'!C272&amp;'List 2'!D272)="","",LOWER(IF(OR(Comparison!$I$9="Item # + Part # + Description",Comparison!$I$9="Item # + Part #"),TRIM('List 2'!A272),"")&amp;"|"&amp;TRIM('List 2'!C272)&amp;"|"&amp;IF(OR(Comparison!$I$9="Item # + Part # + Description",Comparison!$I$9="Part # + Description"),TRIM('List 2'!D272),"")))</f>
        <v/>
      </c>
      <c r="G272" s="0" t="str">
        <f aca="false">IF(F272="","",SUMPRODUCT(--($F$2:F272=F272)))</f>
        <v/>
      </c>
      <c r="H272" s="0" t="str">
        <f aca="false">IF(F272="","",F272&amp;"#"&amp;G272)</f>
        <v/>
      </c>
      <c r="I272" s="0" t="str">
        <f aca="false">IF(F272="","",IFERROR(--'List 2'!B272,0))</f>
        <v/>
      </c>
      <c r="K272" s="0" t="str">
        <f aca="false">C272</f>
        <v/>
      </c>
      <c r="L272" s="0" t="str">
        <f aca="false">IF(K272="","",IF(ISNUMBER('List 1'!A272),'List 1'!A272,TRIM('List 1'!A272)))</f>
        <v/>
      </c>
      <c r="M272" s="0" t="str">
        <f aca="false">IF(K272="","",IF(ISNUMBER('List 1'!C272),'List 1'!C272,TRIM('List 1'!C272)))</f>
        <v/>
      </c>
      <c r="N272" s="0" t="str">
        <f aca="false">IF(K272="","",IF(ISNUMBER('List 1'!D272),'List 1'!D272,TRIM('List 1'!D272)))</f>
        <v/>
      </c>
      <c r="O272" s="0" t="str">
        <f aca="false">IF(K272="","",D272)</f>
        <v/>
      </c>
      <c r="P272" s="0" t="str">
        <f aca="false">IF(K272="","",IF(R272,SUMPRODUCT(--($H$2:$H$501=K272),$I$2:$I$501),0))</f>
        <v/>
      </c>
      <c r="Q272" s="0" t="str">
        <f aca="false">IF(K272="","",TRUE())</f>
        <v/>
      </c>
      <c r="R272" s="0" t="str">
        <f aca="false">IF(K272="","",SUMPRODUCT(--($H$2:$H$501=K272))&gt;0)</f>
        <v/>
      </c>
      <c r="S272" s="0" t="str">
        <f aca="false">IF(K272="","",IF(AND(Q272,R272),IF(O272=P272,"Match","Qty Different"),IF(Q272,"Only in List 1","Only in List 2")))</f>
        <v/>
      </c>
      <c r="T272" s="0" t="str">
        <f aca="false">IF(K272="","",IF(ISNUMBER(--L272),TEXT(--L272,"000000000000.000"),LOWER(L272)))</f>
        <v/>
      </c>
      <c r="U272" s="0" t="str">
        <f aca="false">IF(K272="","",IF(ISNUMBER(--M272),TEXT(--M272,"000000000000.000"),LOWER(M272)))</f>
        <v/>
      </c>
      <c r="V272" s="0" t="str">
        <f aca="false">IF(K272="","",LOWER(N272))</f>
        <v/>
      </c>
      <c r="W272" s="0" t="str">
        <f aca="false">IF(K272="","",B272)</f>
        <v/>
      </c>
      <c r="X272" s="0" t="str">
        <f aca="false">IF(K272="","",1+SUMPRODUCT(($K$2:$K$1001&lt;&gt;"")*(($T$2:$T$1001&lt;T272)+($T$2:$T$1001=T272)*(($U$2:$U$1001&lt;U272)+($U$2:$U$1001=U272)*(($V$2:$V$1001&lt;V272)+($V$2:$V$1001=V272)*(($W$2:$W$1001&lt;W272)+($W$2:$W$1001=W272)*(ROW($K$2:$K$1001)&lt;ROW(K272))))))))</f>
        <v/>
      </c>
    </row>
    <row r="273" customFormat="false" ht="15" hidden="false" customHeight="false" outlineLevel="0" collapsed="false">
      <c r="A273" s="0" t="str">
        <f aca="false">IF(TRIM('List 1'!A273&amp;'List 1'!C273&amp;'List 1'!D273)="","",LOWER(IF(OR(Comparison!$I$9="Item # + Part # + Description",Comparison!$I$9="Item # + Part #"),TRIM('List 1'!A273),"")&amp;"|"&amp;TRIM('List 1'!C273)&amp;"|"&amp;IF(OR(Comparison!$I$9="Item # + Part # + Description",Comparison!$I$9="Part # + Description"),TRIM('List 1'!D273),"")))</f>
        <v/>
      </c>
      <c r="B273" s="0" t="str">
        <f aca="false">IF(A273="","",SUMPRODUCT(--($A$2:A273=A273)))</f>
        <v/>
      </c>
      <c r="C273" s="0" t="str">
        <f aca="false">IF(A273="","",A273&amp;"#"&amp;B273)</f>
        <v/>
      </c>
      <c r="D273" s="0" t="str">
        <f aca="false">IF(A273="","",IFERROR(--'List 1'!B273,0))</f>
        <v/>
      </c>
      <c r="F273" s="0" t="str">
        <f aca="false">IF(TRIM('List 2'!A273&amp;'List 2'!C273&amp;'List 2'!D273)="","",LOWER(IF(OR(Comparison!$I$9="Item # + Part # + Description",Comparison!$I$9="Item # + Part #"),TRIM('List 2'!A273),"")&amp;"|"&amp;TRIM('List 2'!C273)&amp;"|"&amp;IF(OR(Comparison!$I$9="Item # + Part # + Description",Comparison!$I$9="Part # + Description"),TRIM('List 2'!D273),"")))</f>
        <v/>
      </c>
      <c r="G273" s="0" t="str">
        <f aca="false">IF(F273="","",SUMPRODUCT(--($F$2:F273=F273)))</f>
        <v/>
      </c>
      <c r="H273" s="0" t="str">
        <f aca="false">IF(F273="","",F273&amp;"#"&amp;G273)</f>
        <v/>
      </c>
      <c r="I273" s="0" t="str">
        <f aca="false">IF(F273="","",IFERROR(--'List 2'!B273,0))</f>
        <v/>
      </c>
      <c r="K273" s="0" t="str">
        <f aca="false">C273</f>
        <v/>
      </c>
      <c r="L273" s="0" t="str">
        <f aca="false">IF(K273="","",IF(ISNUMBER('List 1'!A273),'List 1'!A273,TRIM('List 1'!A273)))</f>
        <v/>
      </c>
      <c r="M273" s="0" t="str">
        <f aca="false">IF(K273="","",IF(ISNUMBER('List 1'!C273),'List 1'!C273,TRIM('List 1'!C273)))</f>
        <v/>
      </c>
      <c r="N273" s="0" t="str">
        <f aca="false">IF(K273="","",IF(ISNUMBER('List 1'!D273),'List 1'!D273,TRIM('List 1'!D273)))</f>
        <v/>
      </c>
      <c r="O273" s="0" t="str">
        <f aca="false">IF(K273="","",D273)</f>
        <v/>
      </c>
      <c r="P273" s="0" t="str">
        <f aca="false">IF(K273="","",IF(R273,SUMPRODUCT(--($H$2:$H$501=K273),$I$2:$I$501),0))</f>
        <v/>
      </c>
      <c r="Q273" s="0" t="str">
        <f aca="false">IF(K273="","",TRUE())</f>
        <v/>
      </c>
      <c r="R273" s="0" t="str">
        <f aca="false">IF(K273="","",SUMPRODUCT(--($H$2:$H$501=K273))&gt;0)</f>
        <v/>
      </c>
      <c r="S273" s="0" t="str">
        <f aca="false">IF(K273="","",IF(AND(Q273,R273),IF(O273=P273,"Match","Qty Different"),IF(Q273,"Only in List 1","Only in List 2")))</f>
        <v/>
      </c>
      <c r="T273" s="0" t="str">
        <f aca="false">IF(K273="","",IF(ISNUMBER(--L273),TEXT(--L273,"000000000000.000"),LOWER(L273)))</f>
        <v/>
      </c>
      <c r="U273" s="0" t="str">
        <f aca="false">IF(K273="","",IF(ISNUMBER(--M273),TEXT(--M273,"000000000000.000"),LOWER(M273)))</f>
        <v/>
      </c>
      <c r="V273" s="0" t="str">
        <f aca="false">IF(K273="","",LOWER(N273))</f>
        <v/>
      </c>
      <c r="W273" s="0" t="str">
        <f aca="false">IF(K273="","",B273)</f>
        <v/>
      </c>
      <c r="X273" s="0" t="str">
        <f aca="false">IF(K273="","",1+SUMPRODUCT(($K$2:$K$1001&lt;&gt;"")*(($T$2:$T$1001&lt;T273)+($T$2:$T$1001=T273)*(($U$2:$U$1001&lt;U273)+($U$2:$U$1001=U273)*(($V$2:$V$1001&lt;V273)+($V$2:$V$1001=V273)*(($W$2:$W$1001&lt;W273)+($W$2:$W$1001=W273)*(ROW($K$2:$K$1001)&lt;ROW(K273))))))))</f>
        <v/>
      </c>
    </row>
    <row r="274" customFormat="false" ht="15" hidden="false" customHeight="false" outlineLevel="0" collapsed="false">
      <c r="A274" s="0" t="str">
        <f aca="false">IF(TRIM('List 1'!A274&amp;'List 1'!C274&amp;'List 1'!D274)="","",LOWER(IF(OR(Comparison!$I$9="Item # + Part # + Description",Comparison!$I$9="Item # + Part #"),TRIM('List 1'!A274),"")&amp;"|"&amp;TRIM('List 1'!C274)&amp;"|"&amp;IF(OR(Comparison!$I$9="Item # + Part # + Description",Comparison!$I$9="Part # + Description"),TRIM('List 1'!D274),"")))</f>
        <v/>
      </c>
      <c r="B274" s="0" t="str">
        <f aca="false">IF(A274="","",SUMPRODUCT(--($A$2:A274=A274)))</f>
        <v/>
      </c>
      <c r="C274" s="0" t="str">
        <f aca="false">IF(A274="","",A274&amp;"#"&amp;B274)</f>
        <v/>
      </c>
      <c r="D274" s="0" t="str">
        <f aca="false">IF(A274="","",IFERROR(--'List 1'!B274,0))</f>
        <v/>
      </c>
      <c r="F274" s="0" t="str">
        <f aca="false">IF(TRIM('List 2'!A274&amp;'List 2'!C274&amp;'List 2'!D274)="","",LOWER(IF(OR(Comparison!$I$9="Item # + Part # + Description",Comparison!$I$9="Item # + Part #"),TRIM('List 2'!A274),"")&amp;"|"&amp;TRIM('List 2'!C274)&amp;"|"&amp;IF(OR(Comparison!$I$9="Item # + Part # + Description",Comparison!$I$9="Part # + Description"),TRIM('List 2'!D274),"")))</f>
        <v/>
      </c>
      <c r="G274" s="0" t="str">
        <f aca="false">IF(F274="","",SUMPRODUCT(--($F$2:F274=F274)))</f>
        <v/>
      </c>
      <c r="H274" s="0" t="str">
        <f aca="false">IF(F274="","",F274&amp;"#"&amp;G274)</f>
        <v/>
      </c>
      <c r="I274" s="0" t="str">
        <f aca="false">IF(F274="","",IFERROR(--'List 2'!B274,0))</f>
        <v/>
      </c>
      <c r="K274" s="0" t="str">
        <f aca="false">C274</f>
        <v/>
      </c>
      <c r="L274" s="0" t="str">
        <f aca="false">IF(K274="","",IF(ISNUMBER('List 1'!A274),'List 1'!A274,TRIM('List 1'!A274)))</f>
        <v/>
      </c>
      <c r="M274" s="0" t="str">
        <f aca="false">IF(K274="","",IF(ISNUMBER('List 1'!C274),'List 1'!C274,TRIM('List 1'!C274)))</f>
        <v/>
      </c>
      <c r="N274" s="0" t="str">
        <f aca="false">IF(K274="","",IF(ISNUMBER('List 1'!D274),'List 1'!D274,TRIM('List 1'!D274)))</f>
        <v/>
      </c>
      <c r="O274" s="0" t="str">
        <f aca="false">IF(K274="","",D274)</f>
        <v/>
      </c>
      <c r="P274" s="0" t="str">
        <f aca="false">IF(K274="","",IF(R274,SUMPRODUCT(--($H$2:$H$501=K274),$I$2:$I$501),0))</f>
        <v/>
      </c>
      <c r="Q274" s="0" t="str">
        <f aca="false">IF(K274="","",TRUE())</f>
        <v/>
      </c>
      <c r="R274" s="0" t="str">
        <f aca="false">IF(K274="","",SUMPRODUCT(--($H$2:$H$501=K274))&gt;0)</f>
        <v/>
      </c>
      <c r="S274" s="0" t="str">
        <f aca="false">IF(K274="","",IF(AND(Q274,R274),IF(O274=P274,"Match","Qty Different"),IF(Q274,"Only in List 1","Only in List 2")))</f>
        <v/>
      </c>
      <c r="T274" s="0" t="str">
        <f aca="false">IF(K274="","",IF(ISNUMBER(--L274),TEXT(--L274,"000000000000.000"),LOWER(L274)))</f>
        <v/>
      </c>
      <c r="U274" s="0" t="str">
        <f aca="false">IF(K274="","",IF(ISNUMBER(--M274),TEXT(--M274,"000000000000.000"),LOWER(M274)))</f>
        <v/>
      </c>
      <c r="V274" s="0" t="str">
        <f aca="false">IF(K274="","",LOWER(N274))</f>
        <v/>
      </c>
      <c r="W274" s="0" t="str">
        <f aca="false">IF(K274="","",B274)</f>
        <v/>
      </c>
      <c r="X274" s="0" t="str">
        <f aca="false">IF(K274="","",1+SUMPRODUCT(($K$2:$K$1001&lt;&gt;"")*(($T$2:$T$1001&lt;T274)+($T$2:$T$1001=T274)*(($U$2:$U$1001&lt;U274)+($U$2:$U$1001=U274)*(($V$2:$V$1001&lt;V274)+($V$2:$V$1001=V274)*(($W$2:$W$1001&lt;W274)+($W$2:$W$1001=W274)*(ROW($K$2:$K$1001)&lt;ROW(K274))))))))</f>
        <v/>
      </c>
    </row>
    <row r="275" customFormat="false" ht="15" hidden="false" customHeight="false" outlineLevel="0" collapsed="false">
      <c r="A275" s="0" t="str">
        <f aca="false">IF(TRIM('List 1'!A275&amp;'List 1'!C275&amp;'List 1'!D275)="","",LOWER(IF(OR(Comparison!$I$9="Item # + Part # + Description",Comparison!$I$9="Item # + Part #"),TRIM('List 1'!A275),"")&amp;"|"&amp;TRIM('List 1'!C275)&amp;"|"&amp;IF(OR(Comparison!$I$9="Item # + Part # + Description",Comparison!$I$9="Part # + Description"),TRIM('List 1'!D275),"")))</f>
        <v/>
      </c>
      <c r="B275" s="0" t="str">
        <f aca="false">IF(A275="","",SUMPRODUCT(--($A$2:A275=A275)))</f>
        <v/>
      </c>
      <c r="C275" s="0" t="str">
        <f aca="false">IF(A275="","",A275&amp;"#"&amp;B275)</f>
        <v/>
      </c>
      <c r="D275" s="0" t="str">
        <f aca="false">IF(A275="","",IFERROR(--'List 1'!B275,0))</f>
        <v/>
      </c>
      <c r="F275" s="0" t="str">
        <f aca="false">IF(TRIM('List 2'!A275&amp;'List 2'!C275&amp;'List 2'!D275)="","",LOWER(IF(OR(Comparison!$I$9="Item # + Part # + Description",Comparison!$I$9="Item # + Part #"),TRIM('List 2'!A275),"")&amp;"|"&amp;TRIM('List 2'!C275)&amp;"|"&amp;IF(OR(Comparison!$I$9="Item # + Part # + Description",Comparison!$I$9="Part # + Description"),TRIM('List 2'!D275),"")))</f>
        <v/>
      </c>
      <c r="G275" s="0" t="str">
        <f aca="false">IF(F275="","",SUMPRODUCT(--($F$2:F275=F275)))</f>
        <v/>
      </c>
      <c r="H275" s="0" t="str">
        <f aca="false">IF(F275="","",F275&amp;"#"&amp;G275)</f>
        <v/>
      </c>
      <c r="I275" s="0" t="str">
        <f aca="false">IF(F275="","",IFERROR(--'List 2'!B275,0))</f>
        <v/>
      </c>
      <c r="K275" s="0" t="str">
        <f aca="false">C275</f>
        <v/>
      </c>
      <c r="L275" s="0" t="str">
        <f aca="false">IF(K275="","",IF(ISNUMBER('List 1'!A275),'List 1'!A275,TRIM('List 1'!A275)))</f>
        <v/>
      </c>
      <c r="M275" s="0" t="str">
        <f aca="false">IF(K275="","",IF(ISNUMBER('List 1'!C275),'List 1'!C275,TRIM('List 1'!C275)))</f>
        <v/>
      </c>
      <c r="N275" s="0" t="str">
        <f aca="false">IF(K275="","",IF(ISNUMBER('List 1'!D275),'List 1'!D275,TRIM('List 1'!D275)))</f>
        <v/>
      </c>
      <c r="O275" s="0" t="str">
        <f aca="false">IF(K275="","",D275)</f>
        <v/>
      </c>
      <c r="P275" s="0" t="str">
        <f aca="false">IF(K275="","",IF(R275,SUMPRODUCT(--($H$2:$H$501=K275),$I$2:$I$501),0))</f>
        <v/>
      </c>
      <c r="Q275" s="0" t="str">
        <f aca="false">IF(K275="","",TRUE())</f>
        <v/>
      </c>
      <c r="R275" s="0" t="str">
        <f aca="false">IF(K275="","",SUMPRODUCT(--($H$2:$H$501=K275))&gt;0)</f>
        <v/>
      </c>
      <c r="S275" s="0" t="str">
        <f aca="false">IF(K275="","",IF(AND(Q275,R275),IF(O275=P275,"Match","Qty Different"),IF(Q275,"Only in List 1","Only in List 2")))</f>
        <v/>
      </c>
      <c r="T275" s="0" t="str">
        <f aca="false">IF(K275="","",IF(ISNUMBER(--L275),TEXT(--L275,"000000000000.000"),LOWER(L275)))</f>
        <v/>
      </c>
      <c r="U275" s="0" t="str">
        <f aca="false">IF(K275="","",IF(ISNUMBER(--M275),TEXT(--M275,"000000000000.000"),LOWER(M275)))</f>
        <v/>
      </c>
      <c r="V275" s="0" t="str">
        <f aca="false">IF(K275="","",LOWER(N275))</f>
        <v/>
      </c>
      <c r="W275" s="0" t="str">
        <f aca="false">IF(K275="","",B275)</f>
        <v/>
      </c>
      <c r="X275" s="0" t="str">
        <f aca="false">IF(K275="","",1+SUMPRODUCT(($K$2:$K$1001&lt;&gt;"")*(($T$2:$T$1001&lt;T275)+($T$2:$T$1001=T275)*(($U$2:$U$1001&lt;U275)+($U$2:$U$1001=U275)*(($V$2:$V$1001&lt;V275)+($V$2:$V$1001=V275)*(($W$2:$W$1001&lt;W275)+($W$2:$W$1001=W275)*(ROW($K$2:$K$1001)&lt;ROW(K275))))))))</f>
        <v/>
      </c>
    </row>
    <row r="276" customFormat="false" ht="15" hidden="false" customHeight="false" outlineLevel="0" collapsed="false">
      <c r="A276" s="0" t="str">
        <f aca="false">IF(TRIM('List 1'!A276&amp;'List 1'!C276&amp;'List 1'!D276)="","",LOWER(IF(OR(Comparison!$I$9="Item # + Part # + Description",Comparison!$I$9="Item # + Part #"),TRIM('List 1'!A276),"")&amp;"|"&amp;TRIM('List 1'!C276)&amp;"|"&amp;IF(OR(Comparison!$I$9="Item # + Part # + Description",Comparison!$I$9="Part # + Description"),TRIM('List 1'!D276),"")))</f>
        <v/>
      </c>
      <c r="B276" s="0" t="str">
        <f aca="false">IF(A276="","",SUMPRODUCT(--($A$2:A276=A276)))</f>
        <v/>
      </c>
      <c r="C276" s="0" t="str">
        <f aca="false">IF(A276="","",A276&amp;"#"&amp;B276)</f>
        <v/>
      </c>
      <c r="D276" s="0" t="str">
        <f aca="false">IF(A276="","",IFERROR(--'List 1'!B276,0))</f>
        <v/>
      </c>
      <c r="F276" s="0" t="str">
        <f aca="false">IF(TRIM('List 2'!A276&amp;'List 2'!C276&amp;'List 2'!D276)="","",LOWER(IF(OR(Comparison!$I$9="Item # + Part # + Description",Comparison!$I$9="Item # + Part #"),TRIM('List 2'!A276),"")&amp;"|"&amp;TRIM('List 2'!C276)&amp;"|"&amp;IF(OR(Comparison!$I$9="Item # + Part # + Description",Comparison!$I$9="Part # + Description"),TRIM('List 2'!D276),"")))</f>
        <v/>
      </c>
      <c r="G276" s="0" t="str">
        <f aca="false">IF(F276="","",SUMPRODUCT(--($F$2:F276=F276)))</f>
        <v/>
      </c>
      <c r="H276" s="0" t="str">
        <f aca="false">IF(F276="","",F276&amp;"#"&amp;G276)</f>
        <v/>
      </c>
      <c r="I276" s="0" t="str">
        <f aca="false">IF(F276="","",IFERROR(--'List 2'!B276,0))</f>
        <v/>
      </c>
      <c r="K276" s="0" t="str">
        <f aca="false">C276</f>
        <v/>
      </c>
      <c r="L276" s="0" t="str">
        <f aca="false">IF(K276="","",IF(ISNUMBER('List 1'!A276),'List 1'!A276,TRIM('List 1'!A276)))</f>
        <v/>
      </c>
      <c r="M276" s="0" t="str">
        <f aca="false">IF(K276="","",IF(ISNUMBER('List 1'!C276),'List 1'!C276,TRIM('List 1'!C276)))</f>
        <v/>
      </c>
      <c r="N276" s="0" t="str">
        <f aca="false">IF(K276="","",IF(ISNUMBER('List 1'!D276),'List 1'!D276,TRIM('List 1'!D276)))</f>
        <v/>
      </c>
      <c r="O276" s="0" t="str">
        <f aca="false">IF(K276="","",D276)</f>
        <v/>
      </c>
      <c r="P276" s="0" t="str">
        <f aca="false">IF(K276="","",IF(R276,SUMPRODUCT(--($H$2:$H$501=K276),$I$2:$I$501),0))</f>
        <v/>
      </c>
      <c r="Q276" s="0" t="str">
        <f aca="false">IF(K276="","",TRUE())</f>
        <v/>
      </c>
      <c r="R276" s="0" t="str">
        <f aca="false">IF(K276="","",SUMPRODUCT(--($H$2:$H$501=K276))&gt;0)</f>
        <v/>
      </c>
      <c r="S276" s="0" t="str">
        <f aca="false">IF(K276="","",IF(AND(Q276,R276),IF(O276=P276,"Match","Qty Different"),IF(Q276,"Only in List 1","Only in List 2")))</f>
        <v/>
      </c>
      <c r="T276" s="0" t="str">
        <f aca="false">IF(K276="","",IF(ISNUMBER(--L276),TEXT(--L276,"000000000000.000"),LOWER(L276)))</f>
        <v/>
      </c>
      <c r="U276" s="0" t="str">
        <f aca="false">IF(K276="","",IF(ISNUMBER(--M276),TEXT(--M276,"000000000000.000"),LOWER(M276)))</f>
        <v/>
      </c>
      <c r="V276" s="0" t="str">
        <f aca="false">IF(K276="","",LOWER(N276))</f>
        <v/>
      </c>
      <c r="W276" s="0" t="str">
        <f aca="false">IF(K276="","",B276)</f>
        <v/>
      </c>
      <c r="X276" s="0" t="str">
        <f aca="false">IF(K276="","",1+SUMPRODUCT(($K$2:$K$1001&lt;&gt;"")*(($T$2:$T$1001&lt;T276)+($T$2:$T$1001=T276)*(($U$2:$U$1001&lt;U276)+($U$2:$U$1001=U276)*(($V$2:$V$1001&lt;V276)+($V$2:$V$1001=V276)*(($W$2:$W$1001&lt;W276)+($W$2:$W$1001=W276)*(ROW($K$2:$K$1001)&lt;ROW(K276))))))))</f>
        <v/>
      </c>
    </row>
    <row r="277" customFormat="false" ht="15" hidden="false" customHeight="false" outlineLevel="0" collapsed="false">
      <c r="A277" s="0" t="str">
        <f aca="false">IF(TRIM('List 1'!A277&amp;'List 1'!C277&amp;'List 1'!D277)="","",LOWER(IF(OR(Comparison!$I$9="Item # + Part # + Description",Comparison!$I$9="Item # + Part #"),TRIM('List 1'!A277),"")&amp;"|"&amp;TRIM('List 1'!C277)&amp;"|"&amp;IF(OR(Comparison!$I$9="Item # + Part # + Description",Comparison!$I$9="Part # + Description"),TRIM('List 1'!D277),"")))</f>
        <v/>
      </c>
      <c r="B277" s="0" t="str">
        <f aca="false">IF(A277="","",SUMPRODUCT(--($A$2:A277=A277)))</f>
        <v/>
      </c>
      <c r="C277" s="0" t="str">
        <f aca="false">IF(A277="","",A277&amp;"#"&amp;B277)</f>
        <v/>
      </c>
      <c r="D277" s="0" t="str">
        <f aca="false">IF(A277="","",IFERROR(--'List 1'!B277,0))</f>
        <v/>
      </c>
      <c r="F277" s="0" t="str">
        <f aca="false">IF(TRIM('List 2'!A277&amp;'List 2'!C277&amp;'List 2'!D277)="","",LOWER(IF(OR(Comparison!$I$9="Item # + Part # + Description",Comparison!$I$9="Item # + Part #"),TRIM('List 2'!A277),"")&amp;"|"&amp;TRIM('List 2'!C277)&amp;"|"&amp;IF(OR(Comparison!$I$9="Item # + Part # + Description",Comparison!$I$9="Part # + Description"),TRIM('List 2'!D277),"")))</f>
        <v/>
      </c>
      <c r="G277" s="0" t="str">
        <f aca="false">IF(F277="","",SUMPRODUCT(--($F$2:F277=F277)))</f>
        <v/>
      </c>
      <c r="H277" s="0" t="str">
        <f aca="false">IF(F277="","",F277&amp;"#"&amp;G277)</f>
        <v/>
      </c>
      <c r="I277" s="0" t="str">
        <f aca="false">IF(F277="","",IFERROR(--'List 2'!B277,0))</f>
        <v/>
      </c>
      <c r="K277" s="0" t="str">
        <f aca="false">C277</f>
        <v/>
      </c>
      <c r="L277" s="0" t="str">
        <f aca="false">IF(K277="","",IF(ISNUMBER('List 1'!A277),'List 1'!A277,TRIM('List 1'!A277)))</f>
        <v/>
      </c>
      <c r="M277" s="0" t="str">
        <f aca="false">IF(K277="","",IF(ISNUMBER('List 1'!C277),'List 1'!C277,TRIM('List 1'!C277)))</f>
        <v/>
      </c>
      <c r="N277" s="0" t="str">
        <f aca="false">IF(K277="","",IF(ISNUMBER('List 1'!D277),'List 1'!D277,TRIM('List 1'!D277)))</f>
        <v/>
      </c>
      <c r="O277" s="0" t="str">
        <f aca="false">IF(K277="","",D277)</f>
        <v/>
      </c>
      <c r="P277" s="0" t="str">
        <f aca="false">IF(K277="","",IF(R277,SUMPRODUCT(--($H$2:$H$501=K277),$I$2:$I$501),0))</f>
        <v/>
      </c>
      <c r="Q277" s="0" t="str">
        <f aca="false">IF(K277="","",TRUE())</f>
        <v/>
      </c>
      <c r="R277" s="0" t="str">
        <f aca="false">IF(K277="","",SUMPRODUCT(--($H$2:$H$501=K277))&gt;0)</f>
        <v/>
      </c>
      <c r="S277" s="0" t="str">
        <f aca="false">IF(K277="","",IF(AND(Q277,R277),IF(O277=P277,"Match","Qty Different"),IF(Q277,"Only in List 1","Only in List 2")))</f>
        <v/>
      </c>
      <c r="T277" s="0" t="str">
        <f aca="false">IF(K277="","",IF(ISNUMBER(--L277),TEXT(--L277,"000000000000.000"),LOWER(L277)))</f>
        <v/>
      </c>
      <c r="U277" s="0" t="str">
        <f aca="false">IF(K277="","",IF(ISNUMBER(--M277),TEXT(--M277,"000000000000.000"),LOWER(M277)))</f>
        <v/>
      </c>
      <c r="V277" s="0" t="str">
        <f aca="false">IF(K277="","",LOWER(N277))</f>
        <v/>
      </c>
      <c r="W277" s="0" t="str">
        <f aca="false">IF(K277="","",B277)</f>
        <v/>
      </c>
      <c r="X277" s="0" t="str">
        <f aca="false">IF(K277="","",1+SUMPRODUCT(($K$2:$K$1001&lt;&gt;"")*(($T$2:$T$1001&lt;T277)+($T$2:$T$1001=T277)*(($U$2:$U$1001&lt;U277)+($U$2:$U$1001=U277)*(($V$2:$V$1001&lt;V277)+($V$2:$V$1001=V277)*(($W$2:$W$1001&lt;W277)+($W$2:$W$1001=W277)*(ROW($K$2:$K$1001)&lt;ROW(K277))))))))</f>
        <v/>
      </c>
    </row>
    <row r="278" customFormat="false" ht="15" hidden="false" customHeight="false" outlineLevel="0" collapsed="false">
      <c r="A278" s="0" t="str">
        <f aca="false">IF(TRIM('List 1'!A278&amp;'List 1'!C278&amp;'List 1'!D278)="","",LOWER(IF(OR(Comparison!$I$9="Item # + Part # + Description",Comparison!$I$9="Item # + Part #"),TRIM('List 1'!A278),"")&amp;"|"&amp;TRIM('List 1'!C278)&amp;"|"&amp;IF(OR(Comparison!$I$9="Item # + Part # + Description",Comparison!$I$9="Part # + Description"),TRIM('List 1'!D278),"")))</f>
        <v/>
      </c>
      <c r="B278" s="0" t="str">
        <f aca="false">IF(A278="","",SUMPRODUCT(--($A$2:A278=A278)))</f>
        <v/>
      </c>
      <c r="C278" s="0" t="str">
        <f aca="false">IF(A278="","",A278&amp;"#"&amp;B278)</f>
        <v/>
      </c>
      <c r="D278" s="0" t="str">
        <f aca="false">IF(A278="","",IFERROR(--'List 1'!B278,0))</f>
        <v/>
      </c>
      <c r="F278" s="0" t="str">
        <f aca="false">IF(TRIM('List 2'!A278&amp;'List 2'!C278&amp;'List 2'!D278)="","",LOWER(IF(OR(Comparison!$I$9="Item # + Part # + Description",Comparison!$I$9="Item # + Part #"),TRIM('List 2'!A278),"")&amp;"|"&amp;TRIM('List 2'!C278)&amp;"|"&amp;IF(OR(Comparison!$I$9="Item # + Part # + Description",Comparison!$I$9="Part # + Description"),TRIM('List 2'!D278),"")))</f>
        <v/>
      </c>
      <c r="G278" s="0" t="str">
        <f aca="false">IF(F278="","",SUMPRODUCT(--($F$2:F278=F278)))</f>
        <v/>
      </c>
      <c r="H278" s="0" t="str">
        <f aca="false">IF(F278="","",F278&amp;"#"&amp;G278)</f>
        <v/>
      </c>
      <c r="I278" s="0" t="str">
        <f aca="false">IF(F278="","",IFERROR(--'List 2'!B278,0))</f>
        <v/>
      </c>
      <c r="K278" s="0" t="str">
        <f aca="false">C278</f>
        <v/>
      </c>
      <c r="L278" s="0" t="str">
        <f aca="false">IF(K278="","",IF(ISNUMBER('List 1'!A278),'List 1'!A278,TRIM('List 1'!A278)))</f>
        <v/>
      </c>
      <c r="M278" s="0" t="str">
        <f aca="false">IF(K278="","",IF(ISNUMBER('List 1'!C278),'List 1'!C278,TRIM('List 1'!C278)))</f>
        <v/>
      </c>
      <c r="N278" s="0" t="str">
        <f aca="false">IF(K278="","",IF(ISNUMBER('List 1'!D278),'List 1'!D278,TRIM('List 1'!D278)))</f>
        <v/>
      </c>
      <c r="O278" s="0" t="str">
        <f aca="false">IF(K278="","",D278)</f>
        <v/>
      </c>
      <c r="P278" s="0" t="str">
        <f aca="false">IF(K278="","",IF(R278,SUMPRODUCT(--($H$2:$H$501=K278),$I$2:$I$501),0))</f>
        <v/>
      </c>
      <c r="Q278" s="0" t="str">
        <f aca="false">IF(K278="","",TRUE())</f>
        <v/>
      </c>
      <c r="R278" s="0" t="str">
        <f aca="false">IF(K278="","",SUMPRODUCT(--($H$2:$H$501=K278))&gt;0)</f>
        <v/>
      </c>
      <c r="S278" s="0" t="str">
        <f aca="false">IF(K278="","",IF(AND(Q278,R278),IF(O278=P278,"Match","Qty Different"),IF(Q278,"Only in List 1","Only in List 2")))</f>
        <v/>
      </c>
      <c r="T278" s="0" t="str">
        <f aca="false">IF(K278="","",IF(ISNUMBER(--L278),TEXT(--L278,"000000000000.000"),LOWER(L278)))</f>
        <v/>
      </c>
      <c r="U278" s="0" t="str">
        <f aca="false">IF(K278="","",IF(ISNUMBER(--M278),TEXT(--M278,"000000000000.000"),LOWER(M278)))</f>
        <v/>
      </c>
      <c r="V278" s="0" t="str">
        <f aca="false">IF(K278="","",LOWER(N278))</f>
        <v/>
      </c>
      <c r="W278" s="0" t="str">
        <f aca="false">IF(K278="","",B278)</f>
        <v/>
      </c>
      <c r="X278" s="0" t="str">
        <f aca="false">IF(K278="","",1+SUMPRODUCT(($K$2:$K$1001&lt;&gt;"")*(($T$2:$T$1001&lt;T278)+($T$2:$T$1001=T278)*(($U$2:$U$1001&lt;U278)+($U$2:$U$1001=U278)*(($V$2:$V$1001&lt;V278)+($V$2:$V$1001=V278)*(($W$2:$W$1001&lt;W278)+($W$2:$W$1001=W278)*(ROW($K$2:$K$1001)&lt;ROW(K278))))))))</f>
        <v/>
      </c>
    </row>
    <row r="279" customFormat="false" ht="15" hidden="false" customHeight="false" outlineLevel="0" collapsed="false">
      <c r="A279" s="0" t="str">
        <f aca="false">IF(TRIM('List 1'!A279&amp;'List 1'!C279&amp;'List 1'!D279)="","",LOWER(IF(OR(Comparison!$I$9="Item # + Part # + Description",Comparison!$I$9="Item # + Part #"),TRIM('List 1'!A279),"")&amp;"|"&amp;TRIM('List 1'!C279)&amp;"|"&amp;IF(OR(Comparison!$I$9="Item # + Part # + Description",Comparison!$I$9="Part # + Description"),TRIM('List 1'!D279),"")))</f>
        <v/>
      </c>
      <c r="B279" s="0" t="str">
        <f aca="false">IF(A279="","",SUMPRODUCT(--($A$2:A279=A279)))</f>
        <v/>
      </c>
      <c r="C279" s="0" t="str">
        <f aca="false">IF(A279="","",A279&amp;"#"&amp;B279)</f>
        <v/>
      </c>
      <c r="D279" s="0" t="str">
        <f aca="false">IF(A279="","",IFERROR(--'List 1'!B279,0))</f>
        <v/>
      </c>
      <c r="F279" s="0" t="str">
        <f aca="false">IF(TRIM('List 2'!A279&amp;'List 2'!C279&amp;'List 2'!D279)="","",LOWER(IF(OR(Comparison!$I$9="Item # + Part # + Description",Comparison!$I$9="Item # + Part #"),TRIM('List 2'!A279),"")&amp;"|"&amp;TRIM('List 2'!C279)&amp;"|"&amp;IF(OR(Comparison!$I$9="Item # + Part # + Description",Comparison!$I$9="Part # + Description"),TRIM('List 2'!D279),"")))</f>
        <v/>
      </c>
      <c r="G279" s="0" t="str">
        <f aca="false">IF(F279="","",SUMPRODUCT(--($F$2:F279=F279)))</f>
        <v/>
      </c>
      <c r="H279" s="0" t="str">
        <f aca="false">IF(F279="","",F279&amp;"#"&amp;G279)</f>
        <v/>
      </c>
      <c r="I279" s="0" t="str">
        <f aca="false">IF(F279="","",IFERROR(--'List 2'!B279,0))</f>
        <v/>
      </c>
      <c r="K279" s="0" t="str">
        <f aca="false">C279</f>
        <v/>
      </c>
      <c r="L279" s="0" t="str">
        <f aca="false">IF(K279="","",IF(ISNUMBER('List 1'!A279),'List 1'!A279,TRIM('List 1'!A279)))</f>
        <v/>
      </c>
      <c r="M279" s="0" t="str">
        <f aca="false">IF(K279="","",IF(ISNUMBER('List 1'!C279),'List 1'!C279,TRIM('List 1'!C279)))</f>
        <v/>
      </c>
      <c r="N279" s="0" t="str">
        <f aca="false">IF(K279="","",IF(ISNUMBER('List 1'!D279),'List 1'!D279,TRIM('List 1'!D279)))</f>
        <v/>
      </c>
      <c r="O279" s="0" t="str">
        <f aca="false">IF(K279="","",D279)</f>
        <v/>
      </c>
      <c r="P279" s="0" t="str">
        <f aca="false">IF(K279="","",IF(R279,SUMPRODUCT(--($H$2:$H$501=K279),$I$2:$I$501),0))</f>
        <v/>
      </c>
      <c r="Q279" s="0" t="str">
        <f aca="false">IF(K279="","",TRUE())</f>
        <v/>
      </c>
      <c r="R279" s="0" t="str">
        <f aca="false">IF(K279="","",SUMPRODUCT(--($H$2:$H$501=K279))&gt;0)</f>
        <v/>
      </c>
      <c r="S279" s="0" t="str">
        <f aca="false">IF(K279="","",IF(AND(Q279,R279),IF(O279=P279,"Match","Qty Different"),IF(Q279,"Only in List 1","Only in List 2")))</f>
        <v/>
      </c>
      <c r="T279" s="0" t="str">
        <f aca="false">IF(K279="","",IF(ISNUMBER(--L279),TEXT(--L279,"000000000000.000"),LOWER(L279)))</f>
        <v/>
      </c>
      <c r="U279" s="0" t="str">
        <f aca="false">IF(K279="","",IF(ISNUMBER(--M279),TEXT(--M279,"000000000000.000"),LOWER(M279)))</f>
        <v/>
      </c>
      <c r="V279" s="0" t="str">
        <f aca="false">IF(K279="","",LOWER(N279))</f>
        <v/>
      </c>
      <c r="W279" s="0" t="str">
        <f aca="false">IF(K279="","",B279)</f>
        <v/>
      </c>
      <c r="X279" s="0" t="str">
        <f aca="false">IF(K279="","",1+SUMPRODUCT(($K$2:$K$1001&lt;&gt;"")*(($T$2:$T$1001&lt;T279)+($T$2:$T$1001=T279)*(($U$2:$U$1001&lt;U279)+($U$2:$U$1001=U279)*(($V$2:$V$1001&lt;V279)+($V$2:$V$1001=V279)*(($W$2:$W$1001&lt;W279)+($W$2:$W$1001=W279)*(ROW($K$2:$K$1001)&lt;ROW(K279))))))))</f>
        <v/>
      </c>
    </row>
    <row r="280" customFormat="false" ht="15" hidden="false" customHeight="false" outlineLevel="0" collapsed="false">
      <c r="A280" s="0" t="str">
        <f aca="false">IF(TRIM('List 1'!A280&amp;'List 1'!C280&amp;'List 1'!D280)="","",LOWER(IF(OR(Comparison!$I$9="Item # + Part # + Description",Comparison!$I$9="Item # + Part #"),TRIM('List 1'!A280),"")&amp;"|"&amp;TRIM('List 1'!C280)&amp;"|"&amp;IF(OR(Comparison!$I$9="Item # + Part # + Description",Comparison!$I$9="Part # + Description"),TRIM('List 1'!D280),"")))</f>
        <v/>
      </c>
      <c r="B280" s="0" t="str">
        <f aca="false">IF(A280="","",SUMPRODUCT(--($A$2:A280=A280)))</f>
        <v/>
      </c>
      <c r="C280" s="0" t="str">
        <f aca="false">IF(A280="","",A280&amp;"#"&amp;B280)</f>
        <v/>
      </c>
      <c r="D280" s="0" t="str">
        <f aca="false">IF(A280="","",IFERROR(--'List 1'!B280,0))</f>
        <v/>
      </c>
      <c r="F280" s="0" t="str">
        <f aca="false">IF(TRIM('List 2'!A280&amp;'List 2'!C280&amp;'List 2'!D280)="","",LOWER(IF(OR(Comparison!$I$9="Item # + Part # + Description",Comparison!$I$9="Item # + Part #"),TRIM('List 2'!A280),"")&amp;"|"&amp;TRIM('List 2'!C280)&amp;"|"&amp;IF(OR(Comparison!$I$9="Item # + Part # + Description",Comparison!$I$9="Part # + Description"),TRIM('List 2'!D280),"")))</f>
        <v/>
      </c>
      <c r="G280" s="0" t="str">
        <f aca="false">IF(F280="","",SUMPRODUCT(--($F$2:F280=F280)))</f>
        <v/>
      </c>
      <c r="H280" s="0" t="str">
        <f aca="false">IF(F280="","",F280&amp;"#"&amp;G280)</f>
        <v/>
      </c>
      <c r="I280" s="0" t="str">
        <f aca="false">IF(F280="","",IFERROR(--'List 2'!B280,0))</f>
        <v/>
      </c>
      <c r="K280" s="0" t="str">
        <f aca="false">C280</f>
        <v/>
      </c>
      <c r="L280" s="0" t="str">
        <f aca="false">IF(K280="","",IF(ISNUMBER('List 1'!A280),'List 1'!A280,TRIM('List 1'!A280)))</f>
        <v/>
      </c>
      <c r="M280" s="0" t="str">
        <f aca="false">IF(K280="","",IF(ISNUMBER('List 1'!C280),'List 1'!C280,TRIM('List 1'!C280)))</f>
        <v/>
      </c>
      <c r="N280" s="0" t="str">
        <f aca="false">IF(K280="","",IF(ISNUMBER('List 1'!D280),'List 1'!D280,TRIM('List 1'!D280)))</f>
        <v/>
      </c>
      <c r="O280" s="0" t="str">
        <f aca="false">IF(K280="","",D280)</f>
        <v/>
      </c>
      <c r="P280" s="0" t="str">
        <f aca="false">IF(K280="","",IF(R280,SUMPRODUCT(--($H$2:$H$501=K280),$I$2:$I$501),0))</f>
        <v/>
      </c>
      <c r="Q280" s="0" t="str">
        <f aca="false">IF(K280="","",TRUE())</f>
        <v/>
      </c>
      <c r="R280" s="0" t="str">
        <f aca="false">IF(K280="","",SUMPRODUCT(--($H$2:$H$501=K280))&gt;0)</f>
        <v/>
      </c>
      <c r="S280" s="0" t="str">
        <f aca="false">IF(K280="","",IF(AND(Q280,R280),IF(O280=P280,"Match","Qty Different"),IF(Q280,"Only in List 1","Only in List 2")))</f>
        <v/>
      </c>
      <c r="T280" s="0" t="str">
        <f aca="false">IF(K280="","",IF(ISNUMBER(--L280),TEXT(--L280,"000000000000.000"),LOWER(L280)))</f>
        <v/>
      </c>
      <c r="U280" s="0" t="str">
        <f aca="false">IF(K280="","",IF(ISNUMBER(--M280),TEXT(--M280,"000000000000.000"),LOWER(M280)))</f>
        <v/>
      </c>
      <c r="V280" s="0" t="str">
        <f aca="false">IF(K280="","",LOWER(N280))</f>
        <v/>
      </c>
      <c r="W280" s="0" t="str">
        <f aca="false">IF(K280="","",B280)</f>
        <v/>
      </c>
      <c r="X280" s="0" t="str">
        <f aca="false">IF(K280="","",1+SUMPRODUCT(($K$2:$K$1001&lt;&gt;"")*(($T$2:$T$1001&lt;T280)+($T$2:$T$1001=T280)*(($U$2:$U$1001&lt;U280)+($U$2:$U$1001=U280)*(($V$2:$V$1001&lt;V280)+($V$2:$V$1001=V280)*(($W$2:$W$1001&lt;W280)+($W$2:$W$1001=W280)*(ROW($K$2:$K$1001)&lt;ROW(K280))))))))</f>
        <v/>
      </c>
    </row>
    <row r="281" customFormat="false" ht="15" hidden="false" customHeight="false" outlineLevel="0" collapsed="false">
      <c r="A281" s="0" t="str">
        <f aca="false">IF(TRIM('List 1'!A281&amp;'List 1'!C281&amp;'List 1'!D281)="","",LOWER(IF(OR(Comparison!$I$9="Item # + Part # + Description",Comparison!$I$9="Item # + Part #"),TRIM('List 1'!A281),"")&amp;"|"&amp;TRIM('List 1'!C281)&amp;"|"&amp;IF(OR(Comparison!$I$9="Item # + Part # + Description",Comparison!$I$9="Part # + Description"),TRIM('List 1'!D281),"")))</f>
        <v/>
      </c>
      <c r="B281" s="0" t="str">
        <f aca="false">IF(A281="","",SUMPRODUCT(--($A$2:A281=A281)))</f>
        <v/>
      </c>
      <c r="C281" s="0" t="str">
        <f aca="false">IF(A281="","",A281&amp;"#"&amp;B281)</f>
        <v/>
      </c>
      <c r="D281" s="0" t="str">
        <f aca="false">IF(A281="","",IFERROR(--'List 1'!B281,0))</f>
        <v/>
      </c>
      <c r="F281" s="0" t="str">
        <f aca="false">IF(TRIM('List 2'!A281&amp;'List 2'!C281&amp;'List 2'!D281)="","",LOWER(IF(OR(Comparison!$I$9="Item # + Part # + Description",Comparison!$I$9="Item # + Part #"),TRIM('List 2'!A281),"")&amp;"|"&amp;TRIM('List 2'!C281)&amp;"|"&amp;IF(OR(Comparison!$I$9="Item # + Part # + Description",Comparison!$I$9="Part # + Description"),TRIM('List 2'!D281),"")))</f>
        <v/>
      </c>
      <c r="G281" s="0" t="str">
        <f aca="false">IF(F281="","",SUMPRODUCT(--($F$2:F281=F281)))</f>
        <v/>
      </c>
      <c r="H281" s="0" t="str">
        <f aca="false">IF(F281="","",F281&amp;"#"&amp;G281)</f>
        <v/>
      </c>
      <c r="I281" s="0" t="str">
        <f aca="false">IF(F281="","",IFERROR(--'List 2'!B281,0))</f>
        <v/>
      </c>
      <c r="K281" s="0" t="str">
        <f aca="false">C281</f>
        <v/>
      </c>
      <c r="L281" s="0" t="str">
        <f aca="false">IF(K281="","",IF(ISNUMBER('List 1'!A281),'List 1'!A281,TRIM('List 1'!A281)))</f>
        <v/>
      </c>
      <c r="M281" s="0" t="str">
        <f aca="false">IF(K281="","",IF(ISNUMBER('List 1'!C281),'List 1'!C281,TRIM('List 1'!C281)))</f>
        <v/>
      </c>
      <c r="N281" s="0" t="str">
        <f aca="false">IF(K281="","",IF(ISNUMBER('List 1'!D281),'List 1'!D281,TRIM('List 1'!D281)))</f>
        <v/>
      </c>
      <c r="O281" s="0" t="str">
        <f aca="false">IF(K281="","",D281)</f>
        <v/>
      </c>
      <c r="P281" s="0" t="str">
        <f aca="false">IF(K281="","",IF(R281,SUMPRODUCT(--($H$2:$H$501=K281),$I$2:$I$501),0))</f>
        <v/>
      </c>
      <c r="Q281" s="0" t="str">
        <f aca="false">IF(K281="","",TRUE())</f>
        <v/>
      </c>
      <c r="R281" s="0" t="str">
        <f aca="false">IF(K281="","",SUMPRODUCT(--($H$2:$H$501=K281))&gt;0)</f>
        <v/>
      </c>
      <c r="S281" s="0" t="str">
        <f aca="false">IF(K281="","",IF(AND(Q281,R281),IF(O281=P281,"Match","Qty Different"),IF(Q281,"Only in List 1","Only in List 2")))</f>
        <v/>
      </c>
      <c r="T281" s="0" t="str">
        <f aca="false">IF(K281="","",IF(ISNUMBER(--L281),TEXT(--L281,"000000000000.000"),LOWER(L281)))</f>
        <v/>
      </c>
      <c r="U281" s="0" t="str">
        <f aca="false">IF(K281="","",IF(ISNUMBER(--M281),TEXT(--M281,"000000000000.000"),LOWER(M281)))</f>
        <v/>
      </c>
      <c r="V281" s="0" t="str">
        <f aca="false">IF(K281="","",LOWER(N281))</f>
        <v/>
      </c>
      <c r="W281" s="0" t="str">
        <f aca="false">IF(K281="","",B281)</f>
        <v/>
      </c>
      <c r="X281" s="0" t="str">
        <f aca="false">IF(K281="","",1+SUMPRODUCT(($K$2:$K$1001&lt;&gt;"")*(($T$2:$T$1001&lt;T281)+($T$2:$T$1001=T281)*(($U$2:$U$1001&lt;U281)+($U$2:$U$1001=U281)*(($V$2:$V$1001&lt;V281)+($V$2:$V$1001=V281)*(($W$2:$W$1001&lt;W281)+($W$2:$W$1001=W281)*(ROW($K$2:$K$1001)&lt;ROW(K281))))))))</f>
        <v/>
      </c>
    </row>
    <row r="282" customFormat="false" ht="15" hidden="false" customHeight="false" outlineLevel="0" collapsed="false">
      <c r="A282" s="0" t="str">
        <f aca="false">IF(TRIM('List 1'!A282&amp;'List 1'!C282&amp;'List 1'!D282)="","",LOWER(IF(OR(Comparison!$I$9="Item # + Part # + Description",Comparison!$I$9="Item # + Part #"),TRIM('List 1'!A282),"")&amp;"|"&amp;TRIM('List 1'!C282)&amp;"|"&amp;IF(OR(Comparison!$I$9="Item # + Part # + Description",Comparison!$I$9="Part # + Description"),TRIM('List 1'!D282),"")))</f>
        <v/>
      </c>
      <c r="B282" s="0" t="str">
        <f aca="false">IF(A282="","",SUMPRODUCT(--($A$2:A282=A282)))</f>
        <v/>
      </c>
      <c r="C282" s="0" t="str">
        <f aca="false">IF(A282="","",A282&amp;"#"&amp;B282)</f>
        <v/>
      </c>
      <c r="D282" s="0" t="str">
        <f aca="false">IF(A282="","",IFERROR(--'List 1'!B282,0))</f>
        <v/>
      </c>
      <c r="F282" s="0" t="str">
        <f aca="false">IF(TRIM('List 2'!A282&amp;'List 2'!C282&amp;'List 2'!D282)="","",LOWER(IF(OR(Comparison!$I$9="Item # + Part # + Description",Comparison!$I$9="Item # + Part #"),TRIM('List 2'!A282),"")&amp;"|"&amp;TRIM('List 2'!C282)&amp;"|"&amp;IF(OR(Comparison!$I$9="Item # + Part # + Description",Comparison!$I$9="Part # + Description"),TRIM('List 2'!D282),"")))</f>
        <v/>
      </c>
      <c r="G282" s="0" t="str">
        <f aca="false">IF(F282="","",SUMPRODUCT(--($F$2:F282=F282)))</f>
        <v/>
      </c>
      <c r="H282" s="0" t="str">
        <f aca="false">IF(F282="","",F282&amp;"#"&amp;G282)</f>
        <v/>
      </c>
      <c r="I282" s="0" t="str">
        <f aca="false">IF(F282="","",IFERROR(--'List 2'!B282,0))</f>
        <v/>
      </c>
      <c r="K282" s="0" t="str">
        <f aca="false">C282</f>
        <v/>
      </c>
      <c r="L282" s="0" t="str">
        <f aca="false">IF(K282="","",IF(ISNUMBER('List 1'!A282),'List 1'!A282,TRIM('List 1'!A282)))</f>
        <v/>
      </c>
      <c r="M282" s="0" t="str">
        <f aca="false">IF(K282="","",IF(ISNUMBER('List 1'!C282),'List 1'!C282,TRIM('List 1'!C282)))</f>
        <v/>
      </c>
      <c r="N282" s="0" t="str">
        <f aca="false">IF(K282="","",IF(ISNUMBER('List 1'!D282),'List 1'!D282,TRIM('List 1'!D282)))</f>
        <v/>
      </c>
      <c r="O282" s="0" t="str">
        <f aca="false">IF(K282="","",D282)</f>
        <v/>
      </c>
      <c r="P282" s="0" t="str">
        <f aca="false">IF(K282="","",IF(R282,SUMPRODUCT(--($H$2:$H$501=K282),$I$2:$I$501),0))</f>
        <v/>
      </c>
      <c r="Q282" s="0" t="str">
        <f aca="false">IF(K282="","",TRUE())</f>
        <v/>
      </c>
      <c r="R282" s="0" t="str">
        <f aca="false">IF(K282="","",SUMPRODUCT(--($H$2:$H$501=K282))&gt;0)</f>
        <v/>
      </c>
      <c r="S282" s="0" t="str">
        <f aca="false">IF(K282="","",IF(AND(Q282,R282),IF(O282=P282,"Match","Qty Different"),IF(Q282,"Only in List 1","Only in List 2")))</f>
        <v/>
      </c>
      <c r="T282" s="0" t="str">
        <f aca="false">IF(K282="","",IF(ISNUMBER(--L282),TEXT(--L282,"000000000000.000"),LOWER(L282)))</f>
        <v/>
      </c>
      <c r="U282" s="0" t="str">
        <f aca="false">IF(K282="","",IF(ISNUMBER(--M282),TEXT(--M282,"000000000000.000"),LOWER(M282)))</f>
        <v/>
      </c>
      <c r="V282" s="0" t="str">
        <f aca="false">IF(K282="","",LOWER(N282))</f>
        <v/>
      </c>
      <c r="W282" s="0" t="str">
        <f aca="false">IF(K282="","",B282)</f>
        <v/>
      </c>
      <c r="X282" s="0" t="str">
        <f aca="false">IF(K282="","",1+SUMPRODUCT(($K$2:$K$1001&lt;&gt;"")*(($T$2:$T$1001&lt;T282)+($T$2:$T$1001=T282)*(($U$2:$U$1001&lt;U282)+($U$2:$U$1001=U282)*(($V$2:$V$1001&lt;V282)+($V$2:$V$1001=V282)*(($W$2:$W$1001&lt;W282)+($W$2:$W$1001=W282)*(ROW($K$2:$K$1001)&lt;ROW(K282))))))))</f>
        <v/>
      </c>
    </row>
    <row r="283" customFormat="false" ht="15" hidden="false" customHeight="false" outlineLevel="0" collapsed="false">
      <c r="A283" s="0" t="str">
        <f aca="false">IF(TRIM('List 1'!A283&amp;'List 1'!C283&amp;'List 1'!D283)="","",LOWER(IF(OR(Comparison!$I$9="Item # + Part # + Description",Comparison!$I$9="Item # + Part #"),TRIM('List 1'!A283),"")&amp;"|"&amp;TRIM('List 1'!C283)&amp;"|"&amp;IF(OR(Comparison!$I$9="Item # + Part # + Description",Comparison!$I$9="Part # + Description"),TRIM('List 1'!D283),"")))</f>
        <v/>
      </c>
      <c r="B283" s="0" t="str">
        <f aca="false">IF(A283="","",SUMPRODUCT(--($A$2:A283=A283)))</f>
        <v/>
      </c>
      <c r="C283" s="0" t="str">
        <f aca="false">IF(A283="","",A283&amp;"#"&amp;B283)</f>
        <v/>
      </c>
      <c r="D283" s="0" t="str">
        <f aca="false">IF(A283="","",IFERROR(--'List 1'!B283,0))</f>
        <v/>
      </c>
      <c r="F283" s="0" t="str">
        <f aca="false">IF(TRIM('List 2'!A283&amp;'List 2'!C283&amp;'List 2'!D283)="","",LOWER(IF(OR(Comparison!$I$9="Item # + Part # + Description",Comparison!$I$9="Item # + Part #"),TRIM('List 2'!A283),"")&amp;"|"&amp;TRIM('List 2'!C283)&amp;"|"&amp;IF(OR(Comparison!$I$9="Item # + Part # + Description",Comparison!$I$9="Part # + Description"),TRIM('List 2'!D283),"")))</f>
        <v/>
      </c>
      <c r="G283" s="0" t="str">
        <f aca="false">IF(F283="","",SUMPRODUCT(--($F$2:F283=F283)))</f>
        <v/>
      </c>
      <c r="H283" s="0" t="str">
        <f aca="false">IF(F283="","",F283&amp;"#"&amp;G283)</f>
        <v/>
      </c>
      <c r="I283" s="0" t="str">
        <f aca="false">IF(F283="","",IFERROR(--'List 2'!B283,0))</f>
        <v/>
      </c>
      <c r="K283" s="0" t="str">
        <f aca="false">C283</f>
        <v/>
      </c>
      <c r="L283" s="0" t="str">
        <f aca="false">IF(K283="","",IF(ISNUMBER('List 1'!A283),'List 1'!A283,TRIM('List 1'!A283)))</f>
        <v/>
      </c>
      <c r="M283" s="0" t="str">
        <f aca="false">IF(K283="","",IF(ISNUMBER('List 1'!C283),'List 1'!C283,TRIM('List 1'!C283)))</f>
        <v/>
      </c>
      <c r="N283" s="0" t="str">
        <f aca="false">IF(K283="","",IF(ISNUMBER('List 1'!D283),'List 1'!D283,TRIM('List 1'!D283)))</f>
        <v/>
      </c>
      <c r="O283" s="0" t="str">
        <f aca="false">IF(K283="","",D283)</f>
        <v/>
      </c>
      <c r="P283" s="0" t="str">
        <f aca="false">IF(K283="","",IF(R283,SUMPRODUCT(--($H$2:$H$501=K283),$I$2:$I$501),0))</f>
        <v/>
      </c>
      <c r="Q283" s="0" t="str">
        <f aca="false">IF(K283="","",TRUE())</f>
        <v/>
      </c>
      <c r="R283" s="0" t="str">
        <f aca="false">IF(K283="","",SUMPRODUCT(--($H$2:$H$501=K283))&gt;0)</f>
        <v/>
      </c>
      <c r="S283" s="0" t="str">
        <f aca="false">IF(K283="","",IF(AND(Q283,R283),IF(O283=P283,"Match","Qty Different"),IF(Q283,"Only in List 1","Only in List 2")))</f>
        <v/>
      </c>
      <c r="T283" s="0" t="str">
        <f aca="false">IF(K283="","",IF(ISNUMBER(--L283),TEXT(--L283,"000000000000.000"),LOWER(L283)))</f>
        <v/>
      </c>
      <c r="U283" s="0" t="str">
        <f aca="false">IF(K283="","",IF(ISNUMBER(--M283),TEXT(--M283,"000000000000.000"),LOWER(M283)))</f>
        <v/>
      </c>
      <c r="V283" s="0" t="str">
        <f aca="false">IF(K283="","",LOWER(N283))</f>
        <v/>
      </c>
      <c r="W283" s="0" t="str">
        <f aca="false">IF(K283="","",B283)</f>
        <v/>
      </c>
      <c r="X283" s="0" t="str">
        <f aca="false">IF(K283="","",1+SUMPRODUCT(($K$2:$K$1001&lt;&gt;"")*(($T$2:$T$1001&lt;T283)+($T$2:$T$1001=T283)*(($U$2:$U$1001&lt;U283)+($U$2:$U$1001=U283)*(($V$2:$V$1001&lt;V283)+($V$2:$V$1001=V283)*(($W$2:$W$1001&lt;W283)+($W$2:$W$1001=W283)*(ROW($K$2:$K$1001)&lt;ROW(K283))))))))</f>
        <v/>
      </c>
    </row>
    <row r="284" customFormat="false" ht="15" hidden="false" customHeight="false" outlineLevel="0" collapsed="false">
      <c r="A284" s="0" t="str">
        <f aca="false">IF(TRIM('List 1'!A284&amp;'List 1'!C284&amp;'List 1'!D284)="","",LOWER(IF(OR(Comparison!$I$9="Item # + Part # + Description",Comparison!$I$9="Item # + Part #"),TRIM('List 1'!A284),"")&amp;"|"&amp;TRIM('List 1'!C284)&amp;"|"&amp;IF(OR(Comparison!$I$9="Item # + Part # + Description",Comparison!$I$9="Part # + Description"),TRIM('List 1'!D284),"")))</f>
        <v/>
      </c>
      <c r="B284" s="0" t="str">
        <f aca="false">IF(A284="","",SUMPRODUCT(--($A$2:A284=A284)))</f>
        <v/>
      </c>
      <c r="C284" s="0" t="str">
        <f aca="false">IF(A284="","",A284&amp;"#"&amp;B284)</f>
        <v/>
      </c>
      <c r="D284" s="0" t="str">
        <f aca="false">IF(A284="","",IFERROR(--'List 1'!B284,0))</f>
        <v/>
      </c>
      <c r="F284" s="0" t="str">
        <f aca="false">IF(TRIM('List 2'!A284&amp;'List 2'!C284&amp;'List 2'!D284)="","",LOWER(IF(OR(Comparison!$I$9="Item # + Part # + Description",Comparison!$I$9="Item # + Part #"),TRIM('List 2'!A284),"")&amp;"|"&amp;TRIM('List 2'!C284)&amp;"|"&amp;IF(OR(Comparison!$I$9="Item # + Part # + Description",Comparison!$I$9="Part # + Description"),TRIM('List 2'!D284),"")))</f>
        <v/>
      </c>
      <c r="G284" s="0" t="str">
        <f aca="false">IF(F284="","",SUMPRODUCT(--($F$2:F284=F284)))</f>
        <v/>
      </c>
      <c r="H284" s="0" t="str">
        <f aca="false">IF(F284="","",F284&amp;"#"&amp;G284)</f>
        <v/>
      </c>
      <c r="I284" s="0" t="str">
        <f aca="false">IF(F284="","",IFERROR(--'List 2'!B284,0))</f>
        <v/>
      </c>
      <c r="K284" s="0" t="str">
        <f aca="false">C284</f>
        <v/>
      </c>
      <c r="L284" s="0" t="str">
        <f aca="false">IF(K284="","",IF(ISNUMBER('List 1'!A284),'List 1'!A284,TRIM('List 1'!A284)))</f>
        <v/>
      </c>
      <c r="M284" s="0" t="str">
        <f aca="false">IF(K284="","",IF(ISNUMBER('List 1'!C284),'List 1'!C284,TRIM('List 1'!C284)))</f>
        <v/>
      </c>
      <c r="N284" s="0" t="str">
        <f aca="false">IF(K284="","",IF(ISNUMBER('List 1'!D284),'List 1'!D284,TRIM('List 1'!D284)))</f>
        <v/>
      </c>
      <c r="O284" s="0" t="str">
        <f aca="false">IF(K284="","",D284)</f>
        <v/>
      </c>
      <c r="P284" s="0" t="str">
        <f aca="false">IF(K284="","",IF(R284,SUMPRODUCT(--($H$2:$H$501=K284),$I$2:$I$501),0))</f>
        <v/>
      </c>
      <c r="Q284" s="0" t="str">
        <f aca="false">IF(K284="","",TRUE())</f>
        <v/>
      </c>
      <c r="R284" s="0" t="str">
        <f aca="false">IF(K284="","",SUMPRODUCT(--($H$2:$H$501=K284))&gt;0)</f>
        <v/>
      </c>
      <c r="S284" s="0" t="str">
        <f aca="false">IF(K284="","",IF(AND(Q284,R284),IF(O284=P284,"Match","Qty Different"),IF(Q284,"Only in List 1","Only in List 2")))</f>
        <v/>
      </c>
      <c r="T284" s="0" t="str">
        <f aca="false">IF(K284="","",IF(ISNUMBER(--L284),TEXT(--L284,"000000000000.000"),LOWER(L284)))</f>
        <v/>
      </c>
      <c r="U284" s="0" t="str">
        <f aca="false">IF(K284="","",IF(ISNUMBER(--M284),TEXT(--M284,"000000000000.000"),LOWER(M284)))</f>
        <v/>
      </c>
      <c r="V284" s="0" t="str">
        <f aca="false">IF(K284="","",LOWER(N284))</f>
        <v/>
      </c>
      <c r="W284" s="0" t="str">
        <f aca="false">IF(K284="","",B284)</f>
        <v/>
      </c>
      <c r="X284" s="0" t="str">
        <f aca="false">IF(K284="","",1+SUMPRODUCT(($K$2:$K$1001&lt;&gt;"")*(($T$2:$T$1001&lt;T284)+($T$2:$T$1001=T284)*(($U$2:$U$1001&lt;U284)+($U$2:$U$1001=U284)*(($V$2:$V$1001&lt;V284)+($V$2:$V$1001=V284)*(($W$2:$W$1001&lt;W284)+($W$2:$W$1001=W284)*(ROW($K$2:$K$1001)&lt;ROW(K284))))))))</f>
        <v/>
      </c>
    </row>
    <row r="285" customFormat="false" ht="15" hidden="false" customHeight="false" outlineLevel="0" collapsed="false">
      <c r="A285" s="0" t="str">
        <f aca="false">IF(TRIM('List 1'!A285&amp;'List 1'!C285&amp;'List 1'!D285)="","",LOWER(IF(OR(Comparison!$I$9="Item # + Part # + Description",Comparison!$I$9="Item # + Part #"),TRIM('List 1'!A285),"")&amp;"|"&amp;TRIM('List 1'!C285)&amp;"|"&amp;IF(OR(Comparison!$I$9="Item # + Part # + Description",Comparison!$I$9="Part # + Description"),TRIM('List 1'!D285),"")))</f>
        <v/>
      </c>
      <c r="B285" s="0" t="str">
        <f aca="false">IF(A285="","",SUMPRODUCT(--($A$2:A285=A285)))</f>
        <v/>
      </c>
      <c r="C285" s="0" t="str">
        <f aca="false">IF(A285="","",A285&amp;"#"&amp;B285)</f>
        <v/>
      </c>
      <c r="D285" s="0" t="str">
        <f aca="false">IF(A285="","",IFERROR(--'List 1'!B285,0))</f>
        <v/>
      </c>
      <c r="F285" s="0" t="str">
        <f aca="false">IF(TRIM('List 2'!A285&amp;'List 2'!C285&amp;'List 2'!D285)="","",LOWER(IF(OR(Comparison!$I$9="Item # + Part # + Description",Comparison!$I$9="Item # + Part #"),TRIM('List 2'!A285),"")&amp;"|"&amp;TRIM('List 2'!C285)&amp;"|"&amp;IF(OR(Comparison!$I$9="Item # + Part # + Description",Comparison!$I$9="Part # + Description"),TRIM('List 2'!D285),"")))</f>
        <v/>
      </c>
      <c r="G285" s="0" t="str">
        <f aca="false">IF(F285="","",SUMPRODUCT(--($F$2:F285=F285)))</f>
        <v/>
      </c>
      <c r="H285" s="0" t="str">
        <f aca="false">IF(F285="","",F285&amp;"#"&amp;G285)</f>
        <v/>
      </c>
      <c r="I285" s="0" t="str">
        <f aca="false">IF(F285="","",IFERROR(--'List 2'!B285,0))</f>
        <v/>
      </c>
      <c r="K285" s="0" t="str">
        <f aca="false">C285</f>
        <v/>
      </c>
      <c r="L285" s="0" t="str">
        <f aca="false">IF(K285="","",IF(ISNUMBER('List 1'!A285),'List 1'!A285,TRIM('List 1'!A285)))</f>
        <v/>
      </c>
      <c r="M285" s="0" t="str">
        <f aca="false">IF(K285="","",IF(ISNUMBER('List 1'!C285),'List 1'!C285,TRIM('List 1'!C285)))</f>
        <v/>
      </c>
      <c r="N285" s="0" t="str">
        <f aca="false">IF(K285="","",IF(ISNUMBER('List 1'!D285),'List 1'!D285,TRIM('List 1'!D285)))</f>
        <v/>
      </c>
      <c r="O285" s="0" t="str">
        <f aca="false">IF(K285="","",D285)</f>
        <v/>
      </c>
      <c r="P285" s="0" t="str">
        <f aca="false">IF(K285="","",IF(R285,SUMPRODUCT(--($H$2:$H$501=K285),$I$2:$I$501),0))</f>
        <v/>
      </c>
      <c r="Q285" s="0" t="str">
        <f aca="false">IF(K285="","",TRUE())</f>
        <v/>
      </c>
      <c r="R285" s="0" t="str">
        <f aca="false">IF(K285="","",SUMPRODUCT(--($H$2:$H$501=K285))&gt;0)</f>
        <v/>
      </c>
      <c r="S285" s="0" t="str">
        <f aca="false">IF(K285="","",IF(AND(Q285,R285),IF(O285=P285,"Match","Qty Different"),IF(Q285,"Only in List 1","Only in List 2")))</f>
        <v/>
      </c>
      <c r="T285" s="0" t="str">
        <f aca="false">IF(K285="","",IF(ISNUMBER(--L285),TEXT(--L285,"000000000000.000"),LOWER(L285)))</f>
        <v/>
      </c>
      <c r="U285" s="0" t="str">
        <f aca="false">IF(K285="","",IF(ISNUMBER(--M285),TEXT(--M285,"000000000000.000"),LOWER(M285)))</f>
        <v/>
      </c>
      <c r="V285" s="0" t="str">
        <f aca="false">IF(K285="","",LOWER(N285))</f>
        <v/>
      </c>
      <c r="W285" s="0" t="str">
        <f aca="false">IF(K285="","",B285)</f>
        <v/>
      </c>
      <c r="X285" s="0" t="str">
        <f aca="false">IF(K285="","",1+SUMPRODUCT(($K$2:$K$1001&lt;&gt;"")*(($T$2:$T$1001&lt;T285)+($T$2:$T$1001=T285)*(($U$2:$U$1001&lt;U285)+($U$2:$U$1001=U285)*(($V$2:$V$1001&lt;V285)+($V$2:$V$1001=V285)*(($W$2:$W$1001&lt;W285)+($W$2:$W$1001=W285)*(ROW($K$2:$K$1001)&lt;ROW(K285))))))))</f>
        <v/>
      </c>
    </row>
    <row r="286" customFormat="false" ht="15" hidden="false" customHeight="false" outlineLevel="0" collapsed="false">
      <c r="A286" s="0" t="str">
        <f aca="false">IF(TRIM('List 1'!A286&amp;'List 1'!C286&amp;'List 1'!D286)="","",LOWER(IF(OR(Comparison!$I$9="Item # + Part # + Description",Comparison!$I$9="Item # + Part #"),TRIM('List 1'!A286),"")&amp;"|"&amp;TRIM('List 1'!C286)&amp;"|"&amp;IF(OR(Comparison!$I$9="Item # + Part # + Description",Comparison!$I$9="Part # + Description"),TRIM('List 1'!D286),"")))</f>
        <v/>
      </c>
      <c r="B286" s="0" t="str">
        <f aca="false">IF(A286="","",SUMPRODUCT(--($A$2:A286=A286)))</f>
        <v/>
      </c>
      <c r="C286" s="0" t="str">
        <f aca="false">IF(A286="","",A286&amp;"#"&amp;B286)</f>
        <v/>
      </c>
      <c r="D286" s="0" t="str">
        <f aca="false">IF(A286="","",IFERROR(--'List 1'!B286,0))</f>
        <v/>
      </c>
      <c r="F286" s="0" t="str">
        <f aca="false">IF(TRIM('List 2'!A286&amp;'List 2'!C286&amp;'List 2'!D286)="","",LOWER(IF(OR(Comparison!$I$9="Item # + Part # + Description",Comparison!$I$9="Item # + Part #"),TRIM('List 2'!A286),"")&amp;"|"&amp;TRIM('List 2'!C286)&amp;"|"&amp;IF(OR(Comparison!$I$9="Item # + Part # + Description",Comparison!$I$9="Part # + Description"),TRIM('List 2'!D286),"")))</f>
        <v/>
      </c>
      <c r="G286" s="0" t="str">
        <f aca="false">IF(F286="","",SUMPRODUCT(--($F$2:F286=F286)))</f>
        <v/>
      </c>
      <c r="H286" s="0" t="str">
        <f aca="false">IF(F286="","",F286&amp;"#"&amp;G286)</f>
        <v/>
      </c>
      <c r="I286" s="0" t="str">
        <f aca="false">IF(F286="","",IFERROR(--'List 2'!B286,0))</f>
        <v/>
      </c>
      <c r="K286" s="0" t="str">
        <f aca="false">C286</f>
        <v/>
      </c>
      <c r="L286" s="0" t="str">
        <f aca="false">IF(K286="","",IF(ISNUMBER('List 1'!A286),'List 1'!A286,TRIM('List 1'!A286)))</f>
        <v/>
      </c>
      <c r="M286" s="0" t="str">
        <f aca="false">IF(K286="","",IF(ISNUMBER('List 1'!C286),'List 1'!C286,TRIM('List 1'!C286)))</f>
        <v/>
      </c>
      <c r="N286" s="0" t="str">
        <f aca="false">IF(K286="","",IF(ISNUMBER('List 1'!D286),'List 1'!D286,TRIM('List 1'!D286)))</f>
        <v/>
      </c>
      <c r="O286" s="0" t="str">
        <f aca="false">IF(K286="","",D286)</f>
        <v/>
      </c>
      <c r="P286" s="0" t="str">
        <f aca="false">IF(K286="","",IF(R286,SUMPRODUCT(--($H$2:$H$501=K286),$I$2:$I$501),0))</f>
        <v/>
      </c>
      <c r="Q286" s="0" t="str">
        <f aca="false">IF(K286="","",TRUE())</f>
        <v/>
      </c>
      <c r="R286" s="0" t="str">
        <f aca="false">IF(K286="","",SUMPRODUCT(--($H$2:$H$501=K286))&gt;0)</f>
        <v/>
      </c>
      <c r="S286" s="0" t="str">
        <f aca="false">IF(K286="","",IF(AND(Q286,R286),IF(O286=P286,"Match","Qty Different"),IF(Q286,"Only in List 1","Only in List 2")))</f>
        <v/>
      </c>
      <c r="T286" s="0" t="str">
        <f aca="false">IF(K286="","",IF(ISNUMBER(--L286),TEXT(--L286,"000000000000.000"),LOWER(L286)))</f>
        <v/>
      </c>
      <c r="U286" s="0" t="str">
        <f aca="false">IF(K286="","",IF(ISNUMBER(--M286),TEXT(--M286,"000000000000.000"),LOWER(M286)))</f>
        <v/>
      </c>
      <c r="V286" s="0" t="str">
        <f aca="false">IF(K286="","",LOWER(N286))</f>
        <v/>
      </c>
      <c r="W286" s="0" t="str">
        <f aca="false">IF(K286="","",B286)</f>
        <v/>
      </c>
      <c r="X286" s="0" t="str">
        <f aca="false">IF(K286="","",1+SUMPRODUCT(($K$2:$K$1001&lt;&gt;"")*(($T$2:$T$1001&lt;T286)+($T$2:$T$1001=T286)*(($U$2:$U$1001&lt;U286)+($U$2:$U$1001=U286)*(($V$2:$V$1001&lt;V286)+($V$2:$V$1001=V286)*(($W$2:$W$1001&lt;W286)+($W$2:$W$1001=W286)*(ROW($K$2:$K$1001)&lt;ROW(K286))))))))</f>
        <v/>
      </c>
    </row>
    <row r="287" customFormat="false" ht="15" hidden="false" customHeight="false" outlineLevel="0" collapsed="false">
      <c r="A287" s="0" t="str">
        <f aca="false">IF(TRIM('List 1'!A287&amp;'List 1'!C287&amp;'List 1'!D287)="","",LOWER(IF(OR(Comparison!$I$9="Item # + Part # + Description",Comparison!$I$9="Item # + Part #"),TRIM('List 1'!A287),"")&amp;"|"&amp;TRIM('List 1'!C287)&amp;"|"&amp;IF(OR(Comparison!$I$9="Item # + Part # + Description",Comparison!$I$9="Part # + Description"),TRIM('List 1'!D287),"")))</f>
        <v/>
      </c>
      <c r="B287" s="0" t="str">
        <f aca="false">IF(A287="","",SUMPRODUCT(--($A$2:A287=A287)))</f>
        <v/>
      </c>
      <c r="C287" s="0" t="str">
        <f aca="false">IF(A287="","",A287&amp;"#"&amp;B287)</f>
        <v/>
      </c>
      <c r="D287" s="0" t="str">
        <f aca="false">IF(A287="","",IFERROR(--'List 1'!B287,0))</f>
        <v/>
      </c>
      <c r="F287" s="0" t="str">
        <f aca="false">IF(TRIM('List 2'!A287&amp;'List 2'!C287&amp;'List 2'!D287)="","",LOWER(IF(OR(Comparison!$I$9="Item # + Part # + Description",Comparison!$I$9="Item # + Part #"),TRIM('List 2'!A287),"")&amp;"|"&amp;TRIM('List 2'!C287)&amp;"|"&amp;IF(OR(Comparison!$I$9="Item # + Part # + Description",Comparison!$I$9="Part # + Description"),TRIM('List 2'!D287),"")))</f>
        <v/>
      </c>
      <c r="G287" s="0" t="str">
        <f aca="false">IF(F287="","",SUMPRODUCT(--($F$2:F287=F287)))</f>
        <v/>
      </c>
      <c r="H287" s="0" t="str">
        <f aca="false">IF(F287="","",F287&amp;"#"&amp;G287)</f>
        <v/>
      </c>
      <c r="I287" s="0" t="str">
        <f aca="false">IF(F287="","",IFERROR(--'List 2'!B287,0))</f>
        <v/>
      </c>
      <c r="K287" s="0" t="str">
        <f aca="false">C287</f>
        <v/>
      </c>
      <c r="L287" s="0" t="str">
        <f aca="false">IF(K287="","",IF(ISNUMBER('List 1'!A287),'List 1'!A287,TRIM('List 1'!A287)))</f>
        <v/>
      </c>
      <c r="M287" s="0" t="str">
        <f aca="false">IF(K287="","",IF(ISNUMBER('List 1'!C287),'List 1'!C287,TRIM('List 1'!C287)))</f>
        <v/>
      </c>
      <c r="N287" s="0" t="str">
        <f aca="false">IF(K287="","",IF(ISNUMBER('List 1'!D287),'List 1'!D287,TRIM('List 1'!D287)))</f>
        <v/>
      </c>
      <c r="O287" s="0" t="str">
        <f aca="false">IF(K287="","",D287)</f>
        <v/>
      </c>
      <c r="P287" s="0" t="str">
        <f aca="false">IF(K287="","",IF(R287,SUMPRODUCT(--($H$2:$H$501=K287),$I$2:$I$501),0))</f>
        <v/>
      </c>
      <c r="Q287" s="0" t="str">
        <f aca="false">IF(K287="","",TRUE())</f>
        <v/>
      </c>
      <c r="R287" s="0" t="str">
        <f aca="false">IF(K287="","",SUMPRODUCT(--($H$2:$H$501=K287))&gt;0)</f>
        <v/>
      </c>
      <c r="S287" s="0" t="str">
        <f aca="false">IF(K287="","",IF(AND(Q287,R287),IF(O287=P287,"Match","Qty Different"),IF(Q287,"Only in List 1","Only in List 2")))</f>
        <v/>
      </c>
      <c r="T287" s="0" t="str">
        <f aca="false">IF(K287="","",IF(ISNUMBER(--L287),TEXT(--L287,"000000000000.000"),LOWER(L287)))</f>
        <v/>
      </c>
      <c r="U287" s="0" t="str">
        <f aca="false">IF(K287="","",IF(ISNUMBER(--M287),TEXT(--M287,"000000000000.000"),LOWER(M287)))</f>
        <v/>
      </c>
      <c r="V287" s="0" t="str">
        <f aca="false">IF(K287="","",LOWER(N287))</f>
        <v/>
      </c>
      <c r="W287" s="0" t="str">
        <f aca="false">IF(K287="","",B287)</f>
        <v/>
      </c>
      <c r="X287" s="0" t="str">
        <f aca="false">IF(K287="","",1+SUMPRODUCT(($K$2:$K$1001&lt;&gt;"")*(($T$2:$T$1001&lt;T287)+($T$2:$T$1001=T287)*(($U$2:$U$1001&lt;U287)+($U$2:$U$1001=U287)*(($V$2:$V$1001&lt;V287)+($V$2:$V$1001=V287)*(($W$2:$W$1001&lt;W287)+($W$2:$W$1001=W287)*(ROW($K$2:$K$1001)&lt;ROW(K287))))))))</f>
        <v/>
      </c>
    </row>
    <row r="288" customFormat="false" ht="15" hidden="false" customHeight="false" outlineLevel="0" collapsed="false">
      <c r="A288" s="0" t="str">
        <f aca="false">IF(TRIM('List 1'!A288&amp;'List 1'!C288&amp;'List 1'!D288)="","",LOWER(IF(OR(Comparison!$I$9="Item # + Part # + Description",Comparison!$I$9="Item # + Part #"),TRIM('List 1'!A288),"")&amp;"|"&amp;TRIM('List 1'!C288)&amp;"|"&amp;IF(OR(Comparison!$I$9="Item # + Part # + Description",Comparison!$I$9="Part # + Description"),TRIM('List 1'!D288),"")))</f>
        <v/>
      </c>
      <c r="B288" s="0" t="str">
        <f aca="false">IF(A288="","",SUMPRODUCT(--($A$2:A288=A288)))</f>
        <v/>
      </c>
      <c r="C288" s="0" t="str">
        <f aca="false">IF(A288="","",A288&amp;"#"&amp;B288)</f>
        <v/>
      </c>
      <c r="D288" s="0" t="str">
        <f aca="false">IF(A288="","",IFERROR(--'List 1'!B288,0))</f>
        <v/>
      </c>
      <c r="F288" s="0" t="str">
        <f aca="false">IF(TRIM('List 2'!A288&amp;'List 2'!C288&amp;'List 2'!D288)="","",LOWER(IF(OR(Comparison!$I$9="Item # + Part # + Description",Comparison!$I$9="Item # + Part #"),TRIM('List 2'!A288),"")&amp;"|"&amp;TRIM('List 2'!C288)&amp;"|"&amp;IF(OR(Comparison!$I$9="Item # + Part # + Description",Comparison!$I$9="Part # + Description"),TRIM('List 2'!D288),"")))</f>
        <v/>
      </c>
      <c r="G288" s="0" t="str">
        <f aca="false">IF(F288="","",SUMPRODUCT(--($F$2:F288=F288)))</f>
        <v/>
      </c>
      <c r="H288" s="0" t="str">
        <f aca="false">IF(F288="","",F288&amp;"#"&amp;G288)</f>
        <v/>
      </c>
      <c r="I288" s="0" t="str">
        <f aca="false">IF(F288="","",IFERROR(--'List 2'!B288,0))</f>
        <v/>
      </c>
      <c r="K288" s="0" t="str">
        <f aca="false">C288</f>
        <v/>
      </c>
      <c r="L288" s="0" t="str">
        <f aca="false">IF(K288="","",IF(ISNUMBER('List 1'!A288),'List 1'!A288,TRIM('List 1'!A288)))</f>
        <v/>
      </c>
      <c r="M288" s="0" t="str">
        <f aca="false">IF(K288="","",IF(ISNUMBER('List 1'!C288),'List 1'!C288,TRIM('List 1'!C288)))</f>
        <v/>
      </c>
      <c r="N288" s="0" t="str">
        <f aca="false">IF(K288="","",IF(ISNUMBER('List 1'!D288),'List 1'!D288,TRIM('List 1'!D288)))</f>
        <v/>
      </c>
      <c r="O288" s="0" t="str">
        <f aca="false">IF(K288="","",D288)</f>
        <v/>
      </c>
      <c r="P288" s="0" t="str">
        <f aca="false">IF(K288="","",IF(R288,SUMPRODUCT(--($H$2:$H$501=K288),$I$2:$I$501),0))</f>
        <v/>
      </c>
      <c r="Q288" s="0" t="str">
        <f aca="false">IF(K288="","",TRUE())</f>
        <v/>
      </c>
      <c r="R288" s="0" t="str">
        <f aca="false">IF(K288="","",SUMPRODUCT(--($H$2:$H$501=K288))&gt;0)</f>
        <v/>
      </c>
      <c r="S288" s="0" t="str">
        <f aca="false">IF(K288="","",IF(AND(Q288,R288),IF(O288=P288,"Match","Qty Different"),IF(Q288,"Only in List 1","Only in List 2")))</f>
        <v/>
      </c>
      <c r="T288" s="0" t="str">
        <f aca="false">IF(K288="","",IF(ISNUMBER(--L288),TEXT(--L288,"000000000000.000"),LOWER(L288)))</f>
        <v/>
      </c>
      <c r="U288" s="0" t="str">
        <f aca="false">IF(K288="","",IF(ISNUMBER(--M288),TEXT(--M288,"000000000000.000"),LOWER(M288)))</f>
        <v/>
      </c>
      <c r="V288" s="0" t="str">
        <f aca="false">IF(K288="","",LOWER(N288))</f>
        <v/>
      </c>
      <c r="W288" s="0" t="str">
        <f aca="false">IF(K288="","",B288)</f>
        <v/>
      </c>
      <c r="X288" s="0" t="str">
        <f aca="false">IF(K288="","",1+SUMPRODUCT(($K$2:$K$1001&lt;&gt;"")*(($T$2:$T$1001&lt;T288)+($T$2:$T$1001=T288)*(($U$2:$U$1001&lt;U288)+($U$2:$U$1001=U288)*(($V$2:$V$1001&lt;V288)+($V$2:$V$1001=V288)*(($W$2:$W$1001&lt;W288)+($W$2:$W$1001=W288)*(ROW($K$2:$K$1001)&lt;ROW(K288))))))))</f>
        <v/>
      </c>
    </row>
    <row r="289" customFormat="false" ht="15" hidden="false" customHeight="false" outlineLevel="0" collapsed="false">
      <c r="A289" s="0" t="str">
        <f aca="false">IF(TRIM('List 1'!A289&amp;'List 1'!C289&amp;'List 1'!D289)="","",LOWER(IF(OR(Comparison!$I$9="Item # + Part # + Description",Comparison!$I$9="Item # + Part #"),TRIM('List 1'!A289),"")&amp;"|"&amp;TRIM('List 1'!C289)&amp;"|"&amp;IF(OR(Comparison!$I$9="Item # + Part # + Description",Comparison!$I$9="Part # + Description"),TRIM('List 1'!D289),"")))</f>
        <v/>
      </c>
      <c r="B289" s="0" t="str">
        <f aca="false">IF(A289="","",SUMPRODUCT(--($A$2:A289=A289)))</f>
        <v/>
      </c>
      <c r="C289" s="0" t="str">
        <f aca="false">IF(A289="","",A289&amp;"#"&amp;B289)</f>
        <v/>
      </c>
      <c r="D289" s="0" t="str">
        <f aca="false">IF(A289="","",IFERROR(--'List 1'!B289,0))</f>
        <v/>
      </c>
      <c r="F289" s="0" t="str">
        <f aca="false">IF(TRIM('List 2'!A289&amp;'List 2'!C289&amp;'List 2'!D289)="","",LOWER(IF(OR(Comparison!$I$9="Item # + Part # + Description",Comparison!$I$9="Item # + Part #"),TRIM('List 2'!A289),"")&amp;"|"&amp;TRIM('List 2'!C289)&amp;"|"&amp;IF(OR(Comparison!$I$9="Item # + Part # + Description",Comparison!$I$9="Part # + Description"),TRIM('List 2'!D289),"")))</f>
        <v/>
      </c>
      <c r="G289" s="0" t="str">
        <f aca="false">IF(F289="","",SUMPRODUCT(--($F$2:F289=F289)))</f>
        <v/>
      </c>
      <c r="H289" s="0" t="str">
        <f aca="false">IF(F289="","",F289&amp;"#"&amp;G289)</f>
        <v/>
      </c>
      <c r="I289" s="0" t="str">
        <f aca="false">IF(F289="","",IFERROR(--'List 2'!B289,0))</f>
        <v/>
      </c>
      <c r="K289" s="0" t="str">
        <f aca="false">C289</f>
        <v/>
      </c>
      <c r="L289" s="0" t="str">
        <f aca="false">IF(K289="","",IF(ISNUMBER('List 1'!A289),'List 1'!A289,TRIM('List 1'!A289)))</f>
        <v/>
      </c>
      <c r="M289" s="0" t="str">
        <f aca="false">IF(K289="","",IF(ISNUMBER('List 1'!C289),'List 1'!C289,TRIM('List 1'!C289)))</f>
        <v/>
      </c>
      <c r="N289" s="0" t="str">
        <f aca="false">IF(K289="","",IF(ISNUMBER('List 1'!D289),'List 1'!D289,TRIM('List 1'!D289)))</f>
        <v/>
      </c>
      <c r="O289" s="0" t="str">
        <f aca="false">IF(K289="","",D289)</f>
        <v/>
      </c>
      <c r="P289" s="0" t="str">
        <f aca="false">IF(K289="","",IF(R289,SUMPRODUCT(--($H$2:$H$501=K289),$I$2:$I$501),0))</f>
        <v/>
      </c>
      <c r="Q289" s="0" t="str">
        <f aca="false">IF(K289="","",TRUE())</f>
        <v/>
      </c>
      <c r="R289" s="0" t="str">
        <f aca="false">IF(K289="","",SUMPRODUCT(--($H$2:$H$501=K289))&gt;0)</f>
        <v/>
      </c>
      <c r="S289" s="0" t="str">
        <f aca="false">IF(K289="","",IF(AND(Q289,R289),IF(O289=P289,"Match","Qty Different"),IF(Q289,"Only in List 1","Only in List 2")))</f>
        <v/>
      </c>
      <c r="T289" s="0" t="str">
        <f aca="false">IF(K289="","",IF(ISNUMBER(--L289),TEXT(--L289,"000000000000.000"),LOWER(L289)))</f>
        <v/>
      </c>
      <c r="U289" s="0" t="str">
        <f aca="false">IF(K289="","",IF(ISNUMBER(--M289),TEXT(--M289,"000000000000.000"),LOWER(M289)))</f>
        <v/>
      </c>
      <c r="V289" s="0" t="str">
        <f aca="false">IF(K289="","",LOWER(N289))</f>
        <v/>
      </c>
      <c r="W289" s="0" t="str">
        <f aca="false">IF(K289="","",B289)</f>
        <v/>
      </c>
      <c r="X289" s="0" t="str">
        <f aca="false">IF(K289="","",1+SUMPRODUCT(($K$2:$K$1001&lt;&gt;"")*(($T$2:$T$1001&lt;T289)+($T$2:$T$1001=T289)*(($U$2:$U$1001&lt;U289)+($U$2:$U$1001=U289)*(($V$2:$V$1001&lt;V289)+($V$2:$V$1001=V289)*(($W$2:$W$1001&lt;W289)+($W$2:$W$1001=W289)*(ROW($K$2:$K$1001)&lt;ROW(K289))))))))</f>
        <v/>
      </c>
    </row>
    <row r="290" customFormat="false" ht="15" hidden="false" customHeight="false" outlineLevel="0" collapsed="false">
      <c r="A290" s="0" t="str">
        <f aca="false">IF(TRIM('List 1'!A290&amp;'List 1'!C290&amp;'List 1'!D290)="","",LOWER(IF(OR(Comparison!$I$9="Item # + Part # + Description",Comparison!$I$9="Item # + Part #"),TRIM('List 1'!A290),"")&amp;"|"&amp;TRIM('List 1'!C290)&amp;"|"&amp;IF(OR(Comparison!$I$9="Item # + Part # + Description",Comparison!$I$9="Part # + Description"),TRIM('List 1'!D290),"")))</f>
        <v/>
      </c>
      <c r="B290" s="0" t="str">
        <f aca="false">IF(A290="","",SUMPRODUCT(--($A$2:A290=A290)))</f>
        <v/>
      </c>
      <c r="C290" s="0" t="str">
        <f aca="false">IF(A290="","",A290&amp;"#"&amp;B290)</f>
        <v/>
      </c>
      <c r="D290" s="0" t="str">
        <f aca="false">IF(A290="","",IFERROR(--'List 1'!B290,0))</f>
        <v/>
      </c>
      <c r="F290" s="0" t="str">
        <f aca="false">IF(TRIM('List 2'!A290&amp;'List 2'!C290&amp;'List 2'!D290)="","",LOWER(IF(OR(Comparison!$I$9="Item # + Part # + Description",Comparison!$I$9="Item # + Part #"),TRIM('List 2'!A290),"")&amp;"|"&amp;TRIM('List 2'!C290)&amp;"|"&amp;IF(OR(Comparison!$I$9="Item # + Part # + Description",Comparison!$I$9="Part # + Description"),TRIM('List 2'!D290),"")))</f>
        <v/>
      </c>
      <c r="G290" s="0" t="str">
        <f aca="false">IF(F290="","",SUMPRODUCT(--($F$2:F290=F290)))</f>
        <v/>
      </c>
      <c r="H290" s="0" t="str">
        <f aca="false">IF(F290="","",F290&amp;"#"&amp;G290)</f>
        <v/>
      </c>
      <c r="I290" s="0" t="str">
        <f aca="false">IF(F290="","",IFERROR(--'List 2'!B290,0))</f>
        <v/>
      </c>
      <c r="K290" s="0" t="str">
        <f aca="false">C290</f>
        <v/>
      </c>
      <c r="L290" s="0" t="str">
        <f aca="false">IF(K290="","",IF(ISNUMBER('List 1'!A290),'List 1'!A290,TRIM('List 1'!A290)))</f>
        <v/>
      </c>
      <c r="M290" s="0" t="str">
        <f aca="false">IF(K290="","",IF(ISNUMBER('List 1'!C290),'List 1'!C290,TRIM('List 1'!C290)))</f>
        <v/>
      </c>
      <c r="N290" s="0" t="str">
        <f aca="false">IF(K290="","",IF(ISNUMBER('List 1'!D290),'List 1'!D290,TRIM('List 1'!D290)))</f>
        <v/>
      </c>
      <c r="O290" s="0" t="str">
        <f aca="false">IF(K290="","",D290)</f>
        <v/>
      </c>
      <c r="P290" s="0" t="str">
        <f aca="false">IF(K290="","",IF(R290,SUMPRODUCT(--($H$2:$H$501=K290),$I$2:$I$501),0))</f>
        <v/>
      </c>
      <c r="Q290" s="0" t="str">
        <f aca="false">IF(K290="","",TRUE())</f>
        <v/>
      </c>
      <c r="R290" s="0" t="str">
        <f aca="false">IF(K290="","",SUMPRODUCT(--($H$2:$H$501=K290))&gt;0)</f>
        <v/>
      </c>
      <c r="S290" s="0" t="str">
        <f aca="false">IF(K290="","",IF(AND(Q290,R290),IF(O290=P290,"Match","Qty Different"),IF(Q290,"Only in List 1","Only in List 2")))</f>
        <v/>
      </c>
      <c r="T290" s="0" t="str">
        <f aca="false">IF(K290="","",IF(ISNUMBER(--L290),TEXT(--L290,"000000000000.000"),LOWER(L290)))</f>
        <v/>
      </c>
      <c r="U290" s="0" t="str">
        <f aca="false">IF(K290="","",IF(ISNUMBER(--M290),TEXT(--M290,"000000000000.000"),LOWER(M290)))</f>
        <v/>
      </c>
      <c r="V290" s="0" t="str">
        <f aca="false">IF(K290="","",LOWER(N290))</f>
        <v/>
      </c>
      <c r="W290" s="0" t="str">
        <f aca="false">IF(K290="","",B290)</f>
        <v/>
      </c>
      <c r="X290" s="0" t="str">
        <f aca="false">IF(K290="","",1+SUMPRODUCT(($K$2:$K$1001&lt;&gt;"")*(($T$2:$T$1001&lt;T290)+($T$2:$T$1001=T290)*(($U$2:$U$1001&lt;U290)+($U$2:$U$1001=U290)*(($V$2:$V$1001&lt;V290)+($V$2:$V$1001=V290)*(($W$2:$W$1001&lt;W290)+($W$2:$W$1001=W290)*(ROW($K$2:$K$1001)&lt;ROW(K290))))))))</f>
        <v/>
      </c>
    </row>
    <row r="291" customFormat="false" ht="15" hidden="false" customHeight="false" outlineLevel="0" collapsed="false">
      <c r="A291" s="0" t="str">
        <f aca="false">IF(TRIM('List 1'!A291&amp;'List 1'!C291&amp;'List 1'!D291)="","",LOWER(IF(OR(Comparison!$I$9="Item # + Part # + Description",Comparison!$I$9="Item # + Part #"),TRIM('List 1'!A291),"")&amp;"|"&amp;TRIM('List 1'!C291)&amp;"|"&amp;IF(OR(Comparison!$I$9="Item # + Part # + Description",Comparison!$I$9="Part # + Description"),TRIM('List 1'!D291),"")))</f>
        <v/>
      </c>
      <c r="B291" s="0" t="str">
        <f aca="false">IF(A291="","",SUMPRODUCT(--($A$2:A291=A291)))</f>
        <v/>
      </c>
      <c r="C291" s="0" t="str">
        <f aca="false">IF(A291="","",A291&amp;"#"&amp;B291)</f>
        <v/>
      </c>
      <c r="D291" s="0" t="str">
        <f aca="false">IF(A291="","",IFERROR(--'List 1'!B291,0))</f>
        <v/>
      </c>
      <c r="F291" s="0" t="str">
        <f aca="false">IF(TRIM('List 2'!A291&amp;'List 2'!C291&amp;'List 2'!D291)="","",LOWER(IF(OR(Comparison!$I$9="Item # + Part # + Description",Comparison!$I$9="Item # + Part #"),TRIM('List 2'!A291),"")&amp;"|"&amp;TRIM('List 2'!C291)&amp;"|"&amp;IF(OR(Comparison!$I$9="Item # + Part # + Description",Comparison!$I$9="Part # + Description"),TRIM('List 2'!D291),"")))</f>
        <v/>
      </c>
      <c r="G291" s="0" t="str">
        <f aca="false">IF(F291="","",SUMPRODUCT(--($F$2:F291=F291)))</f>
        <v/>
      </c>
      <c r="H291" s="0" t="str">
        <f aca="false">IF(F291="","",F291&amp;"#"&amp;G291)</f>
        <v/>
      </c>
      <c r="I291" s="0" t="str">
        <f aca="false">IF(F291="","",IFERROR(--'List 2'!B291,0))</f>
        <v/>
      </c>
      <c r="K291" s="0" t="str">
        <f aca="false">C291</f>
        <v/>
      </c>
      <c r="L291" s="0" t="str">
        <f aca="false">IF(K291="","",IF(ISNUMBER('List 1'!A291),'List 1'!A291,TRIM('List 1'!A291)))</f>
        <v/>
      </c>
      <c r="M291" s="0" t="str">
        <f aca="false">IF(K291="","",IF(ISNUMBER('List 1'!C291),'List 1'!C291,TRIM('List 1'!C291)))</f>
        <v/>
      </c>
      <c r="N291" s="0" t="str">
        <f aca="false">IF(K291="","",IF(ISNUMBER('List 1'!D291),'List 1'!D291,TRIM('List 1'!D291)))</f>
        <v/>
      </c>
      <c r="O291" s="0" t="str">
        <f aca="false">IF(K291="","",D291)</f>
        <v/>
      </c>
      <c r="P291" s="0" t="str">
        <f aca="false">IF(K291="","",IF(R291,SUMPRODUCT(--($H$2:$H$501=K291),$I$2:$I$501),0))</f>
        <v/>
      </c>
      <c r="Q291" s="0" t="str">
        <f aca="false">IF(K291="","",TRUE())</f>
        <v/>
      </c>
      <c r="R291" s="0" t="str">
        <f aca="false">IF(K291="","",SUMPRODUCT(--($H$2:$H$501=K291))&gt;0)</f>
        <v/>
      </c>
      <c r="S291" s="0" t="str">
        <f aca="false">IF(K291="","",IF(AND(Q291,R291),IF(O291=P291,"Match","Qty Different"),IF(Q291,"Only in List 1","Only in List 2")))</f>
        <v/>
      </c>
      <c r="T291" s="0" t="str">
        <f aca="false">IF(K291="","",IF(ISNUMBER(--L291),TEXT(--L291,"000000000000.000"),LOWER(L291)))</f>
        <v/>
      </c>
      <c r="U291" s="0" t="str">
        <f aca="false">IF(K291="","",IF(ISNUMBER(--M291),TEXT(--M291,"000000000000.000"),LOWER(M291)))</f>
        <v/>
      </c>
      <c r="V291" s="0" t="str">
        <f aca="false">IF(K291="","",LOWER(N291))</f>
        <v/>
      </c>
      <c r="W291" s="0" t="str">
        <f aca="false">IF(K291="","",B291)</f>
        <v/>
      </c>
      <c r="X291" s="0" t="str">
        <f aca="false">IF(K291="","",1+SUMPRODUCT(($K$2:$K$1001&lt;&gt;"")*(($T$2:$T$1001&lt;T291)+($T$2:$T$1001=T291)*(($U$2:$U$1001&lt;U291)+($U$2:$U$1001=U291)*(($V$2:$V$1001&lt;V291)+($V$2:$V$1001=V291)*(($W$2:$W$1001&lt;W291)+($W$2:$W$1001=W291)*(ROW($K$2:$K$1001)&lt;ROW(K291))))))))</f>
        <v/>
      </c>
    </row>
    <row r="292" customFormat="false" ht="15" hidden="false" customHeight="false" outlineLevel="0" collapsed="false">
      <c r="A292" s="0" t="str">
        <f aca="false">IF(TRIM('List 1'!A292&amp;'List 1'!C292&amp;'List 1'!D292)="","",LOWER(IF(OR(Comparison!$I$9="Item # + Part # + Description",Comparison!$I$9="Item # + Part #"),TRIM('List 1'!A292),"")&amp;"|"&amp;TRIM('List 1'!C292)&amp;"|"&amp;IF(OR(Comparison!$I$9="Item # + Part # + Description",Comparison!$I$9="Part # + Description"),TRIM('List 1'!D292),"")))</f>
        <v/>
      </c>
      <c r="B292" s="0" t="str">
        <f aca="false">IF(A292="","",SUMPRODUCT(--($A$2:A292=A292)))</f>
        <v/>
      </c>
      <c r="C292" s="0" t="str">
        <f aca="false">IF(A292="","",A292&amp;"#"&amp;B292)</f>
        <v/>
      </c>
      <c r="D292" s="0" t="str">
        <f aca="false">IF(A292="","",IFERROR(--'List 1'!B292,0))</f>
        <v/>
      </c>
      <c r="F292" s="0" t="str">
        <f aca="false">IF(TRIM('List 2'!A292&amp;'List 2'!C292&amp;'List 2'!D292)="","",LOWER(IF(OR(Comparison!$I$9="Item # + Part # + Description",Comparison!$I$9="Item # + Part #"),TRIM('List 2'!A292),"")&amp;"|"&amp;TRIM('List 2'!C292)&amp;"|"&amp;IF(OR(Comparison!$I$9="Item # + Part # + Description",Comparison!$I$9="Part # + Description"),TRIM('List 2'!D292),"")))</f>
        <v/>
      </c>
      <c r="G292" s="0" t="str">
        <f aca="false">IF(F292="","",SUMPRODUCT(--($F$2:F292=F292)))</f>
        <v/>
      </c>
      <c r="H292" s="0" t="str">
        <f aca="false">IF(F292="","",F292&amp;"#"&amp;G292)</f>
        <v/>
      </c>
      <c r="I292" s="0" t="str">
        <f aca="false">IF(F292="","",IFERROR(--'List 2'!B292,0))</f>
        <v/>
      </c>
      <c r="K292" s="0" t="str">
        <f aca="false">C292</f>
        <v/>
      </c>
      <c r="L292" s="0" t="str">
        <f aca="false">IF(K292="","",IF(ISNUMBER('List 1'!A292),'List 1'!A292,TRIM('List 1'!A292)))</f>
        <v/>
      </c>
      <c r="M292" s="0" t="str">
        <f aca="false">IF(K292="","",IF(ISNUMBER('List 1'!C292),'List 1'!C292,TRIM('List 1'!C292)))</f>
        <v/>
      </c>
      <c r="N292" s="0" t="str">
        <f aca="false">IF(K292="","",IF(ISNUMBER('List 1'!D292),'List 1'!D292,TRIM('List 1'!D292)))</f>
        <v/>
      </c>
      <c r="O292" s="0" t="str">
        <f aca="false">IF(K292="","",D292)</f>
        <v/>
      </c>
      <c r="P292" s="0" t="str">
        <f aca="false">IF(K292="","",IF(R292,SUMPRODUCT(--($H$2:$H$501=K292),$I$2:$I$501),0))</f>
        <v/>
      </c>
      <c r="Q292" s="0" t="str">
        <f aca="false">IF(K292="","",TRUE())</f>
        <v/>
      </c>
      <c r="R292" s="0" t="str">
        <f aca="false">IF(K292="","",SUMPRODUCT(--($H$2:$H$501=K292))&gt;0)</f>
        <v/>
      </c>
      <c r="S292" s="0" t="str">
        <f aca="false">IF(K292="","",IF(AND(Q292,R292),IF(O292=P292,"Match","Qty Different"),IF(Q292,"Only in List 1","Only in List 2")))</f>
        <v/>
      </c>
      <c r="T292" s="0" t="str">
        <f aca="false">IF(K292="","",IF(ISNUMBER(--L292),TEXT(--L292,"000000000000.000"),LOWER(L292)))</f>
        <v/>
      </c>
      <c r="U292" s="0" t="str">
        <f aca="false">IF(K292="","",IF(ISNUMBER(--M292),TEXT(--M292,"000000000000.000"),LOWER(M292)))</f>
        <v/>
      </c>
      <c r="V292" s="0" t="str">
        <f aca="false">IF(K292="","",LOWER(N292))</f>
        <v/>
      </c>
      <c r="W292" s="0" t="str">
        <f aca="false">IF(K292="","",B292)</f>
        <v/>
      </c>
      <c r="X292" s="0" t="str">
        <f aca="false">IF(K292="","",1+SUMPRODUCT(($K$2:$K$1001&lt;&gt;"")*(($T$2:$T$1001&lt;T292)+($T$2:$T$1001=T292)*(($U$2:$U$1001&lt;U292)+($U$2:$U$1001=U292)*(($V$2:$V$1001&lt;V292)+($V$2:$V$1001=V292)*(($W$2:$W$1001&lt;W292)+($W$2:$W$1001=W292)*(ROW($K$2:$K$1001)&lt;ROW(K292))))))))</f>
        <v/>
      </c>
    </row>
    <row r="293" customFormat="false" ht="15" hidden="false" customHeight="false" outlineLevel="0" collapsed="false">
      <c r="A293" s="0" t="str">
        <f aca="false">IF(TRIM('List 1'!A293&amp;'List 1'!C293&amp;'List 1'!D293)="","",LOWER(IF(OR(Comparison!$I$9="Item # + Part # + Description",Comparison!$I$9="Item # + Part #"),TRIM('List 1'!A293),"")&amp;"|"&amp;TRIM('List 1'!C293)&amp;"|"&amp;IF(OR(Comparison!$I$9="Item # + Part # + Description",Comparison!$I$9="Part # + Description"),TRIM('List 1'!D293),"")))</f>
        <v/>
      </c>
      <c r="B293" s="0" t="str">
        <f aca="false">IF(A293="","",SUMPRODUCT(--($A$2:A293=A293)))</f>
        <v/>
      </c>
      <c r="C293" s="0" t="str">
        <f aca="false">IF(A293="","",A293&amp;"#"&amp;B293)</f>
        <v/>
      </c>
      <c r="D293" s="0" t="str">
        <f aca="false">IF(A293="","",IFERROR(--'List 1'!B293,0))</f>
        <v/>
      </c>
      <c r="F293" s="0" t="str">
        <f aca="false">IF(TRIM('List 2'!A293&amp;'List 2'!C293&amp;'List 2'!D293)="","",LOWER(IF(OR(Comparison!$I$9="Item # + Part # + Description",Comparison!$I$9="Item # + Part #"),TRIM('List 2'!A293),"")&amp;"|"&amp;TRIM('List 2'!C293)&amp;"|"&amp;IF(OR(Comparison!$I$9="Item # + Part # + Description",Comparison!$I$9="Part # + Description"),TRIM('List 2'!D293),"")))</f>
        <v/>
      </c>
      <c r="G293" s="0" t="str">
        <f aca="false">IF(F293="","",SUMPRODUCT(--($F$2:F293=F293)))</f>
        <v/>
      </c>
      <c r="H293" s="0" t="str">
        <f aca="false">IF(F293="","",F293&amp;"#"&amp;G293)</f>
        <v/>
      </c>
      <c r="I293" s="0" t="str">
        <f aca="false">IF(F293="","",IFERROR(--'List 2'!B293,0))</f>
        <v/>
      </c>
      <c r="K293" s="0" t="str">
        <f aca="false">C293</f>
        <v/>
      </c>
      <c r="L293" s="0" t="str">
        <f aca="false">IF(K293="","",IF(ISNUMBER('List 1'!A293),'List 1'!A293,TRIM('List 1'!A293)))</f>
        <v/>
      </c>
      <c r="M293" s="0" t="str">
        <f aca="false">IF(K293="","",IF(ISNUMBER('List 1'!C293),'List 1'!C293,TRIM('List 1'!C293)))</f>
        <v/>
      </c>
      <c r="N293" s="0" t="str">
        <f aca="false">IF(K293="","",IF(ISNUMBER('List 1'!D293),'List 1'!D293,TRIM('List 1'!D293)))</f>
        <v/>
      </c>
      <c r="O293" s="0" t="str">
        <f aca="false">IF(K293="","",D293)</f>
        <v/>
      </c>
      <c r="P293" s="0" t="str">
        <f aca="false">IF(K293="","",IF(R293,SUMPRODUCT(--($H$2:$H$501=K293),$I$2:$I$501),0))</f>
        <v/>
      </c>
      <c r="Q293" s="0" t="str">
        <f aca="false">IF(K293="","",TRUE())</f>
        <v/>
      </c>
      <c r="R293" s="0" t="str">
        <f aca="false">IF(K293="","",SUMPRODUCT(--($H$2:$H$501=K293))&gt;0)</f>
        <v/>
      </c>
      <c r="S293" s="0" t="str">
        <f aca="false">IF(K293="","",IF(AND(Q293,R293),IF(O293=P293,"Match","Qty Different"),IF(Q293,"Only in List 1","Only in List 2")))</f>
        <v/>
      </c>
      <c r="T293" s="0" t="str">
        <f aca="false">IF(K293="","",IF(ISNUMBER(--L293),TEXT(--L293,"000000000000.000"),LOWER(L293)))</f>
        <v/>
      </c>
      <c r="U293" s="0" t="str">
        <f aca="false">IF(K293="","",IF(ISNUMBER(--M293),TEXT(--M293,"000000000000.000"),LOWER(M293)))</f>
        <v/>
      </c>
      <c r="V293" s="0" t="str">
        <f aca="false">IF(K293="","",LOWER(N293))</f>
        <v/>
      </c>
      <c r="W293" s="0" t="str">
        <f aca="false">IF(K293="","",B293)</f>
        <v/>
      </c>
      <c r="X293" s="0" t="str">
        <f aca="false">IF(K293="","",1+SUMPRODUCT(($K$2:$K$1001&lt;&gt;"")*(($T$2:$T$1001&lt;T293)+($T$2:$T$1001=T293)*(($U$2:$U$1001&lt;U293)+($U$2:$U$1001=U293)*(($V$2:$V$1001&lt;V293)+($V$2:$V$1001=V293)*(($W$2:$W$1001&lt;W293)+($W$2:$W$1001=W293)*(ROW($K$2:$K$1001)&lt;ROW(K293))))))))</f>
        <v/>
      </c>
    </row>
    <row r="294" customFormat="false" ht="15" hidden="false" customHeight="false" outlineLevel="0" collapsed="false">
      <c r="A294" s="0" t="str">
        <f aca="false">IF(TRIM('List 1'!A294&amp;'List 1'!C294&amp;'List 1'!D294)="","",LOWER(IF(OR(Comparison!$I$9="Item # + Part # + Description",Comparison!$I$9="Item # + Part #"),TRIM('List 1'!A294),"")&amp;"|"&amp;TRIM('List 1'!C294)&amp;"|"&amp;IF(OR(Comparison!$I$9="Item # + Part # + Description",Comparison!$I$9="Part # + Description"),TRIM('List 1'!D294),"")))</f>
        <v/>
      </c>
      <c r="B294" s="0" t="str">
        <f aca="false">IF(A294="","",SUMPRODUCT(--($A$2:A294=A294)))</f>
        <v/>
      </c>
      <c r="C294" s="0" t="str">
        <f aca="false">IF(A294="","",A294&amp;"#"&amp;B294)</f>
        <v/>
      </c>
      <c r="D294" s="0" t="str">
        <f aca="false">IF(A294="","",IFERROR(--'List 1'!B294,0))</f>
        <v/>
      </c>
      <c r="F294" s="0" t="str">
        <f aca="false">IF(TRIM('List 2'!A294&amp;'List 2'!C294&amp;'List 2'!D294)="","",LOWER(IF(OR(Comparison!$I$9="Item # + Part # + Description",Comparison!$I$9="Item # + Part #"),TRIM('List 2'!A294),"")&amp;"|"&amp;TRIM('List 2'!C294)&amp;"|"&amp;IF(OR(Comparison!$I$9="Item # + Part # + Description",Comparison!$I$9="Part # + Description"),TRIM('List 2'!D294),"")))</f>
        <v/>
      </c>
      <c r="G294" s="0" t="str">
        <f aca="false">IF(F294="","",SUMPRODUCT(--($F$2:F294=F294)))</f>
        <v/>
      </c>
      <c r="H294" s="0" t="str">
        <f aca="false">IF(F294="","",F294&amp;"#"&amp;G294)</f>
        <v/>
      </c>
      <c r="I294" s="0" t="str">
        <f aca="false">IF(F294="","",IFERROR(--'List 2'!B294,0))</f>
        <v/>
      </c>
      <c r="K294" s="0" t="str">
        <f aca="false">C294</f>
        <v/>
      </c>
      <c r="L294" s="0" t="str">
        <f aca="false">IF(K294="","",IF(ISNUMBER('List 1'!A294),'List 1'!A294,TRIM('List 1'!A294)))</f>
        <v/>
      </c>
      <c r="M294" s="0" t="str">
        <f aca="false">IF(K294="","",IF(ISNUMBER('List 1'!C294),'List 1'!C294,TRIM('List 1'!C294)))</f>
        <v/>
      </c>
      <c r="N294" s="0" t="str">
        <f aca="false">IF(K294="","",IF(ISNUMBER('List 1'!D294),'List 1'!D294,TRIM('List 1'!D294)))</f>
        <v/>
      </c>
      <c r="O294" s="0" t="str">
        <f aca="false">IF(K294="","",D294)</f>
        <v/>
      </c>
      <c r="P294" s="0" t="str">
        <f aca="false">IF(K294="","",IF(R294,SUMPRODUCT(--($H$2:$H$501=K294),$I$2:$I$501),0))</f>
        <v/>
      </c>
      <c r="Q294" s="0" t="str">
        <f aca="false">IF(K294="","",TRUE())</f>
        <v/>
      </c>
      <c r="R294" s="0" t="str">
        <f aca="false">IF(K294="","",SUMPRODUCT(--($H$2:$H$501=K294))&gt;0)</f>
        <v/>
      </c>
      <c r="S294" s="0" t="str">
        <f aca="false">IF(K294="","",IF(AND(Q294,R294),IF(O294=P294,"Match","Qty Different"),IF(Q294,"Only in List 1","Only in List 2")))</f>
        <v/>
      </c>
      <c r="T294" s="0" t="str">
        <f aca="false">IF(K294="","",IF(ISNUMBER(--L294),TEXT(--L294,"000000000000.000"),LOWER(L294)))</f>
        <v/>
      </c>
      <c r="U294" s="0" t="str">
        <f aca="false">IF(K294="","",IF(ISNUMBER(--M294),TEXT(--M294,"000000000000.000"),LOWER(M294)))</f>
        <v/>
      </c>
      <c r="V294" s="0" t="str">
        <f aca="false">IF(K294="","",LOWER(N294))</f>
        <v/>
      </c>
      <c r="W294" s="0" t="str">
        <f aca="false">IF(K294="","",B294)</f>
        <v/>
      </c>
      <c r="X294" s="0" t="str">
        <f aca="false">IF(K294="","",1+SUMPRODUCT(($K$2:$K$1001&lt;&gt;"")*(($T$2:$T$1001&lt;T294)+($T$2:$T$1001=T294)*(($U$2:$U$1001&lt;U294)+($U$2:$U$1001=U294)*(($V$2:$V$1001&lt;V294)+($V$2:$V$1001=V294)*(($W$2:$W$1001&lt;W294)+($W$2:$W$1001=W294)*(ROW($K$2:$K$1001)&lt;ROW(K294))))))))</f>
        <v/>
      </c>
    </row>
    <row r="295" customFormat="false" ht="15" hidden="false" customHeight="false" outlineLevel="0" collapsed="false">
      <c r="A295" s="0" t="str">
        <f aca="false">IF(TRIM('List 1'!A295&amp;'List 1'!C295&amp;'List 1'!D295)="","",LOWER(IF(OR(Comparison!$I$9="Item # + Part # + Description",Comparison!$I$9="Item # + Part #"),TRIM('List 1'!A295),"")&amp;"|"&amp;TRIM('List 1'!C295)&amp;"|"&amp;IF(OR(Comparison!$I$9="Item # + Part # + Description",Comparison!$I$9="Part # + Description"),TRIM('List 1'!D295),"")))</f>
        <v/>
      </c>
      <c r="B295" s="0" t="str">
        <f aca="false">IF(A295="","",SUMPRODUCT(--($A$2:A295=A295)))</f>
        <v/>
      </c>
      <c r="C295" s="0" t="str">
        <f aca="false">IF(A295="","",A295&amp;"#"&amp;B295)</f>
        <v/>
      </c>
      <c r="D295" s="0" t="str">
        <f aca="false">IF(A295="","",IFERROR(--'List 1'!B295,0))</f>
        <v/>
      </c>
      <c r="F295" s="0" t="str">
        <f aca="false">IF(TRIM('List 2'!A295&amp;'List 2'!C295&amp;'List 2'!D295)="","",LOWER(IF(OR(Comparison!$I$9="Item # + Part # + Description",Comparison!$I$9="Item # + Part #"),TRIM('List 2'!A295),"")&amp;"|"&amp;TRIM('List 2'!C295)&amp;"|"&amp;IF(OR(Comparison!$I$9="Item # + Part # + Description",Comparison!$I$9="Part # + Description"),TRIM('List 2'!D295),"")))</f>
        <v/>
      </c>
      <c r="G295" s="0" t="str">
        <f aca="false">IF(F295="","",SUMPRODUCT(--($F$2:F295=F295)))</f>
        <v/>
      </c>
      <c r="H295" s="0" t="str">
        <f aca="false">IF(F295="","",F295&amp;"#"&amp;G295)</f>
        <v/>
      </c>
      <c r="I295" s="0" t="str">
        <f aca="false">IF(F295="","",IFERROR(--'List 2'!B295,0))</f>
        <v/>
      </c>
      <c r="K295" s="0" t="str">
        <f aca="false">C295</f>
        <v/>
      </c>
      <c r="L295" s="0" t="str">
        <f aca="false">IF(K295="","",IF(ISNUMBER('List 1'!A295),'List 1'!A295,TRIM('List 1'!A295)))</f>
        <v/>
      </c>
      <c r="M295" s="0" t="str">
        <f aca="false">IF(K295="","",IF(ISNUMBER('List 1'!C295),'List 1'!C295,TRIM('List 1'!C295)))</f>
        <v/>
      </c>
      <c r="N295" s="0" t="str">
        <f aca="false">IF(K295="","",IF(ISNUMBER('List 1'!D295),'List 1'!D295,TRIM('List 1'!D295)))</f>
        <v/>
      </c>
      <c r="O295" s="0" t="str">
        <f aca="false">IF(K295="","",D295)</f>
        <v/>
      </c>
      <c r="P295" s="0" t="str">
        <f aca="false">IF(K295="","",IF(R295,SUMPRODUCT(--($H$2:$H$501=K295),$I$2:$I$501),0))</f>
        <v/>
      </c>
      <c r="Q295" s="0" t="str">
        <f aca="false">IF(K295="","",TRUE())</f>
        <v/>
      </c>
      <c r="R295" s="0" t="str">
        <f aca="false">IF(K295="","",SUMPRODUCT(--($H$2:$H$501=K295))&gt;0)</f>
        <v/>
      </c>
      <c r="S295" s="0" t="str">
        <f aca="false">IF(K295="","",IF(AND(Q295,R295),IF(O295=P295,"Match","Qty Different"),IF(Q295,"Only in List 1","Only in List 2")))</f>
        <v/>
      </c>
      <c r="T295" s="0" t="str">
        <f aca="false">IF(K295="","",IF(ISNUMBER(--L295),TEXT(--L295,"000000000000.000"),LOWER(L295)))</f>
        <v/>
      </c>
      <c r="U295" s="0" t="str">
        <f aca="false">IF(K295="","",IF(ISNUMBER(--M295),TEXT(--M295,"000000000000.000"),LOWER(M295)))</f>
        <v/>
      </c>
      <c r="V295" s="0" t="str">
        <f aca="false">IF(K295="","",LOWER(N295))</f>
        <v/>
      </c>
      <c r="W295" s="0" t="str">
        <f aca="false">IF(K295="","",B295)</f>
        <v/>
      </c>
      <c r="X295" s="0" t="str">
        <f aca="false">IF(K295="","",1+SUMPRODUCT(($K$2:$K$1001&lt;&gt;"")*(($T$2:$T$1001&lt;T295)+($T$2:$T$1001=T295)*(($U$2:$U$1001&lt;U295)+($U$2:$U$1001=U295)*(($V$2:$V$1001&lt;V295)+($V$2:$V$1001=V295)*(($W$2:$W$1001&lt;W295)+($W$2:$W$1001=W295)*(ROW($K$2:$K$1001)&lt;ROW(K295))))))))</f>
        <v/>
      </c>
    </row>
    <row r="296" customFormat="false" ht="15" hidden="false" customHeight="false" outlineLevel="0" collapsed="false">
      <c r="A296" s="0" t="str">
        <f aca="false">IF(TRIM('List 1'!A296&amp;'List 1'!C296&amp;'List 1'!D296)="","",LOWER(IF(OR(Comparison!$I$9="Item # + Part # + Description",Comparison!$I$9="Item # + Part #"),TRIM('List 1'!A296),"")&amp;"|"&amp;TRIM('List 1'!C296)&amp;"|"&amp;IF(OR(Comparison!$I$9="Item # + Part # + Description",Comparison!$I$9="Part # + Description"),TRIM('List 1'!D296),"")))</f>
        <v/>
      </c>
      <c r="B296" s="0" t="str">
        <f aca="false">IF(A296="","",SUMPRODUCT(--($A$2:A296=A296)))</f>
        <v/>
      </c>
      <c r="C296" s="0" t="str">
        <f aca="false">IF(A296="","",A296&amp;"#"&amp;B296)</f>
        <v/>
      </c>
      <c r="D296" s="0" t="str">
        <f aca="false">IF(A296="","",IFERROR(--'List 1'!B296,0))</f>
        <v/>
      </c>
      <c r="F296" s="0" t="str">
        <f aca="false">IF(TRIM('List 2'!A296&amp;'List 2'!C296&amp;'List 2'!D296)="","",LOWER(IF(OR(Comparison!$I$9="Item # + Part # + Description",Comparison!$I$9="Item # + Part #"),TRIM('List 2'!A296),"")&amp;"|"&amp;TRIM('List 2'!C296)&amp;"|"&amp;IF(OR(Comparison!$I$9="Item # + Part # + Description",Comparison!$I$9="Part # + Description"),TRIM('List 2'!D296),"")))</f>
        <v/>
      </c>
      <c r="G296" s="0" t="str">
        <f aca="false">IF(F296="","",SUMPRODUCT(--($F$2:F296=F296)))</f>
        <v/>
      </c>
      <c r="H296" s="0" t="str">
        <f aca="false">IF(F296="","",F296&amp;"#"&amp;G296)</f>
        <v/>
      </c>
      <c r="I296" s="0" t="str">
        <f aca="false">IF(F296="","",IFERROR(--'List 2'!B296,0))</f>
        <v/>
      </c>
      <c r="K296" s="0" t="str">
        <f aca="false">C296</f>
        <v/>
      </c>
      <c r="L296" s="0" t="str">
        <f aca="false">IF(K296="","",IF(ISNUMBER('List 1'!A296),'List 1'!A296,TRIM('List 1'!A296)))</f>
        <v/>
      </c>
      <c r="M296" s="0" t="str">
        <f aca="false">IF(K296="","",IF(ISNUMBER('List 1'!C296),'List 1'!C296,TRIM('List 1'!C296)))</f>
        <v/>
      </c>
      <c r="N296" s="0" t="str">
        <f aca="false">IF(K296="","",IF(ISNUMBER('List 1'!D296),'List 1'!D296,TRIM('List 1'!D296)))</f>
        <v/>
      </c>
      <c r="O296" s="0" t="str">
        <f aca="false">IF(K296="","",D296)</f>
        <v/>
      </c>
      <c r="P296" s="0" t="str">
        <f aca="false">IF(K296="","",IF(R296,SUMPRODUCT(--($H$2:$H$501=K296),$I$2:$I$501),0))</f>
        <v/>
      </c>
      <c r="Q296" s="0" t="str">
        <f aca="false">IF(K296="","",TRUE())</f>
        <v/>
      </c>
      <c r="R296" s="0" t="str">
        <f aca="false">IF(K296="","",SUMPRODUCT(--($H$2:$H$501=K296))&gt;0)</f>
        <v/>
      </c>
      <c r="S296" s="0" t="str">
        <f aca="false">IF(K296="","",IF(AND(Q296,R296),IF(O296=P296,"Match","Qty Different"),IF(Q296,"Only in List 1","Only in List 2")))</f>
        <v/>
      </c>
      <c r="T296" s="0" t="str">
        <f aca="false">IF(K296="","",IF(ISNUMBER(--L296),TEXT(--L296,"000000000000.000"),LOWER(L296)))</f>
        <v/>
      </c>
      <c r="U296" s="0" t="str">
        <f aca="false">IF(K296="","",IF(ISNUMBER(--M296),TEXT(--M296,"000000000000.000"),LOWER(M296)))</f>
        <v/>
      </c>
      <c r="V296" s="0" t="str">
        <f aca="false">IF(K296="","",LOWER(N296))</f>
        <v/>
      </c>
      <c r="W296" s="0" t="str">
        <f aca="false">IF(K296="","",B296)</f>
        <v/>
      </c>
      <c r="X296" s="0" t="str">
        <f aca="false">IF(K296="","",1+SUMPRODUCT(($K$2:$K$1001&lt;&gt;"")*(($T$2:$T$1001&lt;T296)+($T$2:$T$1001=T296)*(($U$2:$U$1001&lt;U296)+($U$2:$U$1001=U296)*(($V$2:$V$1001&lt;V296)+($V$2:$V$1001=V296)*(($W$2:$W$1001&lt;W296)+($W$2:$W$1001=W296)*(ROW($K$2:$K$1001)&lt;ROW(K296))))))))</f>
        <v/>
      </c>
    </row>
    <row r="297" customFormat="false" ht="15" hidden="false" customHeight="false" outlineLevel="0" collapsed="false">
      <c r="A297" s="0" t="str">
        <f aca="false">IF(TRIM('List 1'!A297&amp;'List 1'!C297&amp;'List 1'!D297)="","",LOWER(IF(OR(Comparison!$I$9="Item # + Part # + Description",Comparison!$I$9="Item # + Part #"),TRIM('List 1'!A297),"")&amp;"|"&amp;TRIM('List 1'!C297)&amp;"|"&amp;IF(OR(Comparison!$I$9="Item # + Part # + Description",Comparison!$I$9="Part # + Description"),TRIM('List 1'!D297),"")))</f>
        <v/>
      </c>
      <c r="B297" s="0" t="str">
        <f aca="false">IF(A297="","",SUMPRODUCT(--($A$2:A297=A297)))</f>
        <v/>
      </c>
      <c r="C297" s="0" t="str">
        <f aca="false">IF(A297="","",A297&amp;"#"&amp;B297)</f>
        <v/>
      </c>
      <c r="D297" s="0" t="str">
        <f aca="false">IF(A297="","",IFERROR(--'List 1'!B297,0))</f>
        <v/>
      </c>
      <c r="F297" s="0" t="str">
        <f aca="false">IF(TRIM('List 2'!A297&amp;'List 2'!C297&amp;'List 2'!D297)="","",LOWER(IF(OR(Comparison!$I$9="Item # + Part # + Description",Comparison!$I$9="Item # + Part #"),TRIM('List 2'!A297),"")&amp;"|"&amp;TRIM('List 2'!C297)&amp;"|"&amp;IF(OR(Comparison!$I$9="Item # + Part # + Description",Comparison!$I$9="Part # + Description"),TRIM('List 2'!D297),"")))</f>
        <v/>
      </c>
      <c r="G297" s="0" t="str">
        <f aca="false">IF(F297="","",SUMPRODUCT(--($F$2:F297=F297)))</f>
        <v/>
      </c>
      <c r="H297" s="0" t="str">
        <f aca="false">IF(F297="","",F297&amp;"#"&amp;G297)</f>
        <v/>
      </c>
      <c r="I297" s="0" t="str">
        <f aca="false">IF(F297="","",IFERROR(--'List 2'!B297,0))</f>
        <v/>
      </c>
      <c r="K297" s="0" t="str">
        <f aca="false">C297</f>
        <v/>
      </c>
      <c r="L297" s="0" t="str">
        <f aca="false">IF(K297="","",IF(ISNUMBER('List 1'!A297),'List 1'!A297,TRIM('List 1'!A297)))</f>
        <v/>
      </c>
      <c r="M297" s="0" t="str">
        <f aca="false">IF(K297="","",IF(ISNUMBER('List 1'!C297),'List 1'!C297,TRIM('List 1'!C297)))</f>
        <v/>
      </c>
      <c r="N297" s="0" t="str">
        <f aca="false">IF(K297="","",IF(ISNUMBER('List 1'!D297),'List 1'!D297,TRIM('List 1'!D297)))</f>
        <v/>
      </c>
      <c r="O297" s="0" t="str">
        <f aca="false">IF(K297="","",D297)</f>
        <v/>
      </c>
      <c r="P297" s="0" t="str">
        <f aca="false">IF(K297="","",IF(R297,SUMPRODUCT(--($H$2:$H$501=K297),$I$2:$I$501),0))</f>
        <v/>
      </c>
      <c r="Q297" s="0" t="str">
        <f aca="false">IF(K297="","",TRUE())</f>
        <v/>
      </c>
      <c r="R297" s="0" t="str">
        <f aca="false">IF(K297="","",SUMPRODUCT(--($H$2:$H$501=K297))&gt;0)</f>
        <v/>
      </c>
      <c r="S297" s="0" t="str">
        <f aca="false">IF(K297="","",IF(AND(Q297,R297),IF(O297=P297,"Match","Qty Different"),IF(Q297,"Only in List 1","Only in List 2")))</f>
        <v/>
      </c>
      <c r="T297" s="0" t="str">
        <f aca="false">IF(K297="","",IF(ISNUMBER(--L297),TEXT(--L297,"000000000000.000"),LOWER(L297)))</f>
        <v/>
      </c>
      <c r="U297" s="0" t="str">
        <f aca="false">IF(K297="","",IF(ISNUMBER(--M297),TEXT(--M297,"000000000000.000"),LOWER(M297)))</f>
        <v/>
      </c>
      <c r="V297" s="0" t="str">
        <f aca="false">IF(K297="","",LOWER(N297))</f>
        <v/>
      </c>
      <c r="W297" s="0" t="str">
        <f aca="false">IF(K297="","",B297)</f>
        <v/>
      </c>
      <c r="X297" s="0" t="str">
        <f aca="false">IF(K297="","",1+SUMPRODUCT(($K$2:$K$1001&lt;&gt;"")*(($T$2:$T$1001&lt;T297)+($T$2:$T$1001=T297)*(($U$2:$U$1001&lt;U297)+($U$2:$U$1001=U297)*(($V$2:$V$1001&lt;V297)+($V$2:$V$1001=V297)*(($W$2:$W$1001&lt;W297)+($W$2:$W$1001=W297)*(ROW($K$2:$K$1001)&lt;ROW(K297))))))))</f>
        <v/>
      </c>
    </row>
    <row r="298" customFormat="false" ht="15" hidden="false" customHeight="false" outlineLevel="0" collapsed="false">
      <c r="A298" s="0" t="str">
        <f aca="false">IF(TRIM('List 1'!A298&amp;'List 1'!C298&amp;'List 1'!D298)="","",LOWER(IF(OR(Comparison!$I$9="Item # + Part # + Description",Comparison!$I$9="Item # + Part #"),TRIM('List 1'!A298),"")&amp;"|"&amp;TRIM('List 1'!C298)&amp;"|"&amp;IF(OR(Comparison!$I$9="Item # + Part # + Description",Comparison!$I$9="Part # + Description"),TRIM('List 1'!D298),"")))</f>
        <v/>
      </c>
      <c r="B298" s="0" t="str">
        <f aca="false">IF(A298="","",SUMPRODUCT(--($A$2:A298=A298)))</f>
        <v/>
      </c>
      <c r="C298" s="0" t="str">
        <f aca="false">IF(A298="","",A298&amp;"#"&amp;B298)</f>
        <v/>
      </c>
      <c r="D298" s="0" t="str">
        <f aca="false">IF(A298="","",IFERROR(--'List 1'!B298,0))</f>
        <v/>
      </c>
      <c r="F298" s="0" t="str">
        <f aca="false">IF(TRIM('List 2'!A298&amp;'List 2'!C298&amp;'List 2'!D298)="","",LOWER(IF(OR(Comparison!$I$9="Item # + Part # + Description",Comparison!$I$9="Item # + Part #"),TRIM('List 2'!A298),"")&amp;"|"&amp;TRIM('List 2'!C298)&amp;"|"&amp;IF(OR(Comparison!$I$9="Item # + Part # + Description",Comparison!$I$9="Part # + Description"),TRIM('List 2'!D298),"")))</f>
        <v/>
      </c>
      <c r="G298" s="0" t="str">
        <f aca="false">IF(F298="","",SUMPRODUCT(--($F$2:F298=F298)))</f>
        <v/>
      </c>
      <c r="H298" s="0" t="str">
        <f aca="false">IF(F298="","",F298&amp;"#"&amp;G298)</f>
        <v/>
      </c>
      <c r="I298" s="0" t="str">
        <f aca="false">IF(F298="","",IFERROR(--'List 2'!B298,0))</f>
        <v/>
      </c>
      <c r="K298" s="0" t="str">
        <f aca="false">C298</f>
        <v/>
      </c>
      <c r="L298" s="0" t="str">
        <f aca="false">IF(K298="","",IF(ISNUMBER('List 1'!A298),'List 1'!A298,TRIM('List 1'!A298)))</f>
        <v/>
      </c>
      <c r="M298" s="0" t="str">
        <f aca="false">IF(K298="","",IF(ISNUMBER('List 1'!C298),'List 1'!C298,TRIM('List 1'!C298)))</f>
        <v/>
      </c>
      <c r="N298" s="0" t="str">
        <f aca="false">IF(K298="","",IF(ISNUMBER('List 1'!D298),'List 1'!D298,TRIM('List 1'!D298)))</f>
        <v/>
      </c>
      <c r="O298" s="0" t="str">
        <f aca="false">IF(K298="","",D298)</f>
        <v/>
      </c>
      <c r="P298" s="0" t="str">
        <f aca="false">IF(K298="","",IF(R298,SUMPRODUCT(--($H$2:$H$501=K298),$I$2:$I$501),0))</f>
        <v/>
      </c>
      <c r="Q298" s="0" t="str">
        <f aca="false">IF(K298="","",TRUE())</f>
        <v/>
      </c>
      <c r="R298" s="0" t="str">
        <f aca="false">IF(K298="","",SUMPRODUCT(--($H$2:$H$501=K298))&gt;0)</f>
        <v/>
      </c>
      <c r="S298" s="0" t="str">
        <f aca="false">IF(K298="","",IF(AND(Q298,R298),IF(O298=P298,"Match","Qty Different"),IF(Q298,"Only in List 1","Only in List 2")))</f>
        <v/>
      </c>
      <c r="T298" s="0" t="str">
        <f aca="false">IF(K298="","",IF(ISNUMBER(--L298),TEXT(--L298,"000000000000.000"),LOWER(L298)))</f>
        <v/>
      </c>
      <c r="U298" s="0" t="str">
        <f aca="false">IF(K298="","",IF(ISNUMBER(--M298),TEXT(--M298,"000000000000.000"),LOWER(M298)))</f>
        <v/>
      </c>
      <c r="V298" s="0" t="str">
        <f aca="false">IF(K298="","",LOWER(N298))</f>
        <v/>
      </c>
      <c r="W298" s="0" t="str">
        <f aca="false">IF(K298="","",B298)</f>
        <v/>
      </c>
      <c r="X298" s="0" t="str">
        <f aca="false">IF(K298="","",1+SUMPRODUCT(($K$2:$K$1001&lt;&gt;"")*(($T$2:$T$1001&lt;T298)+($T$2:$T$1001=T298)*(($U$2:$U$1001&lt;U298)+($U$2:$U$1001=U298)*(($V$2:$V$1001&lt;V298)+($V$2:$V$1001=V298)*(($W$2:$W$1001&lt;W298)+($W$2:$W$1001=W298)*(ROW($K$2:$K$1001)&lt;ROW(K298))))))))</f>
        <v/>
      </c>
    </row>
    <row r="299" customFormat="false" ht="15" hidden="false" customHeight="false" outlineLevel="0" collapsed="false">
      <c r="A299" s="0" t="str">
        <f aca="false">IF(TRIM('List 1'!A299&amp;'List 1'!C299&amp;'List 1'!D299)="","",LOWER(IF(OR(Comparison!$I$9="Item # + Part # + Description",Comparison!$I$9="Item # + Part #"),TRIM('List 1'!A299),"")&amp;"|"&amp;TRIM('List 1'!C299)&amp;"|"&amp;IF(OR(Comparison!$I$9="Item # + Part # + Description",Comparison!$I$9="Part # + Description"),TRIM('List 1'!D299),"")))</f>
        <v/>
      </c>
      <c r="B299" s="0" t="str">
        <f aca="false">IF(A299="","",SUMPRODUCT(--($A$2:A299=A299)))</f>
        <v/>
      </c>
      <c r="C299" s="0" t="str">
        <f aca="false">IF(A299="","",A299&amp;"#"&amp;B299)</f>
        <v/>
      </c>
      <c r="D299" s="0" t="str">
        <f aca="false">IF(A299="","",IFERROR(--'List 1'!B299,0))</f>
        <v/>
      </c>
      <c r="F299" s="0" t="str">
        <f aca="false">IF(TRIM('List 2'!A299&amp;'List 2'!C299&amp;'List 2'!D299)="","",LOWER(IF(OR(Comparison!$I$9="Item # + Part # + Description",Comparison!$I$9="Item # + Part #"),TRIM('List 2'!A299),"")&amp;"|"&amp;TRIM('List 2'!C299)&amp;"|"&amp;IF(OR(Comparison!$I$9="Item # + Part # + Description",Comparison!$I$9="Part # + Description"),TRIM('List 2'!D299),"")))</f>
        <v/>
      </c>
      <c r="G299" s="0" t="str">
        <f aca="false">IF(F299="","",SUMPRODUCT(--($F$2:F299=F299)))</f>
        <v/>
      </c>
      <c r="H299" s="0" t="str">
        <f aca="false">IF(F299="","",F299&amp;"#"&amp;G299)</f>
        <v/>
      </c>
      <c r="I299" s="0" t="str">
        <f aca="false">IF(F299="","",IFERROR(--'List 2'!B299,0))</f>
        <v/>
      </c>
      <c r="K299" s="0" t="str">
        <f aca="false">C299</f>
        <v/>
      </c>
      <c r="L299" s="0" t="str">
        <f aca="false">IF(K299="","",IF(ISNUMBER('List 1'!A299),'List 1'!A299,TRIM('List 1'!A299)))</f>
        <v/>
      </c>
      <c r="M299" s="0" t="str">
        <f aca="false">IF(K299="","",IF(ISNUMBER('List 1'!C299),'List 1'!C299,TRIM('List 1'!C299)))</f>
        <v/>
      </c>
      <c r="N299" s="0" t="str">
        <f aca="false">IF(K299="","",IF(ISNUMBER('List 1'!D299),'List 1'!D299,TRIM('List 1'!D299)))</f>
        <v/>
      </c>
      <c r="O299" s="0" t="str">
        <f aca="false">IF(K299="","",D299)</f>
        <v/>
      </c>
      <c r="P299" s="0" t="str">
        <f aca="false">IF(K299="","",IF(R299,SUMPRODUCT(--($H$2:$H$501=K299),$I$2:$I$501),0))</f>
        <v/>
      </c>
      <c r="Q299" s="0" t="str">
        <f aca="false">IF(K299="","",TRUE())</f>
        <v/>
      </c>
      <c r="R299" s="0" t="str">
        <f aca="false">IF(K299="","",SUMPRODUCT(--($H$2:$H$501=K299))&gt;0)</f>
        <v/>
      </c>
      <c r="S299" s="0" t="str">
        <f aca="false">IF(K299="","",IF(AND(Q299,R299),IF(O299=P299,"Match","Qty Different"),IF(Q299,"Only in List 1","Only in List 2")))</f>
        <v/>
      </c>
      <c r="T299" s="0" t="str">
        <f aca="false">IF(K299="","",IF(ISNUMBER(--L299),TEXT(--L299,"000000000000.000"),LOWER(L299)))</f>
        <v/>
      </c>
      <c r="U299" s="0" t="str">
        <f aca="false">IF(K299="","",IF(ISNUMBER(--M299),TEXT(--M299,"000000000000.000"),LOWER(M299)))</f>
        <v/>
      </c>
      <c r="V299" s="0" t="str">
        <f aca="false">IF(K299="","",LOWER(N299))</f>
        <v/>
      </c>
      <c r="W299" s="0" t="str">
        <f aca="false">IF(K299="","",B299)</f>
        <v/>
      </c>
      <c r="X299" s="0" t="str">
        <f aca="false">IF(K299="","",1+SUMPRODUCT(($K$2:$K$1001&lt;&gt;"")*(($T$2:$T$1001&lt;T299)+($T$2:$T$1001=T299)*(($U$2:$U$1001&lt;U299)+($U$2:$U$1001=U299)*(($V$2:$V$1001&lt;V299)+($V$2:$V$1001=V299)*(($W$2:$W$1001&lt;W299)+($W$2:$W$1001=W299)*(ROW($K$2:$K$1001)&lt;ROW(K299))))))))</f>
        <v/>
      </c>
    </row>
    <row r="300" customFormat="false" ht="15" hidden="false" customHeight="false" outlineLevel="0" collapsed="false">
      <c r="A300" s="0" t="str">
        <f aca="false">IF(TRIM('List 1'!A300&amp;'List 1'!C300&amp;'List 1'!D300)="","",LOWER(IF(OR(Comparison!$I$9="Item # + Part # + Description",Comparison!$I$9="Item # + Part #"),TRIM('List 1'!A300),"")&amp;"|"&amp;TRIM('List 1'!C300)&amp;"|"&amp;IF(OR(Comparison!$I$9="Item # + Part # + Description",Comparison!$I$9="Part # + Description"),TRIM('List 1'!D300),"")))</f>
        <v/>
      </c>
      <c r="B300" s="0" t="str">
        <f aca="false">IF(A300="","",SUMPRODUCT(--($A$2:A300=A300)))</f>
        <v/>
      </c>
      <c r="C300" s="0" t="str">
        <f aca="false">IF(A300="","",A300&amp;"#"&amp;B300)</f>
        <v/>
      </c>
      <c r="D300" s="0" t="str">
        <f aca="false">IF(A300="","",IFERROR(--'List 1'!B300,0))</f>
        <v/>
      </c>
      <c r="F300" s="0" t="str">
        <f aca="false">IF(TRIM('List 2'!A300&amp;'List 2'!C300&amp;'List 2'!D300)="","",LOWER(IF(OR(Comparison!$I$9="Item # + Part # + Description",Comparison!$I$9="Item # + Part #"),TRIM('List 2'!A300),"")&amp;"|"&amp;TRIM('List 2'!C300)&amp;"|"&amp;IF(OR(Comparison!$I$9="Item # + Part # + Description",Comparison!$I$9="Part # + Description"),TRIM('List 2'!D300),"")))</f>
        <v/>
      </c>
      <c r="G300" s="0" t="str">
        <f aca="false">IF(F300="","",SUMPRODUCT(--($F$2:F300=F300)))</f>
        <v/>
      </c>
      <c r="H300" s="0" t="str">
        <f aca="false">IF(F300="","",F300&amp;"#"&amp;G300)</f>
        <v/>
      </c>
      <c r="I300" s="0" t="str">
        <f aca="false">IF(F300="","",IFERROR(--'List 2'!B300,0))</f>
        <v/>
      </c>
      <c r="K300" s="0" t="str">
        <f aca="false">C300</f>
        <v/>
      </c>
      <c r="L300" s="0" t="str">
        <f aca="false">IF(K300="","",IF(ISNUMBER('List 1'!A300),'List 1'!A300,TRIM('List 1'!A300)))</f>
        <v/>
      </c>
      <c r="M300" s="0" t="str">
        <f aca="false">IF(K300="","",IF(ISNUMBER('List 1'!C300),'List 1'!C300,TRIM('List 1'!C300)))</f>
        <v/>
      </c>
      <c r="N300" s="0" t="str">
        <f aca="false">IF(K300="","",IF(ISNUMBER('List 1'!D300),'List 1'!D300,TRIM('List 1'!D300)))</f>
        <v/>
      </c>
      <c r="O300" s="0" t="str">
        <f aca="false">IF(K300="","",D300)</f>
        <v/>
      </c>
      <c r="P300" s="0" t="str">
        <f aca="false">IF(K300="","",IF(R300,SUMPRODUCT(--($H$2:$H$501=K300),$I$2:$I$501),0))</f>
        <v/>
      </c>
      <c r="Q300" s="0" t="str">
        <f aca="false">IF(K300="","",TRUE())</f>
        <v/>
      </c>
      <c r="R300" s="0" t="str">
        <f aca="false">IF(K300="","",SUMPRODUCT(--($H$2:$H$501=K300))&gt;0)</f>
        <v/>
      </c>
      <c r="S300" s="0" t="str">
        <f aca="false">IF(K300="","",IF(AND(Q300,R300),IF(O300=P300,"Match","Qty Different"),IF(Q300,"Only in List 1","Only in List 2")))</f>
        <v/>
      </c>
      <c r="T300" s="0" t="str">
        <f aca="false">IF(K300="","",IF(ISNUMBER(--L300),TEXT(--L300,"000000000000.000"),LOWER(L300)))</f>
        <v/>
      </c>
      <c r="U300" s="0" t="str">
        <f aca="false">IF(K300="","",IF(ISNUMBER(--M300),TEXT(--M300,"000000000000.000"),LOWER(M300)))</f>
        <v/>
      </c>
      <c r="V300" s="0" t="str">
        <f aca="false">IF(K300="","",LOWER(N300))</f>
        <v/>
      </c>
      <c r="W300" s="0" t="str">
        <f aca="false">IF(K300="","",B300)</f>
        <v/>
      </c>
      <c r="X300" s="0" t="str">
        <f aca="false">IF(K300="","",1+SUMPRODUCT(($K$2:$K$1001&lt;&gt;"")*(($T$2:$T$1001&lt;T300)+($T$2:$T$1001=T300)*(($U$2:$U$1001&lt;U300)+($U$2:$U$1001=U300)*(($V$2:$V$1001&lt;V300)+($V$2:$V$1001=V300)*(($W$2:$W$1001&lt;W300)+($W$2:$W$1001=W300)*(ROW($K$2:$K$1001)&lt;ROW(K300))))))))</f>
        <v/>
      </c>
    </row>
    <row r="301" customFormat="false" ht="15" hidden="false" customHeight="false" outlineLevel="0" collapsed="false">
      <c r="A301" s="0" t="str">
        <f aca="false">IF(TRIM('List 1'!A301&amp;'List 1'!C301&amp;'List 1'!D301)="","",LOWER(IF(OR(Comparison!$I$9="Item # + Part # + Description",Comparison!$I$9="Item # + Part #"),TRIM('List 1'!A301),"")&amp;"|"&amp;TRIM('List 1'!C301)&amp;"|"&amp;IF(OR(Comparison!$I$9="Item # + Part # + Description",Comparison!$I$9="Part # + Description"),TRIM('List 1'!D301),"")))</f>
        <v/>
      </c>
      <c r="B301" s="0" t="str">
        <f aca="false">IF(A301="","",SUMPRODUCT(--($A$2:A301=A301)))</f>
        <v/>
      </c>
      <c r="C301" s="0" t="str">
        <f aca="false">IF(A301="","",A301&amp;"#"&amp;B301)</f>
        <v/>
      </c>
      <c r="D301" s="0" t="str">
        <f aca="false">IF(A301="","",IFERROR(--'List 1'!B301,0))</f>
        <v/>
      </c>
      <c r="F301" s="0" t="str">
        <f aca="false">IF(TRIM('List 2'!A301&amp;'List 2'!C301&amp;'List 2'!D301)="","",LOWER(IF(OR(Comparison!$I$9="Item # + Part # + Description",Comparison!$I$9="Item # + Part #"),TRIM('List 2'!A301),"")&amp;"|"&amp;TRIM('List 2'!C301)&amp;"|"&amp;IF(OR(Comparison!$I$9="Item # + Part # + Description",Comparison!$I$9="Part # + Description"),TRIM('List 2'!D301),"")))</f>
        <v/>
      </c>
      <c r="G301" s="0" t="str">
        <f aca="false">IF(F301="","",SUMPRODUCT(--($F$2:F301=F301)))</f>
        <v/>
      </c>
      <c r="H301" s="0" t="str">
        <f aca="false">IF(F301="","",F301&amp;"#"&amp;G301)</f>
        <v/>
      </c>
      <c r="I301" s="0" t="str">
        <f aca="false">IF(F301="","",IFERROR(--'List 2'!B301,0))</f>
        <v/>
      </c>
      <c r="K301" s="0" t="str">
        <f aca="false">C301</f>
        <v/>
      </c>
      <c r="L301" s="0" t="str">
        <f aca="false">IF(K301="","",IF(ISNUMBER('List 1'!A301),'List 1'!A301,TRIM('List 1'!A301)))</f>
        <v/>
      </c>
      <c r="M301" s="0" t="str">
        <f aca="false">IF(K301="","",IF(ISNUMBER('List 1'!C301),'List 1'!C301,TRIM('List 1'!C301)))</f>
        <v/>
      </c>
      <c r="N301" s="0" t="str">
        <f aca="false">IF(K301="","",IF(ISNUMBER('List 1'!D301),'List 1'!D301,TRIM('List 1'!D301)))</f>
        <v/>
      </c>
      <c r="O301" s="0" t="str">
        <f aca="false">IF(K301="","",D301)</f>
        <v/>
      </c>
      <c r="P301" s="0" t="str">
        <f aca="false">IF(K301="","",IF(R301,SUMPRODUCT(--($H$2:$H$501=K301),$I$2:$I$501),0))</f>
        <v/>
      </c>
      <c r="Q301" s="0" t="str">
        <f aca="false">IF(K301="","",TRUE())</f>
        <v/>
      </c>
      <c r="R301" s="0" t="str">
        <f aca="false">IF(K301="","",SUMPRODUCT(--($H$2:$H$501=K301))&gt;0)</f>
        <v/>
      </c>
      <c r="S301" s="0" t="str">
        <f aca="false">IF(K301="","",IF(AND(Q301,R301),IF(O301=P301,"Match","Qty Different"),IF(Q301,"Only in List 1","Only in List 2")))</f>
        <v/>
      </c>
      <c r="T301" s="0" t="str">
        <f aca="false">IF(K301="","",IF(ISNUMBER(--L301),TEXT(--L301,"000000000000.000"),LOWER(L301)))</f>
        <v/>
      </c>
      <c r="U301" s="0" t="str">
        <f aca="false">IF(K301="","",IF(ISNUMBER(--M301),TEXT(--M301,"000000000000.000"),LOWER(M301)))</f>
        <v/>
      </c>
      <c r="V301" s="0" t="str">
        <f aca="false">IF(K301="","",LOWER(N301))</f>
        <v/>
      </c>
      <c r="W301" s="0" t="str">
        <f aca="false">IF(K301="","",B301)</f>
        <v/>
      </c>
      <c r="X301" s="0" t="str">
        <f aca="false">IF(K301="","",1+SUMPRODUCT(($K$2:$K$1001&lt;&gt;"")*(($T$2:$T$1001&lt;T301)+($T$2:$T$1001=T301)*(($U$2:$U$1001&lt;U301)+($U$2:$U$1001=U301)*(($V$2:$V$1001&lt;V301)+($V$2:$V$1001=V301)*(($W$2:$W$1001&lt;W301)+($W$2:$W$1001=W301)*(ROW($K$2:$K$1001)&lt;ROW(K301))))))))</f>
        <v/>
      </c>
    </row>
    <row r="302" customFormat="false" ht="15" hidden="false" customHeight="false" outlineLevel="0" collapsed="false">
      <c r="A302" s="0" t="str">
        <f aca="false">IF(TRIM('List 1'!A302&amp;'List 1'!C302&amp;'List 1'!D302)="","",LOWER(IF(OR(Comparison!$I$9="Item # + Part # + Description",Comparison!$I$9="Item # + Part #"),TRIM('List 1'!A302),"")&amp;"|"&amp;TRIM('List 1'!C302)&amp;"|"&amp;IF(OR(Comparison!$I$9="Item # + Part # + Description",Comparison!$I$9="Part # + Description"),TRIM('List 1'!D302),"")))</f>
        <v/>
      </c>
      <c r="B302" s="0" t="str">
        <f aca="false">IF(A302="","",SUMPRODUCT(--($A$2:A302=A302)))</f>
        <v/>
      </c>
      <c r="C302" s="0" t="str">
        <f aca="false">IF(A302="","",A302&amp;"#"&amp;B302)</f>
        <v/>
      </c>
      <c r="D302" s="0" t="str">
        <f aca="false">IF(A302="","",IFERROR(--'List 1'!B302,0))</f>
        <v/>
      </c>
      <c r="F302" s="0" t="str">
        <f aca="false">IF(TRIM('List 2'!A302&amp;'List 2'!C302&amp;'List 2'!D302)="","",LOWER(IF(OR(Comparison!$I$9="Item # + Part # + Description",Comparison!$I$9="Item # + Part #"),TRIM('List 2'!A302),"")&amp;"|"&amp;TRIM('List 2'!C302)&amp;"|"&amp;IF(OR(Comparison!$I$9="Item # + Part # + Description",Comparison!$I$9="Part # + Description"),TRIM('List 2'!D302),"")))</f>
        <v/>
      </c>
      <c r="G302" s="0" t="str">
        <f aca="false">IF(F302="","",SUMPRODUCT(--($F$2:F302=F302)))</f>
        <v/>
      </c>
      <c r="H302" s="0" t="str">
        <f aca="false">IF(F302="","",F302&amp;"#"&amp;G302)</f>
        <v/>
      </c>
      <c r="I302" s="0" t="str">
        <f aca="false">IF(F302="","",IFERROR(--'List 2'!B302,0))</f>
        <v/>
      </c>
      <c r="K302" s="0" t="str">
        <f aca="false">C302</f>
        <v/>
      </c>
      <c r="L302" s="0" t="str">
        <f aca="false">IF(K302="","",IF(ISNUMBER('List 1'!A302),'List 1'!A302,TRIM('List 1'!A302)))</f>
        <v/>
      </c>
      <c r="M302" s="0" t="str">
        <f aca="false">IF(K302="","",IF(ISNUMBER('List 1'!C302),'List 1'!C302,TRIM('List 1'!C302)))</f>
        <v/>
      </c>
      <c r="N302" s="0" t="str">
        <f aca="false">IF(K302="","",IF(ISNUMBER('List 1'!D302),'List 1'!D302,TRIM('List 1'!D302)))</f>
        <v/>
      </c>
      <c r="O302" s="0" t="str">
        <f aca="false">IF(K302="","",D302)</f>
        <v/>
      </c>
      <c r="P302" s="0" t="str">
        <f aca="false">IF(K302="","",IF(R302,SUMPRODUCT(--($H$2:$H$501=K302),$I$2:$I$501),0))</f>
        <v/>
      </c>
      <c r="Q302" s="0" t="str">
        <f aca="false">IF(K302="","",TRUE())</f>
        <v/>
      </c>
      <c r="R302" s="0" t="str">
        <f aca="false">IF(K302="","",SUMPRODUCT(--($H$2:$H$501=K302))&gt;0)</f>
        <v/>
      </c>
      <c r="S302" s="0" t="str">
        <f aca="false">IF(K302="","",IF(AND(Q302,R302),IF(O302=P302,"Match","Qty Different"),IF(Q302,"Only in List 1","Only in List 2")))</f>
        <v/>
      </c>
      <c r="T302" s="0" t="str">
        <f aca="false">IF(K302="","",IF(ISNUMBER(--L302),TEXT(--L302,"000000000000.000"),LOWER(L302)))</f>
        <v/>
      </c>
      <c r="U302" s="0" t="str">
        <f aca="false">IF(K302="","",IF(ISNUMBER(--M302),TEXT(--M302,"000000000000.000"),LOWER(M302)))</f>
        <v/>
      </c>
      <c r="V302" s="0" t="str">
        <f aca="false">IF(K302="","",LOWER(N302))</f>
        <v/>
      </c>
      <c r="W302" s="0" t="str">
        <f aca="false">IF(K302="","",B302)</f>
        <v/>
      </c>
      <c r="X302" s="0" t="str">
        <f aca="false">IF(K302="","",1+SUMPRODUCT(($K$2:$K$1001&lt;&gt;"")*(($T$2:$T$1001&lt;T302)+($T$2:$T$1001=T302)*(($U$2:$U$1001&lt;U302)+($U$2:$U$1001=U302)*(($V$2:$V$1001&lt;V302)+($V$2:$V$1001=V302)*(($W$2:$W$1001&lt;W302)+($W$2:$W$1001=W302)*(ROW($K$2:$K$1001)&lt;ROW(K302))))))))</f>
        <v/>
      </c>
    </row>
    <row r="303" customFormat="false" ht="15" hidden="false" customHeight="false" outlineLevel="0" collapsed="false">
      <c r="A303" s="0" t="str">
        <f aca="false">IF(TRIM('List 1'!A303&amp;'List 1'!C303&amp;'List 1'!D303)="","",LOWER(IF(OR(Comparison!$I$9="Item # + Part # + Description",Comparison!$I$9="Item # + Part #"),TRIM('List 1'!A303),"")&amp;"|"&amp;TRIM('List 1'!C303)&amp;"|"&amp;IF(OR(Comparison!$I$9="Item # + Part # + Description",Comparison!$I$9="Part # + Description"),TRIM('List 1'!D303),"")))</f>
        <v/>
      </c>
      <c r="B303" s="0" t="str">
        <f aca="false">IF(A303="","",SUMPRODUCT(--($A$2:A303=A303)))</f>
        <v/>
      </c>
      <c r="C303" s="0" t="str">
        <f aca="false">IF(A303="","",A303&amp;"#"&amp;B303)</f>
        <v/>
      </c>
      <c r="D303" s="0" t="str">
        <f aca="false">IF(A303="","",IFERROR(--'List 1'!B303,0))</f>
        <v/>
      </c>
      <c r="F303" s="0" t="str">
        <f aca="false">IF(TRIM('List 2'!A303&amp;'List 2'!C303&amp;'List 2'!D303)="","",LOWER(IF(OR(Comparison!$I$9="Item # + Part # + Description",Comparison!$I$9="Item # + Part #"),TRIM('List 2'!A303),"")&amp;"|"&amp;TRIM('List 2'!C303)&amp;"|"&amp;IF(OR(Comparison!$I$9="Item # + Part # + Description",Comparison!$I$9="Part # + Description"),TRIM('List 2'!D303),"")))</f>
        <v/>
      </c>
      <c r="G303" s="0" t="str">
        <f aca="false">IF(F303="","",SUMPRODUCT(--($F$2:F303=F303)))</f>
        <v/>
      </c>
      <c r="H303" s="0" t="str">
        <f aca="false">IF(F303="","",F303&amp;"#"&amp;G303)</f>
        <v/>
      </c>
      <c r="I303" s="0" t="str">
        <f aca="false">IF(F303="","",IFERROR(--'List 2'!B303,0))</f>
        <v/>
      </c>
      <c r="K303" s="0" t="str">
        <f aca="false">C303</f>
        <v/>
      </c>
      <c r="L303" s="0" t="str">
        <f aca="false">IF(K303="","",IF(ISNUMBER('List 1'!A303),'List 1'!A303,TRIM('List 1'!A303)))</f>
        <v/>
      </c>
      <c r="M303" s="0" t="str">
        <f aca="false">IF(K303="","",IF(ISNUMBER('List 1'!C303),'List 1'!C303,TRIM('List 1'!C303)))</f>
        <v/>
      </c>
      <c r="N303" s="0" t="str">
        <f aca="false">IF(K303="","",IF(ISNUMBER('List 1'!D303),'List 1'!D303,TRIM('List 1'!D303)))</f>
        <v/>
      </c>
      <c r="O303" s="0" t="str">
        <f aca="false">IF(K303="","",D303)</f>
        <v/>
      </c>
      <c r="P303" s="0" t="str">
        <f aca="false">IF(K303="","",IF(R303,SUMPRODUCT(--($H$2:$H$501=K303),$I$2:$I$501),0))</f>
        <v/>
      </c>
      <c r="Q303" s="0" t="str">
        <f aca="false">IF(K303="","",TRUE())</f>
        <v/>
      </c>
      <c r="R303" s="0" t="str">
        <f aca="false">IF(K303="","",SUMPRODUCT(--($H$2:$H$501=K303))&gt;0)</f>
        <v/>
      </c>
      <c r="S303" s="0" t="str">
        <f aca="false">IF(K303="","",IF(AND(Q303,R303),IF(O303=P303,"Match","Qty Different"),IF(Q303,"Only in List 1","Only in List 2")))</f>
        <v/>
      </c>
      <c r="T303" s="0" t="str">
        <f aca="false">IF(K303="","",IF(ISNUMBER(--L303),TEXT(--L303,"000000000000.000"),LOWER(L303)))</f>
        <v/>
      </c>
      <c r="U303" s="0" t="str">
        <f aca="false">IF(K303="","",IF(ISNUMBER(--M303),TEXT(--M303,"000000000000.000"),LOWER(M303)))</f>
        <v/>
      </c>
      <c r="V303" s="0" t="str">
        <f aca="false">IF(K303="","",LOWER(N303))</f>
        <v/>
      </c>
      <c r="W303" s="0" t="str">
        <f aca="false">IF(K303="","",B303)</f>
        <v/>
      </c>
      <c r="X303" s="0" t="str">
        <f aca="false">IF(K303="","",1+SUMPRODUCT(($K$2:$K$1001&lt;&gt;"")*(($T$2:$T$1001&lt;T303)+($T$2:$T$1001=T303)*(($U$2:$U$1001&lt;U303)+($U$2:$U$1001=U303)*(($V$2:$V$1001&lt;V303)+($V$2:$V$1001=V303)*(($W$2:$W$1001&lt;W303)+($W$2:$W$1001=W303)*(ROW($K$2:$K$1001)&lt;ROW(K303))))))))</f>
        <v/>
      </c>
    </row>
    <row r="304" customFormat="false" ht="15" hidden="false" customHeight="false" outlineLevel="0" collapsed="false">
      <c r="A304" s="0" t="str">
        <f aca="false">IF(TRIM('List 1'!A304&amp;'List 1'!C304&amp;'List 1'!D304)="","",LOWER(IF(OR(Comparison!$I$9="Item # + Part # + Description",Comparison!$I$9="Item # + Part #"),TRIM('List 1'!A304),"")&amp;"|"&amp;TRIM('List 1'!C304)&amp;"|"&amp;IF(OR(Comparison!$I$9="Item # + Part # + Description",Comparison!$I$9="Part # + Description"),TRIM('List 1'!D304),"")))</f>
        <v/>
      </c>
      <c r="B304" s="0" t="str">
        <f aca="false">IF(A304="","",SUMPRODUCT(--($A$2:A304=A304)))</f>
        <v/>
      </c>
      <c r="C304" s="0" t="str">
        <f aca="false">IF(A304="","",A304&amp;"#"&amp;B304)</f>
        <v/>
      </c>
      <c r="D304" s="0" t="str">
        <f aca="false">IF(A304="","",IFERROR(--'List 1'!B304,0))</f>
        <v/>
      </c>
      <c r="F304" s="0" t="str">
        <f aca="false">IF(TRIM('List 2'!A304&amp;'List 2'!C304&amp;'List 2'!D304)="","",LOWER(IF(OR(Comparison!$I$9="Item # + Part # + Description",Comparison!$I$9="Item # + Part #"),TRIM('List 2'!A304),"")&amp;"|"&amp;TRIM('List 2'!C304)&amp;"|"&amp;IF(OR(Comparison!$I$9="Item # + Part # + Description",Comparison!$I$9="Part # + Description"),TRIM('List 2'!D304),"")))</f>
        <v/>
      </c>
      <c r="G304" s="0" t="str">
        <f aca="false">IF(F304="","",SUMPRODUCT(--($F$2:F304=F304)))</f>
        <v/>
      </c>
      <c r="H304" s="0" t="str">
        <f aca="false">IF(F304="","",F304&amp;"#"&amp;G304)</f>
        <v/>
      </c>
      <c r="I304" s="0" t="str">
        <f aca="false">IF(F304="","",IFERROR(--'List 2'!B304,0))</f>
        <v/>
      </c>
      <c r="K304" s="0" t="str">
        <f aca="false">C304</f>
        <v/>
      </c>
      <c r="L304" s="0" t="str">
        <f aca="false">IF(K304="","",IF(ISNUMBER('List 1'!A304),'List 1'!A304,TRIM('List 1'!A304)))</f>
        <v/>
      </c>
      <c r="M304" s="0" t="str">
        <f aca="false">IF(K304="","",IF(ISNUMBER('List 1'!C304),'List 1'!C304,TRIM('List 1'!C304)))</f>
        <v/>
      </c>
      <c r="N304" s="0" t="str">
        <f aca="false">IF(K304="","",IF(ISNUMBER('List 1'!D304),'List 1'!D304,TRIM('List 1'!D304)))</f>
        <v/>
      </c>
      <c r="O304" s="0" t="str">
        <f aca="false">IF(K304="","",D304)</f>
        <v/>
      </c>
      <c r="P304" s="0" t="str">
        <f aca="false">IF(K304="","",IF(R304,SUMPRODUCT(--($H$2:$H$501=K304),$I$2:$I$501),0))</f>
        <v/>
      </c>
      <c r="Q304" s="0" t="str">
        <f aca="false">IF(K304="","",TRUE())</f>
        <v/>
      </c>
      <c r="R304" s="0" t="str">
        <f aca="false">IF(K304="","",SUMPRODUCT(--($H$2:$H$501=K304))&gt;0)</f>
        <v/>
      </c>
      <c r="S304" s="0" t="str">
        <f aca="false">IF(K304="","",IF(AND(Q304,R304),IF(O304=P304,"Match","Qty Different"),IF(Q304,"Only in List 1","Only in List 2")))</f>
        <v/>
      </c>
      <c r="T304" s="0" t="str">
        <f aca="false">IF(K304="","",IF(ISNUMBER(--L304),TEXT(--L304,"000000000000.000"),LOWER(L304)))</f>
        <v/>
      </c>
      <c r="U304" s="0" t="str">
        <f aca="false">IF(K304="","",IF(ISNUMBER(--M304),TEXT(--M304,"000000000000.000"),LOWER(M304)))</f>
        <v/>
      </c>
      <c r="V304" s="0" t="str">
        <f aca="false">IF(K304="","",LOWER(N304))</f>
        <v/>
      </c>
      <c r="W304" s="0" t="str">
        <f aca="false">IF(K304="","",B304)</f>
        <v/>
      </c>
      <c r="X304" s="0" t="str">
        <f aca="false">IF(K304="","",1+SUMPRODUCT(($K$2:$K$1001&lt;&gt;"")*(($T$2:$T$1001&lt;T304)+($T$2:$T$1001=T304)*(($U$2:$U$1001&lt;U304)+($U$2:$U$1001=U304)*(($V$2:$V$1001&lt;V304)+($V$2:$V$1001=V304)*(($W$2:$W$1001&lt;W304)+($W$2:$W$1001=W304)*(ROW($K$2:$K$1001)&lt;ROW(K304))))))))</f>
        <v/>
      </c>
    </row>
    <row r="305" customFormat="false" ht="15" hidden="false" customHeight="false" outlineLevel="0" collapsed="false">
      <c r="A305" s="0" t="str">
        <f aca="false">IF(TRIM('List 1'!A305&amp;'List 1'!C305&amp;'List 1'!D305)="","",LOWER(IF(OR(Comparison!$I$9="Item # + Part # + Description",Comparison!$I$9="Item # + Part #"),TRIM('List 1'!A305),"")&amp;"|"&amp;TRIM('List 1'!C305)&amp;"|"&amp;IF(OR(Comparison!$I$9="Item # + Part # + Description",Comparison!$I$9="Part # + Description"),TRIM('List 1'!D305),"")))</f>
        <v/>
      </c>
      <c r="B305" s="0" t="str">
        <f aca="false">IF(A305="","",SUMPRODUCT(--($A$2:A305=A305)))</f>
        <v/>
      </c>
      <c r="C305" s="0" t="str">
        <f aca="false">IF(A305="","",A305&amp;"#"&amp;B305)</f>
        <v/>
      </c>
      <c r="D305" s="0" t="str">
        <f aca="false">IF(A305="","",IFERROR(--'List 1'!B305,0))</f>
        <v/>
      </c>
      <c r="F305" s="0" t="str">
        <f aca="false">IF(TRIM('List 2'!A305&amp;'List 2'!C305&amp;'List 2'!D305)="","",LOWER(IF(OR(Comparison!$I$9="Item # + Part # + Description",Comparison!$I$9="Item # + Part #"),TRIM('List 2'!A305),"")&amp;"|"&amp;TRIM('List 2'!C305)&amp;"|"&amp;IF(OR(Comparison!$I$9="Item # + Part # + Description",Comparison!$I$9="Part # + Description"),TRIM('List 2'!D305),"")))</f>
        <v/>
      </c>
      <c r="G305" s="0" t="str">
        <f aca="false">IF(F305="","",SUMPRODUCT(--($F$2:F305=F305)))</f>
        <v/>
      </c>
      <c r="H305" s="0" t="str">
        <f aca="false">IF(F305="","",F305&amp;"#"&amp;G305)</f>
        <v/>
      </c>
      <c r="I305" s="0" t="str">
        <f aca="false">IF(F305="","",IFERROR(--'List 2'!B305,0))</f>
        <v/>
      </c>
      <c r="K305" s="0" t="str">
        <f aca="false">C305</f>
        <v/>
      </c>
      <c r="L305" s="0" t="str">
        <f aca="false">IF(K305="","",IF(ISNUMBER('List 1'!A305),'List 1'!A305,TRIM('List 1'!A305)))</f>
        <v/>
      </c>
      <c r="M305" s="0" t="str">
        <f aca="false">IF(K305="","",IF(ISNUMBER('List 1'!C305),'List 1'!C305,TRIM('List 1'!C305)))</f>
        <v/>
      </c>
      <c r="N305" s="0" t="str">
        <f aca="false">IF(K305="","",IF(ISNUMBER('List 1'!D305),'List 1'!D305,TRIM('List 1'!D305)))</f>
        <v/>
      </c>
      <c r="O305" s="0" t="str">
        <f aca="false">IF(K305="","",D305)</f>
        <v/>
      </c>
      <c r="P305" s="0" t="str">
        <f aca="false">IF(K305="","",IF(R305,SUMPRODUCT(--($H$2:$H$501=K305),$I$2:$I$501),0))</f>
        <v/>
      </c>
      <c r="Q305" s="0" t="str">
        <f aca="false">IF(K305="","",TRUE())</f>
        <v/>
      </c>
      <c r="R305" s="0" t="str">
        <f aca="false">IF(K305="","",SUMPRODUCT(--($H$2:$H$501=K305))&gt;0)</f>
        <v/>
      </c>
      <c r="S305" s="0" t="str">
        <f aca="false">IF(K305="","",IF(AND(Q305,R305),IF(O305=P305,"Match","Qty Different"),IF(Q305,"Only in List 1","Only in List 2")))</f>
        <v/>
      </c>
      <c r="T305" s="0" t="str">
        <f aca="false">IF(K305="","",IF(ISNUMBER(--L305),TEXT(--L305,"000000000000.000"),LOWER(L305)))</f>
        <v/>
      </c>
      <c r="U305" s="0" t="str">
        <f aca="false">IF(K305="","",IF(ISNUMBER(--M305),TEXT(--M305,"000000000000.000"),LOWER(M305)))</f>
        <v/>
      </c>
      <c r="V305" s="0" t="str">
        <f aca="false">IF(K305="","",LOWER(N305))</f>
        <v/>
      </c>
      <c r="W305" s="0" t="str">
        <f aca="false">IF(K305="","",B305)</f>
        <v/>
      </c>
      <c r="X305" s="0" t="str">
        <f aca="false">IF(K305="","",1+SUMPRODUCT(($K$2:$K$1001&lt;&gt;"")*(($T$2:$T$1001&lt;T305)+($T$2:$T$1001=T305)*(($U$2:$U$1001&lt;U305)+($U$2:$U$1001=U305)*(($V$2:$V$1001&lt;V305)+($V$2:$V$1001=V305)*(($W$2:$W$1001&lt;W305)+($W$2:$W$1001=W305)*(ROW($K$2:$K$1001)&lt;ROW(K305))))))))</f>
        <v/>
      </c>
    </row>
    <row r="306" customFormat="false" ht="15" hidden="false" customHeight="false" outlineLevel="0" collapsed="false">
      <c r="A306" s="0" t="str">
        <f aca="false">IF(TRIM('List 1'!A306&amp;'List 1'!C306&amp;'List 1'!D306)="","",LOWER(IF(OR(Comparison!$I$9="Item # + Part # + Description",Comparison!$I$9="Item # + Part #"),TRIM('List 1'!A306),"")&amp;"|"&amp;TRIM('List 1'!C306)&amp;"|"&amp;IF(OR(Comparison!$I$9="Item # + Part # + Description",Comparison!$I$9="Part # + Description"),TRIM('List 1'!D306),"")))</f>
        <v/>
      </c>
      <c r="B306" s="0" t="str">
        <f aca="false">IF(A306="","",SUMPRODUCT(--($A$2:A306=A306)))</f>
        <v/>
      </c>
      <c r="C306" s="0" t="str">
        <f aca="false">IF(A306="","",A306&amp;"#"&amp;B306)</f>
        <v/>
      </c>
      <c r="D306" s="0" t="str">
        <f aca="false">IF(A306="","",IFERROR(--'List 1'!B306,0))</f>
        <v/>
      </c>
      <c r="F306" s="0" t="str">
        <f aca="false">IF(TRIM('List 2'!A306&amp;'List 2'!C306&amp;'List 2'!D306)="","",LOWER(IF(OR(Comparison!$I$9="Item # + Part # + Description",Comparison!$I$9="Item # + Part #"),TRIM('List 2'!A306),"")&amp;"|"&amp;TRIM('List 2'!C306)&amp;"|"&amp;IF(OR(Comparison!$I$9="Item # + Part # + Description",Comparison!$I$9="Part # + Description"),TRIM('List 2'!D306),"")))</f>
        <v/>
      </c>
      <c r="G306" s="0" t="str">
        <f aca="false">IF(F306="","",SUMPRODUCT(--($F$2:F306=F306)))</f>
        <v/>
      </c>
      <c r="H306" s="0" t="str">
        <f aca="false">IF(F306="","",F306&amp;"#"&amp;G306)</f>
        <v/>
      </c>
      <c r="I306" s="0" t="str">
        <f aca="false">IF(F306="","",IFERROR(--'List 2'!B306,0))</f>
        <v/>
      </c>
      <c r="K306" s="0" t="str">
        <f aca="false">C306</f>
        <v/>
      </c>
      <c r="L306" s="0" t="str">
        <f aca="false">IF(K306="","",IF(ISNUMBER('List 1'!A306),'List 1'!A306,TRIM('List 1'!A306)))</f>
        <v/>
      </c>
      <c r="M306" s="0" t="str">
        <f aca="false">IF(K306="","",IF(ISNUMBER('List 1'!C306),'List 1'!C306,TRIM('List 1'!C306)))</f>
        <v/>
      </c>
      <c r="N306" s="0" t="str">
        <f aca="false">IF(K306="","",IF(ISNUMBER('List 1'!D306),'List 1'!D306,TRIM('List 1'!D306)))</f>
        <v/>
      </c>
      <c r="O306" s="0" t="str">
        <f aca="false">IF(K306="","",D306)</f>
        <v/>
      </c>
      <c r="P306" s="0" t="str">
        <f aca="false">IF(K306="","",IF(R306,SUMPRODUCT(--($H$2:$H$501=K306),$I$2:$I$501),0))</f>
        <v/>
      </c>
      <c r="Q306" s="0" t="str">
        <f aca="false">IF(K306="","",TRUE())</f>
        <v/>
      </c>
      <c r="R306" s="0" t="str">
        <f aca="false">IF(K306="","",SUMPRODUCT(--($H$2:$H$501=K306))&gt;0)</f>
        <v/>
      </c>
      <c r="S306" s="0" t="str">
        <f aca="false">IF(K306="","",IF(AND(Q306,R306),IF(O306=P306,"Match","Qty Different"),IF(Q306,"Only in List 1","Only in List 2")))</f>
        <v/>
      </c>
      <c r="T306" s="0" t="str">
        <f aca="false">IF(K306="","",IF(ISNUMBER(--L306),TEXT(--L306,"000000000000.000"),LOWER(L306)))</f>
        <v/>
      </c>
      <c r="U306" s="0" t="str">
        <f aca="false">IF(K306="","",IF(ISNUMBER(--M306),TEXT(--M306,"000000000000.000"),LOWER(M306)))</f>
        <v/>
      </c>
      <c r="V306" s="0" t="str">
        <f aca="false">IF(K306="","",LOWER(N306))</f>
        <v/>
      </c>
      <c r="W306" s="0" t="str">
        <f aca="false">IF(K306="","",B306)</f>
        <v/>
      </c>
      <c r="X306" s="0" t="str">
        <f aca="false">IF(K306="","",1+SUMPRODUCT(($K$2:$K$1001&lt;&gt;"")*(($T$2:$T$1001&lt;T306)+($T$2:$T$1001=T306)*(($U$2:$U$1001&lt;U306)+($U$2:$U$1001=U306)*(($V$2:$V$1001&lt;V306)+($V$2:$V$1001=V306)*(($W$2:$W$1001&lt;W306)+($W$2:$W$1001=W306)*(ROW($K$2:$K$1001)&lt;ROW(K306))))))))</f>
        <v/>
      </c>
    </row>
    <row r="307" customFormat="false" ht="15" hidden="false" customHeight="false" outlineLevel="0" collapsed="false">
      <c r="A307" s="0" t="str">
        <f aca="false">IF(TRIM('List 1'!A307&amp;'List 1'!C307&amp;'List 1'!D307)="","",LOWER(IF(OR(Comparison!$I$9="Item # + Part # + Description",Comparison!$I$9="Item # + Part #"),TRIM('List 1'!A307),"")&amp;"|"&amp;TRIM('List 1'!C307)&amp;"|"&amp;IF(OR(Comparison!$I$9="Item # + Part # + Description",Comparison!$I$9="Part # + Description"),TRIM('List 1'!D307),"")))</f>
        <v/>
      </c>
      <c r="B307" s="0" t="str">
        <f aca="false">IF(A307="","",SUMPRODUCT(--($A$2:A307=A307)))</f>
        <v/>
      </c>
      <c r="C307" s="0" t="str">
        <f aca="false">IF(A307="","",A307&amp;"#"&amp;B307)</f>
        <v/>
      </c>
      <c r="D307" s="0" t="str">
        <f aca="false">IF(A307="","",IFERROR(--'List 1'!B307,0))</f>
        <v/>
      </c>
      <c r="F307" s="0" t="str">
        <f aca="false">IF(TRIM('List 2'!A307&amp;'List 2'!C307&amp;'List 2'!D307)="","",LOWER(IF(OR(Comparison!$I$9="Item # + Part # + Description",Comparison!$I$9="Item # + Part #"),TRIM('List 2'!A307),"")&amp;"|"&amp;TRIM('List 2'!C307)&amp;"|"&amp;IF(OR(Comparison!$I$9="Item # + Part # + Description",Comparison!$I$9="Part # + Description"),TRIM('List 2'!D307),"")))</f>
        <v/>
      </c>
      <c r="G307" s="0" t="str">
        <f aca="false">IF(F307="","",SUMPRODUCT(--($F$2:F307=F307)))</f>
        <v/>
      </c>
      <c r="H307" s="0" t="str">
        <f aca="false">IF(F307="","",F307&amp;"#"&amp;G307)</f>
        <v/>
      </c>
      <c r="I307" s="0" t="str">
        <f aca="false">IF(F307="","",IFERROR(--'List 2'!B307,0))</f>
        <v/>
      </c>
      <c r="K307" s="0" t="str">
        <f aca="false">C307</f>
        <v/>
      </c>
      <c r="L307" s="0" t="str">
        <f aca="false">IF(K307="","",IF(ISNUMBER('List 1'!A307),'List 1'!A307,TRIM('List 1'!A307)))</f>
        <v/>
      </c>
      <c r="M307" s="0" t="str">
        <f aca="false">IF(K307="","",IF(ISNUMBER('List 1'!C307),'List 1'!C307,TRIM('List 1'!C307)))</f>
        <v/>
      </c>
      <c r="N307" s="0" t="str">
        <f aca="false">IF(K307="","",IF(ISNUMBER('List 1'!D307),'List 1'!D307,TRIM('List 1'!D307)))</f>
        <v/>
      </c>
      <c r="O307" s="0" t="str">
        <f aca="false">IF(K307="","",D307)</f>
        <v/>
      </c>
      <c r="P307" s="0" t="str">
        <f aca="false">IF(K307="","",IF(R307,SUMPRODUCT(--($H$2:$H$501=K307),$I$2:$I$501),0))</f>
        <v/>
      </c>
      <c r="Q307" s="0" t="str">
        <f aca="false">IF(K307="","",TRUE())</f>
        <v/>
      </c>
      <c r="R307" s="0" t="str">
        <f aca="false">IF(K307="","",SUMPRODUCT(--($H$2:$H$501=K307))&gt;0)</f>
        <v/>
      </c>
      <c r="S307" s="0" t="str">
        <f aca="false">IF(K307="","",IF(AND(Q307,R307),IF(O307=P307,"Match","Qty Different"),IF(Q307,"Only in List 1","Only in List 2")))</f>
        <v/>
      </c>
      <c r="T307" s="0" t="str">
        <f aca="false">IF(K307="","",IF(ISNUMBER(--L307),TEXT(--L307,"000000000000.000"),LOWER(L307)))</f>
        <v/>
      </c>
      <c r="U307" s="0" t="str">
        <f aca="false">IF(K307="","",IF(ISNUMBER(--M307),TEXT(--M307,"000000000000.000"),LOWER(M307)))</f>
        <v/>
      </c>
      <c r="V307" s="0" t="str">
        <f aca="false">IF(K307="","",LOWER(N307))</f>
        <v/>
      </c>
      <c r="W307" s="0" t="str">
        <f aca="false">IF(K307="","",B307)</f>
        <v/>
      </c>
      <c r="X307" s="0" t="str">
        <f aca="false">IF(K307="","",1+SUMPRODUCT(($K$2:$K$1001&lt;&gt;"")*(($T$2:$T$1001&lt;T307)+($T$2:$T$1001=T307)*(($U$2:$U$1001&lt;U307)+($U$2:$U$1001=U307)*(($V$2:$V$1001&lt;V307)+($V$2:$V$1001=V307)*(($W$2:$W$1001&lt;W307)+($W$2:$W$1001=W307)*(ROW($K$2:$K$1001)&lt;ROW(K307))))))))</f>
        <v/>
      </c>
    </row>
    <row r="308" customFormat="false" ht="15" hidden="false" customHeight="false" outlineLevel="0" collapsed="false">
      <c r="A308" s="0" t="str">
        <f aca="false">IF(TRIM('List 1'!A308&amp;'List 1'!C308&amp;'List 1'!D308)="","",LOWER(IF(OR(Comparison!$I$9="Item # + Part # + Description",Comparison!$I$9="Item # + Part #"),TRIM('List 1'!A308),"")&amp;"|"&amp;TRIM('List 1'!C308)&amp;"|"&amp;IF(OR(Comparison!$I$9="Item # + Part # + Description",Comparison!$I$9="Part # + Description"),TRIM('List 1'!D308),"")))</f>
        <v/>
      </c>
      <c r="B308" s="0" t="str">
        <f aca="false">IF(A308="","",SUMPRODUCT(--($A$2:A308=A308)))</f>
        <v/>
      </c>
      <c r="C308" s="0" t="str">
        <f aca="false">IF(A308="","",A308&amp;"#"&amp;B308)</f>
        <v/>
      </c>
      <c r="D308" s="0" t="str">
        <f aca="false">IF(A308="","",IFERROR(--'List 1'!B308,0))</f>
        <v/>
      </c>
      <c r="F308" s="0" t="str">
        <f aca="false">IF(TRIM('List 2'!A308&amp;'List 2'!C308&amp;'List 2'!D308)="","",LOWER(IF(OR(Comparison!$I$9="Item # + Part # + Description",Comparison!$I$9="Item # + Part #"),TRIM('List 2'!A308),"")&amp;"|"&amp;TRIM('List 2'!C308)&amp;"|"&amp;IF(OR(Comparison!$I$9="Item # + Part # + Description",Comparison!$I$9="Part # + Description"),TRIM('List 2'!D308),"")))</f>
        <v/>
      </c>
      <c r="G308" s="0" t="str">
        <f aca="false">IF(F308="","",SUMPRODUCT(--($F$2:F308=F308)))</f>
        <v/>
      </c>
      <c r="H308" s="0" t="str">
        <f aca="false">IF(F308="","",F308&amp;"#"&amp;G308)</f>
        <v/>
      </c>
      <c r="I308" s="0" t="str">
        <f aca="false">IF(F308="","",IFERROR(--'List 2'!B308,0))</f>
        <v/>
      </c>
      <c r="K308" s="0" t="str">
        <f aca="false">C308</f>
        <v/>
      </c>
      <c r="L308" s="0" t="str">
        <f aca="false">IF(K308="","",IF(ISNUMBER('List 1'!A308),'List 1'!A308,TRIM('List 1'!A308)))</f>
        <v/>
      </c>
      <c r="M308" s="0" t="str">
        <f aca="false">IF(K308="","",IF(ISNUMBER('List 1'!C308),'List 1'!C308,TRIM('List 1'!C308)))</f>
        <v/>
      </c>
      <c r="N308" s="0" t="str">
        <f aca="false">IF(K308="","",IF(ISNUMBER('List 1'!D308),'List 1'!D308,TRIM('List 1'!D308)))</f>
        <v/>
      </c>
      <c r="O308" s="0" t="str">
        <f aca="false">IF(K308="","",D308)</f>
        <v/>
      </c>
      <c r="P308" s="0" t="str">
        <f aca="false">IF(K308="","",IF(R308,SUMPRODUCT(--($H$2:$H$501=K308),$I$2:$I$501),0))</f>
        <v/>
      </c>
      <c r="Q308" s="0" t="str">
        <f aca="false">IF(K308="","",TRUE())</f>
        <v/>
      </c>
      <c r="R308" s="0" t="str">
        <f aca="false">IF(K308="","",SUMPRODUCT(--($H$2:$H$501=K308))&gt;0)</f>
        <v/>
      </c>
      <c r="S308" s="0" t="str">
        <f aca="false">IF(K308="","",IF(AND(Q308,R308),IF(O308=P308,"Match","Qty Different"),IF(Q308,"Only in List 1","Only in List 2")))</f>
        <v/>
      </c>
      <c r="T308" s="0" t="str">
        <f aca="false">IF(K308="","",IF(ISNUMBER(--L308),TEXT(--L308,"000000000000.000"),LOWER(L308)))</f>
        <v/>
      </c>
      <c r="U308" s="0" t="str">
        <f aca="false">IF(K308="","",IF(ISNUMBER(--M308),TEXT(--M308,"000000000000.000"),LOWER(M308)))</f>
        <v/>
      </c>
      <c r="V308" s="0" t="str">
        <f aca="false">IF(K308="","",LOWER(N308))</f>
        <v/>
      </c>
      <c r="W308" s="0" t="str">
        <f aca="false">IF(K308="","",B308)</f>
        <v/>
      </c>
      <c r="X308" s="0" t="str">
        <f aca="false">IF(K308="","",1+SUMPRODUCT(($K$2:$K$1001&lt;&gt;"")*(($T$2:$T$1001&lt;T308)+($T$2:$T$1001=T308)*(($U$2:$U$1001&lt;U308)+($U$2:$U$1001=U308)*(($V$2:$V$1001&lt;V308)+($V$2:$V$1001=V308)*(($W$2:$W$1001&lt;W308)+($W$2:$W$1001=W308)*(ROW($K$2:$K$1001)&lt;ROW(K308))))))))</f>
        <v/>
      </c>
    </row>
    <row r="309" customFormat="false" ht="15" hidden="false" customHeight="false" outlineLevel="0" collapsed="false">
      <c r="A309" s="0" t="str">
        <f aca="false">IF(TRIM('List 1'!A309&amp;'List 1'!C309&amp;'List 1'!D309)="","",LOWER(IF(OR(Comparison!$I$9="Item # + Part # + Description",Comparison!$I$9="Item # + Part #"),TRIM('List 1'!A309),"")&amp;"|"&amp;TRIM('List 1'!C309)&amp;"|"&amp;IF(OR(Comparison!$I$9="Item # + Part # + Description",Comparison!$I$9="Part # + Description"),TRIM('List 1'!D309),"")))</f>
        <v/>
      </c>
      <c r="B309" s="0" t="str">
        <f aca="false">IF(A309="","",SUMPRODUCT(--($A$2:A309=A309)))</f>
        <v/>
      </c>
      <c r="C309" s="0" t="str">
        <f aca="false">IF(A309="","",A309&amp;"#"&amp;B309)</f>
        <v/>
      </c>
      <c r="D309" s="0" t="str">
        <f aca="false">IF(A309="","",IFERROR(--'List 1'!B309,0))</f>
        <v/>
      </c>
      <c r="F309" s="0" t="str">
        <f aca="false">IF(TRIM('List 2'!A309&amp;'List 2'!C309&amp;'List 2'!D309)="","",LOWER(IF(OR(Comparison!$I$9="Item # + Part # + Description",Comparison!$I$9="Item # + Part #"),TRIM('List 2'!A309),"")&amp;"|"&amp;TRIM('List 2'!C309)&amp;"|"&amp;IF(OR(Comparison!$I$9="Item # + Part # + Description",Comparison!$I$9="Part # + Description"),TRIM('List 2'!D309),"")))</f>
        <v/>
      </c>
      <c r="G309" s="0" t="str">
        <f aca="false">IF(F309="","",SUMPRODUCT(--($F$2:F309=F309)))</f>
        <v/>
      </c>
      <c r="H309" s="0" t="str">
        <f aca="false">IF(F309="","",F309&amp;"#"&amp;G309)</f>
        <v/>
      </c>
      <c r="I309" s="0" t="str">
        <f aca="false">IF(F309="","",IFERROR(--'List 2'!B309,0))</f>
        <v/>
      </c>
      <c r="K309" s="0" t="str">
        <f aca="false">C309</f>
        <v/>
      </c>
      <c r="L309" s="0" t="str">
        <f aca="false">IF(K309="","",IF(ISNUMBER('List 1'!A309),'List 1'!A309,TRIM('List 1'!A309)))</f>
        <v/>
      </c>
      <c r="M309" s="0" t="str">
        <f aca="false">IF(K309="","",IF(ISNUMBER('List 1'!C309),'List 1'!C309,TRIM('List 1'!C309)))</f>
        <v/>
      </c>
      <c r="N309" s="0" t="str">
        <f aca="false">IF(K309="","",IF(ISNUMBER('List 1'!D309),'List 1'!D309,TRIM('List 1'!D309)))</f>
        <v/>
      </c>
      <c r="O309" s="0" t="str">
        <f aca="false">IF(K309="","",D309)</f>
        <v/>
      </c>
      <c r="P309" s="0" t="str">
        <f aca="false">IF(K309="","",IF(R309,SUMPRODUCT(--($H$2:$H$501=K309),$I$2:$I$501),0))</f>
        <v/>
      </c>
      <c r="Q309" s="0" t="str">
        <f aca="false">IF(K309="","",TRUE())</f>
        <v/>
      </c>
      <c r="R309" s="0" t="str">
        <f aca="false">IF(K309="","",SUMPRODUCT(--($H$2:$H$501=K309))&gt;0)</f>
        <v/>
      </c>
      <c r="S309" s="0" t="str">
        <f aca="false">IF(K309="","",IF(AND(Q309,R309),IF(O309=P309,"Match","Qty Different"),IF(Q309,"Only in List 1","Only in List 2")))</f>
        <v/>
      </c>
      <c r="T309" s="0" t="str">
        <f aca="false">IF(K309="","",IF(ISNUMBER(--L309),TEXT(--L309,"000000000000.000"),LOWER(L309)))</f>
        <v/>
      </c>
      <c r="U309" s="0" t="str">
        <f aca="false">IF(K309="","",IF(ISNUMBER(--M309),TEXT(--M309,"000000000000.000"),LOWER(M309)))</f>
        <v/>
      </c>
      <c r="V309" s="0" t="str">
        <f aca="false">IF(K309="","",LOWER(N309))</f>
        <v/>
      </c>
      <c r="W309" s="0" t="str">
        <f aca="false">IF(K309="","",B309)</f>
        <v/>
      </c>
      <c r="X309" s="0" t="str">
        <f aca="false">IF(K309="","",1+SUMPRODUCT(($K$2:$K$1001&lt;&gt;"")*(($T$2:$T$1001&lt;T309)+($T$2:$T$1001=T309)*(($U$2:$U$1001&lt;U309)+($U$2:$U$1001=U309)*(($V$2:$V$1001&lt;V309)+($V$2:$V$1001=V309)*(($W$2:$W$1001&lt;W309)+($W$2:$W$1001=W309)*(ROW($K$2:$K$1001)&lt;ROW(K309))))))))</f>
        <v/>
      </c>
    </row>
    <row r="310" customFormat="false" ht="15" hidden="false" customHeight="false" outlineLevel="0" collapsed="false">
      <c r="A310" s="0" t="str">
        <f aca="false">IF(TRIM('List 1'!A310&amp;'List 1'!C310&amp;'List 1'!D310)="","",LOWER(IF(OR(Comparison!$I$9="Item # + Part # + Description",Comparison!$I$9="Item # + Part #"),TRIM('List 1'!A310),"")&amp;"|"&amp;TRIM('List 1'!C310)&amp;"|"&amp;IF(OR(Comparison!$I$9="Item # + Part # + Description",Comparison!$I$9="Part # + Description"),TRIM('List 1'!D310),"")))</f>
        <v/>
      </c>
      <c r="B310" s="0" t="str">
        <f aca="false">IF(A310="","",SUMPRODUCT(--($A$2:A310=A310)))</f>
        <v/>
      </c>
      <c r="C310" s="0" t="str">
        <f aca="false">IF(A310="","",A310&amp;"#"&amp;B310)</f>
        <v/>
      </c>
      <c r="D310" s="0" t="str">
        <f aca="false">IF(A310="","",IFERROR(--'List 1'!B310,0))</f>
        <v/>
      </c>
      <c r="F310" s="0" t="str">
        <f aca="false">IF(TRIM('List 2'!A310&amp;'List 2'!C310&amp;'List 2'!D310)="","",LOWER(IF(OR(Comparison!$I$9="Item # + Part # + Description",Comparison!$I$9="Item # + Part #"),TRIM('List 2'!A310),"")&amp;"|"&amp;TRIM('List 2'!C310)&amp;"|"&amp;IF(OR(Comparison!$I$9="Item # + Part # + Description",Comparison!$I$9="Part # + Description"),TRIM('List 2'!D310),"")))</f>
        <v/>
      </c>
      <c r="G310" s="0" t="str">
        <f aca="false">IF(F310="","",SUMPRODUCT(--($F$2:F310=F310)))</f>
        <v/>
      </c>
      <c r="H310" s="0" t="str">
        <f aca="false">IF(F310="","",F310&amp;"#"&amp;G310)</f>
        <v/>
      </c>
      <c r="I310" s="0" t="str">
        <f aca="false">IF(F310="","",IFERROR(--'List 2'!B310,0))</f>
        <v/>
      </c>
      <c r="K310" s="0" t="str">
        <f aca="false">C310</f>
        <v/>
      </c>
      <c r="L310" s="0" t="str">
        <f aca="false">IF(K310="","",IF(ISNUMBER('List 1'!A310),'List 1'!A310,TRIM('List 1'!A310)))</f>
        <v/>
      </c>
      <c r="M310" s="0" t="str">
        <f aca="false">IF(K310="","",IF(ISNUMBER('List 1'!C310),'List 1'!C310,TRIM('List 1'!C310)))</f>
        <v/>
      </c>
      <c r="N310" s="0" t="str">
        <f aca="false">IF(K310="","",IF(ISNUMBER('List 1'!D310),'List 1'!D310,TRIM('List 1'!D310)))</f>
        <v/>
      </c>
      <c r="O310" s="0" t="str">
        <f aca="false">IF(K310="","",D310)</f>
        <v/>
      </c>
      <c r="P310" s="0" t="str">
        <f aca="false">IF(K310="","",IF(R310,SUMPRODUCT(--($H$2:$H$501=K310),$I$2:$I$501),0))</f>
        <v/>
      </c>
      <c r="Q310" s="0" t="str">
        <f aca="false">IF(K310="","",TRUE())</f>
        <v/>
      </c>
      <c r="R310" s="0" t="str">
        <f aca="false">IF(K310="","",SUMPRODUCT(--($H$2:$H$501=K310))&gt;0)</f>
        <v/>
      </c>
      <c r="S310" s="0" t="str">
        <f aca="false">IF(K310="","",IF(AND(Q310,R310),IF(O310=P310,"Match","Qty Different"),IF(Q310,"Only in List 1","Only in List 2")))</f>
        <v/>
      </c>
      <c r="T310" s="0" t="str">
        <f aca="false">IF(K310="","",IF(ISNUMBER(--L310),TEXT(--L310,"000000000000.000"),LOWER(L310)))</f>
        <v/>
      </c>
      <c r="U310" s="0" t="str">
        <f aca="false">IF(K310="","",IF(ISNUMBER(--M310),TEXT(--M310,"000000000000.000"),LOWER(M310)))</f>
        <v/>
      </c>
      <c r="V310" s="0" t="str">
        <f aca="false">IF(K310="","",LOWER(N310))</f>
        <v/>
      </c>
      <c r="W310" s="0" t="str">
        <f aca="false">IF(K310="","",B310)</f>
        <v/>
      </c>
      <c r="X310" s="0" t="str">
        <f aca="false">IF(K310="","",1+SUMPRODUCT(($K$2:$K$1001&lt;&gt;"")*(($T$2:$T$1001&lt;T310)+($T$2:$T$1001=T310)*(($U$2:$U$1001&lt;U310)+($U$2:$U$1001=U310)*(($V$2:$V$1001&lt;V310)+($V$2:$V$1001=V310)*(($W$2:$W$1001&lt;W310)+($W$2:$W$1001=W310)*(ROW($K$2:$K$1001)&lt;ROW(K310))))))))</f>
        <v/>
      </c>
    </row>
    <row r="311" customFormat="false" ht="15" hidden="false" customHeight="false" outlineLevel="0" collapsed="false">
      <c r="A311" s="0" t="str">
        <f aca="false">IF(TRIM('List 1'!A311&amp;'List 1'!C311&amp;'List 1'!D311)="","",LOWER(IF(OR(Comparison!$I$9="Item # + Part # + Description",Comparison!$I$9="Item # + Part #"),TRIM('List 1'!A311),"")&amp;"|"&amp;TRIM('List 1'!C311)&amp;"|"&amp;IF(OR(Comparison!$I$9="Item # + Part # + Description",Comparison!$I$9="Part # + Description"),TRIM('List 1'!D311),"")))</f>
        <v/>
      </c>
      <c r="B311" s="0" t="str">
        <f aca="false">IF(A311="","",SUMPRODUCT(--($A$2:A311=A311)))</f>
        <v/>
      </c>
      <c r="C311" s="0" t="str">
        <f aca="false">IF(A311="","",A311&amp;"#"&amp;B311)</f>
        <v/>
      </c>
      <c r="D311" s="0" t="str">
        <f aca="false">IF(A311="","",IFERROR(--'List 1'!B311,0))</f>
        <v/>
      </c>
      <c r="F311" s="0" t="str">
        <f aca="false">IF(TRIM('List 2'!A311&amp;'List 2'!C311&amp;'List 2'!D311)="","",LOWER(IF(OR(Comparison!$I$9="Item # + Part # + Description",Comparison!$I$9="Item # + Part #"),TRIM('List 2'!A311),"")&amp;"|"&amp;TRIM('List 2'!C311)&amp;"|"&amp;IF(OR(Comparison!$I$9="Item # + Part # + Description",Comparison!$I$9="Part # + Description"),TRIM('List 2'!D311),"")))</f>
        <v/>
      </c>
      <c r="G311" s="0" t="str">
        <f aca="false">IF(F311="","",SUMPRODUCT(--($F$2:F311=F311)))</f>
        <v/>
      </c>
      <c r="H311" s="0" t="str">
        <f aca="false">IF(F311="","",F311&amp;"#"&amp;G311)</f>
        <v/>
      </c>
      <c r="I311" s="0" t="str">
        <f aca="false">IF(F311="","",IFERROR(--'List 2'!B311,0))</f>
        <v/>
      </c>
      <c r="K311" s="0" t="str">
        <f aca="false">C311</f>
        <v/>
      </c>
      <c r="L311" s="0" t="str">
        <f aca="false">IF(K311="","",IF(ISNUMBER('List 1'!A311),'List 1'!A311,TRIM('List 1'!A311)))</f>
        <v/>
      </c>
      <c r="M311" s="0" t="str">
        <f aca="false">IF(K311="","",IF(ISNUMBER('List 1'!C311),'List 1'!C311,TRIM('List 1'!C311)))</f>
        <v/>
      </c>
      <c r="N311" s="0" t="str">
        <f aca="false">IF(K311="","",IF(ISNUMBER('List 1'!D311),'List 1'!D311,TRIM('List 1'!D311)))</f>
        <v/>
      </c>
      <c r="O311" s="0" t="str">
        <f aca="false">IF(K311="","",D311)</f>
        <v/>
      </c>
      <c r="P311" s="0" t="str">
        <f aca="false">IF(K311="","",IF(R311,SUMPRODUCT(--($H$2:$H$501=K311),$I$2:$I$501),0))</f>
        <v/>
      </c>
      <c r="Q311" s="0" t="str">
        <f aca="false">IF(K311="","",TRUE())</f>
        <v/>
      </c>
      <c r="R311" s="0" t="str">
        <f aca="false">IF(K311="","",SUMPRODUCT(--($H$2:$H$501=K311))&gt;0)</f>
        <v/>
      </c>
      <c r="S311" s="0" t="str">
        <f aca="false">IF(K311="","",IF(AND(Q311,R311),IF(O311=P311,"Match","Qty Different"),IF(Q311,"Only in List 1","Only in List 2")))</f>
        <v/>
      </c>
      <c r="T311" s="0" t="str">
        <f aca="false">IF(K311="","",IF(ISNUMBER(--L311),TEXT(--L311,"000000000000.000"),LOWER(L311)))</f>
        <v/>
      </c>
      <c r="U311" s="0" t="str">
        <f aca="false">IF(K311="","",IF(ISNUMBER(--M311),TEXT(--M311,"000000000000.000"),LOWER(M311)))</f>
        <v/>
      </c>
      <c r="V311" s="0" t="str">
        <f aca="false">IF(K311="","",LOWER(N311))</f>
        <v/>
      </c>
      <c r="W311" s="0" t="str">
        <f aca="false">IF(K311="","",B311)</f>
        <v/>
      </c>
      <c r="X311" s="0" t="str">
        <f aca="false">IF(K311="","",1+SUMPRODUCT(($K$2:$K$1001&lt;&gt;"")*(($T$2:$T$1001&lt;T311)+($T$2:$T$1001=T311)*(($U$2:$U$1001&lt;U311)+($U$2:$U$1001=U311)*(($V$2:$V$1001&lt;V311)+($V$2:$V$1001=V311)*(($W$2:$W$1001&lt;W311)+($W$2:$W$1001=W311)*(ROW($K$2:$K$1001)&lt;ROW(K311))))))))</f>
        <v/>
      </c>
    </row>
    <row r="312" customFormat="false" ht="15" hidden="false" customHeight="false" outlineLevel="0" collapsed="false">
      <c r="A312" s="0" t="str">
        <f aca="false">IF(TRIM('List 1'!A312&amp;'List 1'!C312&amp;'List 1'!D312)="","",LOWER(IF(OR(Comparison!$I$9="Item # + Part # + Description",Comparison!$I$9="Item # + Part #"),TRIM('List 1'!A312),"")&amp;"|"&amp;TRIM('List 1'!C312)&amp;"|"&amp;IF(OR(Comparison!$I$9="Item # + Part # + Description",Comparison!$I$9="Part # + Description"),TRIM('List 1'!D312),"")))</f>
        <v/>
      </c>
      <c r="B312" s="0" t="str">
        <f aca="false">IF(A312="","",SUMPRODUCT(--($A$2:A312=A312)))</f>
        <v/>
      </c>
      <c r="C312" s="0" t="str">
        <f aca="false">IF(A312="","",A312&amp;"#"&amp;B312)</f>
        <v/>
      </c>
      <c r="D312" s="0" t="str">
        <f aca="false">IF(A312="","",IFERROR(--'List 1'!B312,0))</f>
        <v/>
      </c>
      <c r="F312" s="0" t="str">
        <f aca="false">IF(TRIM('List 2'!A312&amp;'List 2'!C312&amp;'List 2'!D312)="","",LOWER(IF(OR(Comparison!$I$9="Item # + Part # + Description",Comparison!$I$9="Item # + Part #"),TRIM('List 2'!A312),"")&amp;"|"&amp;TRIM('List 2'!C312)&amp;"|"&amp;IF(OR(Comparison!$I$9="Item # + Part # + Description",Comparison!$I$9="Part # + Description"),TRIM('List 2'!D312),"")))</f>
        <v/>
      </c>
      <c r="G312" s="0" t="str">
        <f aca="false">IF(F312="","",SUMPRODUCT(--($F$2:F312=F312)))</f>
        <v/>
      </c>
      <c r="H312" s="0" t="str">
        <f aca="false">IF(F312="","",F312&amp;"#"&amp;G312)</f>
        <v/>
      </c>
      <c r="I312" s="0" t="str">
        <f aca="false">IF(F312="","",IFERROR(--'List 2'!B312,0))</f>
        <v/>
      </c>
      <c r="K312" s="0" t="str">
        <f aca="false">C312</f>
        <v/>
      </c>
      <c r="L312" s="0" t="str">
        <f aca="false">IF(K312="","",IF(ISNUMBER('List 1'!A312),'List 1'!A312,TRIM('List 1'!A312)))</f>
        <v/>
      </c>
      <c r="M312" s="0" t="str">
        <f aca="false">IF(K312="","",IF(ISNUMBER('List 1'!C312),'List 1'!C312,TRIM('List 1'!C312)))</f>
        <v/>
      </c>
      <c r="N312" s="0" t="str">
        <f aca="false">IF(K312="","",IF(ISNUMBER('List 1'!D312),'List 1'!D312,TRIM('List 1'!D312)))</f>
        <v/>
      </c>
      <c r="O312" s="0" t="str">
        <f aca="false">IF(K312="","",D312)</f>
        <v/>
      </c>
      <c r="P312" s="0" t="str">
        <f aca="false">IF(K312="","",IF(R312,SUMPRODUCT(--($H$2:$H$501=K312),$I$2:$I$501),0))</f>
        <v/>
      </c>
      <c r="Q312" s="0" t="str">
        <f aca="false">IF(K312="","",TRUE())</f>
        <v/>
      </c>
      <c r="R312" s="0" t="str">
        <f aca="false">IF(K312="","",SUMPRODUCT(--($H$2:$H$501=K312))&gt;0)</f>
        <v/>
      </c>
      <c r="S312" s="0" t="str">
        <f aca="false">IF(K312="","",IF(AND(Q312,R312),IF(O312=P312,"Match","Qty Different"),IF(Q312,"Only in List 1","Only in List 2")))</f>
        <v/>
      </c>
      <c r="T312" s="0" t="str">
        <f aca="false">IF(K312="","",IF(ISNUMBER(--L312),TEXT(--L312,"000000000000.000"),LOWER(L312)))</f>
        <v/>
      </c>
      <c r="U312" s="0" t="str">
        <f aca="false">IF(K312="","",IF(ISNUMBER(--M312),TEXT(--M312,"000000000000.000"),LOWER(M312)))</f>
        <v/>
      </c>
      <c r="V312" s="0" t="str">
        <f aca="false">IF(K312="","",LOWER(N312))</f>
        <v/>
      </c>
      <c r="W312" s="0" t="str">
        <f aca="false">IF(K312="","",B312)</f>
        <v/>
      </c>
      <c r="X312" s="0" t="str">
        <f aca="false">IF(K312="","",1+SUMPRODUCT(($K$2:$K$1001&lt;&gt;"")*(($T$2:$T$1001&lt;T312)+($T$2:$T$1001=T312)*(($U$2:$U$1001&lt;U312)+($U$2:$U$1001=U312)*(($V$2:$V$1001&lt;V312)+($V$2:$V$1001=V312)*(($W$2:$W$1001&lt;W312)+($W$2:$W$1001=W312)*(ROW($K$2:$K$1001)&lt;ROW(K312))))))))</f>
        <v/>
      </c>
    </row>
    <row r="313" customFormat="false" ht="15" hidden="false" customHeight="false" outlineLevel="0" collapsed="false">
      <c r="A313" s="0" t="str">
        <f aca="false">IF(TRIM('List 1'!A313&amp;'List 1'!C313&amp;'List 1'!D313)="","",LOWER(IF(OR(Comparison!$I$9="Item # + Part # + Description",Comparison!$I$9="Item # + Part #"),TRIM('List 1'!A313),"")&amp;"|"&amp;TRIM('List 1'!C313)&amp;"|"&amp;IF(OR(Comparison!$I$9="Item # + Part # + Description",Comparison!$I$9="Part # + Description"),TRIM('List 1'!D313),"")))</f>
        <v/>
      </c>
      <c r="B313" s="0" t="str">
        <f aca="false">IF(A313="","",SUMPRODUCT(--($A$2:A313=A313)))</f>
        <v/>
      </c>
      <c r="C313" s="0" t="str">
        <f aca="false">IF(A313="","",A313&amp;"#"&amp;B313)</f>
        <v/>
      </c>
      <c r="D313" s="0" t="str">
        <f aca="false">IF(A313="","",IFERROR(--'List 1'!B313,0))</f>
        <v/>
      </c>
      <c r="F313" s="0" t="str">
        <f aca="false">IF(TRIM('List 2'!A313&amp;'List 2'!C313&amp;'List 2'!D313)="","",LOWER(IF(OR(Comparison!$I$9="Item # + Part # + Description",Comparison!$I$9="Item # + Part #"),TRIM('List 2'!A313),"")&amp;"|"&amp;TRIM('List 2'!C313)&amp;"|"&amp;IF(OR(Comparison!$I$9="Item # + Part # + Description",Comparison!$I$9="Part # + Description"),TRIM('List 2'!D313),"")))</f>
        <v/>
      </c>
      <c r="G313" s="0" t="str">
        <f aca="false">IF(F313="","",SUMPRODUCT(--($F$2:F313=F313)))</f>
        <v/>
      </c>
      <c r="H313" s="0" t="str">
        <f aca="false">IF(F313="","",F313&amp;"#"&amp;G313)</f>
        <v/>
      </c>
      <c r="I313" s="0" t="str">
        <f aca="false">IF(F313="","",IFERROR(--'List 2'!B313,0))</f>
        <v/>
      </c>
      <c r="K313" s="0" t="str">
        <f aca="false">C313</f>
        <v/>
      </c>
      <c r="L313" s="0" t="str">
        <f aca="false">IF(K313="","",IF(ISNUMBER('List 1'!A313),'List 1'!A313,TRIM('List 1'!A313)))</f>
        <v/>
      </c>
      <c r="M313" s="0" t="str">
        <f aca="false">IF(K313="","",IF(ISNUMBER('List 1'!C313),'List 1'!C313,TRIM('List 1'!C313)))</f>
        <v/>
      </c>
      <c r="N313" s="0" t="str">
        <f aca="false">IF(K313="","",IF(ISNUMBER('List 1'!D313),'List 1'!D313,TRIM('List 1'!D313)))</f>
        <v/>
      </c>
      <c r="O313" s="0" t="str">
        <f aca="false">IF(K313="","",D313)</f>
        <v/>
      </c>
      <c r="P313" s="0" t="str">
        <f aca="false">IF(K313="","",IF(R313,SUMPRODUCT(--($H$2:$H$501=K313),$I$2:$I$501),0))</f>
        <v/>
      </c>
      <c r="Q313" s="0" t="str">
        <f aca="false">IF(K313="","",TRUE())</f>
        <v/>
      </c>
      <c r="R313" s="0" t="str">
        <f aca="false">IF(K313="","",SUMPRODUCT(--($H$2:$H$501=K313))&gt;0)</f>
        <v/>
      </c>
      <c r="S313" s="0" t="str">
        <f aca="false">IF(K313="","",IF(AND(Q313,R313),IF(O313=P313,"Match","Qty Different"),IF(Q313,"Only in List 1","Only in List 2")))</f>
        <v/>
      </c>
      <c r="T313" s="0" t="str">
        <f aca="false">IF(K313="","",IF(ISNUMBER(--L313),TEXT(--L313,"000000000000.000"),LOWER(L313)))</f>
        <v/>
      </c>
      <c r="U313" s="0" t="str">
        <f aca="false">IF(K313="","",IF(ISNUMBER(--M313),TEXT(--M313,"000000000000.000"),LOWER(M313)))</f>
        <v/>
      </c>
      <c r="V313" s="0" t="str">
        <f aca="false">IF(K313="","",LOWER(N313))</f>
        <v/>
      </c>
      <c r="W313" s="0" t="str">
        <f aca="false">IF(K313="","",B313)</f>
        <v/>
      </c>
      <c r="X313" s="0" t="str">
        <f aca="false">IF(K313="","",1+SUMPRODUCT(($K$2:$K$1001&lt;&gt;"")*(($T$2:$T$1001&lt;T313)+($T$2:$T$1001=T313)*(($U$2:$U$1001&lt;U313)+($U$2:$U$1001=U313)*(($V$2:$V$1001&lt;V313)+($V$2:$V$1001=V313)*(($W$2:$W$1001&lt;W313)+($W$2:$W$1001=W313)*(ROW($K$2:$K$1001)&lt;ROW(K313))))))))</f>
        <v/>
      </c>
    </row>
    <row r="314" customFormat="false" ht="15" hidden="false" customHeight="false" outlineLevel="0" collapsed="false">
      <c r="A314" s="0" t="str">
        <f aca="false">IF(TRIM('List 1'!A314&amp;'List 1'!C314&amp;'List 1'!D314)="","",LOWER(IF(OR(Comparison!$I$9="Item # + Part # + Description",Comparison!$I$9="Item # + Part #"),TRIM('List 1'!A314),"")&amp;"|"&amp;TRIM('List 1'!C314)&amp;"|"&amp;IF(OR(Comparison!$I$9="Item # + Part # + Description",Comparison!$I$9="Part # + Description"),TRIM('List 1'!D314),"")))</f>
        <v/>
      </c>
      <c r="B314" s="0" t="str">
        <f aca="false">IF(A314="","",SUMPRODUCT(--($A$2:A314=A314)))</f>
        <v/>
      </c>
      <c r="C314" s="0" t="str">
        <f aca="false">IF(A314="","",A314&amp;"#"&amp;B314)</f>
        <v/>
      </c>
      <c r="D314" s="0" t="str">
        <f aca="false">IF(A314="","",IFERROR(--'List 1'!B314,0))</f>
        <v/>
      </c>
      <c r="F314" s="0" t="str">
        <f aca="false">IF(TRIM('List 2'!A314&amp;'List 2'!C314&amp;'List 2'!D314)="","",LOWER(IF(OR(Comparison!$I$9="Item # + Part # + Description",Comparison!$I$9="Item # + Part #"),TRIM('List 2'!A314),"")&amp;"|"&amp;TRIM('List 2'!C314)&amp;"|"&amp;IF(OR(Comparison!$I$9="Item # + Part # + Description",Comparison!$I$9="Part # + Description"),TRIM('List 2'!D314),"")))</f>
        <v/>
      </c>
      <c r="G314" s="0" t="str">
        <f aca="false">IF(F314="","",SUMPRODUCT(--($F$2:F314=F314)))</f>
        <v/>
      </c>
      <c r="H314" s="0" t="str">
        <f aca="false">IF(F314="","",F314&amp;"#"&amp;G314)</f>
        <v/>
      </c>
      <c r="I314" s="0" t="str">
        <f aca="false">IF(F314="","",IFERROR(--'List 2'!B314,0))</f>
        <v/>
      </c>
      <c r="K314" s="0" t="str">
        <f aca="false">C314</f>
        <v/>
      </c>
      <c r="L314" s="0" t="str">
        <f aca="false">IF(K314="","",IF(ISNUMBER('List 1'!A314),'List 1'!A314,TRIM('List 1'!A314)))</f>
        <v/>
      </c>
      <c r="M314" s="0" t="str">
        <f aca="false">IF(K314="","",IF(ISNUMBER('List 1'!C314),'List 1'!C314,TRIM('List 1'!C314)))</f>
        <v/>
      </c>
      <c r="N314" s="0" t="str">
        <f aca="false">IF(K314="","",IF(ISNUMBER('List 1'!D314),'List 1'!D314,TRIM('List 1'!D314)))</f>
        <v/>
      </c>
      <c r="O314" s="0" t="str">
        <f aca="false">IF(K314="","",D314)</f>
        <v/>
      </c>
      <c r="P314" s="0" t="str">
        <f aca="false">IF(K314="","",IF(R314,SUMPRODUCT(--($H$2:$H$501=K314),$I$2:$I$501),0))</f>
        <v/>
      </c>
      <c r="Q314" s="0" t="str">
        <f aca="false">IF(K314="","",TRUE())</f>
        <v/>
      </c>
      <c r="R314" s="0" t="str">
        <f aca="false">IF(K314="","",SUMPRODUCT(--($H$2:$H$501=K314))&gt;0)</f>
        <v/>
      </c>
      <c r="S314" s="0" t="str">
        <f aca="false">IF(K314="","",IF(AND(Q314,R314),IF(O314=P314,"Match","Qty Different"),IF(Q314,"Only in List 1","Only in List 2")))</f>
        <v/>
      </c>
      <c r="T314" s="0" t="str">
        <f aca="false">IF(K314="","",IF(ISNUMBER(--L314),TEXT(--L314,"000000000000.000"),LOWER(L314)))</f>
        <v/>
      </c>
      <c r="U314" s="0" t="str">
        <f aca="false">IF(K314="","",IF(ISNUMBER(--M314),TEXT(--M314,"000000000000.000"),LOWER(M314)))</f>
        <v/>
      </c>
      <c r="V314" s="0" t="str">
        <f aca="false">IF(K314="","",LOWER(N314))</f>
        <v/>
      </c>
      <c r="W314" s="0" t="str">
        <f aca="false">IF(K314="","",B314)</f>
        <v/>
      </c>
      <c r="X314" s="0" t="str">
        <f aca="false">IF(K314="","",1+SUMPRODUCT(($K$2:$K$1001&lt;&gt;"")*(($T$2:$T$1001&lt;T314)+($T$2:$T$1001=T314)*(($U$2:$U$1001&lt;U314)+($U$2:$U$1001=U314)*(($V$2:$V$1001&lt;V314)+($V$2:$V$1001=V314)*(($W$2:$W$1001&lt;W314)+($W$2:$W$1001=W314)*(ROW($K$2:$K$1001)&lt;ROW(K314))))))))</f>
        <v/>
      </c>
    </row>
    <row r="315" customFormat="false" ht="15" hidden="false" customHeight="false" outlineLevel="0" collapsed="false">
      <c r="A315" s="0" t="str">
        <f aca="false">IF(TRIM('List 1'!A315&amp;'List 1'!C315&amp;'List 1'!D315)="","",LOWER(IF(OR(Comparison!$I$9="Item # + Part # + Description",Comparison!$I$9="Item # + Part #"),TRIM('List 1'!A315),"")&amp;"|"&amp;TRIM('List 1'!C315)&amp;"|"&amp;IF(OR(Comparison!$I$9="Item # + Part # + Description",Comparison!$I$9="Part # + Description"),TRIM('List 1'!D315),"")))</f>
        <v/>
      </c>
      <c r="B315" s="0" t="str">
        <f aca="false">IF(A315="","",SUMPRODUCT(--($A$2:A315=A315)))</f>
        <v/>
      </c>
      <c r="C315" s="0" t="str">
        <f aca="false">IF(A315="","",A315&amp;"#"&amp;B315)</f>
        <v/>
      </c>
      <c r="D315" s="0" t="str">
        <f aca="false">IF(A315="","",IFERROR(--'List 1'!B315,0))</f>
        <v/>
      </c>
      <c r="F315" s="0" t="str">
        <f aca="false">IF(TRIM('List 2'!A315&amp;'List 2'!C315&amp;'List 2'!D315)="","",LOWER(IF(OR(Comparison!$I$9="Item # + Part # + Description",Comparison!$I$9="Item # + Part #"),TRIM('List 2'!A315),"")&amp;"|"&amp;TRIM('List 2'!C315)&amp;"|"&amp;IF(OR(Comparison!$I$9="Item # + Part # + Description",Comparison!$I$9="Part # + Description"),TRIM('List 2'!D315),"")))</f>
        <v/>
      </c>
      <c r="G315" s="0" t="str">
        <f aca="false">IF(F315="","",SUMPRODUCT(--($F$2:F315=F315)))</f>
        <v/>
      </c>
      <c r="H315" s="0" t="str">
        <f aca="false">IF(F315="","",F315&amp;"#"&amp;G315)</f>
        <v/>
      </c>
      <c r="I315" s="0" t="str">
        <f aca="false">IF(F315="","",IFERROR(--'List 2'!B315,0))</f>
        <v/>
      </c>
      <c r="K315" s="0" t="str">
        <f aca="false">C315</f>
        <v/>
      </c>
      <c r="L315" s="0" t="str">
        <f aca="false">IF(K315="","",IF(ISNUMBER('List 1'!A315),'List 1'!A315,TRIM('List 1'!A315)))</f>
        <v/>
      </c>
      <c r="M315" s="0" t="str">
        <f aca="false">IF(K315="","",IF(ISNUMBER('List 1'!C315),'List 1'!C315,TRIM('List 1'!C315)))</f>
        <v/>
      </c>
      <c r="N315" s="0" t="str">
        <f aca="false">IF(K315="","",IF(ISNUMBER('List 1'!D315),'List 1'!D315,TRIM('List 1'!D315)))</f>
        <v/>
      </c>
      <c r="O315" s="0" t="str">
        <f aca="false">IF(K315="","",D315)</f>
        <v/>
      </c>
      <c r="P315" s="0" t="str">
        <f aca="false">IF(K315="","",IF(R315,SUMPRODUCT(--($H$2:$H$501=K315),$I$2:$I$501),0))</f>
        <v/>
      </c>
      <c r="Q315" s="0" t="str">
        <f aca="false">IF(K315="","",TRUE())</f>
        <v/>
      </c>
      <c r="R315" s="0" t="str">
        <f aca="false">IF(K315="","",SUMPRODUCT(--($H$2:$H$501=K315))&gt;0)</f>
        <v/>
      </c>
      <c r="S315" s="0" t="str">
        <f aca="false">IF(K315="","",IF(AND(Q315,R315),IF(O315=P315,"Match","Qty Different"),IF(Q315,"Only in List 1","Only in List 2")))</f>
        <v/>
      </c>
      <c r="T315" s="0" t="str">
        <f aca="false">IF(K315="","",IF(ISNUMBER(--L315),TEXT(--L315,"000000000000.000"),LOWER(L315)))</f>
        <v/>
      </c>
      <c r="U315" s="0" t="str">
        <f aca="false">IF(K315="","",IF(ISNUMBER(--M315),TEXT(--M315,"000000000000.000"),LOWER(M315)))</f>
        <v/>
      </c>
      <c r="V315" s="0" t="str">
        <f aca="false">IF(K315="","",LOWER(N315))</f>
        <v/>
      </c>
      <c r="W315" s="0" t="str">
        <f aca="false">IF(K315="","",B315)</f>
        <v/>
      </c>
      <c r="X315" s="0" t="str">
        <f aca="false">IF(K315="","",1+SUMPRODUCT(($K$2:$K$1001&lt;&gt;"")*(($T$2:$T$1001&lt;T315)+($T$2:$T$1001=T315)*(($U$2:$U$1001&lt;U315)+($U$2:$U$1001=U315)*(($V$2:$V$1001&lt;V315)+($V$2:$V$1001=V315)*(($W$2:$W$1001&lt;W315)+($W$2:$W$1001=W315)*(ROW($K$2:$K$1001)&lt;ROW(K315))))))))</f>
        <v/>
      </c>
    </row>
    <row r="316" customFormat="false" ht="15" hidden="false" customHeight="false" outlineLevel="0" collapsed="false">
      <c r="A316" s="0" t="str">
        <f aca="false">IF(TRIM('List 1'!A316&amp;'List 1'!C316&amp;'List 1'!D316)="","",LOWER(IF(OR(Comparison!$I$9="Item # + Part # + Description",Comparison!$I$9="Item # + Part #"),TRIM('List 1'!A316),"")&amp;"|"&amp;TRIM('List 1'!C316)&amp;"|"&amp;IF(OR(Comparison!$I$9="Item # + Part # + Description",Comparison!$I$9="Part # + Description"),TRIM('List 1'!D316),"")))</f>
        <v/>
      </c>
      <c r="B316" s="0" t="str">
        <f aca="false">IF(A316="","",SUMPRODUCT(--($A$2:A316=A316)))</f>
        <v/>
      </c>
      <c r="C316" s="0" t="str">
        <f aca="false">IF(A316="","",A316&amp;"#"&amp;B316)</f>
        <v/>
      </c>
      <c r="D316" s="0" t="str">
        <f aca="false">IF(A316="","",IFERROR(--'List 1'!B316,0))</f>
        <v/>
      </c>
      <c r="F316" s="0" t="str">
        <f aca="false">IF(TRIM('List 2'!A316&amp;'List 2'!C316&amp;'List 2'!D316)="","",LOWER(IF(OR(Comparison!$I$9="Item # + Part # + Description",Comparison!$I$9="Item # + Part #"),TRIM('List 2'!A316),"")&amp;"|"&amp;TRIM('List 2'!C316)&amp;"|"&amp;IF(OR(Comparison!$I$9="Item # + Part # + Description",Comparison!$I$9="Part # + Description"),TRIM('List 2'!D316),"")))</f>
        <v/>
      </c>
      <c r="G316" s="0" t="str">
        <f aca="false">IF(F316="","",SUMPRODUCT(--($F$2:F316=F316)))</f>
        <v/>
      </c>
      <c r="H316" s="0" t="str">
        <f aca="false">IF(F316="","",F316&amp;"#"&amp;G316)</f>
        <v/>
      </c>
      <c r="I316" s="0" t="str">
        <f aca="false">IF(F316="","",IFERROR(--'List 2'!B316,0))</f>
        <v/>
      </c>
      <c r="K316" s="0" t="str">
        <f aca="false">C316</f>
        <v/>
      </c>
      <c r="L316" s="0" t="str">
        <f aca="false">IF(K316="","",IF(ISNUMBER('List 1'!A316),'List 1'!A316,TRIM('List 1'!A316)))</f>
        <v/>
      </c>
      <c r="M316" s="0" t="str">
        <f aca="false">IF(K316="","",IF(ISNUMBER('List 1'!C316),'List 1'!C316,TRIM('List 1'!C316)))</f>
        <v/>
      </c>
      <c r="N316" s="0" t="str">
        <f aca="false">IF(K316="","",IF(ISNUMBER('List 1'!D316),'List 1'!D316,TRIM('List 1'!D316)))</f>
        <v/>
      </c>
      <c r="O316" s="0" t="str">
        <f aca="false">IF(K316="","",D316)</f>
        <v/>
      </c>
      <c r="P316" s="0" t="str">
        <f aca="false">IF(K316="","",IF(R316,SUMPRODUCT(--($H$2:$H$501=K316),$I$2:$I$501),0))</f>
        <v/>
      </c>
      <c r="Q316" s="0" t="str">
        <f aca="false">IF(K316="","",TRUE())</f>
        <v/>
      </c>
      <c r="R316" s="0" t="str">
        <f aca="false">IF(K316="","",SUMPRODUCT(--($H$2:$H$501=K316))&gt;0)</f>
        <v/>
      </c>
      <c r="S316" s="0" t="str">
        <f aca="false">IF(K316="","",IF(AND(Q316,R316),IF(O316=P316,"Match","Qty Different"),IF(Q316,"Only in List 1","Only in List 2")))</f>
        <v/>
      </c>
      <c r="T316" s="0" t="str">
        <f aca="false">IF(K316="","",IF(ISNUMBER(--L316),TEXT(--L316,"000000000000.000"),LOWER(L316)))</f>
        <v/>
      </c>
      <c r="U316" s="0" t="str">
        <f aca="false">IF(K316="","",IF(ISNUMBER(--M316),TEXT(--M316,"000000000000.000"),LOWER(M316)))</f>
        <v/>
      </c>
      <c r="V316" s="0" t="str">
        <f aca="false">IF(K316="","",LOWER(N316))</f>
        <v/>
      </c>
      <c r="W316" s="0" t="str">
        <f aca="false">IF(K316="","",B316)</f>
        <v/>
      </c>
      <c r="X316" s="0" t="str">
        <f aca="false">IF(K316="","",1+SUMPRODUCT(($K$2:$K$1001&lt;&gt;"")*(($T$2:$T$1001&lt;T316)+($T$2:$T$1001=T316)*(($U$2:$U$1001&lt;U316)+($U$2:$U$1001=U316)*(($V$2:$V$1001&lt;V316)+($V$2:$V$1001=V316)*(($W$2:$W$1001&lt;W316)+($W$2:$W$1001=W316)*(ROW($K$2:$K$1001)&lt;ROW(K316))))))))</f>
        <v/>
      </c>
    </row>
    <row r="317" customFormat="false" ht="15" hidden="false" customHeight="false" outlineLevel="0" collapsed="false">
      <c r="A317" s="0" t="str">
        <f aca="false">IF(TRIM('List 1'!A317&amp;'List 1'!C317&amp;'List 1'!D317)="","",LOWER(IF(OR(Comparison!$I$9="Item # + Part # + Description",Comparison!$I$9="Item # + Part #"),TRIM('List 1'!A317),"")&amp;"|"&amp;TRIM('List 1'!C317)&amp;"|"&amp;IF(OR(Comparison!$I$9="Item # + Part # + Description",Comparison!$I$9="Part # + Description"),TRIM('List 1'!D317),"")))</f>
        <v/>
      </c>
      <c r="B317" s="0" t="str">
        <f aca="false">IF(A317="","",SUMPRODUCT(--($A$2:A317=A317)))</f>
        <v/>
      </c>
      <c r="C317" s="0" t="str">
        <f aca="false">IF(A317="","",A317&amp;"#"&amp;B317)</f>
        <v/>
      </c>
      <c r="D317" s="0" t="str">
        <f aca="false">IF(A317="","",IFERROR(--'List 1'!B317,0))</f>
        <v/>
      </c>
      <c r="F317" s="0" t="str">
        <f aca="false">IF(TRIM('List 2'!A317&amp;'List 2'!C317&amp;'List 2'!D317)="","",LOWER(IF(OR(Comparison!$I$9="Item # + Part # + Description",Comparison!$I$9="Item # + Part #"),TRIM('List 2'!A317),"")&amp;"|"&amp;TRIM('List 2'!C317)&amp;"|"&amp;IF(OR(Comparison!$I$9="Item # + Part # + Description",Comparison!$I$9="Part # + Description"),TRIM('List 2'!D317),"")))</f>
        <v/>
      </c>
      <c r="G317" s="0" t="str">
        <f aca="false">IF(F317="","",SUMPRODUCT(--($F$2:F317=F317)))</f>
        <v/>
      </c>
      <c r="H317" s="0" t="str">
        <f aca="false">IF(F317="","",F317&amp;"#"&amp;G317)</f>
        <v/>
      </c>
      <c r="I317" s="0" t="str">
        <f aca="false">IF(F317="","",IFERROR(--'List 2'!B317,0))</f>
        <v/>
      </c>
      <c r="K317" s="0" t="str">
        <f aca="false">C317</f>
        <v/>
      </c>
      <c r="L317" s="0" t="str">
        <f aca="false">IF(K317="","",IF(ISNUMBER('List 1'!A317),'List 1'!A317,TRIM('List 1'!A317)))</f>
        <v/>
      </c>
      <c r="M317" s="0" t="str">
        <f aca="false">IF(K317="","",IF(ISNUMBER('List 1'!C317),'List 1'!C317,TRIM('List 1'!C317)))</f>
        <v/>
      </c>
      <c r="N317" s="0" t="str">
        <f aca="false">IF(K317="","",IF(ISNUMBER('List 1'!D317),'List 1'!D317,TRIM('List 1'!D317)))</f>
        <v/>
      </c>
      <c r="O317" s="0" t="str">
        <f aca="false">IF(K317="","",D317)</f>
        <v/>
      </c>
      <c r="P317" s="0" t="str">
        <f aca="false">IF(K317="","",IF(R317,SUMPRODUCT(--($H$2:$H$501=K317),$I$2:$I$501),0))</f>
        <v/>
      </c>
      <c r="Q317" s="0" t="str">
        <f aca="false">IF(K317="","",TRUE())</f>
        <v/>
      </c>
      <c r="R317" s="0" t="str">
        <f aca="false">IF(K317="","",SUMPRODUCT(--($H$2:$H$501=K317))&gt;0)</f>
        <v/>
      </c>
      <c r="S317" s="0" t="str">
        <f aca="false">IF(K317="","",IF(AND(Q317,R317),IF(O317=P317,"Match","Qty Different"),IF(Q317,"Only in List 1","Only in List 2")))</f>
        <v/>
      </c>
      <c r="T317" s="0" t="str">
        <f aca="false">IF(K317="","",IF(ISNUMBER(--L317),TEXT(--L317,"000000000000.000"),LOWER(L317)))</f>
        <v/>
      </c>
      <c r="U317" s="0" t="str">
        <f aca="false">IF(K317="","",IF(ISNUMBER(--M317),TEXT(--M317,"000000000000.000"),LOWER(M317)))</f>
        <v/>
      </c>
      <c r="V317" s="0" t="str">
        <f aca="false">IF(K317="","",LOWER(N317))</f>
        <v/>
      </c>
      <c r="W317" s="0" t="str">
        <f aca="false">IF(K317="","",B317)</f>
        <v/>
      </c>
      <c r="X317" s="0" t="str">
        <f aca="false">IF(K317="","",1+SUMPRODUCT(($K$2:$K$1001&lt;&gt;"")*(($T$2:$T$1001&lt;T317)+($T$2:$T$1001=T317)*(($U$2:$U$1001&lt;U317)+($U$2:$U$1001=U317)*(($V$2:$V$1001&lt;V317)+($V$2:$V$1001=V317)*(($W$2:$W$1001&lt;W317)+($W$2:$W$1001=W317)*(ROW($K$2:$K$1001)&lt;ROW(K317))))))))</f>
        <v/>
      </c>
    </row>
    <row r="318" customFormat="false" ht="15" hidden="false" customHeight="false" outlineLevel="0" collapsed="false">
      <c r="A318" s="0" t="str">
        <f aca="false">IF(TRIM('List 1'!A318&amp;'List 1'!C318&amp;'List 1'!D318)="","",LOWER(IF(OR(Comparison!$I$9="Item # + Part # + Description",Comparison!$I$9="Item # + Part #"),TRIM('List 1'!A318),"")&amp;"|"&amp;TRIM('List 1'!C318)&amp;"|"&amp;IF(OR(Comparison!$I$9="Item # + Part # + Description",Comparison!$I$9="Part # + Description"),TRIM('List 1'!D318),"")))</f>
        <v/>
      </c>
      <c r="B318" s="0" t="str">
        <f aca="false">IF(A318="","",SUMPRODUCT(--($A$2:A318=A318)))</f>
        <v/>
      </c>
      <c r="C318" s="0" t="str">
        <f aca="false">IF(A318="","",A318&amp;"#"&amp;B318)</f>
        <v/>
      </c>
      <c r="D318" s="0" t="str">
        <f aca="false">IF(A318="","",IFERROR(--'List 1'!B318,0))</f>
        <v/>
      </c>
      <c r="F318" s="0" t="str">
        <f aca="false">IF(TRIM('List 2'!A318&amp;'List 2'!C318&amp;'List 2'!D318)="","",LOWER(IF(OR(Comparison!$I$9="Item # + Part # + Description",Comparison!$I$9="Item # + Part #"),TRIM('List 2'!A318),"")&amp;"|"&amp;TRIM('List 2'!C318)&amp;"|"&amp;IF(OR(Comparison!$I$9="Item # + Part # + Description",Comparison!$I$9="Part # + Description"),TRIM('List 2'!D318),"")))</f>
        <v/>
      </c>
      <c r="G318" s="0" t="str">
        <f aca="false">IF(F318="","",SUMPRODUCT(--($F$2:F318=F318)))</f>
        <v/>
      </c>
      <c r="H318" s="0" t="str">
        <f aca="false">IF(F318="","",F318&amp;"#"&amp;G318)</f>
        <v/>
      </c>
      <c r="I318" s="0" t="str">
        <f aca="false">IF(F318="","",IFERROR(--'List 2'!B318,0))</f>
        <v/>
      </c>
      <c r="K318" s="0" t="str">
        <f aca="false">C318</f>
        <v/>
      </c>
      <c r="L318" s="0" t="str">
        <f aca="false">IF(K318="","",IF(ISNUMBER('List 1'!A318),'List 1'!A318,TRIM('List 1'!A318)))</f>
        <v/>
      </c>
      <c r="M318" s="0" t="str">
        <f aca="false">IF(K318="","",IF(ISNUMBER('List 1'!C318),'List 1'!C318,TRIM('List 1'!C318)))</f>
        <v/>
      </c>
      <c r="N318" s="0" t="str">
        <f aca="false">IF(K318="","",IF(ISNUMBER('List 1'!D318),'List 1'!D318,TRIM('List 1'!D318)))</f>
        <v/>
      </c>
      <c r="O318" s="0" t="str">
        <f aca="false">IF(K318="","",D318)</f>
        <v/>
      </c>
      <c r="P318" s="0" t="str">
        <f aca="false">IF(K318="","",IF(R318,SUMPRODUCT(--($H$2:$H$501=K318),$I$2:$I$501),0))</f>
        <v/>
      </c>
      <c r="Q318" s="0" t="str">
        <f aca="false">IF(K318="","",TRUE())</f>
        <v/>
      </c>
      <c r="R318" s="0" t="str">
        <f aca="false">IF(K318="","",SUMPRODUCT(--($H$2:$H$501=K318))&gt;0)</f>
        <v/>
      </c>
      <c r="S318" s="0" t="str">
        <f aca="false">IF(K318="","",IF(AND(Q318,R318),IF(O318=P318,"Match","Qty Different"),IF(Q318,"Only in List 1","Only in List 2")))</f>
        <v/>
      </c>
      <c r="T318" s="0" t="str">
        <f aca="false">IF(K318="","",IF(ISNUMBER(--L318),TEXT(--L318,"000000000000.000"),LOWER(L318)))</f>
        <v/>
      </c>
      <c r="U318" s="0" t="str">
        <f aca="false">IF(K318="","",IF(ISNUMBER(--M318),TEXT(--M318,"000000000000.000"),LOWER(M318)))</f>
        <v/>
      </c>
      <c r="V318" s="0" t="str">
        <f aca="false">IF(K318="","",LOWER(N318))</f>
        <v/>
      </c>
      <c r="W318" s="0" t="str">
        <f aca="false">IF(K318="","",B318)</f>
        <v/>
      </c>
      <c r="X318" s="0" t="str">
        <f aca="false">IF(K318="","",1+SUMPRODUCT(($K$2:$K$1001&lt;&gt;"")*(($T$2:$T$1001&lt;T318)+($T$2:$T$1001=T318)*(($U$2:$U$1001&lt;U318)+($U$2:$U$1001=U318)*(($V$2:$V$1001&lt;V318)+($V$2:$V$1001=V318)*(($W$2:$W$1001&lt;W318)+($W$2:$W$1001=W318)*(ROW($K$2:$K$1001)&lt;ROW(K318))))))))</f>
        <v/>
      </c>
    </row>
    <row r="319" customFormat="false" ht="15" hidden="false" customHeight="false" outlineLevel="0" collapsed="false">
      <c r="A319" s="0" t="str">
        <f aca="false">IF(TRIM('List 1'!A319&amp;'List 1'!C319&amp;'List 1'!D319)="","",LOWER(IF(OR(Comparison!$I$9="Item # + Part # + Description",Comparison!$I$9="Item # + Part #"),TRIM('List 1'!A319),"")&amp;"|"&amp;TRIM('List 1'!C319)&amp;"|"&amp;IF(OR(Comparison!$I$9="Item # + Part # + Description",Comparison!$I$9="Part # + Description"),TRIM('List 1'!D319),"")))</f>
        <v/>
      </c>
      <c r="B319" s="0" t="str">
        <f aca="false">IF(A319="","",SUMPRODUCT(--($A$2:A319=A319)))</f>
        <v/>
      </c>
      <c r="C319" s="0" t="str">
        <f aca="false">IF(A319="","",A319&amp;"#"&amp;B319)</f>
        <v/>
      </c>
      <c r="D319" s="0" t="str">
        <f aca="false">IF(A319="","",IFERROR(--'List 1'!B319,0))</f>
        <v/>
      </c>
      <c r="F319" s="0" t="str">
        <f aca="false">IF(TRIM('List 2'!A319&amp;'List 2'!C319&amp;'List 2'!D319)="","",LOWER(IF(OR(Comparison!$I$9="Item # + Part # + Description",Comparison!$I$9="Item # + Part #"),TRIM('List 2'!A319),"")&amp;"|"&amp;TRIM('List 2'!C319)&amp;"|"&amp;IF(OR(Comparison!$I$9="Item # + Part # + Description",Comparison!$I$9="Part # + Description"),TRIM('List 2'!D319),"")))</f>
        <v/>
      </c>
      <c r="G319" s="0" t="str">
        <f aca="false">IF(F319="","",SUMPRODUCT(--($F$2:F319=F319)))</f>
        <v/>
      </c>
      <c r="H319" s="0" t="str">
        <f aca="false">IF(F319="","",F319&amp;"#"&amp;G319)</f>
        <v/>
      </c>
      <c r="I319" s="0" t="str">
        <f aca="false">IF(F319="","",IFERROR(--'List 2'!B319,0))</f>
        <v/>
      </c>
      <c r="K319" s="0" t="str">
        <f aca="false">C319</f>
        <v/>
      </c>
      <c r="L319" s="0" t="str">
        <f aca="false">IF(K319="","",IF(ISNUMBER('List 1'!A319),'List 1'!A319,TRIM('List 1'!A319)))</f>
        <v/>
      </c>
      <c r="M319" s="0" t="str">
        <f aca="false">IF(K319="","",IF(ISNUMBER('List 1'!C319),'List 1'!C319,TRIM('List 1'!C319)))</f>
        <v/>
      </c>
      <c r="N319" s="0" t="str">
        <f aca="false">IF(K319="","",IF(ISNUMBER('List 1'!D319),'List 1'!D319,TRIM('List 1'!D319)))</f>
        <v/>
      </c>
      <c r="O319" s="0" t="str">
        <f aca="false">IF(K319="","",D319)</f>
        <v/>
      </c>
      <c r="P319" s="0" t="str">
        <f aca="false">IF(K319="","",IF(R319,SUMPRODUCT(--($H$2:$H$501=K319),$I$2:$I$501),0))</f>
        <v/>
      </c>
      <c r="Q319" s="0" t="str">
        <f aca="false">IF(K319="","",TRUE())</f>
        <v/>
      </c>
      <c r="R319" s="0" t="str">
        <f aca="false">IF(K319="","",SUMPRODUCT(--($H$2:$H$501=K319))&gt;0)</f>
        <v/>
      </c>
      <c r="S319" s="0" t="str">
        <f aca="false">IF(K319="","",IF(AND(Q319,R319),IF(O319=P319,"Match","Qty Different"),IF(Q319,"Only in List 1","Only in List 2")))</f>
        <v/>
      </c>
      <c r="T319" s="0" t="str">
        <f aca="false">IF(K319="","",IF(ISNUMBER(--L319),TEXT(--L319,"000000000000.000"),LOWER(L319)))</f>
        <v/>
      </c>
      <c r="U319" s="0" t="str">
        <f aca="false">IF(K319="","",IF(ISNUMBER(--M319),TEXT(--M319,"000000000000.000"),LOWER(M319)))</f>
        <v/>
      </c>
      <c r="V319" s="0" t="str">
        <f aca="false">IF(K319="","",LOWER(N319))</f>
        <v/>
      </c>
      <c r="W319" s="0" t="str">
        <f aca="false">IF(K319="","",B319)</f>
        <v/>
      </c>
      <c r="X319" s="0" t="str">
        <f aca="false">IF(K319="","",1+SUMPRODUCT(($K$2:$K$1001&lt;&gt;"")*(($T$2:$T$1001&lt;T319)+($T$2:$T$1001=T319)*(($U$2:$U$1001&lt;U319)+($U$2:$U$1001=U319)*(($V$2:$V$1001&lt;V319)+($V$2:$V$1001=V319)*(($W$2:$W$1001&lt;W319)+($W$2:$W$1001=W319)*(ROW($K$2:$K$1001)&lt;ROW(K319))))))))</f>
        <v/>
      </c>
    </row>
    <row r="320" customFormat="false" ht="15" hidden="false" customHeight="false" outlineLevel="0" collapsed="false">
      <c r="A320" s="0" t="str">
        <f aca="false">IF(TRIM('List 1'!A320&amp;'List 1'!C320&amp;'List 1'!D320)="","",LOWER(IF(OR(Comparison!$I$9="Item # + Part # + Description",Comparison!$I$9="Item # + Part #"),TRIM('List 1'!A320),"")&amp;"|"&amp;TRIM('List 1'!C320)&amp;"|"&amp;IF(OR(Comparison!$I$9="Item # + Part # + Description",Comparison!$I$9="Part # + Description"),TRIM('List 1'!D320),"")))</f>
        <v/>
      </c>
      <c r="B320" s="0" t="str">
        <f aca="false">IF(A320="","",SUMPRODUCT(--($A$2:A320=A320)))</f>
        <v/>
      </c>
      <c r="C320" s="0" t="str">
        <f aca="false">IF(A320="","",A320&amp;"#"&amp;B320)</f>
        <v/>
      </c>
      <c r="D320" s="0" t="str">
        <f aca="false">IF(A320="","",IFERROR(--'List 1'!B320,0))</f>
        <v/>
      </c>
      <c r="F320" s="0" t="str">
        <f aca="false">IF(TRIM('List 2'!A320&amp;'List 2'!C320&amp;'List 2'!D320)="","",LOWER(IF(OR(Comparison!$I$9="Item # + Part # + Description",Comparison!$I$9="Item # + Part #"),TRIM('List 2'!A320),"")&amp;"|"&amp;TRIM('List 2'!C320)&amp;"|"&amp;IF(OR(Comparison!$I$9="Item # + Part # + Description",Comparison!$I$9="Part # + Description"),TRIM('List 2'!D320),"")))</f>
        <v/>
      </c>
      <c r="G320" s="0" t="str">
        <f aca="false">IF(F320="","",SUMPRODUCT(--($F$2:F320=F320)))</f>
        <v/>
      </c>
      <c r="H320" s="0" t="str">
        <f aca="false">IF(F320="","",F320&amp;"#"&amp;G320)</f>
        <v/>
      </c>
      <c r="I320" s="0" t="str">
        <f aca="false">IF(F320="","",IFERROR(--'List 2'!B320,0))</f>
        <v/>
      </c>
      <c r="K320" s="0" t="str">
        <f aca="false">C320</f>
        <v/>
      </c>
      <c r="L320" s="0" t="str">
        <f aca="false">IF(K320="","",IF(ISNUMBER('List 1'!A320),'List 1'!A320,TRIM('List 1'!A320)))</f>
        <v/>
      </c>
      <c r="M320" s="0" t="str">
        <f aca="false">IF(K320="","",IF(ISNUMBER('List 1'!C320),'List 1'!C320,TRIM('List 1'!C320)))</f>
        <v/>
      </c>
      <c r="N320" s="0" t="str">
        <f aca="false">IF(K320="","",IF(ISNUMBER('List 1'!D320),'List 1'!D320,TRIM('List 1'!D320)))</f>
        <v/>
      </c>
      <c r="O320" s="0" t="str">
        <f aca="false">IF(K320="","",D320)</f>
        <v/>
      </c>
      <c r="P320" s="0" t="str">
        <f aca="false">IF(K320="","",IF(R320,SUMPRODUCT(--($H$2:$H$501=K320),$I$2:$I$501),0))</f>
        <v/>
      </c>
      <c r="Q320" s="0" t="str">
        <f aca="false">IF(K320="","",TRUE())</f>
        <v/>
      </c>
      <c r="R320" s="0" t="str">
        <f aca="false">IF(K320="","",SUMPRODUCT(--($H$2:$H$501=K320))&gt;0)</f>
        <v/>
      </c>
      <c r="S320" s="0" t="str">
        <f aca="false">IF(K320="","",IF(AND(Q320,R320),IF(O320=P320,"Match","Qty Different"),IF(Q320,"Only in List 1","Only in List 2")))</f>
        <v/>
      </c>
      <c r="T320" s="0" t="str">
        <f aca="false">IF(K320="","",IF(ISNUMBER(--L320),TEXT(--L320,"000000000000.000"),LOWER(L320)))</f>
        <v/>
      </c>
      <c r="U320" s="0" t="str">
        <f aca="false">IF(K320="","",IF(ISNUMBER(--M320),TEXT(--M320,"000000000000.000"),LOWER(M320)))</f>
        <v/>
      </c>
      <c r="V320" s="0" t="str">
        <f aca="false">IF(K320="","",LOWER(N320))</f>
        <v/>
      </c>
      <c r="W320" s="0" t="str">
        <f aca="false">IF(K320="","",B320)</f>
        <v/>
      </c>
      <c r="X320" s="0" t="str">
        <f aca="false">IF(K320="","",1+SUMPRODUCT(($K$2:$K$1001&lt;&gt;"")*(($T$2:$T$1001&lt;T320)+($T$2:$T$1001=T320)*(($U$2:$U$1001&lt;U320)+($U$2:$U$1001=U320)*(($V$2:$V$1001&lt;V320)+($V$2:$V$1001=V320)*(($W$2:$W$1001&lt;W320)+($W$2:$W$1001=W320)*(ROW($K$2:$K$1001)&lt;ROW(K320))))))))</f>
        <v/>
      </c>
    </row>
    <row r="321" customFormat="false" ht="15" hidden="false" customHeight="false" outlineLevel="0" collapsed="false">
      <c r="A321" s="0" t="str">
        <f aca="false">IF(TRIM('List 1'!A321&amp;'List 1'!C321&amp;'List 1'!D321)="","",LOWER(IF(OR(Comparison!$I$9="Item # + Part # + Description",Comparison!$I$9="Item # + Part #"),TRIM('List 1'!A321),"")&amp;"|"&amp;TRIM('List 1'!C321)&amp;"|"&amp;IF(OR(Comparison!$I$9="Item # + Part # + Description",Comparison!$I$9="Part # + Description"),TRIM('List 1'!D321),"")))</f>
        <v/>
      </c>
      <c r="B321" s="0" t="str">
        <f aca="false">IF(A321="","",SUMPRODUCT(--($A$2:A321=A321)))</f>
        <v/>
      </c>
      <c r="C321" s="0" t="str">
        <f aca="false">IF(A321="","",A321&amp;"#"&amp;B321)</f>
        <v/>
      </c>
      <c r="D321" s="0" t="str">
        <f aca="false">IF(A321="","",IFERROR(--'List 1'!B321,0))</f>
        <v/>
      </c>
      <c r="F321" s="0" t="str">
        <f aca="false">IF(TRIM('List 2'!A321&amp;'List 2'!C321&amp;'List 2'!D321)="","",LOWER(IF(OR(Comparison!$I$9="Item # + Part # + Description",Comparison!$I$9="Item # + Part #"),TRIM('List 2'!A321),"")&amp;"|"&amp;TRIM('List 2'!C321)&amp;"|"&amp;IF(OR(Comparison!$I$9="Item # + Part # + Description",Comparison!$I$9="Part # + Description"),TRIM('List 2'!D321),"")))</f>
        <v/>
      </c>
      <c r="G321" s="0" t="str">
        <f aca="false">IF(F321="","",SUMPRODUCT(--($F$2:F321=F321)))</f>
        <v/>
      </c>
      <c r="H321" s="0" t="str">
        <f aca="false">IF(F321="","",F321&amp;"#"&amp;G321)</f>
        <v/>
      </c>
      <c r="I321" s="0" t="str">
        <f aca="false">IF(F321="","",IFERROR(--'List 2'!B321,0))</f>
        <v/>
      </c>
      <c r="K321" s="0" t="str">
        <f aca="false">C321</f>
        <v/>
      </c>
      <c r="L321" s="0" t="str">
        <f aca="false">IF(K321="","",IF(ISNUMBER('List 1'!A321),'List 1'!A321,TRIM('List 1'!A321)))</f>
        <v/>
      </c>
      <c r="M321" s="0" t="str">
        <f aca="false">IF(K321="","",IF(ISNUMBER('List 1'!C321),'List 1'!C321,TRIM('List 1'!C321)))</f>
        <v/>
      </c>
      <c r="N321" s="0" t="str">
        <f aca="false">IF(K321="","",IF(ISNUMBER('List 1'!D321),'List 1'!D321,TRIM('List 1'!D321)))</f>
        <v/>
      </c>
      <c r="O321" s="0" t="str">
        <f aca="false">IF(K321="","",D321)</f>
        <v/>
      </c>
      <c r="P321" s="0" t="str">
        <f aca="false">IF(K321="","",IF(R321,SUMPRODUCT(--($H$2:$H$501=K321),$I$2:$I$501),0))</f>
        <v/>
      </c>
      <c r="Q321" s="0" t="str">
        <f aca="false">IF(K321="","",TRUE())</f>
        <v/>
      </c>
      <c r="R321" s="0" t="str">
        <f aca="false">IF(K321="","",SUMPRODUCT(--($H$2:$H$501=K321))&gt;0)</f>
        <v/>
      </c>
      <c r="S321" s="0" t="str">
        <f aca="false">IF(K321="","",IF(AND(Q321,R321),IF(O321=P321,"Match","Qty Different"),IF(Q321,"Only in List 1","Only in List 2")))</f>
        <v/>
      </c>
      <c r="T321" s="0" t="str">
        <f aca="false">IF(K321="","",IF(ISNUMBER(--L321),TEXT(--L321,"000000000000.000"),LOWER(L321)))</f>
        <v/>
      </c>
      <c r="U321" s="0" t="str">
        <f aca="false">IF(K321="","",IF(ISNUMBER(--M321),TEXT(--M321,"000000000000.000"),LOWER(M321)))</f>
        <v/>
      </c>
      <c r="V321" s="0" t="str">
        <f aca="false">IF(K321="","",LOWER(N321))</f>
        <v/>
      </c>
      <c r="W321" s="0" t="str">
        <f aca="false">IF(K321="","",B321)</f>
        <v/>
      </c>
      <c r="X321" s="0" t="str">
        <f aca="false">IF(K321="","",1+SUMPRODUCT(($K$2:$K$1001&lt;&gt;"")*(($T$2:$T$1001&lt;T321)+($T$2:$T$1001=T321)*(($U$2:$U$1001&lt;U321)+($U$2:$U$1001=U321)*(($V$2:$V$1001&lt;V321)+($V$2:$V$1001=V321)*(($W$2:$W$1001&lt;W321)+($W$2:$W$1001=W321)*(ROW($K$2:$K$1001)&lt;ROW(K321))))))))</f>
        <v/>
      </c>
    </row>
    <row r="322" customFormat="false" ht="15" hidden="false" customHeight="false" outlineLevel="0" collapsed="false">
      <c r="A322" s="0" t="str">
        <f aca="false">IF(TRIM('List 1'!A322&amp;'List 1'!C322&amp;'List 1'!D322)="","",LOWER(IF(OR(Comparison!$I$9="Item # + Part # + Description",Comparison!$I$9="Item # + Part #"),TRIM('List 1'!A322),"")&amp;"|"&amp;TRIM('List 1'!C322)&amp;"|"&amp;IF(OR(Comparison!$I$9="Item # + Part # + Description",Comparison!$I$9="Part # + Description"),TRIM('List 1'!D322),"")))</f>
        <v/>
      </c>
      <c r="B322" s="0" t="str">
        <f aca="false">IF(A322="","",SUMPRODUCT(--($A$2:A322=A322)))</f>
        <v/>
      </c>
      <c r="C322" s="0" t="str">
        <f aca="false">IF(A322="","",A322&amp;"#"&amp;B322)</f>
        <v/>
      </c>
      <c r="D322" s="0" t="str">
        <f aca="false">IF(A322="","",IFERROR(--'List 1'!B322,0))</f>
        <v/>
      </c>
      <c r="F322" s="0" t="str">
        <f aca="false">IF(TRIM('List 2'!A322&amp;'List 2'!C322&amp;'List 2'!D322)="","",LOWER(IF(OR(Comparison!$I$9="Item # + Part # + Description",Comparison!$I$9="Item # + Part #"),TRIM('List 2'!A322),"")&amp;"|"&amp;TRIM('List 2'!C322)&amp;"|"&amp;IF(OR(Comparison!$I$9="Item # + Part # + Description",Comparison!$I$9="Part # + Description"),TRIM('List 2'!D322),"")))</f>
        <v/>
      </c>
      <c r="G322" s="0" t="str">
        <f aca="false">IF(F322="","",SUMPRODUCT(--($F$2:F322=F322)))</f>
        <v/>
      </c>
      <c r="H322" s="0" t="str">
        <f aca="false">IF(F322="","",F322&amp;"#"&amp;G322)</f>
        <v/>
      </c>
      <c r="I322" s="0" t="str">
        <f aca="false">IF(F322="","",IFERROR(--'List 2'!B322,0))</f>
        <v/>
      </c>
      <c r="K322" s="0" t="str">
        <f aca="false">C322</f>
        <v/>
      </c>
      <c r="L322" s="0" t="str">
        <f aca="false">IF(K322="","",IF(ISNUMBER('List 1'!A322),'List 1'!A322,TRIM('List 1'!A322)))</f>
        <v/>
      </c>
      <c r="M322" s="0" t="str">
        <f aca="false">IF(K322="","",IF(ISNUMBER('List 1'!C322),'List 1'!C322,TRIM('List 1'!C322)))</f>
        <v/>
      </c>
      <c r="N322" s="0" t="str">
        <f aca="false">IF(K322="","",IF(ISNUMBER('List 1'!D322),'List 1'!D322,TRIM('List 1'!D322)))</f>
        <v/>
      </c>
      <c r="O322" s="0" t="str">
        <f aca="false">IF(K322="","",D322)</f>
        <v/>
      </c>
      <c r="P322" s="0" t="str">
        <f aca="false">IF(K322="","",IF(R322,SUMPRODUCT(--($H$2:$H$501=K322),$I$2:$I$501),0))</f>
        <v/>
      </c>
      <c r="Q322" s="0" t="str">
        <f aca="false">IF(K322="","",TRUE())</f>
        <v/>
      </c>
      <c r="R322" s="0" t="str">
        <f aca="false">IF(K322="","",SUMPRODUCT(--($H$2:$H$501=K322))&gt;0)</f>
        <v/>
      </c>
      <c r="S322" s="0" t="str">
        <f aca="false">IF(K322="","",IF(AND(Q322,R322),IF(O322=P322,"Match","Qty Different"),IF(Q322,"Only in List 1","Only in List 2")))</f>
        <v/>
      </c>
      <c r="T322" s="0" t="str">
        <f aca="false">IF(K322="","",IF(ISNUMBER(--L322),TEXT(--L322,"000000000000.000"),LOWER(L322)))</f>
        <v/>
      </c>
      <c r="U322" s="0" t="str">
        <f aca="false">IF(K322="","",IF(ISNUMBER(--M322),TEXT(--M322,"000000000000.000"),LOWER(M322)))</f>
        <v/>
      </c>
      <c r="V322" s="0" t="str">
        <f aca="false">IF(K322="","",LOWER(N322))</f>
        <v/>
      </c>
      <c r="W322" s="0" t="str">
        <f aca="false">IF(K322="","",B322)</f>
        <v/>
      </c>
      <c r="X322" s="0" t="str">
        <f aca="false">IF(K322="","",1+SUMPRODUCT(($K$2:$K$1001&lt;&gt;"")*(($T$2:$T$1001&lt;T322)+($T$2:$T$1001=T322)*(($U$2:$U$1001&lt;U322)+($U$2:$U$1001=U322)*(($V$2:$V$1001&lt;V322)+($V$2:$V$1001=V322)*(($W$2:$W$1001&lt;W322)+($W$2:$W$1001=W322)*(ROW($K$2:$K$1001)&lt;ROW(K322))))))))</f>
        <v/>
      </c>
    </row>
    <row r="323" customFormat="false" ht="15" hidden="false" customHeight="false" outlineLevel="0" collapsed="false">
      <c r="A323" s="0" t="str">
        <f aca="false">IF(TRIM('List 1'!A323&amp;'List 1'!C323&amp;'List 1'!D323)="","",LOWER(IF(OR(Comparison!$I$9="Item # + Part # + Description",Comparison!$I$9="Item # + Part #"),TRIM('List 1'!A323),"")&amp;"|"&amp;TRIM('List 1'!C323)&amp;"|"&amp;IF(OR(Comparison!$I$9="Item # + Part # + Description",Comparison!$I$9="Part # + Description"),TRIM('List 1'!D323),"")))</f>
        <v/>
      </c>
      <c r="B323" s="0" t="str">
        <f aca="false">IF(A323="","",SUMPRODUCT(--($A$2:A323=A323)))</f>
        <v/>
      </c>
      <c r="C323" s="0" t="str">
        <f aca="false">IF(A323="","",A323&amp;"#"&amp;B323)</f>
        <v/>
      </c>
      <c r="D323" s="0" t="str">
        <f aca="false">IF(A323="","",IFERROR(--'List 1'!B323,0))</f>
        <v/>
      </c>
      <c r="F323" s="0" t="str">
        <f aca="false">IF(TRIM('List 2'!A323&amp;'List 2'!C323&amp;'List 2'!D323)="","",LOWER(IF(OR(Comparison!$I$9="Item # + Part # + Description",Comparison!$I$9="Item # + Part #"),TRIM('List 2'!A323),"")&amp;"|"&amp;TRIM('List 2'!C323)&amp;"|"&amp;IF(OR(Comparison!$I$9="Item # + Part # + Description",Comparison!$I$9="Part # + Description"),TRIM('List 2'!D323),"")))</f>
        <v/>
      </c>
      <c r="G323" s="0" t="str">
        <f aca="false">IF(F323="","",SUMPRODUCT(--($F$2:F323=F323)))</f>
        <v/>
      </c>
      <c r="H323" s="0" t="str">
        <f aca="false">IF(F323="","",F323&amp;"#"&amp;G323)</f>
        <v/>
      </c>
      <c r="I323" s="0" t="str">
        <f aca="false">IF(F323="","",IFERROR(--'List 2'!B323,0))</f>
        <v/>
      </c>
      <c r="K323" s="0" t="str">
        <f aca="false">C323</f>
        <v/>
      </c>
      <c r="L323" s="0" t="str">
        <f aca="false">IF(K323="","",IF(ISNUMBER('List 1'!A323),'List 1'!A323,TRIM('List 1'!A323)))</f>
        <v/>
      </c>
      <c r="M323" s="0" t="str">
        <f aca="false">IF(K323="","",IF(ISNUMBER('List 1'!C323),'List 1'!C323,TRIM('List 1'!C323)))</f>
        <v/>
      </c>
      <c r="N323" s="0" t="str">
        <f aca="false">IF(K323="","",IF(ISNUMBER('List 1'!D323),'List 1'!D323,TRIM('List 1'!D323)))</f>
        <v/>
      </c>
      <c r="O323" s="0" t="str">
        <f aca="false">IF(K323="","",D323)</f>
        <v/>
      </c>
      <c r="P323" s="0" t="str">
        <f aca="false">IF(K323="","",IF(R323,SUMPRODUCT(--($H$2:$H$501=K323),$I$2:$I$501),0))</f>
        <v/>
      </c>
      <c r="Q323" s="0" t="str">
        <f aca="false">IF(K323="","",TRUE())</f>
        <v/>
      </c>
      <c r="R323" s="0" t="str">
        <f aca="false">IF(K323="","",SUMPRODUCT(--($H$2:$H$501=K323))&gt;0)</f>
        <v/>
      </c>
      <c r="S323" s="0" t="str">
        <f aca="false">IF(K323="","",IF(AND(Q323,R323),IF(O323=P323,"Match","Qty Different"),IF(Q323,"Only in List 1","Only in List 2")))</f>
        <v/>
      </c>
      <c r="T323" s="0" t="str">
        <f aca="false">IF(K323="","",IF(ISNUMBER(--L323),TEXT(--L323,"000000000000.000"),LOWER(L323)))</f>
        <v/>
      </c>
      <c r="U323" s="0" t="str">
        <f aca="false">IF(K323="","",IF(ISNUMBER(--M323),TEXT(--M323,"000000000000.000"),LOWER(M323)))</f>
        <v/>
      </c>
      <c r="V323" s="0" t="str">
        <f aca="false">IF(K323="","",LOWER(N323))</f>
        <v/>
      </c>
      <c r="W323" s="0" t="str">
        <f aca="false">IF(K323="","",B323)</f>
        <v/>
      </c>
      <c r="X323" s="0" t="str">
        <f aca="false">IF(K323="","",1+SUMPRODUCT(($K$2:$K$1001&lt;&gt;"")*(($T$2:$T$1001&lt;T323)+($T$2:$T$1001=T323)*(($U$2:$U$1001&lt;U323)+($U$2:$U$1001=U323)*(($V$2:$V$1001&lt;V323)+($V$2:$V$1001=V323)*(($W$2:$W$1001&lt;W323)+($W$2:$W$1001=W323)*(ROW($K$2:$K$1001)&lt;ROW(K323))))))))</f>
        <v/>
      </c>
    </row>
    <row r="324" customFormat="false" ht="15" hidden="false" customHeight="false" outlineLevel="0" collapsed="false">
      <c r="A324" s="0" t="str">
        <f aca="false">IF(TRIM('List 1'!A324&amp;'List 1'!C324&amp;'List 1'!D324)="","",LOWER(IF(OR(Comparison!$I$9="Item # + Part # + Description",Comparison!$I$9="Item # + Part #"),TRIM('List 1'!A324),"")&amp;"|"&amp;TRIM('List 1'!C324)&amp;"|"&amp;IF(OR(Comparison!$I$9="Item # + Part # + Description",Comparison!$I$9="Part # + Description"),TRIM('List 1'!D324),"")))</f>
        <v/>
      </c>
      <c r="B324" s="0" t="str">
        <f aca="false">IF(A324="","",SUMPRODUCT(--($A$2:A324=A324)))</f>
        <v/>
      </c>
      <c r="C324" s="0" t="str">
        <f aca="false">IF(A324="","",A324&amp;"#"&amp;B324)</f>
        <v/>
      </c>
      <c r="D324" s="0" t="str">
        <f aca="false">IF(A324="","",IFERROR(--'List 1'!B324,0))</f>
        <v/>
      </c>
      <c r="F324" s="0" t="str">
        <f aca="false">IF(TRIM('List 2'!A324&amp;'List 2'!C324&amp;'List 2'!D324)="","",LOWER(IF(OR(Comparison!$I$9="Item # + Part # + Description",Comparison!$I$9="Item # + Part #"),TRIM('List 2'!A324),"")&amp;"|"&amp;TRIM('List 2'!C324)&amp;"|"&amp;IF(OR(Comparison!$I$9="Item # + Part # + Description",Comparison!$I$9="Part # + Description"),TRIM('List 2'!D324),"")))</f>
        <v/>
      </c>
      <c r="G324" s="0" t="str">
        <f aca="false">IF(F324="","",SUMPRODUCT(--($F$2:F324=F324)))</f>
        <v/>
      </c>
      <c r="H324" s="0" t="str">
        <f aca="false">IF(F324="","",F324&amp;"#"&amp;G324)</f>
        <v/>
      </c>
      <c r="I324" s="0" t="str">
        <f aca="false">IF(F324="","",IFERROR(--'List 2'!B324,0))</f>
        <v/>
      </c>
      <c r="K324" s="0" t="str">
        <f aca="false">C324</f>
        <v/>
      </c>
      <c r="L324" s="0" t="str">
        <f aca="false">IF(K324="","",IF(ISNUMBER('List 1'!A324),'List 1'!A324,TRIM('List 1'!A324)))</f>
        <v/>
      </c>
      <c r="M324" s="0" t="str">
        <f aca="false">IF(K324="","",IF(ISNUMBER('List 1'!C324),'List 1'!C324,TRIM('List 1'!C324)))</f>
        <v/>
      </c>
      <c r="N324" s="0" t="str">
        <f aca="false">IF(K324="","",IF(ISNUMBER('List 1'!D324),'List 1'!D324,TRIM('List 1'!D324)))</f>
        <v/>
      </c>
      <c r="O324" s="0" t="str">
        <f aca="false">IF(K324="","",D324)</f>
        <v/>
      </c>
      <c r="P324" s="0" t="str">
        <f aca="false">IF(K324="","",IF(R324,SUMPRODUCT(--($H$2:$H$501=K324),$I$2:$I$501),0))</f>
        <v/>
      </c>
      <c r="Q324" s="0" t="str">
        <f aca="false">IF(K324="","",TRUE())</f>
        <v/>
      </c>
      <c r="R324" s="0" t="str">
        <f aca="false">IF(K324="","",SUMPRODUCT(--($H$2:$H$501=K324))&gt;0)</f>
        <v/>
      </c>
      <c r="S324" s="0" t="str">
        <f aca="false">IF(K324="","",IF(AND(Q324,R324),IF(O324=P324,"Match","Qty Different"),IF(Q324,"Only in List 1","Only in List 2")))</f>
        <v/>
      </c>
      <c r="T324" s="0" t="str">
        <f aca="false">IF(K324="","",IF(ISNUMBER(--L324),TEXT(--L324,"000000000000.000"),LOWER(L324)))</f>
        <v/>
      </c>
      <c r="U324" s="0" t="str">
        <f aca="false">IF(K324="","",IF(ISNUMBER(--M324),TEXT(--M324,"000000000000.000"),LOWER(M324)))</f>
        <v/>
      </c>
      <c r="V324" s="0" t="str">
        <f aca="false">IF(K324="","",LOWER(N324))</f>
        <v/>
      </c>
      <c r="W324" s="0" t="str">
        <f aca="false">IF(K324="","",B324)</f>
        <v/>
      </c>
      <c r="X324" s="0" t="str">
        <f aca="false">IF(K324="","",1+SUMPRODUCT(($K$2:$K$1001&lt;&gt;"")*(($T$2:$T$1001&lt;T324)+($T$2:$T$1001=T324)*(($U$2:$U$1001&lt;U324)+($U$2:$U$1001=U324)*(($V$2:$V$1001&lt;V324)+($V$2:$V$1001=V324)*(($W$2:$W$1001&lt;W324)+($W$2:$W$1001=W324)*(ROW($K$2:$K$1001)&lt;ROW(K324))))))))</f>
        <v/>
      </c>
    </row>
    <row r="325" customFormat="false" ht="15" hidden="false" customHeight="false" outlineLevel="0" collapsed="false">
      <c r="A325" s="0" t="str">
        <f aca="false">IF(TRIM('List 1'!A325&amp;'List 1'!C325&amp;'List 1'!D325)="","",LOWER(IF(OR(Comparison!$I$9="Item # + Part # + Description",Comparison!$I$9="Item # + Part #"),TRIM('List 1'!A325),"")&amp;"|"&amp;TRIM('List 1'!C325)&amp;"|"&amp;IF(OR(Comparison!$I$9="Item # + Part # + Description",Comparison!$I$9="Part # + Description"),TRIM('List 1'!D325),"")))</f>
        <v/>
      </c>
      <c r="B325" s="0" t="str">
        <f aca="false">IF(A325="","",SUMPRODUCT(--($A$2:A325=A325)))</f>
        <v/>
      </c>
      <c r="C325" s="0" t="str">
        <f aca="false">IF(A325="","",A325&amp;"#"&amp;B325)</f>
        <v/>
      </c>
      <c r="D325" s="0" t="str">
        <f aca="false">IF(A325="","",IFERROR(--'List 1'!B325,0))</f>
        <v/>
      </c>
      <c r="F325" s="0" t="str">
        <f aca="false">IF(TRIM('List 2'!A325&amp;'List 2'!C325&amp;'List 2'!D325)="","",LOWER(IF(OR(Comparison!$I$9="Item # + Part # + Description",Comparison!$I$9="Item # + Part #"),TRIM('List 2'!A325),"")&amp;"|"&amp;TRIM('List 2'!C325)&amp;"|"&amp;IF(OR(Comparison!$I$9="Item # + Part # + Description",Comparison!$I$9="Part # + Description"),TRIM('List 2'!D325),"")))</f>
        <v/>
      </c>
      <c r="G325" s="0" t="str">
        <f aca="false">IF(F325="","",SUMPRODUCT(--($F$2:F325=F325)))</f>
        <v/>
      </c>
      <c r="H325" s="0" t="str">
        <f aca="false">IF(F325="","",F325&amp;"#"&amp;G325)</f>
        <v/>
      </c>
      <c r="I325" s="0" t="str">
        <f aca="false">IF(F325="","",IFERROR(--'List 2'!B325,0))</f>
        <v/>
      </c>
      <c r="K325" s="0" t="str">
        <f aca="false">C325</f>
        <v/>
      </c>
      <c r="L325" s="0" t="str">
        <f aca="false">IF(K325="","",IF(ISNUMBER('List 1'!A325),'List 1'!A325,TRIM('List 1'!A325)))</f>
        <v/>
      </c>
      <c r="M325" s="0" t="str">
        <f aca="false">IF(K325="","",IF(ISNUMBER('List 1'!C325),'List 1'!C325,TRIM('List 1'!C325)))</f>
        <v/>
      </c>
      <c r="N325" s="0" t="str">
        <f aca="false">IF(K325="","",IF(ISNUMBER('List 1'!D325),'List 1'!D325,TRIM('List 1'!D325)))</f>
        <v/>
      </c>
      <c r="O325" s="0" t="str">
        <f aca="false">IF(K325="","",D325)</f>
        <v/>
      </c>
      <c r="P325" s="0" t="str">
        <f aca="false">IF(K325="","",IF(R325,SUMPRODUCT(--($H$2:$H$501=K325),$I$2:$I$501),0))</f>
        <v/>
      </c>
      <c r="Q325" s="0" t="str">
        <f aca="false">IF(K325="","",TRUE())</f>
        <v/>
      </c>
      <c r="R325" s="0" t="str">
        <f aca="false">IF(K325="","",SUMPRODUCT(--($H$2:$H$501=K325))&gt;0)</f>
        <v/>
      </c>
      <c r="S325" s="0" t="str">
        <f aca="false">IF(K325="","",IF(AND(Q325,R325),IF(O325=P325,"Match","Qty Different"),IF(Q325,"Only in List 1","Only in List 2")))</f>
        <v/>
      </c>
      <c r="T325" s="0" t="str">
        <f aca="false">IF(K325="","",IF(ISNUMBER(--L325),TEXT(--L325,"000000000000.000"),LOWER(L325)))</f>
        <v/>
      </c>
      <c r="U325" s="0" t="str">
        <f aca="false">IF(K325="","",IF(ISNUMBER(--M325),TEXT(--M325,"000000000000.000"),LOWER(M325)))</f>
        <v/>
      </c>
      <c r="V325" s="0" t="str">
        <f aca="false">IF(K325="","",LOWER(N325))</f>
        <v/>
      </c>
      <c r="W325" s="0" t="str">
        <f aca="false">IF(K325="","",B325)</f>
        <v/>
      </c>
      <c r="X325" s="0" t="str">
        <f aca="false">IF(K325="","",1+SUMPRODUCT(($K$2:$K$1001&lt;&gt;"")*(($T$2:$T$1001&lt;T325)+($T$2:$T$1001=T325)*(($U$2:$U$1001&lt;U325)+($U$2:$U$1001=U325)*(($V$2:$V$1001&lt;V325)+($V$2:$V$1001=V325)*(($W$2:$W$1001&lt;W325)+($W$2:$W$1001=W325)*(ROW($K$2:$K$1001)&lt;ROW(K325))))))))</f>
        <v/>
      </c>
    </row>
    <row r="326" customFormat="false" ht="15" hidden="false" customHeight="false" outlineLevel="0" collapsed="false">
      <c r="A326" s="0" t="str">
        <f aca="false">IF(TRIM('List 1'!A326&amp;'List 1'!C326&amp;'List 1'!D326)="","",LOWER(IF(OR(Comparison!$I$9="Item # + Part # + Description",Comparison!$I$9="Item # + Part #"),TRIM('List 1'!A326),"")&amp;"|"&amp;TRIM('List 1'!C326)&amp;"|"&amp;IF(OR(Comparison!$I$9="Item # + Part # + Description",Comparison!$I$9="Part # + Description"),TRIM('List 1'!D326),"")))</f>
        <v/>
      </c>
      <c r="B326" s="0" t="str">
        <f aca="false">IF(A326="","",SUMPRODUCT(--($A$2:A326=A326)))</f>
        <v/>
      </c>
      <c r="C326" s="0" t="str">
        <f aca="false">IF(A326="","",A326&amp;"#"&amp;B326)</f>
        <v/>
      </c>
      <c r="D326" s="0" t="str">
        <f aca="false">IF(A326="","",IFERROR(--'List 1'!B326,0))</f>
        <v/>
      </c>
      <c r="F326" s="0" t="str">
        <f aca="false">IF(TRIM('List 2'!A326&amp;'List 2'!C326&amp;'List 2'!D326)="","",LOWER(IF(OR(Comparison!$I$9="Item # + Part # + Description",Comparison!$I$9="Item # + Part #"),TRIM('List 2'!A326),"")&amp;"|"&amp;TRIM('List 2'!C326)&amp;"|"&amp;IF(OR(Comparison!$I$9="Item # + Part # + Description",Comparison!$I$9="Part # + Description"),TRIM('List 2'!D326),"")))</f>
        <v/>
      </c>
      <c r="G326" s="0" t="str">
        <f aca="false">IF(F326="","",SUMPRODUCT(--($F$2:F326=F326)))</f>
        <v/>
      </c>
      <c r="H326" s="0" t="str">
        <f aca="false">IF(F326="","",F326&amp;"#"&amp;G326)</f>
        <v/>
      </c>
      <c r="I326" s="0" t="str">
        <f aca="false">IF(F326="","",IFERROR(--'List 2'!B326,0))</f>
        <v/>
      </c>
      <c r="K326" s="0" t="str">
        <f aca="false">C326</f>
        <v/>
      </c>
      <c r="L326" s="0" t="str">
        <f aca="false">IF(K326="","",IF(ISNUMBER('List 1'!A326),'List 1'!A326,TRIM('List 1'!A326)))</f>
        <v/>
      </c>
      <c r="M326" s="0" t="str">
        <f aca="false">IF(K326="","",IF(ISNUMBER('List 1'!C326),'List 1'!C326,TRIM('List 1'!C326)))</f>
        <v/>
      </c>
      <c r="N326" s="0" t="str">
        <f aca="false">IF(K326="","",IF(ISNUMBER('List 1'!D326),'List 1'!D326,TRIM('List 1'!D326)))</f>
        <v/>
      </c>
      <c r="O326" s="0" t="str">
        <f aca="false">IF(K326="","",D326)</f>
        <v/>
      </c>
      <c r="P326" s="0" t="str">
        <f aca="false">IF(K326="","",IF(R326,SUMPRODUCT(--($H$2:$H$501=K326),$I$2:$I$501),0))</f>
        <v/>
      </c>
      <c r="Q326" s="0" t="str">
        <f aca="false">IF(K326="","",TRUE())</f>
        <v/>
      </c>
      <c r="R326" s="0" t="str">
        <f aca="false">IF(K326="","",SUMPRODUCT(--($H$2:$H$501=K326))&gt;0)</f>
        <v/>
      </c>
      <c r="S326" s="0" t="str">
        <f aca="false">IF(K326="","",IF(AND(Q326,R326),IF(O326=P326,"Match","Qty Different"),IF(Q326,"Only in List 1","Only in List 2")))</f>
        <v/>
      </c>
      <c r="T326" s="0" t="str">
        <f aca="false">IF(K326="","",IF(ISNUMBER(--L326),TEXT(--L326,"000000000000.000"),LOWER(L326)))</f>
        <v/>
      </c>
      <c r="U326" s="0" t="str">
        <f aca="false">IF(K326="","",IF(ISNUMBER(--M326),TEXT(--M326,"000000000000.000"),LOWER(M326)))</f>
        <v/>
      </c>
      <c r="V326" s="0" t="str">
        <f aca="false">IF(K326="","",LOWER(N326))</f>
        <v/>
      </c>
      <c r="W326" s="0" t="str">
        <f aca="false">IF(K326="","",B326)</f>
        <v/>
      </c>
      <c r="X326" s="0" t="str">
        <f aca="false">IF(K326="","",1+SUMPRODUCT(($K$2:$K$1001&lt;&gt;"")*(($T$2:$T$1001&lt;T326)+($T$2:$T$1001=T326)*(($U$2:$U$1001&lt;U326)+($U$2:$U$1001=U326)*(($V$2:$V$1001&lt;V326)+($V$2:$V$1001=V326)*(($W$2:$W$1001&lt;W326)+($W$2:$W$1001=W326)*(ROW($K$2:$K$1001)&lt;ROW(K326))))))))</f>
        <v/>
      </c>
    </row>
    <row r="327" customFormat="false" ht="15" hidden="false" customHeight="false" outlineLevel="0" collapsed="false">
      <c r="A327" s="0" t="str">
        <f aca="false">IF(TRIM('List 1'!A327&amp;'List 1'!C327&amp;'List 1'!D327)="","",LOWER(IF(OR(Comparison!$I$9="Item # + Part # + Description",Comparison!$I$9="Item # + Part #"),TRIM('List 1'!A327),"")&amp;"|"&amp;TRIM('List 1'!C327)&amp;"|"&amp;IF(OR(Comparison!$I$9="Item # + Part # + Description",Comparison!$I$9="Part # + Description"),TRIM('List 1'!D327),"")))</f>
        <v/>
      </c>
      <c r="B327" s="0" t="str">
        <f aca="false">IF(A327="","",SUMPRODUCT(--($A$2:A327=A327)))</f>
        <v/>
      </c>
      <c r="C327" s="0" t="str">
        <f aca="false">IF(A327="","",A327&amp;"#"&amp;B327)</f>
        <v/>
      </c>
      <c r="D327" s="0" t="str">
        <f aca="false">IF(A327="","",IFERROR(--'List 1'!B327,0))</f>
        <v/>
      </c>
      <c r="F327" s="0" t="str">
        <f aca="false">IF(TRIM('List 2'!A327&amp;'List 2'!C327&amp;'List 2'!D327)="","",LOWER(IF(OR(Comparison!$I$9="Item # + Part # + Description",Comparison!$I$9="Item # + Part #"),TRIM('List 2'!A327),"")&amp;"|"&amp;TRIM('List 2'!C327)&amp;"|"&amp;IF(OR(Comparison!$I$9="Item # + Part # + Description",Comparison!$I$9="Part # + Description"),TRIM('List 2'!D327),"")))</f>
        <v/>
      </c>
      <c r="G327" s="0" t="str">
        <f aca="false">IF(F327="","",SUMPRODUCT(--($F$2:F327=F327)))</f>
        <v/>
      </c>
      <c r="H327" s="0" t="str">
        <f aca="false">IF(F327="","",F327&amp;"#"&amp;G327)</f>
        <v/>
      </c>
      <c r="I327" s="0" t="str">
        <f aca="false">IF(F327="","",IFERROR(--'List 2'!B327,0))</f>
        <v/>
      </c>
      <c r="K327" s="0" t="str">
        <f aca="false">C327</f>
        <v/>
      </c>
      <c r="L327" s="0" t="str">
        <f aca="false">IF(K327="","",IF(ISNUMBER('List 1'!A327),'List 1'!A327,TRIM('List 1'!A327)))</f>
        <v/>
      </c>
      <c r="M327" s="0" t="str">
        <f aca="false">IF(K327="","",IF(ISNUMBER('List 1'!C327),'List 1'!C327,TRIM('List 1'!C327)))</f>
        <v/>
      </c>
      <c r="N327" s="0" t="str">
        <f aca="false">IF(K327="","",IF(ISNUMBER('List 1'!D327),'List 1'!D327,TRIM('List 1'!D327)))</f>
        <v/>
      </c>
      <c r="O327" s="0" t="str">
        <f aca="false">IF(K327="","",D327)</f>
        <v/>
      </c>
      <c r="P327" s="0" t="str">
        <f aca="false">IF(K327="","",IF(R327,SUMPRODUCT(--($H$2:$H$501=K327),$I$2:$I$501),0))</f>
        <v/>
      </c>
      <c r="Q327" s="0" t="str">
        <f aca="false">IF(K327="","",TRUE())</f>
        <v/>
      </c>
      <c r="R327" s="0" t="str">
        <f aca="false">IF(K327="","",SUMPRODUCT(--($H$2:$H$501=K327))&gt;0)</f>
        <v/>
      </c>
      <c r="S327" s="0" t="str">
        <f aca="false">IF(K327="","",IF(AND(Q327,R327),IF(O327=P327,"Match","Qty Different"),IF(Q327,"Only in List 1","Only in List 2")))</f>
        <v/>
      </c>
      <c r="T327" s="0" t="str">
        <f aca="false">IF(K327="","",IF(ISNUMBER(--L327),TEXT(--L327,"000000000000.000"),LOWER(L327)))</f>
        <v/>
      </c>
      <c r="U327" s="0" t="str">
        <f aca="false">IF(K327="","",IF(ISNUMBER(--M327),TEXT(--M327,"000000000000.000"),LOWER(M327)))</f>
        <v/>
      </c>
      <c r="V327" s="0" t="str">
        <f aca="false">IF(K327="","",LOWER(N327))</f>
        <v/>
      </c>
      <c r="W327" s="0" t="str">
        <f aca="false">IF(K327="","",B327)</f>
        <v/>
      </c>
      <c r="X327" s="0" t="str">
        <f aca="false">IF(K327="","",1+SUMPRODUCT(($K$2:$K$1001&lt;&gt;"")*(($T$2:$T$1001&lt;T327)+($T$2:$T$1001=T327)*(($U$2:$U$1001&lt;U327)+($U$2:$U$1001=U327)*(($V$2:$V$1001&lt;V327)+($V$2:$V$1001=V327)*(($W$2:$W$1001&lt;W327)+($W$2:$W$1001=W327)*(ROW($K$2:$K$1001)&lt;ROW(K327))))))))</f>
        <v/>
      </c>
    </row>
    <row r="328" customFormat="false" ht="15" hidden="false" customHeight="false" outlineLevel="0" collapsed="false">
      <c r="A328" s="0" t="str">
        <f aca="false">IF(TRIM('List 1'!A328&amp;'List 1'!C328&amp;'List 1'!D328)="","",LOWER(IF(OR(Comparison!$I$9="Item # + Part # + Description",Comparison!$I$9="Item # + Part #"),TRIM('List 1'!A328),"")&amp;"|"&amp;TRIM('List 1'!C328)&amp;"|"&amp;IF(OR(Comparison!$I$9="Item # + Part # + Description",Comparison!$I$9="Part # + Description"),TRIM('List 1'!D328),"")))</f>
        <v/>
      </c>
      <c r="B328" s="0" t="str">
        <f aca="false">IF(A328="","",SUMPRODUCT(--($A$2:A328=A328)))</f>
        <v/>
      </c>
      <c r="C328" s="0" t="str">
        <f aca="false">IF(A328="","",A328&amp;"#"&amp;B328)</f>
        <v/>
      </c>
      <c r="D328" s="0" t="str">
        <f aca="false">IF(A328="","",IFERROR(--'List 1'!B328,0))</f>
        <v/>
      </c>
      <c r="F328" s="0" t="str">
        <f aca="false">IF(TRIM('List 2'!A328&amp;'List 2'!C328&amp;'List 2'!D328)="","",LOWER(IF(OR(Comparison!$I$9="Item # + Part # + Description",Comparison!$I$9="Item # + Part #"),TRIM('List 2'!A328),"")&amp;"|"&amp;TRIM('List 2'!C328)&amp;"|"&amp;IF(OR(Comparison!$I$9="Item # + Part # + Description",Comparison!$I$9="Part # + Description"),TRIM('List 2'!D328),"")))</f>
        <v/>
      </c>
      <c r="G328" s="0" t="str">
        <f aca="false">IF(F328="","",SUMPRODUCT(--($F$2:F328=F328)))</f>
        <v/>
      </c>
      <c r="H328" s="0" t="str">
        <f aca="false">IF(F328="","",F328&amp;"#"&amp;G328)</f>
        <v/>
      </c>
      <c r="I328" s="0" t="str">
        <f aca="false">IF(F328="","",IFERROR(--'List 2'!B328,0))</f>
        <v/>
      </c>
      <c r="K328" s="0" t="str">
        <f aca="false">C328</f>
        <v/>
      </c>
      <c r="L328" s="0" t="str">
        <f aca="false">IF(K328="","",IF(ISNUMBER('List 1'!A328),'List 1'!A328,TRIM('List 1'!A328)))</f>
        <v/>
      </c>
      <c r="M328" s="0" t="str">
        <f aca="false">IF(K328="","",IF(ISNUMBER('List 1'!C328),'List 1'!C328,TRIM('List 1'!C328)))</f>
        <v/>
      </c>
      <c r="N328" s="0" t="str">
        <f aca="false">IF(K328="","",IF(ISNUMBER('List 1'!D328),'List 1'!D328,TRIM('List 1'!D328)))</f>
        <v/>
      </c>
      <c r="O328" s="0" t="str">
        <f aca="false">IF(K328="","",D328)</f>
        <v/>
      </c>
      <c r="P328" s="0" t="str">
        <f aca="false">IF(K328="","",IF(R328,SUMPRODUCT(--($H$2:$H$501=K328),$I$2:$I$501),0))</f>
        <v/>
      </c>
      <c r="Q328" s="0" t="str">
        <f aca="false">IF(K328="","",TRUE())</f>
        <v/>
      </c>
      <c r="R328" s="0" t="str">
        <f aca="false">IF(K328="","",SUMPRODUCT(--($H$2:$H$501=K328))&gt;0)</f>
        <v/>
      </c>
      <c r="S328" s="0" t="str">
        <f aca="false">IF(K328="","",IF(AND(Q328,R328),IF(O328=P328,"Match","Qty Different"),IF(Q328,"Only in List 1","Only in List 2")))</f>
        <v/>
      </c>
      <c r="T328" s="0" t="str">
        <f aca="false">IF(K328="","",IF(ISNUMBER(--L328),TEXT(--L328,"000000000000.000"),LOWER(L328)))</f>
        <v/>
      </c>
      <c r="U328" s="0" t="str">
        <f aca="false">IF(K328="","",IF(ISNUMBER(--M328),TEXT(--M328,"000000000000.000"),LOWER(M328)))</f>
        <v/>
      </c>
      <c r="V328" s="0" t="str">
        <f aca="false">IF(K328="","",LOWER(N328))</f>
        <v/>
      </c>
      <c r="W328" s="0" t="str">
        <f aca="false">IF(K328="","",B328)</f>
        <v/>
      </c>
      <c r="X328" s="0" t="str">
        <f aca="false">IF(K328="","",1+SUMPRODUCT(($K$2:$K$1001&lt;&gt;"")*(($T$2:$T$1001&lt;T328)+($T$2:$T$1001=T328)*(($U$2:$U$1001&lt;U328)+($U$2:$U$1001=U328)*(($V$2:$V$1001&lt;V328)+($V$2:$V$1001=V328)*(($W$2:$W$1001&lt;W328)+($W$2:$W$1001=W328)*(ROW($K$2:$K$1001)&lt;ROW(K328))))))))</f>
        <v/>
      </c>
    </row>
    <row r="329" customFormat="false" ht="15" hidden="false" customHeight="false" outlineLevel="0" collapsed="false">
      <c r="A329" s="0" t="str">
        <f aca="false">IF(TRIM('List 1'!A329&amp;'List 1'!C329&amp;'List 1'!D329)="","",LOWER(IF(OR(Comparison!$I$9="Item # + Part # + Description",Comparison!$I$9="Item # + Part #"),TRIM('List 1'!A329),"")&amp;"|"&amp;TRIM('List 1'!C329)&amp;"|"&amp;IF(OR(Comparison!$I$9="Item # + Part # + Description",Comparison!$I$9="Part # + Description"),TRIM('List 1'!D329),"")))</f>
        <v/>
      </c>
      <c r="B329" s="0" t="str">
        <f aca="false">IF(A329="","",SUMPRODUCT(--($A$2:A329=A329)))</f>
        <v/>
      </c>
      <c r="C329" s="0" t="str">
        <f aca="false">IF(A329="","",A329&amp;"#"&amp;B329)</f>
        <v/>
      </c>
      <c r="D329" s="0" t="str">
        <f aca="false">IF(A329="","",IFERROR(--'List 1'!B329,0))</f>
        <v/>
      </c>
      <c r="F329" s="0" t="str">
        <f aca="false">IF(TRIM('List 2'!A329&amp;'List 2'!C329&amp;'List 2'!D329)="","",LOWER(IF(OR(Comparison!$I$9="Item # + Part # + Description",Comparison!$I$9="Item # + Part #"),TRIM('List 2'!A329),"")&amp;"|"&amp;TRIM('List 2'!C329)&amp;"|"&amp;IF(OR(Comparison!$I$9="Item # + Part # + Description",Comparison!$I$9="Part # + Description"),TRIM('List 2'!D329),"")))</f>
        <v/>
      </c>
      <c r="G329" s="0" t="str">
        <f aca="false">IF(F329="","",SUMPRODUCT(--($F$2:F329=F329)))</f>
        <v/>
      </c>
      <c r="H329" s="0" t="str">
        <f aca="false">IF(F329="","",F329&amp;"#"&amp;G329)</f>
        <v/>
      </c>
      <c r="I329" s="0" t="str">
        <f aca="false">IF(F329="","",IFERROR(--'List 2'!B329,0))</f>
        <v/>
      </c>
      <c r="K329" s="0" t="str">
        <f aca="false">C329</f>
        <v/>
      </c>
      <c r="L329" s="0" t="str">
        <f aca="false">IF(K329="","",IF(ISNUMBER('List 1'!A329),'List 1'!A329,TRIM('List 1'!A329)))</f>
        <v/>
      </c>
      <c r="M329" s="0" t="str">
        <f aca="false">IF(K329="","",IF(ISNUMBER('List 1'!C329),'List 1'!C329,TRIM('List 1'!C329)))</f>
        <v/>
      </c>
      <c r="N329" s="0" t="str">
        <f aca="false">IF(K329="","",IF(ISNUMBER('List 1'!D329),'List 1'!D329,TRIM('List 1'!D329)))</f>
        <v/>
      </c>
      <c r="O329" s="0" t="str">
        <f aca="false">IF(K329="","",D329)</f>
        <v/>
      </c>
      <c r="P329" s="0" t="str">
        <f aca="false">IF(K329="","",IF(R329,SUMPRODUCT(--($H$2:$H$501=K329),$I$2:$I$501),0))</f>
        <v/>
      </c>
      <c r="Q329" s="0" t="str">
        <f aca="false">IF(K329="","",TRUE())</f>
        <v/>
      </c>
      <c r="R329" s="0" t="str">
        <f aca="false">IF(K329="","",SUMPRODUCT(--($H$2:$H$501=K329))&gt;0)</f>
        <v/>
      </c>
      <c r="S329" s="0" t="str">
        <f aca="false">IF(K329="","",IF(AND(Q329,R329),IF(O329=P329,"Match","Qty Different"),IF(Q329,"Only in List 1","Only in List 2")))</f>
        <v/>
      </c>
      <c r="T329" s="0" t="str">
        <f aca="false">IF(K329="","",IF(ISNUMBER(--L329),TEXT(--L329,"000000000000.000"),LOWER(L329)))</f>
        <v/>
      </c>
      <c r="U329" s="0" t="str">
        <f aca="false">IF(K329="","",IF(ISNUMBER(--M329),TEXT(--M329,"000000000000.000"),LOWER(M329)))</f>
        <v/>
      </c>
      <c r="V329" s="0" t="str">
        <f aca="false">IF(K329="","",LOWER(N329))</f>
        <v/>
      </c>
      <c r="W329" s="0" t="str">
        <f aca="false">IF(K329="","",B329)</f>
        <v/>
      </c>
      <c r="X329" s="0" t="str">
        <f aca="false">IF(K329="","",1+SUMPRODUCT(($K$2:$K$1001&lt;&gt;"")*(($T$2:$T$1001&lt;T329)+($T$2:$T$1001=T329)*(($U$2:$U$1001&lt;U329)+($U$2:$U$1001=U329)*(($V$2:$V$1001&lt;V329)+($V$2:$V$1001=V329)*(($W$2:$W$1001&lt;W329)+($W$2:$W$1001=W329)*(ROW($K$2:$K$1001)&lt;ROW(K329))))))))</f>
        <v/>
      </c>
    </row>
    <row r="330" customFormat="false" ht="15" hidden="false" customHeight="false" outlineLevel="0" collapsed="false">
      <c r="A330" s="0" t="str">
        <f aca="false">IF(TRIM('List 1'!A330&amp;'List 1'!C330&amp;'List 1'!D330)="","",LOWER(IF(OR(Comparison!$I$9="Item # + Part # + Description",Comparison!$I$9="Item # + Part #"),TRIM('List 1'!A330),"")&amp;"|"&amp;TRIM('List 1'!C330)&amp;"|"&amp;IF(OR(Comparison!$I$9="Item # + Part # + Description",Comparison!$I$9="Part # + Description"),TRIM('List 1'!D330),"")))</f>
        <v/>
      </c>
      <c r="B330" s="0" t="str">
        <f aca="false">IF(A330="","",SUMPRODUCT(--($A$2:A330=A330)))</f>
        <v/>
      </c>
      <c r="C330" s="0" t="str">
        <f aca="false">IF(A330="","",A330&amp;"#"&amp;B330)</f>
        <v/>
      </c>
      <c r="D330" s="0" t="str">
        <f aca="false">IF(A330="","",IFERROR(--'List 1'!B330,0))</f>
        <v/>
      </c>
      <c r="F330" s="0" t="str">
        <f aca="false">IF(TRIM('List 2'!A330&amp;'List 2'!C330&amp;'List 2'!D330)="","",LOWER(IF(OR(Comparison!$I$9="Item # + Part # + Description",Comparison!$I$9="Item # + Part #"),TRIM('List 2'!A330),"")&amp;"|"&amp;TRIM('List 2'!C330)&amp;"|"&amp;IF(OR(Comparison!$I$9="Item # + Part # + Description",Comparison!$I$9="Part # + Description"),TRIM('List 2'!D330),"")))</f>
        <v/>
      </c>
      <c r="G330" s="0" t="str">
        <f aca="false">IF(F330="","",SUMPRODUCT(--($F$2:F330=F330)))</f>
        <v/>
      </c>
      <c r="H330" s="0" t="str">
        <f aca="false">IF(F330="","",F330&amp;"#"&amp;G330)</f>
        <v/>
      </c>
      <c r="I330" s="0" t="str">
        <f aca="false">IF(F330="","",IFERROR(--'List 2'!B330,0))</f>
        <v/>
      </c>
      <c r="K330" s="0" t="str">
        <f aca="false">C330</f>
        <v/>
      </c>
      <c r="L330" s="0" t="str">
        <f aca="false">IF(K330="","",IF(ISNUMBER('List 1'!A330),'List 1'!A330,TRIM('List 1'!A330)))</f>
        <v/>
      </c>
      <c r="M330" s="0" t="str">
        <f aca="false">IF(K330="","",IF(ISNUMBER('List 1'!C330),'List 1'!C330,TRIM('List 1'!C330)))</f>
        <v/>
      </c>
      <c r="N330" s="0" t="str">
        <f aca="false">IF(K330="","",IF(ISNUMBER('List 1'!D330),'List 1'!D330,TRIM('List 1'!D330)))</f>
        <v/>
      </c>
      <c r="O330" s="0" t="str">
        <f aca="false">IF(K330="","",D330)</f>
        <v/>
      </c>
      <c r="P330" s="0" t="str">
        <f aca="false">IF(K330="","",IF(R330,SUMPRODUCT(--($H$2:$H$501=K330),$I$2:$I$501),0))</f>
        <v/>
      </c>
      <c r="Q330" s="0" t="str">
        <f aca="false">IF(K330="","",TRUE())</f>
        <v/>
      </c>
      <c r="R330" s="0" t="str">
        <f aca="false">IF(K330="","",SUMPRODUCT(--($H$2:$H$501=K330))&gt;0)</f>
        <v/>
      </c>
      <c r="S330" s="0" t="str">
        <f aca="false">IF(K330="","",IF(AND(Q330,R330),IF(O330=P330,"Match","Qty Different"),IF(Q330,"Only in List 1","Only in List 2")))</f>
        <v/>
      </c>
      <c r="T330" s="0" t="str">
        <f aca="false">IF(K330="","",IF(ISNUMBER(--L330),TEXT(--L330,"000000000000.000"),LOWER(L330)))</f>
        <v/>
      </c>
      <c r="U330" s="0" t="str">
        <f aca="false">IF(K330="","",IF(ISNUMBER(--M330),TEXT(--M330,"000000000000.000"),LOWER(M330)))</f>
        <v/>
      </c>
      <c r="V330" s="0" t="str">
        <f aca="false">IF(K330="","",LOWER(N330))</f>
        <v/>
      </c>
      <c r="W330" s="0" t="str">
        <f aca="false">IF(K330="","",B330)</f>
        <v/>
      </c>
      <c r="X330" s="0" t="str">
        <f aca="false">IF(K330="","",1+SUMPRODUCT(($K$2:$K$1001&lt;&gt;"")*(($T$2:$T$1001&lt;T330)+($T$2:$T$1001=T330)*(($U$2:$U$1001&lt;U330)+($U$2:$U$1001=U330)*(($V$2:$V$1001&lt;V330)+($V$2:$V$1001=V330)*(($W$2:$W$1001&lt;W330)+($W$2:$W$1001=W330)*(ROW($K$2:$K$1001)&lt;ROW(K330))))))))</f>
        <v/>
      </c>
    </row>
    <row r="331" customFormat="false" ht="15" hidden="false" customHeight="false" outlineLevel="0" collapsed="false">
      <c r="A331" s="0" t="str">
        <f aca="false">IF(TRIM('List 1'!A331&amp;'List 1'!C331&amp;'List 1'!D331)="","",LOWER(IF(OR(Comparison!$I$9="Item # + Part # + Description",Comparison!$I$9="Item # + Part #"),TRIM('List 1'!A331),"")&amp;"|"&amp;TRIM('List 1'!C331)&amp;"|"&amp;IF(OR(Comparison!$I$9="Item # + Part # + Description",Comparison!$I$9="Part # + Description"),TRIM('List 1'!D331),"")))</f>
        <v/>
      </c>
      <c r="B331" s="0" t="str">
        <f aca="false">IF(A331="","",SUMPRODUCT(--($A$2:A331=A331)))</f>
        <v/>
      </c>
      <c r="C331" s="0" t="str">
        <f aca="false">IF(A331="","",A331&amp;"#"&amp;B331)</f>
        <v/>
      </c>
      <c r="D331" s="0" t="str">
        <f aca="false">IF(A331="","",IFERROR(--'List 1'!B331,0))</f>
        <v/>
      </c>
      <c r="F331" s="0" t="str">
        <f aca="false">IF(TRIM('List 2'!A331&amp;'List 2'!C331&amp;'List 2'!D331)="","",LOWER(IF(OR(Comparison!$I$9="Item # + Part # + Description",Comparison!$I$9="Item # + Part #"),TRIM('List 2'!A331),"")&amp;"|"&amp;TRIM('List 2'!C331)&amp;"|"&amp;IF(OR(Comparison!$I$9="Item # + Part # + Description",Comparison!$I$9="Part # + Description"),TRIM('List 2'!D331),"")))</f>
        <v/>
      </c>
      <c r="G331" s="0" t="str">
        <f aca="false">IF(F331="","",SUMPRODUCT(--($F$2:F331=F331)))</f>
        <v/>
      </c>
      <c r="H331" s="0" t="str">
        <f aca="false">IF(F331="","",F331&amp;"#"&amp;G331)</f>
        <v/>
      </c>
      <c r="I331" s="0" t="str">
        <f aca="false">IF(F331="","",IFERROR(--'List 2'!B331,0))</f>
        <v/>
      </c>
      <c r="K331" s="0" t="str">
        <f aca="false">C331</f>
        <v/>
      </c>
      <c r="L331" s="0" t="str">
        <f aca="false">IF(K331="","",IF(ISNUMBER('List 1'!A331),'List 1'!A331,TRIM('List 1'!A331)))</f>
        <v/>
      </c>
      <c r="M331" s="0" t="str">
        <f aca="false">IF(K331="","",IF(ISNUMBER('List 1'!C331),'List 1'!C331,TRIM('List 1'!C331)))</f>
        <v/>
      </c>
      <c r="N331" s="0" t="str">
        <f aca="false">IF(K331="","",IF(ISNUMBER('List 1'!D331),'List 1'!D331,TRIM('List 1'!D331)))</f>
        <v/>
      </c>
      <c r="O331" s="0" t="str">
        <f aca="false">IF(K331="","",D331)</f>
        <v/>
      </c>
      <c r="P331" s="0" t="str">
        <f aca="false">IF(K331="","",IF(R331,SUMPRODUCT(--($H$2:$H$501=K331),$I$2:$I$501),0))</f>
        <v/>
      </c>
      <c r="Q331" s="0" t="str">
        <f aca="false">IF(K331="","",TRUE())</f>
        <v/>
      </c>
      <c r="R331" s="0" t="str">
        <f aca="false">IF(K331="","",SUMPRODUCT(--($H$2:$H$501=K331))&gt;0)</f>
        <v/>
      </c>
      <c r="S331" s="0" t="str">
        <f aca="false">IF(K331="","",IF(AND(Q331,R331),IF(O331=P331,"Match","Qty Different"),IF(Q331,"Only in List 1","Only in List 2")))</f>
        <v/>
      </c>
      <c r="T331" s="0" t="str">
        <f aca="false">IF(K331="","",IF(ISNUMBER(--L331),TEXT(--L331,"000000000000.000"),LOWER(L331)))</f>
        <v/>
      </c>
      <c r="U331" s="0" t="str">
        <f aca="false">IF(K331="","",IF(ISNUMBER(--M331),TEXT(--M331,"000000000000.000"),LOWER(M331)))</f>
        <v/>
      </c>
      <c r="V331" s="0" t="str">
        <f aca="false">IF(K331="","",LOWER(N331))</f>
        <v/>
      </c>
      <c r="W331" s="0" t="str">
        <f aca="false">IF(K331="","",B331)</f>
        <v/>
      </c>
      <c r="X331" s="0" t="str">
        <f aca="false">IF(K331="","",1+SUMPRODUCT(($K$2:$K$1001&lt;&gt;"")*(($T$2:$T$1001&lt;T331)+($T$2:$T$1001=T331)*(($U$2:$U$1001&lt;U331)+($U$2:$U$1001=U331)*(($V$2:$V$1001&lt;V331)+($V$2:$V$1001=V331)*(($W$2:$W$1001&lt;W331)+($W$2:$W$1001=W331)*(ROW($K$2:$K$1001)&lt;ROW(K331))))))))</f>
        <v/>
      </c>
    </row>
    <row r="332" customFormat="false" ht="15" hidden="false" customHeight="false" outlineLevel="0" collapsed="false">
      <c r="A332" s="0" t="str">
        <f aca="false">IF(TRIM('List 1'!A332&amp;'List 1'!C332&amp;'List 1'!D332)="","",LOWER(IF(OR(Comparison!$I$9="Item # + Part # + Description",Comparison!$I$9="Item # + Part #"),TRIM('List 1'!A332),"")&amp;"|"&amp;TRIM('List 1'!C332)&amp;"|"&amp;IF(OR(Comparison!$I$9="Item # + Part # + Description",Comparison!$I$9="Part # + Description"),TRIM('List 1'!D332),"")))</f>
        <v/>
      </c>
      <c r="B332" s="0" t="str">
        <f aca="false">IF(A332="","",SUMPRODUCT(--($A$2:A332=A332)))</f>
        <v/>
      </c>
      <c r="C332" s="0" t="str">
        <f aca="false">IF(A332="","",A332&amp;"#"&amp;B332)</f>
        <v/>
      </c>
      <c r="D332" s="0" t="str">
        <f aca="false">IF(A332="","",IFERROR(--'List 1'!B332,0))</f>
        <v/>
      </c>
      <c r="F332" s="0" t="str">
        <f aca="false">IF(TRIM('List 2'!A332&amp;'List 2'!C332&amp;'List 2'!D332)="","",LOWER(IF(OR(Comparison!$I$9="Item # + Part # + Description",Comparison!$I$9="Item # + Part #"),TRIM('List 2'!A332),"")&amp;"|"&amp;TRIM('List 2'!C332)&amp;"|"&amp;IF(OR(Comparison!$I$9="Item # + Part # + Description",Comparison!$I$9="Part # + Description"),TRIM('List 2'!D332),"")))</f>
        <v/>
      </c>
      <c r="G332" s="0" t="str">
        <f aca="false">IF(F332="","",SUMPRODUCT(--($F$2:F332=F332)))</f>
        <v/>
      </c>
      <c r="H332" s="0" t="str">
        <f aca="false">IF(F332="","",F332&amp;"#"&amp;G332)</f>
        <v/>
      </c>
      <c r="I332" s="0" t="str">
        <f aca="false">IF(F332="","",IFERROR(--'List 2'!B332,0))</f>
        <v/>
      </c>
      <c r="K332" s="0" t="str">
        <f aca="false">C332</f>
        <v/>
      </c>
      <c r="L332" s="0" t="str">
        <f aca="false">IF(K332="","",IF(ISNUMBER('List 1'!A332),'List 1'!A332,TRIM('List 1'!A332)))</f>
        <v/>
      </c>
      <c r="M332" s="0" t="str">
        <f aca="false">IF(K332="","",IF(ISNUMBER('List 1'!C332),'List 1'!C332,TRIM('List 1'!C332)))</f>
        <v/>
      </c>
      <c r="N332" s="0" t="str">
        <f aca="false">IF(K332="","",IF(ISNUMBER('List 1'!D332),'List 1'!D332,TRIM('List 1'!D332)))</f>
        <v/>
      </c>
      <c r="O332" s="0" t="str">
        <f aca="false">IF(K332="","",D332)</f>
        <v/>
      </c>
      <c r="P332" s="0" t="str">
        <f aca="false">IF(K332="","",IF(R332,SUMPRODUCT(--($H$2:$H$501=K332),$I$2:$I$501),0))</f>
        <v/>
      </c>
      <c r="Q332" s="0" t="str">
        <f aca="false">IF(K332="","",TRUE())</f>
        <v/>
      </c>
      <c r="R332" s="0" t="str">
        <f aca="false">IF(K332="","",SUMPRODUCT(--($H$2:$H$501=K332))&gt;0)</f>
        <v/>
      </c>
      <c r="S332" s="0" t="str">
        <f aca="false">IF(K332="","",IF(AND(Q332,R332),IF(O332=P332,"Match","Qty Different"),IF(Q332,"Only in List 1","Only in List 2")))</f>
        <v/>
      </c>
      <c r="T332" s="0" t="str">
        <f aca="false">IF(K332="","",IF(ISNUMBER(--L332),TEXT(--L332,"000000000000.000"),LOWER(L332)))</f>
        <v/>
      </c>
      <c r="U332" s="0" t="str">
        <f aca="false">IF(K332="","",IF(ISNUMBER(--M332),TEXT(--M332,"000000000000.000"),LOWER(M332)))</f>
        <v/>
      </c>
      <c r="V332" s="0" t="str">
        <f aca="false">IF(K332="","",LOWER(N332))</f>
        <v/>
      </c>
      <c r="W332" s="0" t="str">
        <f aca="false">IF(K332="","",B332)</f>
        <v/>
      </c>
      <c r="X332" s="0" t="str">
        <f aca="false">IF(K332="","",1+SUMPRODUCT(($K$2:$K$1001&lt;&gt;"")*(($T$2:$T$1001&lt;T332)+($T$2:$T$1001=T332)*(($U$2:$U$1001&lt;U332)+($U$2:$U$1001=U332)*(($V$2:$V$1001&lt;V332)+($V$2:$V$1001=V332)*(($W$2:$W$1001&lt;W332)+($W$2:$W$1001=W332)*(ROW($K$2:$K$1001)&lt;ROW(K332))))))))</f>
        <v/>
      </c>
    </row>
    <row r="333" customFormat="false" ht="15" hidden="false" customHeight="false" outlineLevel="0" collapsed="false">
      <c r="A333" s="0" t="str">
        <f aca="false">IF(TRIM('List 1'!A333&amp;'List 1'!C333&amp;'List 1'!D333)="","",LOWER(IF(OR(Comparison!$I$9="Item # + Part # + Description",Comparison!$I$9="Item # + Part #"),TRIM('List 1'!A333),"")&amp;"|"&amp;TRIM('List 1'!C333)&amp;"|"&amp;IF(OR(Comparison!$I$9="Item # + Part # + Description",Comparison!$I$9="Part # + Description"),TRIM('List 1'!D333),"")))</f>
        <v/>
      </c>
      <c r="B333" s="0" t="str">
        <f aca="false">IF(A333="","",SUMPRODUCT(--($A$2:A333=A333)))</f>
        <v/>
      </c>
      <c r="C333" s="0" t="str">
        <f aca="false">IF(A333="","",A333&amp;"#"&amp;B333)</f>
        <v/>
      </c>
      <c r="D333" s="0" t="str">
        <f aca="false">IF(A333="","",IFERROR(--'List 1'!B333,0))</f>
        <v/>
      </c>
      <c r="F333" s="0" t="str">
        <f aca="false">IF(TRIM('List 2'!A333&amp;'List 2'!C333&amp;'List 2'!D333)="","",LOWER(IF(OR(Comparison!$I$9="Item # + Part # + Description",Comparison!$I$9="Item # + Part #"),TRIM('List 2'!A333),"")&amp;"|"&amp;TRIM('List 2'!C333)&amp;"|"&amp;IF(OR(Comparison!$I$9="Item # + Part # + Description",Comparison!$I$9="Part # + Description"),TRIM('List 2'!D333),"")))</f>
        <v/>
      </c>
      <c r="G333" s="0" t="str">
        <f aca="false">IF(F333="","",SUMPRODUCT(--($F$2:F333=F333)))</f>
        <v/>
      </c>
      <c r="H333" s="0" t="str">
        <f aca="false">IF(F333="","",F333&amp;"#"&amp;G333)</f>
        <v/>
      </c>
      <c r="I333" s="0" t="str">
        <f aca="false">IF(F333="","",IFERROR(--'List 2'!B333,0))</f>
        <v/>
      </c>
      <c r="K333" s="0" t="str">
        <f aca="false">C333</f>
        <v/>
      </c>
      <c r="L333" s="0" t="str">
        <f aca="false">IF(K333="","",IF(ISNUMBER('List 1'!A333),'List 1'!A333,TRIM('List 1'!A333)))</f>
        <v/>
      </c>
      <c r="M333" s="0" t="str">
        <f aca="false">IF(K333="","",IF(ISNUMBER('List 1'!C333),'List 1'!C333,TRIM('List 1'!C333)))</f>
        <v/>
      </c>
      <c r="N333" s="0" t="str">
        <f aca="false">IF(K333="","",IF(ISNUMBER('List 1'!D333),'List 1'!D333,TRIM('List 1'!D333)))</f>
        <v/>
      </c>
      <c r="O333" s="0" t="str">
        <f aca="false">IF(K333="","",D333)</f>
        <v/>
      </c>
      <c r="P333" s="0" t="str">
        <f aca="false">IF(K333="","",IF(R333,SUMPRODUCT(--($H$2:$H$501=K333),$I$2:$I$501),0))</f>
        <v/>
      </c>
      <c r="Q333" s="0" t="str">
        <f aca="false">IF(K333="","",TRUE())</f>
        <v/>
      </c>
      <c r="R333" s="0" t="str">
        <f aca="false">IF(K333="","",SUMPRODUCT(--($H$2:$H$501=K333))&gt;0)</f>
        <v/>
      </c>
      <c r="S333" s="0" t="str">
        <f aca="false">IF(K333="","",IF(AND(Q333,R333),IF(O333=P333,"Match","Qty Different"),IF(Q333,"Only in List 1","Only in List 2")))</f>
        <v/>
      </c>
      <c r="T333" s="0" t="str">
        <f aca="false">IF(K333="","",IF(ISNUMBER(--L333),TEXT(--L333,"000000000000.000"),LOWER(L333)))</f>
        <v/>
      </c>
      <c r="U333" s="0" t="str">
        <f aca="false">IF(K333="","",IF(ISNUMBER(--M333),TEXT(--M333,"000000000000.000"),LOWER(M333)))</f>
        <v/>
      </c>
      <c r="V333" s="0" t="str">
        <f aca="false">IF(K333="","",LOWER(N333))</f>
        <v/>
      </c>
      <c r="W333" s="0" t="str">
        <f aca="false">IF(K333="","",B333)</f>
        <v/>
      </c>
      <c r="X333" s="0" t="str">
        <f aca="false">IF(K333="","",1+SUMPRODUCT(($K$2:$K$1001&lt;&gt;"")*(($T$2:$T$1001&lt;T333)+($T$2:$T$1001=T333)*(($U$2:$U$1001&lt;U333)+($U$2:$U$1001=U333)*(($V$2:$V$1001&lt;V333)+($V$2:$V$1001=V333)*(($W$2:$W$1001&lt;W333)+($W$2:$W$1001=W333)*(ROW($K$2:$K$1001)&lt;ROW(K333))))))))</f>
        <v/>
      </c>
    </row>
    <row r="334" customFormat="false" ht="15" hidden="false" customHeight="false" outlineLevel="0" collapsed="false">
      <c r="A334" s="0" t="str">
        <f aca="false">IF(TRIM('List 1'!A334&amp;'List 1'!C334&amp;'List 1'!D334)="","",LOWER(IF(OR(Comparison!$I$9="Item # + Part # + Description",Comparison!$I$9="Item # + Part #"),TRIM('List 1'!A334),"")&amp;"|"&amp;TRIM('List 1'!C334)&amp;"|"&amp;IF(OR(Comparison!$I$9="Item # + Part # + Description",Comparison!$I$9="Part # + Description"),TRIM('List 1'!D334),"")))</f>
        <v/>
      </c>
      <c r="B334" s="0" t="str">
        <f aca="false">IF(A334="","",SUMPRODUCT(--($A$2:A334=A334)))</f>
        <v/>
      </c>
      <c r="C334" s="0" t="str">
        <f aca="false">IF(A334="","",A334&amp;"#"&amp;B334)</f>
        <v/>
      </c>
      <c r="D334" s="0" t="str">
        <f aca="false">IF(A334="","",IFERROR(--'List 1'!B334,0))</f>
        <v/>
      </c>
      <c r="F334" s="0" t="str">
        <f aca="false">IF(TRIM('List 2'!A334&amp;'List 2'!C334&amp;'List 2'!D334)="","",LOWER(IF(OR(Comparison!$I$9="Item # + Part # + Description",Comparison!$I$9="Item # + Part #"),TRIM('List 2'!A334),"")&amp;"|"&amp;TRIM('List 2'!C334)&amp;"|"&amp;IF(OR(Comparison!$I$9="Item # + Part # + Description",Comparison!$I$9="Part # + Description"),TRIM('List 2'!D334),"")))</f>
        <v/>
      </c>
      <c r="G334" s="0" t="str">
        <f aca="false">IF(F334="","",SUMPRODUCT(--($F$2:F334=F334)))</f>
        <v/>
      </c>
      <c r="H334" s="0" t="str">
        <f aca="false">IF(F334="","",F334&amp;"#"&amp;G334)</f>
        <v/>
      </c>
      <c r="I334" s="0" t="str">
        <f aca="false">IF(F334="","",IFERROR(--'List 2'!B334,0))</f>
        <v/>
      </c>
      <c r="K334" s="0" t="str">
        <f aca="false">C334</f>
        <v/>
      </c>
      <c r="L334" s="0" t="str">
        <f aca="false">IF(K334="","",IF(ISNUMBER('List 1'!A334),'List 1'!A334,TRIM('List 1'!A334)))</f>
        <v/>
      </c>
      <c r="M334" s="0" t="str">
        <f aca="false">IF(K334="","",IF(ISNUMBER('List 1'!C334),'List 1'!C334,TRIM('List 1'!C334)))</f>
        <v/>
      </c>
      <c r="N334" s="0" t="str">
        <f aca="false">IF(K334="","",IF(ISNUMBER('List 1'!D334),'List 1'!D334,TRIM('List 1'!D334)))</f>
        <v/>
      </c>
      <c r="O334" s="0" t="str">
        <f aca="false">IF(K334="","",D334)</f>
        <v/>
      </c>
      <c r="P334" s="0" t="str">
        <f aca="false">IF(K334="","",IF(R334,SUMPRODUCT(--($H$2:$H$501=K334),$I$2:$I$501),0))</f>
        <v/>
      </c>
      <c r="Q334" s="0" t="str">
        <f aca="false">IF(K334="","",TRUE())</f>
        <v/>
      </c>
      <c r="R334" s="0" t="str">
        <f aca="false">IF(K334="","",SUMPRODUCT(--($H$2:$H$501=K334))&gt;0)</f>
        <v/>
      </c>
      <c r="S334" s="0" t="str">
        <f aca="false">IF(K334="","",IF(AND(Q334,R334),IF(O334=P334,"Match","Qty Different"),IF(Q334,"Only in List 1","Only in List 2")))</f>
        <v/>
      </c>
      <c r="T334" s="0" t="str">
        <f aca="false">IF(K334="","",IF(ISNUMBER(--L334),TEXT(--L334,"000000000000.000"),LOWER(L334)))</f>
        <v/>
      </c>
      <c r="U334" s="0" t="str">
        <f aca="false">IF(K334="","",IF(ISNUMBER(--M334),TEXT(--M334,"000000000000.000"),LOWER(M334)))</f>
        <v/>
      </c>
      <c r="V334" s="0" t="str">
        <f aca="false">IF(K334="","",LOWER(N334))</f>
        <v/>
      </c>
      <c r="W334" s="0" t="str">
        <f aca="false">IF(K334="","",B334)</f>
        <v/>
      </c>
      <c r="X334" s="0" t="str">
        <f aca="false">IF(K334="","",1+SUMPRODUCT(($K$2:$K$1001&lt;&gt;"")*(($T$2:$T$1001&lt;T334)+($T$2:$T$1001=T334)*(($U$2:$U$1001&lt;U334)+($U$2:$U$1001=U334)*(($V$2:$V$1001&lt;V334)+($V$2:$V$1001=V334)*(($W$2:$W$1001&lt;W334)+($W$2:$W$1001=W334)*(ROW($K$2:$K$1001)&lt;ROW(K334))))))))</f>
        <v/>
      </c>
    </row>
    <row r="335" customFormat="false" ht="15" hidden="false" customHeight="false" outlineLevel="0" collapsed="false">
      <c r="A335" s="0" t="str">
        <f aca="false">IF(TRIM('List 1'!A335&amp;'List 1'!C335&amp;'List 1'!D335)="","",LOWER(IF(OR(Comparison!$I$9="Item # + Part # + Description",Comparison!$I$9="Item # + Part #"),TRIM('List 1'!A335),"")&amp;"|"&amp;TRIM('List 1'!C335)&amp;"|"&amp;IF(OR(Comparison!$I$9="Item # + Part # + Description",Comparison!$I$9="Part # + Description"),TRIM('List 1'!D335),"")))</f>
        <v/>
      </c>
      <c r="B335" s="0" t="str">
        <f aca="false">IF(A335="","",SUMPRODUCT(--($A$2:A335=A335)))</f>
        <v/>
      </c>
      <c r="C335" s="0" t="str">
        <f aca="false">IF(A335="","",A335&amp;"#"&amp;B335)</f>
        <v/>
      </c>
      <c r="D335" s="0" t="str">
        <f aca="false">IF(A335="","",IFERROR(--'List 1'!B335,0))</f>
        <v/>
      </c>
      <c r="F335" s="0" t="str">
        <f aca="false">IF(TRIM('List 2'!A335&amp;'List 2'!C335&amp;'List 2'!D335)="","",LOWER(IF(OR(Comparison!$I$9="Item # + Part # + Description",Comparison!$I$9="Item # + Part #"),TRIM('List 2'!A335),"")&amp;"|"&amp;TRIM('List 2'!C335)&amp;"|"&amp;IF(OR(Comparison!$I$9="Item # + Part # + Description",Comparison!$I$9="Part # + Description"),TRIM('List 2'!D335),"")))</f>
        <v/>
      </c>
      <c r="G335" s="0" t="str">
        <f aca="false">IF(F335="","",SUMPRODUCT(--($F$2:F335=F335)))</f>
        <v/>
      </c>
      <c r="H335" s="0" t="str">
        <f aca="false">IF(F335="","",F335&amp;"#"&amp;G335)</f>
        <v/>
      </c>
      <c r="I335" s="0" t="str">
        <f aca="false">IF(F335="","",IFERROR(--'List 2'!B335,0))</f>
        <v/>
      </c>
      <c r="K335" s="0" t="str">
        <f aca="false">C335</f>
        <v/>
      </c>
      <c r="L335" s="0" t="str">
        <f aca="false">IF(K335="","",IF(ISNUMBER('List 1'!A335),'List 1'!A335,TRIM('List 1'!A335)))</f>
        <v/>
      </c>
      <c r="M335" s="0" t="str">
        <f aca="false">IF(K335="","",IF(ISNUMBER('List 1'!C335),'List 1'!C335,TRIM('List 1'!C335)))</f>
        <v/>
      </c>
      <c r="N335" s="0" t="str">
        <f aca="false">IF(K335="","",IF(ISNUMBER('List 1'!D335),'List 1'!D335,TRIM('List 1'!D335)))</f>
        <v/>
      </c>
      <c r="O335" s="0" t="str">
        <f aca="false">IF(K335="","",D335)</f>
        <v/>
      </c>
      <c r="P335" s="0" t="str">
        <f aca="false">IF(K335="","",IF(R335,SUMPRODUCT(--($H$2:$H$501=K335),$I$2:$I$501),0))</f>
        <v/>
      </c>
      <c r="Q335" s="0" t="str">
        <f aca="false">IF(K335="","",TRUE())</f>
        <v/>
      </c>
      <c r="R335" s="0" t="str">
        <f aca="false">IF(K335="","",SUMPRODUCT(--($H$2:$H$501=K335))&gt;0)</f>
        <v/>
      </c>
      <c r="S335" s="0" t="str">
        <f aca="false">IF(K335="","",IF(AND(Q335,R335),IF(O335=P335,"Match","Qty Different"),IF(Q335,"Only in List 1","Only in List 2")))</f>
        <v/>
      </c>
      <c r="T335" s="0" t="str">
        <f aca="false">IF(K335="","",IF(ISNUMBER(--L335),TEXT(--L335,"000000000000.000"),LOWER(L335)))</f>
        <v/>
      </c>
      <c r="U335" s="0" t="str">
        <f aca="false">IF(K335="","",IF(ISNUMBER(--M335),TEXT(--M335,"000000000000.000"),LOWER(M335)))</f>
        <v/>
      </c>
      <c r="V335" s="0" t="str">
        <f aca="false">IF(K335="","",LOWER(N335))</f>
        <v/>
      </c>
      <c r="W335" s="0" t="str">
        <f aca="false">IF(K335="","",B335)</f>
        <v/>
      </c>
      <c r="X335" s="0" t="str">
        <f aca="false">IF(K335="","",1+SUMPRODUCT(($K$2:$K$1001&lt;&gt;"")*(($T$2:$T$1001&lt;T335)+($T$2:$T$1001=T335)*(($U$2:$U$1001&lt;U335)+($U$2:$U$1001=U335)*(($V$2:$V$1001&lt;V335)+($V$2:$V$1001=V335)*(($W$2:$W$1001&lt;W335)+($W$2:$W$1001=W335)*(ROW($K$2:$K$1001)&lt;ROW(K335))))))))</f>
        <v/>
      </c>
    </row>
    <row r="336" customFormat="false" ht="15" hidden="false" customHeight="false" outlineLevel="0" collapsed="false">
      <c r="A336" s="0" t="str">
        <f aca="false">IF(TRIM('List 1'!A336&amp;'List 1'!C336&amp;'List 1'!D336)="","",LOWER(IF(OR(Comparison!$I$9="Item # + Part # + Description",Comparison!$I$9="Item # + Part #"),TRIM('List 1'!A336),"")&amp;"|"&amp;TRIM('List 1'!C336)&amp;"|"&amp;IF(OR(Comparison!$I$9="Item # + Part # + Description",Comparison!$I$9="Part # + Description"),TRIM('List 1'!D336),"")))</f>
        <v/>
      </c>
      <c r="B336" s="0" t="str">
        <f aca="false">IF(A336="","",SUMPRODUCT(--($A$2:A336=A336)))</f>
        <v/>
      </c>
      <c r="C336" s="0" t="str">
        <f aca="false">IF(A336="","",A336&amp;"#"&amp;B336)</f>
        <v/>
      </c>
      <c r="D336" s="0" t="str">
        <f aca="false">IF(A336="","",IFERROR(--'List 1'!B336,0))</f>
        <v/>
      </c>
      <c r="F336" s="0" t="str">
        <f aca="false">IF(TRIM('List 2'!A336&amp;'List 2'!C336&amp;'List 2'!D336)="","",LOWER(IF(OR(Comparison!$I$9="Item # + Part # + Description",Comparison!$I$9="Item # + Part #"),TRIM('List 2'!A336),"")&amp;"|"&amp;TRIM('List 2'!C336)&amp;"|"&amp;IF(OR(Comparison!$I$9="Item # + Part # + Description",Comparison!$I$9="Part # + Description"),TRIM('List 2'!D336),"")))</f>
        <v/>
      </c>
      <c r="G336" s="0" t="str">
        <f aca="false">IF(F336="","",SUMPRODUCT(--($F$2:F336=F336)))</f>
        <v/>
      </c>
      <c r="H336" s="0" t="str">
        <f aca="false">IF(F336="","",F336&amp;"#"&amp;G336)</f>
        <v/>
      </c>
      <c r="I336" s="0" t="str">
        <f aca="false">IF(F336="","",IFERROR(--'List 2'!B336,0))</f>
        <v/>
      </c>
      <c r="K336" s="0" t="str">
        <f aca="false">C336</f>
        <v/>
      </c>
      <c r="L336" s="0" t="str">
        <f aca="false">IF(K336="","",IF(ISNUMBER('List 1'!A336),'List 1'!A336,TRIM('List 1'!A336)))</f>
        <v/>
      </c>
      <c r="M336" s="0" t="str">
        <f aca="false">IF(K336="","",IF(ISNUMBER('List 1'!C336),'List 1'!C336,TRIM('List 1'!C336)))</f>
        <v/>
      </c>
      <c r="N336" s="0" t="str">
        <f aca="false">IF(K336="","",IF(ISNUMBER('List 1'!D336),'List 1'!D336,TRIM('List 1'!D336)))</f>
        <v/>
      </c>
      <c r="O336" s="0" t="str">
        <f aca="false">IF(K336="","",D336)</f>
        <v/>
      </c>
      <c r="P336" s="0" t="str">
        <f aca="false">IF(K336="","",IF(R336,SUMPRODUCT(--($H$2:$H$501=K336),$I$2:$I$501),0))</f>
        <v/>
      </c>
      <c r="Q336" s="0" t="str">
        <f aca="false">IF(K336="","",TRUE())</f>
        <v/>
      </c>
      <c r="R336" s="0" t="str">
        <f aca="false">IF(K336="","",SUMPRODUCT(--($H$2:$H$501=K336))&gt;0)</f>
        <v/>
      </c>
      <c r="S336" s="0" t="str">
        <f aca="false">IF(K336="","",IF(AND(Q336,R336),IF(O336=P336,"Match","Qty Different"),IF(Q336,"Only in List 1","Only in List 2")))</f>
        <v/>
      </c>
      <c r="T336" s="0" t="str">
        <f aca="false">IF(K336="","",IF(ISNUMBER(--L336),TEXT(--L336,"000000000000.000"),LOWER(L336)))</f>
        <v/>
      </c>
      <c r="U336" s="0" t="str">
        <f aca="false">IF(K336="","",IF(ISNUMBER(--M336),TEXT(--M336,"000000000000.000"),LOWER(M336)))</f>
        <v/>
      </c>
      <c r="V336" s="0" t="str">
        <f aca="false">IF(K336="","",LOWER(N336))</f>
        <v/>
      </c>
      <c r="W336" s="0" t="str">
        <f aca="false">IF(K336="","",B336)</f>
        <v/>
      </c>
      <c r="X336" s="0" t="str">
        <f aca="false">IF(K336="","",1+SUMPRODUCT(($K$2:$K$1001&lt;&gt;"")*(($T$2:$T$1001&lt;T336)+($T$2:$T$1001=T336)*(($U$2:$U$1001&lt;U336)+($U$2:$U$1001=U336)*(($V$2:$V$1001&lt;V336)+($V$2:$V$1001=V336)*(($W$2:$W$1001&lt;W336)+($W$2:$W$1001=W336)*(ROW($K$2:$K$1001)&lt;ROW(K336))))))))</f>
        <v/>
      </c>
    </row>
    <row r="337" customFormat="false" ht="15" hidden="false" customHeight="false" outlineLevel="0" collapsed="false">
      <c r="A337" s="0" t="str">
        <f aca="false">IF(TRIM('List 1'!A337&amp;'List 1'!C337&amp;'List 1'!D337)="","",LOWER(IF(OR(Comparison!$I$9="Item # + Part # + Description",Comparison!$I$9="Item # + Part #"),TRIM('List 1'!A337),"")&amp;"|"&amp;TRIM('List 1'!C337)&amp;"|"&amp;IF(OR(Comparison!$I$9="Item # + Part # + Description",Comparison!$I$9="Part # + Description"),TRIM('List 1'!D337),"")))</f>
        <v/>
      </c>
      <c r="B337" s="0" t="str">
        <f aca="false">IF(A337="","",SUMPRODUCT(--($A$2:A337=A337)))</f>
        <v/>
      </c>
      <c r="C337" s="0" t="str">
        <f aca="false">IF(A337="","",A337&amp;"#"&amp;B337)</f>
        <v/>
      </c>
      <c r="D337" s="0" t="str">
        <f aca="false">IF(A337="","",IFERROR(--'List 1'!B337,0))</f>
        <v/>
      </c>
      <c r="F337" s="0" t="str">
        <f aca="false">IF(TRIM('List 2'!A337&amp;'List 2'!C337&amp;'List 2'!D337)="","",LOWER(IF(OR(Comparison!$I$9="Item # + Part # + Description",Comparison!$I$9="Item # + Part #"),TRIM('List 2'!A337),"")&amp;"|"&amp;TRIM('List 2'!C337)&amp;"|"&amp;IF(OR(Comparison!$I$9="Item # + Part # + Description",Comparison!$I$9="Part # + Description"),TRIM('List 2'!D337),"")))</f>
        <v/>
      </c>
      <c r="G337" s="0" t="str">
        <f aca="false">IF(F337="","",SUMPRODUCT(--($F$2:F337=F337)))</f>
        <v/>
      </c>
      <c r="H337" s="0" t="str">
        <f aca="false">IF(F337="","",F337&amp;"#"&amp;G337)</f>
        <v/>
      </c>
      <c r="I337" s="0" t="str">
        <f aca="false">IF(F337="","",IFERROR(--'List 2'!B337,0))</f>
        <v/>
      </c>
      <c r="K337" s="0" t="str">
        <f aca="false">C337</f>
        <v/>
      </c>
      <c r="L337" s="0" t="str">
        <f aca="false">IF(K337="","",IF(ISNUMBER('List 1'!A337),'List 1'!A337,TRIM('List 1'!A337)))</f>
        <v/>
      </c>
      <c r="M337" s="0" t="str">
        <f aca="false">IF(K337="","",IF(ISNUMBER('List 1'!C337),'List 1'!C337,TRIM('List 1'!C337)))</f>
        <v/>
      </c>
      <c r="N337" s="0" t="str">
        <f aca="false">IF(K337="","",IF(ISNUMBER('List 1'!D337),'List 1'!D337,TRIM('List 1'!D337)))</f>
        <v/>
      </c>
      <c r="O337" s="0" t="str">
        <f aca="false">IF(K337="","",D337)</f>
        <v/>
      </c>
      <c r="P337" s="0" t="str">
        <f aca="false">IF(K337="","",IF(R337,SUMPRODUCT(--($H$2:$H$501=K337),$I$2:$I$501),0))</f>
        <v/>
      </c>
      <c r="Q337" s="0" t="str">
        <f aca="false">IF(K337="","",TRUE())</f>
        <v/>
      </c>
      <c r="R337" s="0" t="str">
        <f aca="false">IF(K337="","",SUMPRODUCT(--($H$2:$H$501=K337))&gt;0)</f>
        <v/>
      </c>
      <c r="S337" s="0" t="str">
        <f aca="false">IF(K337="","",IF(AND(Q337,R337),IF(O337=P337,"Match","Qty Different"),IF(Q337,"Only in List 1","Only in List 2")))</f>
        <v/>
      </c>
      <c r="T337" s="0" t="str">
        <f aca="false">IF(K337="","",IF(ISNUMBER(--L337),TEXT(--L337,"000000000000.000"),LOWER(L337)))</f>
        <v/>
      </c>
      <c r="U337" s="0" t="str">
        <f aca="false">IF(K337="","",IF(ISNUMBER(--M337),TEXT(--M337,"000000000000.000"),LOWER(M337)))</f>
        <v/>
      </c>
      <c r="V337" s="0" t="str">
        <f aca="false">IF(K337="","",LOWER(N337))</f>
        <v/>
      </c>
      <c r="W337" s="0" t="str">
        <f aca="false">IF(K337="","",B337)</f>
        <v/>
      </c>
      <c r="X337" s="0" t="str">
        <f aca="false">IF(K337="","",1+SUMPRODUCT(($K$2:$K$1001&lt;&gt;"")*(($T$2:$T$1001&lt;T337)+($T$2:$T$1001=T337)*(($U$2:$U$1001&lt;U337)+($U$2:$U$1001=U337)*(($V$2:$V$1001&lt;V337)+($V$2:$V$1001=V337)*(($W$2:$W$1001&lt;W337)+($W$2:$W$1001=W337)*(ROW($K$2:$K$1001)&lt;ROW(K337))))))))</f>
        <v/>
      </c>
    </row>
    <row r="338" customFormat="false" ht="15" hidden="false" customHeight="false" outlineLevel="0" collapsed="false">
      <c r="A338" s="0" t="str">
        <f aca="false">IF(TRIM('List 1'!A338&amp;'List 1'!C338&amp;'List 1'!D338)="","",LOWER(IF(OR(Comparison!$I$9="Item # + Part # + Description",Comparison!$I$9="Item # + Part #"),TRIM('List 1'!A338),"")&amp;"|"&amp;TRIM('List 1'!C338)&amp;"|"&amp;IF(OR(Comparison!$I$9="Item # + Part # + Description",Comparison!$I$9="Part # + Description"),TRIM('List 1'!D338),"")))</f>
        <v/>
      </c>
      <c r="B338" s="0" t="str">
        <f aca="false">IF(A338="","",SUMPRODUCT(--($A$2:A338=A338)))</f>
        <v/>
      </c>
      <c r="C338" s="0" t="str">
        <f aca="false">IF(A338="","",A338&amp;"#"&amp;B338)</f>
        <v/>
      </c>
      <c r="D338" s="0" t="str">
        <f aca="false">IF(A338="","",IFERROR(--'List 1'!B338,0))</f>
        <v/>
      </c>
      <c r="F338" s="0" t="str">
        <f aca="false">IF(TRIM('List 2'!A338&amp;'List 2'!C338&amp;'List 2'!D338)="","",LOWER(IF(OR(Comparison!$I$9="Item # + Part # + Description",Comparison!$I$9="Item # + Part #"),TRIM('List 2'!A338),"")&amp;"|"&amp;TRIM('List 2'!C338)&amp;"|"&amp;IF(OR(Comparison!$I$9="Item # + Part # + Description",Comparison!$I$9="Part # + Description"),TRIM('List 2'!D338),"")))</f>
        <v/>
      </c>
      <c r="G338" s="0" t="str">
        <f aca="false">IF(F338="","",SUMPRODUCT(--($F$2:F338=F338)))</f>
        <v/>
      </c>
      <c r="H338" s="0" t="str">
        <f aca="false">IF(F338="","",F338&amp;"#"&amp;G338)</f>
        <v/>
      </c>
      <c r="I338" s="0" t="str">
        <f aca="false">IF(F338="","",IFERROR(--'List 2'!B338,0))</f>
        <v/>
      </c>
      <c r="K338" s="0" t="str">
        <f aca="false">C338</f>
        <v/>
      </c>
      <c r="L338" s="0" t="str">
        <f aca="false">IF(K338="","",IF(ISNUMBER('List 1'!A338),'List 1'!A338,TRIM('List 1'!A338)))</f>
        <v/>
      </c>
      <c r="M338" s="0" t="str">
        <f aca="false">IF(K338="","",IF(ISNUMBER('List 1'!C338),'List 1'!C338,TRIM('List 1'!C338)))</f>
        <v/>
      </c>
      <c r="N338" s="0" t="str">
        <f aca="false">IF(K338="","",IF(ISNUMBER('List 1'!D338),'List 1'!D338,TRIM('List 1'!D338)))</f>
        <v/>
      </c>
      <c r="O338" s="0" t="str">
        <f aca="false">IF(K338="","",D338)</f>
        <v/>
      </c>
      <c r="P338" s="0" t="str">
        <f aca="false">IF(K338="","",IF(R338,SUMPRODUCT(--($H$2:$H$501=K338),$I$2:$I$501),0))</f>
        <v/>
      </c>
      <c r="Q338" s="0" t="str">
        <f aca="false">IF(K338="","",TRUE())</f>
        <v/>
      </c>
      <c r="R338" s="0" t="str">
        <f aca="false">IF(K338="","",SUMPRODUCT(--($H$2:$H$501=K338))&gt;0)</f>
        <v/>
      </c>
      <c r="S338" s="0" t="str">
        <f aca="false">IF(K338="","",IF(AND(Q338,R338),IF(O338=P338,"Match","Qty Different"),IF(Q338,"Only in List 1","Only in List 2")))</f>
        <v/>
      </c>
      <c r="T338" s="0" t="str">
        <f aca="false">IF(K338="","",IF(ISNUMBER(--L338),TEXT(--L338,"000000000000.000"),LOWER(L338)))</f>
        <v/>
      </c>
      <c r="U338" s="0" t="str">
        <f aca="false">IF(K338="","",IF(ISNUMBER(--M338),TEXT(--M338,"000000000000.000"),LOWER(M338)))</f>
        <v/>
      </c>
      <c r="V338" s="0" t="str">
        <f aca="false">IF(K338="","",LOWER(N338))</f>
        <v/>
      </c>
      <c r="W338" s="0" t="str">
        <f aca="false">IF(K338="","",B338)</f>
        <v/>
      </c>
      <c r="X338" s="0" t="str">
        <f aca="false">IF(K338="","",1+SUMPRODUCT(($K$2:$K$1001&lt;&gt;"")*(($T$2:$T$1001&lt;T338)+($T$2:$T$1001=T338)*(($U$2:$U$1001&lt;U338)+($U$2:$U$1001=U338)*(($V$2:$V$1001&lt;V338)+($V$2:$V$1001=V338)*(($W$2:$W$1001&lt;W338)+($W$2:$W$1001=W338)*(ROW($K$2:$K$1001)&lt;ROW(K338))))))))</f>
        <v/>
      </c>
    </row>
    <row r="339" customFormat="false" ht="15" hidden="false" customHeight="false" outlineLevel="0" collapsed="false">
      <c r="A339" s="0" t="str">
        <f aca="false">IF(TRIM('List 1'!A339&amp;'List 1'!C339&amp;'List 1'!D339)="","",LOWER(IF(OR(Comparison!$I$9="Item # + Part # + Description",Comparison!$I$9="Item # + Part #"),TRIM('List 1'!A339),"")&amp;"|"&amp;TRIM('List 1'!C339)&amp;"|"&amp;IF(OR(Comparison!$I$9="Item # + Part # + Description",Comparison!$I$9="Part # + Description"),TRIM('List 1'!D339),"")))</f>
        <v/>
      </c>
      <c r="B339" s="0" t="str">
        <f aca="false">IF(A339="","",SUMPRODUCT(--($A$2:A339=A339)))</f>
        <v/>
      </c>
      <c r="C339" s="0" t="str">
        <f aca="false">IF(A339="","",A339&amp;"#"&amp;B339)</f>
        <v/>
      </c>
      <c r="D339" s="0" t="str">
        <f aca="false">IF(A339="","",IFERROR(--'List 1'!B339,0))</f>
        <v/>
      </c>
      <c r="F339" s="0" t="str">
        <f aca="false">IF(TRIM('List 2'!A339&amp;'List 2'!C339&amp;'List 2'!D339)="","",LOWER(IF(OR(Comparison!$I$9="Item # + Part # + Description",Comparison!$I$9="Item # + Part #"),TRIM('List 2'!A339),"")&amp;"|"&amp;TRIM('List 2'!C339)&amp;"|"&amp;IF(OR(Comparison!$I$9="Item # + Part # + Description",Comparison!$I$9="Part # + Description"),TRIM('List 2'!D339),"")))</f>
        <v/>
      </c>
      <c r="G339" s="0" t="str">
        <f aca="false">IF(F339="","",SUMPRODUCT(--($F$2:F339=F339)))</f>
        <v/>
      </c>
      <c r="H339" s="0" t="str">
        <f aca="false">IF(F339="","",F339&amp;"#"&amp;G339)</f>
        <v/>
      </c>
      <c r="I339" s="0" t="str">
        <f aca="false">IF(F339="","",IFERROR(--'List 2'!B339,0))</f>
        <v/>
      </c>
      <c r="K339" s="0" t="str">
        <f aca="false">C339</f>
        <v/>
      </c>
      <c r="L339" s="0" t="str">
        <f aca="false">IF(K339="","",IF(ISNUMBER('List 1'!A339),'List 1'!A339,TRIM('List 1'!A339)))</f>
        <v/>
      </c>
      <c r="M339" s="0" t="str">
        <f aca="false">IF(K339="","",IF(ISNUMBER('List 1'!C339),'List 1'!C339,TRIM('List 1'!C339)))</f>
        <v/>
      </c>
      <c r="N339" s="0" t="str">
        <f aca="false">IF(K339="","",IF(ISNUMBER('List 1'!D339),'List 1'!D339,TRIM('List 1'!D339)))</f>
        <v/>
      </c>
      <c r="O339" s="0" t="str">
        <f aca="false">IF(K339="","",D339)</f>
        <v/>
      </c>
      <c r="P339" s="0" t="str">
        <f aca="false">IF(K339="","",IF(R339,SUMPRODUCT(--($H$2:$H$501=K339),$I$2:$I$501),0))</f>
        <v/>
      </c>
      <c r="Q339" s="0" t="str">
        <f aca="false">IF(K339="","",TRUE())</f>
        <v/>
      </c>
      <c r="R339" s="0" t="str">
        <f aca="false">IF(K339="","",SUMPRODUCT(--($H$2:$H$501=K339))&gt;0)</f>
        <v/>
      </c>
      <c r="S339" s="0" t="str">
        <f aca="false">IF(K339="","",IF(AND(Q339,R339),IF(O339=P339,"Match","Qty Different"),IF(Q339,"Only in List 1","Only in List 2")))</f>
        <v/>
      </c>
      <c r="T339" s="0" t="str">
        <f aca="false">IF(K339="","",IF(ISNUMBER(--L339),TEXT(--L339,"000000000000.000"),LOWER(L339)))</f>
        <v/>
      </c>
      <c r="U339" s="0" t="str">
        <f aca="false">IF(K339="","",IF(ISNUMBER(--M339),TEXT(--M339,"000000000000.000"),LOWER(M339)))</f>
        <v/>
      </c>
      <c r="V339" s="0" t="str">
        <f aca="false">IF(K339="","",LOWER(N339))</f>
        <v/>
      </c>
      <c r="W339" s="0" t="str">
        <f aca="false">IF(K339="","",B339)</f>
        <v/>
      </c>
      <c r="X339" s="0" t="str">
        <f aca="false">IF(K339="","",1+SUMPRODUCT(($K$2:$K$1001&lt;&gt;"")*(($T$2:$T$1001&lt;T339)+($T$2:$T$1001=T339)*(($U$2:$U$1001&lt;U339)+($U$2:$U$1001=U339)*(($V$2:$V$1001&lt;V339)+($V$2:$V$1001=V339)*(($W$2:$W$1001&lt;W339)+($W$2:$W$1001=W339)*(ROW($K$2:$K$1001)&lt;ROW(K339))))))))</f>
        <v/>
      </c>
    </row>
    <row r="340" customFormat="false" ht="15" hidden="false" customHeight="false" outlineLevel="0" collapsed="false">
      <c r="A340" s="0" t="str">
        <f aca="false">IF(TRIM('List 1'!A340&amp;'List 1'!C340&amp;'List 1'!D340)="","",LOWER(IF(OR(Comparison!$I$9="Item # + Part # + Description",Comparison!$I$9="Item # + Part #"),TRIM('List 1'!A340),"")&amp;"|"&amp;TRIM('List 1'!C340)&amp;"|"&amp;IF(OR(Comparison!$I$9="Item # + Part # + Description",Comparison!$I$9="Part # + Description"),TRIM('List 1'!D340),"")))</f>
        <v/>
      </c>
      <c r="B340" s="0" t="str">
        <f aca="false">IF(A340="","",SUMPRODUCT(--($A$2:A340=A340)))</f>
        <v/>
      </c>
      <c r="C340" s="0" t="str">
        <f aca="false">IF(A340="","",A340&amp;"#"&amp;B340)</f>
        <v/>
      </c>
      <c r="D340" s="0" t="str">
        <f aca="false">IF(A340="","",IFERROR(--'List 1'!B340,0))</f>
        <v/>
      </c>
      <c r="F340" s="0" t="str">
        <f aca="false">IF(TRIM('List 2'!A340&amp;'List 2'!C340&amp;'List 2'!D340)="","",LOWER(IF(OR(Comparison!$I$9="Item # + Part # + Description",Comparison!$I$9="Item # + Part #"),TRIM('List 2'!A340),"")&amp;"|"&amp;TRIM('List 2'!C340)&amp;"|"&amp;IF(OR(Comparison!$I$9="Item # + Part # + Description",Comparison!$I$9="Part # + Description"),TRIM('List 2'!D340),"")))</f>
        <v/>
      </c>
      <c r="G340" s="0" t="str">
        <f aca="false">IF(F340="","",SUMPRODUCT(--($F$2:F340=F340)))</f>
        <v/>
      </c>
      <c r="H340" s="0" t="str">
        <f aca="false">IF(F340="","",F340&amp;"#"&amp;G340)</f>
        <v/>
      </c>
      <c r="I340" s="0" t="str">
        <f aca="false">IF(F340="","",IFERROR(--'List 2'!B340,0))</f>
        <v/>
      </c>
      <c r="K340" s="0" t="str">
        <f aca="false">C340</f>
        <v/>
      </c>
      <c r="L340" s="0" t="str">
        <f aca="false">IF(K340="","",IF(ISNUMBER('List 1'!A340),'List 1'!A340,TRIM('List 1'!A340)))</f>
        <v/>
      </c>
      <c r="M340" s="0" t="str">
        <f aca="false">IF(K340="","",IF(ISNUMBER('List 1'!C340),'List 1'!C340,TRIM('List 1'!C340)))</f>
        <v/>
      </c>
      <c r="N340" s="0" t="str">
        <f aca="false">IF(K340="","",IF(ISNUMBER('List 1'!D340),'List 1'!D340,TRIM('List 1'!D340)))</f>
        <v/>
      </c>
      <c r="O340" s="0" t="str">
        <f aca="false">IF(K340="","",D340)</f>
        <v/>
      </c>
      <c r="P340" s="0" t="str">
        <f aca="false">IF(K340="","",IF(R340,SUMPRODUCT(--($H$2:$H$501=K340),$I$2:$I$501),0))</f>
        <v/>
      </c>
      <c r="Q340" s="0" t="str">
        <f aca="false">IF(K340="","",TRUE())</f>
        <v/>
      </c>
      <c r="R340" s="0" t="str">
        <f aca="false">IF(K340="","",SUMPRODUCT(--($H$2:$H$501=K340))&gt;0)</f>
        <v/>
      </c>
      <c r="S340" s="0" t="str">
        <f aca="false">IF(K340="","",IF(AND(Q340,R340),IF(O340=P340,"Match","Qty Different"),IF(Q340,"Only in List 1","Only in List 2")))</f>
        <v/>
      </c>
      <c r="T340" s="0" t="str">
        <f aca="false">IF(K340="","",IF(ISNUMBER(--L340),TEXT(--L340,"000000000000.000"),LOWER(L340)))</f>
        <v/>
      </c>
      <c r="U340" s="0" t="str">
        <f aca="false">IF(K340="","",IF(ISNUMBER(--M340),TEXT(--M340,"000000000000.000"),LOWER(M340)))</f>
        <v/>
      </c>
      <c r="V340" s="0" t="str">
        <f aca="false">IF(K340="","",LOWER(N340))</f>
        <v/>
      </c>
      <c r="W340" s="0" t="str">
        <f aca="false">IF(K340="","",B340)</f>
        <v/>
      </c>
      <c r="X340" s="0" t="str">
        <f aca="false">IF(K340="","",1+SUMPRODUCT(($K$2:$K$1001&lt;&gt;"")*(($T$2:$T$1001&lt;T340)+($T$2:$T$1001=T340)*(($U$2:$U$1001&lt;U340)+($U$2:$U$1001=U340)*(($V$2:$V$1001&lt;V340)+($V$2:$V$1001=V340)*(($W$2:$W$1001&lt;W340)+($W$2:$W$1001=W340)*(ROW($K$2:$K$1001)&lt;ROW(K340))))))))</f>
        <v/>
      </c>
    </row>
    <row r="341" customFormat="false" ht="15" hidden="false" customHeight="false" outlineLevel="0" collapsed="false">
      <c r="A341" s="0" t="str">
        <f aca="false">IF(TRIM('List 1'!A341&amp;'List 1'!C341&amp;'List 1'!D341)="","",LOWER(IF(OR(Comparison!$I$9="Item # + Part # + Description",Comparison!$I$9="Item # + Part #"),TRIM('List 1'!A341),"")&amp;"|"&amp;TRIM('List 1'!C341)&amp;"|"&amp;IF(OR(Comparison!$I$9="Item # + Part # + Description",Comparison!$I$9="Part # + Description"),TRIM('List 1'!D341),"")))</f>
        <v/>
      </c>
      <c r="B341" s="0" t="str">
        <f aca="false">IF(A341="","",SUMPRODUCT(--($A$2:A341=A341)))</f>
        <v/>
      </c>
      <c r="C341" s="0" t="str">
        <f aca="false">IF(A341="","",A341&amp;"#"&amp;B341)</f>
        <v/>
      </c>
      <c r="D341" s="0" t="str">
        <f aca="false">IF(A341="","",IFERROR(--'List 1'!B341,0))</f>
        <v/>
      </c>
      <c r="F341" s="0" t="str">
        <f aca="false">IF(TRIM('List 2'!A341&amp;'List 2'!C341&amp;'List 2'!D341)="","",LOWER(IF(OR(Comparison!$I$9="Item # + Part # + Description",Comparison!$I$9="Item # + Part #"),TRIM('List 2'!A341),"")&amp;"|"&amp;TRIM('List 2'!C341)&amp;"|"&amp;IF(OR(Comparison!$I$9="Item # + Part # + Description",Comparison!$I$9="Part # + Description"),TRIM('List 2'!D341),"")))</f>
        <v/>
      </c>
      <c r="G341" s="0" t="str">
        <f aca="false">IF(F341="","",SUMPRODUCT(--($F$2:F341=F341)))</f>
        <v/>
      </c>
      <c r="H341" s="0" t="str">
        <f aca="false">IF(F341="","",F341&amp;"#"&amp;G341)</f>
        <v/>
      </c>
      <c r="I341" s="0" t="str">
        <f aca="false">IF(F341="","",IFERROR(--'List 2'!B341,0))</f>
        <v/>
      </c>
      <c r="K341" s="0" t="str">
        <f aca="false">C341</f>
        <v/>
      </c>
      <c r="L341" s="0" t="str">
        <f aca="false">IF(K341="","",IF(ISNUMBER('List 1'!A341),'List 1'!A341,TRIM('List 1'!A341)))</f>
        <v/>
      </c>
      <c r="M341" s="0" t="str">
        <f aca="false">IF(K341="","",IF(ISNUMBER('List 1'!C341),'List 1'!C341,TRIM('List 1'!C341)))</f>
        <v/>
      </c>
      <c r="N341" s="0" t="str">
        <f aca="false">IF(K341="","",IF(ISNUMBER('List 1'!D341),'List 1'!D341,TRIM('List 1'!D341)))</f>
        <v/>
      </c>
      <c r="O341" s="0" t="str">
        <f aca="false">IF(K341="","",D341)</f>
        <v/>
      </c>
      <c r="P341" s="0" t="str">
        <f aca="false">IF(K341="","",IF(R341,SUMPRODUCT(--($H$2:$H$501=K341),$I$2:$I$501),0))</f>
        <v/>
      </c>
      <c r="Q341" s="0" t="str">
        <f aca="false">IF(K341="","",TRUE())</f>
        <v/>
      </c>
      <c r="R341" s="0" t="str">
        <f aca="false">IF(K341="","",SUMPRODUCT(--($H$2:$H$501=K341))&gt;0)</f>
        <v/>
      </c>
      <c r="S341" s="0" t="str">
        <f aca="false">IF(K341="","",IF(AND(Q341,R341),IF(O341=P341,"Match","Qty Different"),IF(Q341,"Only in List 1","Only in List 2")))</f>
        <v/>
      </c>
      <c r="T341" s="0" t="str">
        <f aca="false">IF(K341="","",IF(ISNUMBER(--L341),TEXT(--L341,"000000000000.000"),LOWER(L341)))</f>
        <v/>
      </c>
      <c r="U341" s="0" t="str">
        <f aca="false">IF(K341="","",IF(ISNUMBER(--M341),TEXT(--M341,"000000000000.000"),LOWER(M341)))</f>
        <v/>
      </c>
      <c r="V341" s="0" t="str">
        <f aca="false">IF(K341="","",LOWER(N341))</f>
        <v/>
      </c>
      <c r="W341" s="0" t="str">
        <f aca="false">IF(K341="","",B341)</f>
        <v/>
      </c>
      <c r="X341" s="0" t="str">
        <f aca="false">IF(K341="","",1+SUMPRODUCT(($K$2:$K$1001&lt;&gt;"")*(($T$2:$T$1001&lt;T341)+($T$2:$T$1001=T341)*(($U$2:$U$1001&lt;U341)+($U$2:$U$1001=U341)*(($V$2:$V$1001&lt;V341)+($V$2:$V$1001=V341)*(($W$2:$W$1001&lt;W341)+($W$2:$W$1001=W341)*(ROW($K$2:$K$1001)&lt;ROW(K341))))))))</f>
        <v/>
      </c>
    </row>
    <row r="342" customFormat="false" ht="15" hidden="false" customHeight="false" outlineLevel="0" collapsed="false">
      <c r="A342" s="0" t="str">
        <f aca="false">IF(TRIM('List 1'!A342&amp;'List 1'!C342&amp;'List 1'!D342)="","",LOWER(IF(OR(Comparison!$I$9="Item # + Part # + Description",Comparison!$I$9="Item # + Part #"),TRIM('List 1'!A342),"")&amp;"|"&amp;TRIM('List 1'!C342)&amp;"|"&amp;IF(OR(Comparison!$I$9="Item # + Part # + Description",Comparison!$I$9="Part # + Description"),TRIM('List 1'!D342),"")))</f>
        <v/>
      </c>
      <c r="B342" s="0" t="str">
        <f aca="false">IF(A342="","",SUMPRODUCT(--($A$2:A342=A342)))</f>
        <v/>
      </c>
      <c r="C342" s="0" t="str">
        <f aca="false">IF(A342="","",A342&amp;"#"&amp;B342)</f>
        <v/>
      </c>
      <c r="D342" s="0" t="str">
        <f aca="false">IF(A342="","",IFERROR(--'List 1'!B342,0))</f>
        <v/>
      </c>
      <c r="F342" s="0" t="str">
        <f aca="false">IF(TRIM('List 2'!A342&amp;'List 2'!C342&amp;'List 2'!D342)="","",LOWER(IF(OR(Comparison!$I$9="Item # + Part # + Description",Comparison!$I$9="Item # + Part #"),TRIM('List 2'!A342),"")&amp;"|"&amp;TRIM('List 2'!C342)&amp;"|"&amp;IF(OR(Comparison!$I$9="Item # + Part # + Description",Comparison!$I$9="Part # + Description"),TRIM('List 2'!D342),"")))</f>
        <v/>
      </c>
      <c r="G342" s="0" t="str">
        <f aca="false">IF(F342="","",SUMPRODUCT(--($F$2:F342=F342)))</f>
        <v/>
      </c>
      <c r="H342" s="0" t="str">
        <f aca="false">IF(F342="","",F342&amp;"#"&amp;G342)</f>
        <v/>
      </c>
      <c r="I342" s="0" t="str">
        <f aca="false">IF(F342="","",IFERROR(--'List 2'!B342,0))</f>
        <v/>
      </c>
      <c r="K342" s="0" t="str">
        <f aca="false">C342</f>
        <v/>
      </c>
      <c r="L342" s="0" t="str">
        <f aca="false">IF(K342="","",IF(ISNUMBER('List 1'!A342),'List 1'!A342,TRIM('List 1'!A342)))</f>
        <v/>
      </c>
      <c r="M342" s="0" t="str">
        <f aca="false">IF(K342="","",IF(ISNUMBER('List 1'!C342),'List 1'!C342,TRIM('List 1'!C342)))</f>
        <v/>
      </c>
      <c r="N342" s="0" t="str">
        <f aca="false">IF(K342="","",IF(ISNUMBER('List 1'!D342),'List 1'!D342,TRIM('List 1'!D342)))</f>
        <v/>
      </c>
      <c r="O342" s="0" t="str">
        <f aca="false">IF(K342="","",D342)</f>
        <v/>
      </c>
      <c r="P342" s="0" t="str">
        <f aca="false">IF(K342="","",IF(R342,SUMPRODUCT(--($H$2:$H$501=K342),$I$2:$I$501),0))</f>
        <v/>
      </c>
      <c r="Q342" s="0" t="str">
        <f aca="false">IF(K342="","",TRUE())</f>
        <v/>
      </c>
      <c r="R342" s="0" t="str">
        <f aca="false">IF(K342="","",SUMPRODUCT(--($H$2:$H$501=K342))&gt;0)</f>
        <v/>
      </c>
      <c r="S342" s="0" t="str">
        <f aca="false">IF(K342="","",IF(AND(Q342,R342),IF(O342=P342,"Match","Qty Different"),IF(Q342,"Only in List 1","Only in List 2")))</f>
        <v/>
      </c>
      <c r="T342" s="0" t="str">
        <f aca="false">IF(K342="","",IF(ISNUMBER(--L342),TEXT(--L342,"000000000000.000"),LOWER(L342)))</f>
        <v/>
      </c>
      <c r="U342" s="0" t="str">
        <f aca="false">IF(K342="","",IF(ISNUMBER(--M342),TEXT(--M342,"000000000000.000"),LOWER(M342)))</f>
        <v/>
      </c>
      <c r="V342" s="0" t="str">
        <f aca="false">IF(K342="","",LOWER(N342))</f>
        <v/>
      </c>
      <c r="W342" s="0" t="str">
        <f aca="false">IF(K342="","",B342)</f>
        <v/>
      </c>
      <c r="X342" s="0" t="str">
        <f aca="false">IF(K342="","",1+SUMPRODUCT(($K$2:$K$1001&lt;&gt;"")*(($T$2:$T$1001&lt;T342)+($T$2:$T$1001=T342)*(($U$2:$U$1001&lt;U342)+($U$2:$U$1001=U342)*(($V$2:$V$1001&lt;V342)+($V$2:$V$1001=V342)*(($W$2:$W$1001&lt;W342)+($W$2:$W$1001=W342)*(ROW($K$2:$K$1001)&lt;ROW(K342))))))))</f>
        <v/>
      </c>
    </row>
    <row r="343" customFormat="false" ht="15" hidden="false" customHeight="false" outlineLevel="0" collapsed="false">
      <c r="A343" s="0" t="str">
        <f aca="false">IF(TRIM('List 1'!A343&amp;'List 1'!C343&amp;'List 1'!D343)="","",LOWER(IF(OR(Comparison!$I$9="Item # + Part # + Description",Comparison!$I$9="Item # + Part #"),TRIM('List 1'!A343),"")&amp;"|"&amp;TRIM('List 1'!C343)&amp;"|"&amp;IF(OR(Comparison!$I$9="Item # + Part # + Description",Comparison!$I$9="Part # + Description"),TRIM('List 1'!D343),"")))</f>
        <v/>
      </c>
      <c r="B343" s="0" t="str">
        <f aca="false">IF(A343="","",SUMPRODUCT(--($A$2:A343=A343)))</f>
        <v/>
      </c>
      <c r="C343" s="0" t="str">
        <f aca="false">IF(A343="","",A343&amp;"#"&amp;B343)</f>
        <v/>
      </c>
      <c r="D343" s="0" t="str">
        <f aca="false">IF(A343="","",IFERROR(--'List 1'!B343,0))</f>
        <v/>
      </c>
      <c r="F343" s="0" t="str">
        <f aca="false">IF(TRIM('List 2'!A343&amp;'List 2'!C343&amp;'List 2'!D343)="","",LOWER(IF(OR(Comparison!$I$9="Item # + Part # + Description",Comparison!$I$9="Item # + Part #"),TRIM('List 2'!A343),"")&amp;"|"&amp;TRIM('List 2'!C343)&amp;"|"&amp;IF(OR(Comparison!$I$9="Item # + Part # + Description",Comparison!$I$9="Part # + Description"),TRIM('List 2'!D343),"")))</f>
        <v/>
      </c>
      <c r="G343" s="0" t="str">
        <f aca="false">IF(F343="","",SUMPRODUCT(--($F$2:F343=F343)))</f>
        <v/>
      </c>
      <c r="H343" s="0" t="str">
        <f aca="false">IF(F343="","",F343&amp;"#"&amp;G343)</f>
        <v/>
      </c>
      <c r="I343" s="0" t="str">
        <f aca="false">IF(F343="","",IFERROR(--'List 2'!B343,0))</f>
        <v/>
      </c>
      <c r="K343" s="0" t="str">
        <f aca="false">C343</f>
        <v/>
      </c>
      <c r="L343" s="0" t="str">
        <f aca="false">IF(K343="","",IF(ISNUMBER('List 1'!A343),'List 1'!A343,TRIM('List 1'!A343)))</f>
        <v/>
      </c>
      <c r="M343" s="0" t="str">
        <f aca="false">IF(K343="","",IF(ISNUMBER('List 1'!C343),'List 1'!C343,TRIM('List 1'!C343)))</f>
        <v/>
      </c>
      <c r="N343" s="0" t="str">
        <f aca="false">IF(K343="","",IF(ISNUMBER('List 1'!D343),'List 1'!D343,TRIM('List 1'!D343)))</f>
        <v/>
      </c>
      <c r="O343" s="0" t="str">
        <f aca="false">IF(K343="","",D343)</f>
        <v/>
      </c>
      <c r="P343" s="0" t="str">
        <f aca="false">IF(K343="","",IF(R343,SUMPRODUCT(--($H$2:$H$501=K343),$I$2:$I$501),0))</f>
        <v/>
      </c>
      <c r="Q343" s="0" t="str">
        <f aca="false">IF(K343="","",TRUE())</f>
        <v/>
      </c>
      <c r="R343" s="0" t="str">
        <f aca="false">IF(K343="","",SUMPRODUCT(--($H$2:$H$501=K343))&gt;0)</f>
        <v/>
      </c>
      <c r="S343" s="0" t="str">
        <f aca="false">IF(K343="","",IF(AND(Q343,R343),IF(O343=P343,"Match","Qty Different"),IF(Q343,"Only in List 1","Only in List 2")))</f>
        <v/>
      </c>
      <c r="T343" s="0" t="str">
        <f aca="false">IF(K343="","",IF(ISNUMBER(--L343),TEXT(--L343,"000000000000.000"),LOWER(L343)))</f>
        <v/>
      </c>
      <c r="U343" s="0" t="str">
        <f aca="false">IF(K343="","",IF(ISNUMBER(--M343),TEXT(--M343,"000000000000.000"),LOWER(M343)))</f>
        <v/>
      </c>
      <c r="V343" s="0" t="str">
        <f aca="false">IF(K343="","",LOWER(N343))</f>
        <v/>
      </c>
      <c r="W343" s="0" t="str">
        <f aca="false">IF(K343="","",B343)</f>
        <v/>
      </c>
      <c r="X343" s="0" t="str">
        <f aca="false">IF(K343="","",1+SUMPRODUCT(($K$2:$K$1001&lt;&gt;"")*(($T$2:$T$1001&lt;T343)+($T$2:$T$1001=T343)*(($U$2:$U$1001&lt;U343)+($U$2:$U$1001=U343)*(($V$2:$V$1001&lt;V343)+($V$2:$V$1001=V343)*(($W$2:$W$1001&lt;W343)+($W$2:$W$1001=W343)*(ROW($K$2:$K$1001)&lt;ROW(K343))))))))</f>
        <v/>
      </c>
    </row>
    <row r="344" customFormat="false" ht="15" hidden="false" customHeight="false" outlineLevel="0" collapsed="false">
      <c r="A344" s="0" t="str">
        <f aca="false">IF(TRIM('List 1'!A344&amp;'List 1'!C344&amp;'List 1'!D344)="","",LOWER(IF(OR(Comparison!$I$9="Item # + Part # + Description",Comparison!$I$9="Item # + Part #"),TRIM('List 1'!A344),"")&amp;"|"&amp;TRIM('List 1'!C344)&amp;"|"&amp;IF(OR(Comparison!$I$9="Item # + Part # + Description",Comparison!$I$9="Part # + Description"),TRIM('List 1'!D344),"")))</f>
        <v/>
      </c>
      <c r="B344" s="0" t="str">
        <f aca="false">IF(A344="","",SUMPRODUCT(--($A$2:A344=A344)))</f>
        <v/>
      </c>
      <c r="C344" s="0" t="str">
        <f aca="false">IF(A344="","",A344&amp;"#"&amp;B344)</f>
        <v/>
      </c>
      <c r="D344" s="0" t="str">
        <f aca="false">IF(A344="","",IFERROR(--'List 1'!B344,0))</f>
        <v/>
      </c>
      <c r="F344" s="0" t="str">
        <f aca="false">IF(TRIM('List 2'!A344&amp;'List 2'!C344&amp;'List 2'!D344)="","",LOWER(IF(OR(Comparison!$I$9="Item # + Part # + Description",Comparison!$I$9="Item # + Part #"),TRIM('List 2'!A344),"")&amp;"|"&amp;TRIM('List 2'!C344)&amp;"|"&amp;IF(OR(Comparison!$I$9="Item # + Part # + Description",Comparison!$I$9="Part # + Description"),TRIM('List 2'!D344),"")))</f>
        <v/>
      </c>
      <c r="G344" s="0" t="str">
        <f aca="false">IF(F344="","",SUMPRODUCT(--($F$2:F344=F344)))</f>
        <v/>
      </c>
      <c r="H344" s="0" t="str">
        <f aca="false">IF(F344="","",F344&amp;"#"&amp;G344)</f>
        <v/>
      </c>
      <c r="I344" s="0" t="str">
        <f aca="false">IF(F344="","",IFERROR(--'List 2'!B344,0))</f>
        <v/>
      </c>
      <c r="K344" s="0" t="str">
        <f aca="false">C344</f>
        <v/>
      </c>
      <c r="L344" s="0" t="str">
        <f aca="false">IF(K344="","",IF(ISNUMBER('List 1'!A344),'List 1'!A344,TRIM('List 1'!A344)))</f>
        <v/>
      </c>
      <c r="M344" s="0" t="str">
        <f aca="false">IF(K344="","",IF(ISNUMBER('List 1'!C344),'List 1'!C344,TRIM('List 1'!C344)))</f>
        <v/>
      </c>
      <c r="N344" s="0" t="str">
        <f aca="false">IF(K344="","",IF(ISNUMBER('List 1'!D344),'List 1'!D344,TRIM('List 1'!D344)))</f>
        <v/>
      </c>
      <c r="O344" s="0" t="str">
        <f aca="false">IF(K344="","",D344)</f>
        <v/>
      </c>
      <c r="P344" s="0" t="str">
        <f aca="false">IF(K344="","",IF(R344,SUMPRODUCT(--($H$2:$H$501=K344),$I$2:$I$501),0))</f>
        <v/>
      </c>
      <c r="Q344" s="0" t="str">
        <f aca="false">IF(K344="","",TRUE())</f>
        <v/>
      </c>
      <c r="R344" s="0" t="str">
        <f aca="false">IF(K344="","",SUMPRODUCT(--($H$2:$H$501=K344))&gt;0)</f>
        <v/>
      </c>
      <c r="S344" s="0" t="str">
        <f aca="false">IF(K344="","",IF(AND(Q344,R344),IF(O344=P344,"Match","Qty Different"),IF(Q344,"Only in List 1","Only in List 2")))</f>
        <v/>
      </c>
      <c r="T344" s="0" t="str">
        <f aca="false">IF(K344="","",IF(ISNUMBER(--L344),TEXT(--L344,"000000000000.000"),LOWER(L344)))</f>
        <v/>
      </c>
      <c r="U344" s="0" t="str">
        <f aca="false">IF(K344="","",IF(ISNUMBER(--M344),TEXT(--M344,"000000000000.000"),LOWER(M344)))</f>
        <v/>
      </c>
      <c r="V344" s="0" t="str">
        <f aca="false">IF(K344="","",LOWER(N344))</f>
        <v/>
      </c>
      <c r="W344" s="0" t="str">
        <f aca="false">IF(K344="","",B344)</f>
        <v/>
      </c>
      <c r="X344" s="0" t="str">
        <f aca="false">IF(K344="","",1+SUMPRODUCT(($K$2:$K$1001&lt;&gt;"")*(($T$2:$T$1001&lt;T344)+($T$2:$T$1001=T344)*(($U$2:$U$1001&lt;U344)+($U$2:$U$1001=U344)*(($V$2:$V$1001&lt;V344)+($V$2:$V$1001=V344)*(($W$2:$W$1001&lt;W344)+($W$2:$W$1001=W344)*(ROW($K$2:$K$1001)&lt;ROW(K344))))))))</f>
        <v/>
      </c>
    </row>
    <row r="345" customFormat="false" ht="15" hidden="false" customHeight="false" outlineLevel="0" collapsed="false">
      <c r="A345" s="0" t="str">
        <f aca="false">IF(TRIM('List 1'!A345&amp;'List 1'!C345&amp;'List 1'!D345)="","",LOWER(IF(OR(Comparison!$I$9="Item # + Part # + Description",Comparison!$I$9="Item # + Part #"),TRIM('List 1'!A345),"")&amp;"|"&amp;TRIM('List 1'!C345)&amp;"|"&amp;IF(OR(Comparison!$I$9="Item # + Part # + Description",Comparison!$I$9="Part # + Description"),TRIM('List 1'!D345),"")))</f>
        <v/>
      </c>
      <c r="B345" s="0" t="str">
        <f aca="false">IF(A345="","",SUMPRODUCT(--($A$2:A345=A345)))</f>
        <v/>
      </c>
      <c r="C345" s="0" t="str">
        <f aca="false">IF(A345="","",A345&amp;"#"&amp;B345)</f>
        <v/>
      </c>
      <c r="D345" s="0" t="str">
        <f aca="false">IF(A345="","",IFERROR(--'List 1'!B345,0))</f>
        <v/>
      </c>
      <c r="F345" s="0" t="str">
        <f aca="false">IF(TRIM('List 2'!A345&amp;'List 2'!C345&amp;'List 2'!D345)="","",LOWER(IF(OR(Comparison!$I$9="Item # + Part # + Description",Comparison!$I$9="Item # + Part #"),TRIM('List 2'!A345),"")&amp;"|"&amp;TRIM('List 2'!C345)&amp;"|"&amp;IF(OR(Comparison!$I$9="Item # + Part # + Description",Comparison!$I$9="Part # + Description"),TRIM('List 2'!D345),"")))</f>
        <v/>
      </c>
      <c r="G345" s="0" t="str">
        <f aca="false">IF(F345="","",SUMPRODUCT(--($F$2:F345=F345)))</f>
        <v/>
      </c>
      <c r="H345" s="0" t="str">
        <f aca="false">IF(F345="","",F345&amp;"#"&amp;G345)</f>
        <v/>
      </c>
      <c r="I345" s="0" t="str">
        <f aca="false">IF(F345="","",IFERROR(--'List 2'!B345,0))</f>
        <v/>
      </c>
      <c r="K345" s="0" t="str">
        <f aca="false">C345</f>
        <v/>
      </c>
      <c r="L345" s="0" t="str">
        <f aca="false">IF(K345="","",IF(ISNUMBER('List 1'!A345),'List 1'!A345,TRIM('List 1'!A345)))</f>
        <v/>
      </c>
      <c r="M345" s="0" t="str">
        <f aca="false">IF(K345="","",IF(ISNUMBER('List 1'!C345),'List 1'!C345,TRIM('List 1'!C345)))</f>
        <v/>
      </c>
      <c r="N345" s="0" t="str">
        <f aca="false">IF(K345="","",IF(ISNUMBER('List 1'!D345),'List 1'!D345,TRIM('List 1'!D345)))</f>
        <v/>
      </c>
      <c r="O345" s="0" t="str">
        <f aca="false">IF(K345="","",D345)</f>
        <v/>
      </c>
      <c r="P345" s="0" t="str">
        <f aca="false">IF(K345="","",IF(R345,SUMPRODUCT(--($H$2:$H$501=K345),$I$2:$I$501),0))</f>
        <v/>
      </c>
      <c r="Q345" s="0" t="str">
        <f aca="false">IF(K345="","",TRUE())</f>
        <v/>
      </c>
      <c r="R345" s="0" t="str">
        <f aca="false">IF(K345="","",SUMPRODUCT(--($H$2:$H$501=K345))&gt;0)</f>
        <v/>
      </c>
      <c r="S345" s="0" t="str">
        <f aca="false">IF(K345="","",IF(AND(Q345,R345),IF(O345=P345,"Match","Qty Different"),IF(Q345,"Only in List 1","Only in List 2")))</f>
        <v/>
      </c>
      <c r="T345" s="0" t="str">
        <f aca="false">IF(K345="","",IF(ISNUMBER(--L345),TEXT(--L345,"000000000000.000"),LOWER(L345)))</f>
        <v/>
      </c>
      <c r="U345" s="0" t="str">
        <f aca="false">IF(K345="","",IF(ISNUMBER(--M345),TEXT(--M345,"000000000000.000"),LOWER(M345)))</f>
        <v/>
      </c>
      <c r="V345" s="0" t="str">
        <f aca="false">IF(K345="","",LOWER(N345))</f>
        <v/>
      </c>
      <c r="W345" s="0" t="str">
        <f aca="false">IF(K345="","",B345)</f>
        <v/>
      </c>
      <c r="X345" s="0" t="str">
        <f aca="false">IF(K345="","",1+SUMPRODUCT(($K$2:$K$1001&lt;&gt;"")*(($T$2:$T$1001&lt;T345)+($T$2:$T$1001=T345)*(($U$2:$U$1001&lt;U345)+($U$2:$U$1001=U345)*(($V$2:$V$1001&lt;V345)+($V$2:$V$1001=V345)*(($W$2:$W$1001&lt;W345)+($W$2:$W$1001=W345)*(ROW($K$2:$K$1001)&lt;ROW(K345))))))))</f>
        <v/>
      </c>
    </row>
    <row r="346" customFormat="false" ht="15" hidden="false" customHeight="false" outlineLevel="0" collapsed="false">
      <c r="A346" s="0" t="str">
        <f aca="false">IF(TRIM('List 1'!A346&amp;'List 1'!C346&amp;'List 1'!D346)="","",LOWER(IF(OR(Comparison!$I$9="Item # + Part # + Description",Comparison!$I$9="Item # + Part #"),TRIM('List 1'!A346),"")&amp;"|"&amp;TRIM('List 1'!C346)&amp;"|"&amp;IF(OR(Comparison!$I$9="Item # + Part # + Description",Comparison!$I$9="Part # + Description"),TRIM('List 1'!D346),"")))</f>
        <v/>
      </c>
      <c r="B346" s="0" t="str">
        <f aca="false">IF(A346="","",SUMPRODUCT(--($A$2:A346=A346)))</f>
        <v/>
      </c>
      <c r="C346" s="0" t="str">
        <f aca="false">IF(A346="","",A346&amp;"#"&amp;B346)</f>
        <v/>
      </c>
      <c r="D346" s="0" t="str">
        <f aca="false">IF(A346="","",IFERROR(--'List 1'!B346,0))</f>
        <v/>
      </c>
      <c r="F346" s="0" t="str">
        <f aca="false">IF(TRIM('List 2'!A346&amp;'List 2'!C346&amp;'List 2'!D346)="","",LOWER(IF(OR(Comparison!$I$9="Item # + Part # + Description",Comparison!$I$9="Item # + Part #"),TRIM('List 2'!A346),"")&amp;"|"&amp;TRIM('List 2'!C346)&amp;"|"&amp;IF(OR(Comparison!$I$9="Item # + Part # + Description",Comparison!$I$9="Part # + Description"),TRIM('List 2'!D346),"")))</f>
        <v/>
      </c>
      <c r="G346" s="0" t="str">
        <f aca="false">IF(F346="","",SUMPRODUCT(--($F$2:F346=F346)))</f>
        <v/>
      </c>
      <c r="H346" s="0" t="str">
        <f aca="false">IF(F346="","",F346&amp;"#"&amp;G346)</f>
        <v/>
      </c>
      <c r="I346" s="0" t="str">
        <f aca="false">IF(F346="","",IFERROR(--'List 2'!B346,0))</f>
        <v/>
      </c>
      <c r="K346" s="0" t="str">
        <f aca="false">C346</f>
        <v/>
      </c>
      <c r="L346" s="0" t="str">
        <f aca="false">IF(K346="","",IF(ISNUMBER('List 1'!A346),'List 1'!A346,TRIM('List 1'!A346)))</f>
        <v/>
      </c>
      <c r="M346" s="0" t="str">
        <f aca="false">IF(K346="","",IF(ISNUMBER('List 1'!C346),'List 1'!C346,TRIM('List 1'!C346)))</f>
        <v/>
      </c>
      <c r="N346" s="0" t="str">
        <f aca="false">IF(K346="","",IF(ISNUMBER('List 1'!D346),'List 1'!D346,TRIM('List 1'!D346)))</f>
        <v/>
      </c>
      <c r="O346" s="0" t="str">
        <f aca="false">IF(K346="","",D346)</f>
        <v/>
      </c>
      <c r="P346" s="0" t="str">
        <f aca="false">IF(K346="","",IF(R346,SUMPRODUCT(--($H$2:$H$501=K346),$I$2:$I$501),0))</f>
        <v/>
      </c>
      <c r="Q346" s="0" t="str">
        <f aca="false">IF(K346="","",TRUE())</f>
        <v/>
      </c>
      <c r="R346" s="0" t="str">
        <f aca="false">IF(K346="","",SUMPRODUCT(--($H$2:$H$501=K346))&gt;0)</f>
        <v/>
      </c>
      <c r="S346" s="0" t="str">
        <f aca="false">IF(K346="","",IF(AND(Q346,R346),IF(O346=P346,"Match","Qty Different"),IF(Q346,"Only in List 1","Only in List 2")))</f>
        <v/>
      </c>
      <c r="T346" s="0" t="str">
        <f aca="false">IF(K346="","",IF(ISNUMBER(--L346),TEXT(--L346,"000000000000.000"),LOWER(L346)))</f>
        <v/>
      </c>
      <c r="U346" s="0" t="str">
        <f aca="false">IF(K346="","",IF(ISNUMBER(--M346),TEXT(--M346,"000000000000.000"),LOWER(M346)))</f>
        <v/>
      </c>
      <c r="V346" s="0" t="str">
        <f aca="false">IF(K346="","",LOWER(N346))</f>
        <v/>
      </c>
      <c r="W346" s="0" t="str">
        <f aca="false">IF(K346="","",B346)</f>
        <v/>
      </c>
      <c r="X346" s="0" t="str">
        <f aca="false">IF(K346="","",1+SUMPRODUCT(($K$2:$K$1001&lt;&gt;"")*(($T$2:$T$1001&lt;T346)+($T$2:$T$1001=T346)*(($U$2:$U$1001&lt;U346)+($U$2:$U$1001=U346)*(($V$2:$V$1001&lt;V346)+($V$2:$V$1001=V346)*(($W$2:$W$1001&lt;W346)+($W$2:$W$1001=W346)*(ROW($K$2:$K$1001)&lt;ROW(K346))))))))</f>
        <v/>
      </c>
    </row>
    <row r="347" customFormat="false" ht="15" hidden="false" customHeight="false" outlineLevel="0" collapsed="false">
      <c r="A347" s="0" t="str">
        <f aca="false">IF(TRIM('List 1'!A347&amp;'List 1'!C347&amp;'List 1'!D347)="","",LOWER(IF(OR(Comparison!$I$9="Item # + Part # + Description",Comparison!$I$9="Item # + Part #"),TRIM('List 1'!A347),"")&amp;"|"&amp;TRIM('List 1'!C347)&amp;"|"&amp;IF(OR(Comparison!$I$9="Item # + Part # + Description",Comparison!$I$9="Part # + Description"),TRIM('List 1'!D347),"")))</f>
        <v/>
      </c>
      <c r="B347" s="0" t="str">
        <f aca="false">IF(A347="","",SUMPRODUCT(--($A$2:A347=A347)))</f>
        <v/>
      </c>
      <c r="C347" s="0" t="str">
        <f aca="false">IF(A347="","",A347&amp;"#"&amp;B347)</f>
        <v/>
      </c>
      <c r="D347" s="0" t="str">
        <f aca="false">IF(A347="","",IFERROR(--'List 1'!B347,0))</f>
        <v/>
      </c>
      <c r="F347" s="0" t="str">
        <f aca="false">IF(TRIM('List 2'!A347&amp;'List 2'!C347&amp;'List 2'!D347)="","",LOWER(IF(OR(Comparison!$I$9="Item # + Part # + Description",Comparison!$I$9="Item # + Part #"),TRIM('List 2'!A347),"")&amp;"|"&amp;TRIM('List 2'!C347)&amp;"|"&amp;IF(OR(Comparison!$I$9="Item # + Part # + Description",Comparison!$I$9="Part # + Description"),TRIM('List 2'!D347),"")))</f>
        <v/>
      </c>
      <c r="G347" s="0" t="str">
        <f aca="false">IF(F347="","",SUMPRODUCT(--($F$2:F347=F347)))</f>
        <v/>
      </c>
      <c r="H347" s="0" t="str">
        <f aca="false">IF(F347="","",F347&amp;"#"&amp;G347)</f>
        <v/>
      </c>
      <c r="I347" s="0" t="str">
        <f aca="false">IF(F347="","",IFERROR(--'List 2'!B347,0))</f>
        <v/>
      </c>
      <c r="K347" s="0" t="str">
        <f aca="false">C347</f>
        <v/>
      </c>
      <c r="L347" s="0" t="str">
        <f aca="false">IF(K347="","",IF(ISNUMBER('List 1'!A347),'List 1'!A347,TRIM('List 1'!A347)))</f>
        <v/>
      </c>
      <c r="M347" s="0" t="str">
        <f aca="false">IF(K347="","",IF(ISNUMBER('List 1'!C347),'List 1'!C347,TRIM('List 1'!C347)))</f>
        <v/>
      </c>
      <c r="N347" s="0" t="str">
        <f aca="false">IF(K347="","",IF(ISNUMBER('List 1'!D347),'List 1'!D347,TRIM('List 1'!D347)))</f>
        <v/>
      </c>
      <c r="O347" s="0" t="str">
        <f aca="false">IF(K347="","",D347)</f>
        <v/>
      </c>
      <c r="P347" s="0" t="str">
        <f aca="false">IF(K347="","",IF(R347,SUMPRODUCT(--($H$2:$H$501=K347),$I$2:$I$501),0))</f>
        <v/>
      </c>
      <c r="Q347" s="0" t="str">
        <f aca="false">IF(K347="","",TRUE())</f>
        <v/>
      </c>
      <c r="R347" s="0" t="str">
        <f aca="false">IF(K347="","",SUMPRODUCT(--($H$2:$H$501=K347))&gt;0)</f>
        <v/>
      </c>
      <c r="S347" s="0" t="str">
        <f aca="false">IF(K347="","",IF(AND(Q347,R347),IF(O347=P347,"Match","Qty Different"),IF(Q347,"Only in List 1","Only in List 2")))</f>
        <v/>
      </c>
      <c r="T347" s="0" t="str">
        <f aca="false">IF(K347="","",IF(ISNUMBER(--L347),TEXT(--L347,"000000000000.000"),LOWER(L347)))</f>
        <v/>
      </c>
      <c r="U347" s="0" t="str">
        <f aca="false">IF(K347="","",IF(ISNUMBER(--M347),TEXT(--M347,"000000000000.000"),LOWER(M347)))</f>
        <v/>
      </c>
      <c r="V347" s="0" t="str">
        <f aca="false">IF(K347="","",LOWER(N347))</f>
        <v/>
      </c>
      <c r="W347" s="0" t="str">
        <f aca="false">IF(K347="","",B347)</f>
        <v/>
      </c>
      <c r="X347" s="0" t="str">
        <f aca="false">IF(K347="","",1+SUMPRODUCT(($K$2:$K$1001&lt;&gt;"")*(($T$2:$T$1001&lt;T347)+($T$2:$T$1001=T347)*(($U$2:$U$1001&lt;U347)+($U$2:$U$1001=U347)*(($V$2:$V$1001&lt;V347)+($V$2:$V$1001=V347)*(($W$2:$W$1001&lt;W347)+($W$2:$W$1001=W347)*(ROW($K$2:$K$1001)&lt;ROW(K347))))))))</f>
        <v/>
      </c>
    </row>
    <row r="348" customFormat="false" ht="15" hidden="false" customHeight="false" outlineLevel="0" collapsed="false">
      <c r="A348" s="0" t="str">
        <f aca="false">IF(TRIM('List 1'!A348&amp;'List 1'!C348&amp;'List 1'!D348)="","",LOWER(IF(OR(Comparison!$I$9="Item # + Part # + Description",Comparison!$I$9="Item # + Part #"),TRIM('List 1'!A348),"")&amp;"|"&amp;TRIM('List 1'!C348)&amp;"|"&amp;IF(OR(Comparison!$I$9="Item # + Part # + Description",Comparison!$I$9="Part # + Description"),TRIM('List 1'!D348),"")))</f>
        <v/>
      </c>
      <c r="B348" s="0" t="str">
        <f aca="false">IF(A348="","",SUMPRODUCT(--($A$2:A348=A348)))</f>
        <v/>
      </c>
      <c r="C348" s="0" t="str">
        <f aca="false">IF(A348="","",A348&amp;"#"&amp;B348)</f>
        <v/>
      </c>
      <c r="D348" s="0" t="str">
        <f aca="false">IF(A348="","",IFERROR(--'List 1'!B348,0))</f>
        <v/>
      </c>
      <c r="F348" s="0" t="str">
        <f aca="false">IF(TRIM('List 2'!A348&amp;'List 2'!C348&amp;'List 2'!D348)="","",LOWER(IF(OR(Comparison!$I$9="Item # + Part # + Description",Comparison!$I$9="Item # + Part #"),TRIM('List 2'!A348),"")&amp;"|"&amp;TRIM('List 2'!C348)&amp;"|"&amp;IF(OR(Comparison!$I$9="Item # + Part # + Description",Comparison!$I$9="Part # + Description"),TRIM('List 2'!D348),"")))</f>
        <v/>
      </c>
      <c r="G348" s="0" t="str">
        <f aca="false">IF(F348="","",SUMPRODUCT(--($F$2:F348=F348)))</f>
        <v/>
      </c>
      <c r="H348" s="0" t="str">
        <f aca="false">IF(F348="","",F348&amp;"#"&amp;G348)</f>
        <v/>
      </c>
      <c r="I348" s="0" t="str">
        <f aca="false">IF(F348="","",IFERROR(--'List 2'!B348,0))</f>
        <v/>
      </c>
      <c r="K348" s="0" t="str">
        <f aca="false">C348</f>
        <v/>
      </c>
      <c r="L348" s="0" t="str">
        <f aca="false">IF(K348="","",IF(ISNUMBER('List 1'!A348),'List 1'!A348,TRIM('List 1'!A348)))</f>
        <v/>
      </c>
      <c r="M348" s="0" t="str">
        <f aca="false">IF(K348="","",IF(ISNUMBER('List 1'!C348),'List 1'!C348,TRIM('List 1'!C348)))</f>
        <v/>
      </c>
      <c r="N348" s="0" t="str">
        <f aca="false">IF(K348="","",IF(ISNUMBER('List 1'!D348),'List 1'!D348,TRIM('List 1'!D348)))</f>
        <v/>
      </c>
      <c r="O348" s="0" t="str">
        <f aca="false">IF(K348="","",D348)</f>
        <v/>
      </c>
      <c r="P348" s="0" t="str">
        <f aca="false">IF(K348="","",IF(R348,SUMPRODUCT(--($H$2:$H$501=K348),$I$2:$I$501),0))</f>
        <v/>
      </c>
      <c r="Q348" s="0" t="str">
        <f aca="false">IF(K348="","",TRUE())</f>
        <v/>
      </c>
      <c r="R348" s="0" t="str">
        <f aca="false">IF(K348="","",SUMPRODUCT(--($H$2:$H$501=K348))&gt;0)</f>
        <v/>
      </c>
      <c r="S348" s="0" t="str">
        <f aca="false">IF(K348="","",IF(AND(Q348,R348),IF(O348=P348,"Match","Qty Different"),IF(Q348,"Only in List 1","Only in List 2")))</f>
        <v/>
      </c>
      <c r="T348" s="0" t="str">
        <f aca="false">IF(K348="","",IF(ISNUMBER(--L348),TEXT(--L348,"000000000000.000"),LOWER(L348)))</f>
        <v/>
      </c>
      <c r="U348" s="0" t="str">
        <f aca="false">IF(K348="","",IF(ISNUMBER(--M348),TEXT(--M348,"000000000000.000"),LOWER(M348)))</f>
        <v/>
      </c>
      <c r="V348" s="0" t="str">
        <f aca="false">IF(K348="","",LOWER(N348))</f>
        <v/>
      </c>
      <c r="W348" s="0" t="str">
        <f aca="false">IF(K348="","",B348)</f>
        <v/>
      </c>
      <c r="X348" s="0" t="str">
        <f aca="false">IF(K348="","",1+SUMPRODUCT(($K$2:$K$1001&lt;&gt;"")*(($T$2:$T$1001&lt;T348)+($T$2:$T$1001=T348)*(($U$2:$U$1001&lt;U348)+($U$2:$U$1001=U348)*(($V$2:$V$1001&lt;V348)+($V$2:$V$1001=V348)*(($W$2:$W$1001&lt;W348)+($W$2:$W$1001=W348)*(ROW($K$2:$K$1001)&lt;ROW(K348))))))))</f>
        <v/>
      </c>
    </row>
    <row r="349" customFormat="false" ht="15" hidden="false" customHeight="false" outlineLevel="0" collapsed="false">
      <c r="A349" s="0" t="str">
        <f aca="false">IF(TRIM('List 1'!A349&amp;'List 1'!C349&amp;'List 1'!D349)="","",LOWER(IF(OR(Comparison!$I$9="Item # + Part # + Description",Comparison!$I$9="Item # + Part #"),TRIM('List 1'!A349),"")&amp;"|"&amp;TRIM('List 1'!C349)&amp;"|"&amp;IF(OR(Comparison!$I$9="Item # + Part # + Description",Comparison!$I$9="Part # + Description"),TRIM('List 1'!D349),"")))</f>
        <v/>
      </c>
      <c r="B349" s="0" t="str">
        <f aca="false">IF(A349="","",SUMPRODUCT(--($A$2:A349=A349)))</f>
        <v/>
      </c>
      <c r="C349" s="0" t="str">
        <f aca="false">IF(A349="","",A349&amp;"#"&amp;B349)</f>
        <v/>
      </c>
      <c r="D349" s="0" t="str">
        <f aca="false">IF(A349="","",IFERROR(--'List 1'!B349,0))</f>
        <v/>
      </c>
      <c r="F349" s="0" t="str">
        <f aca="false">IF(TRIM('List 2'!A349&amp;'List 2'!C349&amp;'List 2'!D349)="","",LOWER(IF(OR(Comparison!$I$9="Item # + Part # + Description",Comparison!$I$9="Item # + Part #"),TRIM('List 2'!A349),"")&amp;"|"&amp;TRIM('List 2'!C349)&amp;"|"&amp;IF(OR(Comparison!$I$9="Item # + Part # + Description",Comparison!$I$9="Part # + Description"),TRIM('List 2'!D349),"")))</f>
        <v/>
      </c>
      <c r="G349" s="0" t="str">
        <f aca="false">IF(F349="","",SUMPRODUCT(--($F$2:F349=F349)))</f>
        <v/>
      </c>
      <c r="H349" s="0" t="str">
        <f aca="false">IF(F349="","",F349&amp;"#"&amp;G349)</f>
        <v/>
      </c>
      <c r="I349" s="0" t="str">
        <f aca="false">IF(F349="","",IFERROR(--'List 2'!B349,0))</f>
        <v/>
      </c>
      <c r="K349" s="0" t="str">
        <f aca="false">C349</f>
        <v/>
      </c>
      <c r="L349" s="0" t="str">
        <f aca="false">IF(K349="","",IF(ISNUMBER('List 1'!A349),'List 1'!A349,TRIM('List 1'!A349)))</f>
        <v/>
      </c>
      <c r="M349" s="0" t="str">
        <f aca="false">IF(K349="","",IF(ISNUMBER('List 1'!C349),'List 1'!C349,TRIM('List 1'!C349)))</f>
        <v/>
      </c>
      <c r="N349" s="0" t="str">
        <f aca="false">IF(K349="","",IF(ISNUMBER('List 1'!D349),'List 1'!D349,TRIM('List 1'!D349)))</f>
        <v/>
      </c>
      <c r="O349" s="0" t="str">
        <f aca="false">IF(K349="","",D349)</f>
        <v/>
      </c>
      <c r="P349" s="0" t="str">
        <f aca="false">IF(K349="","",IF(R349,SUMPRODUCT(--($H$2:$H$501=K349),$I$2:$I$501),0))</f>
        <v/>
      </c>
      <c r="Q349" s="0" t="str">
        <f aca="false">IF(K349="","",TRUE())</f>
        <v/>
      </c>
      <c r="R349" s="0" t="str">
        <f aca="false">IF(K349="","",SUMPRODUCT(--($H$2:$H$501=K349))&gt;0)</f>
        <v/>
      </c>
      <c r="S349" s="0" t="str">
        <f aca="false">IF(K349="","",IF(AND(Q349,R349),IF(O349=P349,"Match","Qty Different"),IF(Q349,"Only in List 1","Only in List 2")))</f>
        <v/>
      </c>
      <c r="T349" s="0" t="str">
        <f aca="false">IF(K349="","",IF(ISNUMBER(--L349),TEXT(--L349,"000000000000.000"),LOWER(L349)))</f>
        <v/>
      </c>
      <c r="U349" s="0" t="str">
        <f aca="false">IF(K349="","",IF(ISNUMBER(--M349),TEXT(--M349,"000000000000.000"),LOWER(M349)))</f>
        <v/>
      </c>
      <c r="V349" s="0" t="str">
        <f aca="false">IF(K349="","",LOWER(N349))</f>
        <v/>
      </c>
      <c r="W349" s="0" t="str">
        <f aca="false">IF(K349="","",B349)</f>
        <v/>
      </c>
      <c r="X349" s="0" t="str">
        <f aca="false">IF(K349="","",1+SUMPRODUCT(($K$2:$K$1001&lt;&gt;"")*(($T$2:$T$1001&lt;T349)+($T$2:$T$1001=T349)*(($U$2:$U$1001&lt;U349)+($U$2:$U$1001=U349)*(($V$2:$V$1001&lt;V349)+($V$2:$V$1001=V349)*(($W$2:$W$1001&lt;W349)+($W$2:$W$1001=W349)*(ROW($K$2:$K$1001)&lt;ROW(K349))))))))</f>
        <v/>
      </c>
    </row>
    <row r="350" customFormat="false" ht="15" hidden="false" customHeight="false" outlineLevel="0" collapsed="false">
      <c r="A350" s="0" t="str">
        <f aca="false">IF(TRIM('List 1'!A350&amp;'List 1'!C350&amp;'List 1'!D350)="","",LOWER(IF(OR(Comparison!$I$9="Item # + Part # + Description",Comparison!$I$9="Item # + Part #"),TRIM('List 1'!A350),"")&amp;"|"&amp;TRIM('List 1'!C350)&amp;"|"&amp;IF(OR(Comparison!$I$9="Item # + Part # + Description",Comparison!$I$9="Part # + Description"),TRIM('List 1'!D350),"")))</f>
        <v/>
      </c>
      <c r="B350" s="0" t="str">
        <f aca="false">IF(A350="","",SUMPRODUCT(--($A$2:A350=A350)))</f>
        <v/>
      </c>
      <c r="C350" s="0" t="str">
        <f aca="false">IF(A350="","",A350&amp;"#"&amp;B350)</f>
        <v/>
      </c>
      <c r="D350" s="0" t="str">
        <f aca="false">IF(A350="","",IFERROR(--'List 1'!B350,0))</f>
        <v/>
      </c>
      <c r="F350" s="0" t="str">
        <f aca="false">IF(TRIM('List 2'!A350&amp;'List 2'!C350&amp;'List 2'!D350)="","",LOWER(IF(OR(Comparison!$I$9="Item # + Part # + Description",Comparison!$I$9="Item # + Part #"),TRIM('List 2'!A350),"")&amp;"|"&amp;TRIM('List 2'!C350)&amp;"|"&amp;IF(OR(Comparison!$I$9="Item # + Part # + Description",Comparison!$I$9="Part # + Description"),TRIM('List 2'!D350),"")))</f>
        <v/>
      </c>
      <c r="G350" s="0" t="str">
        <f aca="false">IF(F350="","",SUMPRODUCT(--($F$2:F350=F350)))</f>
        <v/>
      </c>
      <c r="H350" s="0" t="str">
        <f aca="false">IF(F350="","",F350&amp;"#"&amp;G350)</f>
        <v/>
      </c>
      <c r="I350" s="0" t="str">
        <f aca="false">IF(F350="","",IFERROR(--'List 2'!B350,0))</f>
        <v/>
      </c>
      <c r="K350" s="0" t="str">
        <f aca="false">C350</f>
        <v/>
      </c>
      <c r="L350" s="0" t="str">
        <f aca="false">IF(K350="","",IF(ISNUMBER('List 1'!A350),'List 1'!A350,TRIM('List 1'!A350)))</f>
        <v/>
      </c>
      <c r="M350" s="0" t="str">
        <f aca="false">IF(K350="","",IF(ISNUMBER('List 1'!C350),'List 1'!C350,TRIM('List 1'!C350)))</f>
        <v/>
      </c>
      <c r="N350" s="0" t="str">
        <f aca="false">IF(K350="","",IF(ISNUMBER('List 1'!D350),'List 1'!D350,TRIM('List 1'!D350)))</f>
        <v/>
      </c>
      <c r="O350" s="0" t="str">
        <f aca="false">IF(K350="","",D350)</f>
        <v/>
      </c>
      <c r="P350" s="0" t="str">
        <f aca="false">IF(K350="","",IF(R350,SUMPRODUCT(--($H$2:$H$501=K350),$I$2:$I$501),0))</f>
        <v/>
      </c>
      <c r="Q350" s="0" t="str">
        <f aca="false">IF(K350="","",TRUE())</f>
        <v/>
      </c>
      <c r="R350" s="0" t="str">
        <f aca="false">IF(K350="","",SUMPRODUCT(--($H$2:$H$501=K350))&gt;0)</f>
        <v/>
      </c>
      <c r="S350" s="0" t="str">
        <f aca="false">IF(K350="","",IF(AND(Q350,R350),IF(O350=P350,"Match","Qty Different"),IF(Q350,"Only in List 1","Only in List 2")))</f>
        <v/>
      </c>
      <c r="T350" s="0" t="str">
        <f aca="false">IF(K350="","",IF(ISNUMBER(--L350),TEXT(--L350,"000000000000.000"),LOWER(L350)))</f>
        <v/>
      </c>
      <c r="U350" s="0" t="str">
        <f aca="false">IF(K350="","",IF(ISNUMBER(--M350),TEXT(--M350,"000000000000.000"),LOWER(M350)))</f>
        <v/>
      </c>
      <c r="V350" s="0" t="str">
        <f aca="false">IF(K350="","",LOWER(N350))</f>
        <v/>
      </c>
      <c r="W350" s="0" t="str">
        <f aca="false">IF(K350="","",B350)</f>
        <v/>
      </c>
      <c r="X350" s="0" t="str">
        <f aca="false">IF(K350="","",1+SUMPRODUCT(($K$2:$K$1001&lt;&gt;"")*(($T$2:$T$1001&lt;T350)+($T$2:$T$1001=T350)*(($U$2:$U$1001&lt;U350)+($U$2:$U$1001=U350)*(($V$2:$V$1001&lt;V350)+($V$2:$V$1001=V350)*(($W$2:$W$1001&lt;W350)+($W$2:$W$1001=W350)*(ROW($K$2:$K$1001)&lt;ROW(K350))))))))</f>
        <v/>
      </c>
    </row>
    <row r="351" customFormat="false" ht="15" hidden="false" customHeight="false" outlineLevel="0" collapsed="false">
      <c r="A351" s="0" t="str">
        <f aca="false">IF(TRIM('List 1'!A351&amp;'List 1'!C351&amp;'List 1'!D351)="","",LOWER(IF(OR(Comparison!$I$9="Item # + Part # + Description",Comparison!$I$9="Item # + Part #"),TRIM('List 1'!A351),"")&amp;"|"&amp;TRIM('List 1'!C351)&amp;"|"&amp;IF(OR(Comparison!$I$9="Item # + Part # + Description",Comparison!$I$9="Part # + Description"),TRIM('List 1'!D351),"")))</f>
        <v/>
      </c>
      <c r="B351" s="0" t="str">
        <f aca="false">IF(A351="","",SUMPRODUCT(--($A$2:A351=A351)))</f>
        <v/>
      </c>
      <c r="C351" s="0" t="str">
        <f aca="false">IF(A351="","",A351&amp;"#"&amp;B351)</f>
        <v/>
      </c>
      <c r="D351" s="0" t="str">
        <f aca="false">IF(A351="","",IFERROR(--'List 1'!B351,0))</f>
        <v/>
      </c>
      <c r="F351" s="0" t="str">
        <f aca="false">IF(TRIM('List 2'!A351&amp;'List 2'!C351&amp;'List 2'!D351)="","",LOWER(IF(OR(Comparison!$I$9="Item # + Part # + Description",Comparison!$I$9="Item # + Part #"),TRIM('List 2'!A351),"")&amp;"|"&amp;TRIM('List 2'!C351)&amp;"|"&amp;IF(OR(Comparison!$I$9="Item # + Part # + Description",Comparison!$I$9="Part # + Description"),TRIM('List 2'!D351),"")))</f>
        <v/>
      </c>
      <c r="G351" s="0" t="str">
        <f aca="false">IF(F351="","",SUMPRODUCT(--($F$2:F351=F351)))</f>
        <v/>
      </c>
      <c r="H351" s="0" t="str">
        <f aca="false">IF(F351="","",F351&amp;"#"&amp;G351)</f>
        <v/>
      </c>
      <c r="I351" s="0" t="str">
        <f aca="false">IF(F351="","",IFERROR(--'List 2'!B351,0))</f>
        <v/>
      </c>
      <c r="K351" s="0" t="str">
        <f aca="false">C351</f>
        <v/>
      </c>
      <c r="L351" s="0" t="str">
        <f aca="false">IF(K351="","",IF(ISNUMBER('List 1'!A351),'List 1'!A351,TRIM('List 1'!A351)))</f>
        <v/>
      </c>
      <c r="M351" s="0" t="str">
        <f aca="false">IF(K351="","",IF(ISNUMBER('List 1'!C351),'List 1'!C351,TRIM('List 1'!C351)))</f>
        <v/>
      </c>
      <c r="N351" s="0" t="str">
        <f aca="false">IF(K351="","",IF(ISNUMBER('List 1'!D351),'List 1'!D351,TRIM('List 1'!D351)))</f>
        <v/>
      </c>
      <c r="O351" s="0" t="str">
        <f aca="false">IF(K351="","",D351)</f>
        <v/>
      </c>
      <c r="P351" s="0" t="str">
        <f aca="false">IF(K351="","",IF(R351,SUMPRODUCT(--($H$2:$H$501=K351),$I$2:$I$501),0))</f>
        <v/>
      </c>
      <c r="Q351" s="0" t="str">
        <f aca="false">IF(K351="","",TRUE())</f>
        <v/>
      </c>
      <c r="R351" s="0" t="str">
        <f aca="false">IF(K351="","",SUMPRODUCT(--($H$2:$H$501=K351))&gt;0)</f>
        <v/>
      </c>
      <c r="S351" s="0" t="str">
        <f aca="false">IF(K351="","",IF(AND(Q351,R351),IF(O351=P351,"Match","Qty Different"),IF(Q351,"Only in List 1","Only in List 2")))</f>
        <v/>
      </c>
      <c r="T351" s="0" t="str">
        <f aca="false">IF(K351="","",IF(ISNUMBER(--L351),TEXT(--L351,"000000000000.000"),LOWER(L351)))</f>
        <v/>
      </c>
      <c r="U351" s="0" t="str">
        <f aca="false">IF(K351="","",IF(ISNUMBER(--M351),TEXT(--M351,"000000000000.000"),LOWER(M351)))</f>
        <v/>
      </c>
      <c r="V351" s="0" t="str">
        <f aca="false">IF(K351="","",LOWER(N351))</f>
        <v/>
      </c>
      <c r="W351" s="0" t="str">
        <f aca="false">IF(K351="","",B351)</f>
        <v/>
      </c>
      <c r="X351" s="0" t="str">
        <f aca="false">IF(K351="","",1+SUMPRODUCT(($K$2:$K$1001&lt;&gt;"")*(($T$2:$T$1001&lt;T351)+($T$2:$T$1001=T351)*(($U$2:$U$1001&lt;U351)+($U$2:$U$1001=U351)*(($V$2:$V$1001&lt;V351)+($V$2:$V$1001=V351)*(($W$2:$W$1001&lt;W351)+($W$2:$W$1001=W351)*(ROW($K$2:$K$1001)&lt;ROW(K351))))))))</f>
        <v/>
      </c>
    </row>
    <row r="352" customFormat="false" ht="15" hidden="false" customHeight="false" outlineLevel="0" collapsed="false">
      <c r="A352" s="0" t="str">
        <f aca="false">IF(TRIM('List 1'!A352&amp;'List 1'!C352&amp;'List 1'!D352)="","",LOWER(IF(OR(Comparison!$I$9="Item # + Part # + Description",Comparison!$I$9="Item # + Part #"),TRIM('List 1'!A352),"")&amp;"|"&amp;TRIM('List 1'!C352)&amp;"|"&amp;IF(OR(Comparison!$I$9="Item # + Part # + Description",Comparison!$I$9="Part # + Description"),TRIM('List 1'!D352),"")))</f>
        <v/>
      </c>
      <c r="B352" s="0" t="str">
        <f aca="false">IF(A352="","",SUMPRODUCT(--($A$2:A352=A352)))</f>
        <v/>
      </c>
      <c r="C352" s="0" t="str">
        <f aca="false">IF(A352="","",A352&amp;"#"&amp;B352)</f>
        <v/>
      </c>
      <c r="D352" s="0" t="str">
        <f aca="false">IF(A352="","",IFERROR(--'List 1'!B352,0))</f>
        <v/>
      </c>
      <c r="F352" s="0" t="str">
        <f aca="false">IF(TRIM('List 2'!A352&amp;'List 2'!C352&amp;'List 2'!D352)="","",LOWER(IF(OR(Comparison!$I$9="Item # + Part # + Description",Comparison!$I$9="Item # + Part #"),TRIM('List 2'!A352),"")&amp;"|"&amp;TRIM('List 2'!C352)&amp;"|"&amp;IF(OR(Comparison!$I$9="Item # + Part # + Description",Comparison!$I$9="Part # + Description"),TRIM('List 2'!D352),"")))</f>
        <v/>
      </c>
      <c r="G352" s="0" t="str">
        <f aca="false">IF(F352="","",SUMPRODUCT(--($F$2:F352=F352)))</f>
        <v/>
      </c>
      <c r="H352" s="0" t="str">
        <f aca="false">IF(F352="","",F352&amp;"#"&amp;G352)</f>
        <v/>
      </c>
      <c r="I352" s="0" t="str">
        <f aca="false">IF(F352="","",IFERROR(--'List 2'!B352,0))</f>
        <v/>
      </c>
      <c r="K352" s="0" t="str">
        <f aca="false">C352</f>
        <v/>
      </c>
      <c r="L352" s="0" t="str">
        <f aca="false">IF(K352="","",IF(ISNUMBER('List 1'!A352),'List 1'!A352,TRIM('List 1'!A352)))</f>
        <v/>
      </c>
      <c r="M352" s="0" t="str">
        <f aca="false">IF(K352="","",IF(ISNUMBER('List 1'!C352),'List 1'!C352,TRIM('List 1'!C352)))</f>
        <v/>
      </c>
      <c r="N352" s="0" t="str">
        <f aca="false">IF(K352="","",IF(ISNUMBER('List 1'!D352),'List 1'!D352,TRIM('List 1'!D352)))</f>
        <v/>
      </c>
      <c r="O352" s="0" t="str">
        <f aca="false">IF(K352="","",D352)</f>
        <v/>
      </c>
      <c r="P352" s="0" t="str">
        <f aca="false">IF(K352="","",IF(R352,SUMPRODUCT(--($H$2:$H$501=K352),$I$2:$I$501),0))</f>
        <v/>
      </c>
      <c r="Q352" s="0" t="str">
        <f aca="false">IF(K352="","",TRUE())</f>
        <v/>
      </c>
      <c r="R352" s="0" t="str">
        <f aca="false">IF(K352="","",SUMPRODUCT(--($H$2:$H$501=K352))&gt;0)</f>
        <v/>
      </c>
      <c r="S352" s="0" t="str">
        <f aca="false">IF(K352="","",IF(AND(Q352,R352),IF(O352=P352,"Match","Qty Different"),IF(Q352,"Only in List 1","Only in List 2")))</f>
        <v/>
      </c>
      <c r="T352" s="0" t="str">
        <f aca="false">IF(K352="","",IF(ISNUMBER(--L352),TEXT(--L352,"000000000000.000"),LOWER(L352)))</f>
        <v/>
      </c>
      <c r="U352" s="0" t="str">
        <f aca="false">IF(K352="","",IF(ISNUMBER(--M352),TEXT(--M352,"000000000000.000"),LOWER(M352)))</f>
        <v/>
      </c>
      <c r="V352" s="0" t="str">
        <f aca="false">IF(K352="","",LOWER(N352))</f>
        <v/>
      </c>
      <c r="W352" s="0" t="str">
        <f aca="false">IF(K352="","",B352)</f>
        <v/>
      </c>
      <c r="X352" s="0" t="str">
        <f aca="false">IF(K352="","",1+SUMPRODUCT(($K$2:$K$1001&lt;&gt;"")*(($T$2:$T$1001&lt;T352)+($T$2:$T$1001=T352)*(($U$2:$U$1001&lt;U352)+($U$2:$U$1001=U352)*(($V$2:$V$1001&lt;V352)+($V$2:$V$1001=V352)*(($W$2:$W$1001&lt;W352)+($W$2:$W$1001=W352)*(ROW($K$2:$K$1001)&lt;ROW(K352))))))))</f>
        <v/>
      </c>
    </row>
    <row r="353" customFormat="false" ht="15" hidden="false" customHeight="false" outlineLevel="0" collapsed="false">
      <c r="A353" s="0" t="str">
        <f aca="false">IF(TRIM('List 1'!A353&amp;'List 1'!C353&amp;'List 1'!D353)="","",LOWER(IF(OR(Comparison!$I$9="Item # + Part # + Description",Comparison!$I$9="Item # + Part #"),TRIM('List 1'!A353),"")&amp;"|"&amp;TRIM('List 1'!C353)&amp;"|"&amp;IF(OR(Comparison!$I$9="Item # + Part # + Description",Comparison!$I$9="Part # + Description"),TRIM('List 1'!D353),"")))</f>
        <v/>
      </c>
      <c r="B353" s="0" t="str">
        <f aca="false">IF(A353="","",SUMPRODUCT(--($A$2:A353=A353)))</f>
        <v/>
      </c>
      <c r="C353" s="0" t="str">
        <f aca="false">IF(A353="","",A353&amp;"#"&amp;B353)</f>
        <v/>
      </c>
      <c r="D353" s="0" t="str">
        <f aca="false">IF(A353="","",IFERROR(--'List 1'!B353,0))</f>
        <v/>
      </c>
      <c r="F353" s="0" t="str">
        <f aca="false">IF(TRIM('List 2'!A353&amp;'List 2'!C353&amp;'List 2'!D353)="","",LOWER(IF(OR(Comparison!$I$9="Item # + Part # + Description",Comparison!$I$9="Item # + Part #"),TRIM('List 2'!A353),"")&amp;"|"&amp;TRIM('List 2'!C353)&amp;"|"&amp;IF(OR(Comparison!$I$9="Item # + Part # + Description",Comparison!$I$9="Part # + Description"),TRIM('List 2'!D353),"")))</f>
        <v/>
      </c>
      <c r="G353" s="0" t="str">
        <f aca="false">IF(F353="","",SUMPRODUCT(--($F$2:F353=F353)))</f>
        <v/>
      </c>
      <c r="H353" s="0" t="str">
        <f aca="false">IF(F353="","",F353&amp;"#"&amp;G353)</f>
        <v/>
      </c>
      <c r="I353" s="0" t="str">
        <f aca="false">IF(F353="","",IFERROR(--'List 2'!B353,0))</f>
        <v/>
      </c>
      <c r="K353" s="0" t="str">
        <f aca="false">C353</f>
        <v/>
      </c>
      <c r="L353" s="0" t="str">
        <f aca="false">IF(K353="","",IF(ISNUMBER('List 1'!A353),'List 1'!A353,TRIM('List 1'!A353)))</f>
        <v/>
      </c>
      <c r="M353" s="0" t="str">
        <f aca="false">IF(K353="","",IF(ISNUMBER('List 1'!C353),'List 1'!C353,TRIM('List 1'!C353)))</f>
        <v/>
      </c>
      <c r="N353" s="0" t="str">
        <f aca="false">IF(K353="","",IF(ISNUMBER('List 1'!D353),'List 1'!D353,TRIM('List 1'!D353)))</f>
        <v/>
      </c>
      <c r="O353" s="0" t="str">
        <f aca="false">IF(K353="","",D353)</f>
        <v/>
      </c>
      <c r="P353" s="0" t="str">
        <f aca="false">IF(K353="","",IF(R353,SUMPRODUCT(--($H$2:$H$501=K353),$I$2:$I$501),0))</f>
        <v/>
      </c>
      <c r="Q353" s="0" t="str">
        <f aca="false">IF(K353="","",TRUE())</f>
        <v/>
      </c>
      <c r="R353" s="0" t="str">
        <f aca="false">IF(K353="","",SUMPRODUCT(--($H$2:$H$501=K353))&gt;0)</f>
        <v/>
      </c>
      <c r="S353" s="0" t="str">
        <f aca="false">IF(K353="","",IF(AND(Q353,R353),IF(O353=P353,"Match","Qty Different"),IF(Q353,"Only in List 1","Only in List 2")))</f>
        <v/>
      </c>
      <c r="T353" s="0" t="str">
        <f aca="false">IF(K353="","",IF(ISNUMBER(--L353),TEXT(--L353,"000000000000.000"),LOWER(L353)))</f>
        <v/>
      </c>
      <c r="U353" s="0" t="str">
        <f aca="false">IF(K353="","",IF(ISNUMBER(--M353),TEXT(--M353,"000000000000.000"),LOWER(M353)))</f>
        <v/>
      </c>
      <c r="V353" s="0" t="str">
        <f aca="false">IF(K353="","",LOWER(N353))</f>
        <v/>
      </c>
      <c r="W353" s="0" t="str">
        <f aca="false">IF(K353="","",B353)</f>
        <v/>
      </c>
      <c r="X353" s="0" t="str">
        <f aca="false">IF(K353="","",1+SUMPRODUCT(($K$2:$K$1001&lt;&gt;"")*(($T$2:$T$1001&lt;T353)+($T$2:$T$1001=T353)*(($U$2:$U$1001&lt;U353)+($U$2:$U$1001=U353)*(($V$2:$V$1001&lt;V353)+($V$2:$V$1001=V353)*(($W$2:$W$1001&lt;W353)+($W$2:$W$1001=W353)*(ROW($K$2:$K$1001)&lt;ROW(K353))))))))</f>
        <v/>
      </c>
    </row>
    <row r="354" customFormat="false" ht="15" hidden="false" customHeight="false" outlineLevel="0" collapsed="false">
      <c r="A354" s="0" t="str">
        <f aca="false">IF(TRIM('List 1'!A354&amp;'List 1'!C354&amp;'List 1'!D354)="","",LOWER(IF(OR(Comparison!$I$9="Item # + Part # + Description",Comparison!$I$9="Item # + Part #"),TRIM('List 1'!A354),"")&amp;"|"&amp;TRIM('List 1'!C354)&amp;"|"&amp;IF(OR(Comparison!$I$9="Item # + Part # + Description",Comparison!$I$9="Part # + Description"),TRIM('List 1'!D354),"")))</f>
        <v/>
      </c>
      <c r="B354" s="0" t="str">
        <f aca="false">IF(A354="","",SUMPRODUCT(--($A$2:A354=A354)))</f>
        <v/>
      </c>
      <c r="C354" s="0" t="str">
        <f aca="false">IF(A354="","",A354&amp;"#"&amp;B354)</f>
        <v/>
      </c>
      <c r="D354" s="0" t="str">
        <f aca="false">IF(A354="","",IFERROR(--'List 1'!B354,0))</f>
        <v/>
      </c>
      <c r="F354" s="0" t="str">
        <f aca="false">IF(TRIM('List 2'!A354&amp;'List 2'!C354&amp;'List 2'!D354)="","",LOWER(IF(OR(Comparison!$I$9="Item # + Part # + Description",Comparison!$I$9="Item # + Part #"),TRIM('List 2'!A354),"")&amp;"|"&amp;TRIM('List 2'!C354)&amp;"|"&amp;IF(OR(Comparison!$I$9="Item # + Part # + Description",Comparison!$I$9="Part # + Description"),TRIM('List 2'!D354),"")))</f>
        <v/>
      </c>
      <c r="G354" s="0" t="str">
        <f aca="false">IF(F354="","",SUMPRODUCT(--($F$2:F354=F354)))</f>
        <v/>
      </c>
      <c r="H354" s="0" t="str">
        <f aca="false">IF(F354="","",F354&amp;"#"&amp;G354)</f>
        <v/>
      </c>
      <c r="I354" s="0" t="str">
        <f aca="false">IF(F354="","",IFERROR(--'List 2'!B354,0))</f>
        <v/>
      </c>
      <c r="K354" s="0" t="str">
        <f aca="false">C354</f>
        <v/>
      </c>
      <c r="L354" s="0" t="str">
        <f aca="false">IF(K354="","",IF(ISNUMBER('List 1'!A354),'List 1'!A354,TRIM('List 1'!A354)))</f>
        <v/>
      </c>
      <c r="M354" s="0" t="str">
        <f aca="false">IF(K354="","",IF(ISNUMBER('List 1'!C354),'List 1'!C354,TRIM('List 1'!C354)))</f>
        <v/>
      </c>
      <c r="N354" s="0" t="str">
        <f aca="false">IF(K354="","",IF(ISNUMBER('List 1'!D354),'List 1'!D354,TRIM('List 1'!D354)))</f>
        <v/>
      </c>
      <c r="O354" s="0" t="str">
        <f aca="false">IF(K354="","",D354)</f>
        <v/>
      </c>
      <c r="P354" s="0" t="str">
        <f aca="false">IF(K354="","",IF(R354,SUMPRODUCT(--($H$2:$H$501=K354),$I$2:$I$501),0))</f>
        <v/>
      </c>
      <c r="Q354" s="0" t="str">
        <f aca="false">IF(K354="","",TRUE())</f>
        <v/>
      </c>
      <c r="R354" s="0" t="str">
        <f aca="false">IF(K354="","",SUMPRODUCT(--($H$2:$H$501=K354))&gt;0)</f>
        <v/>
      </c>
      <c r="S354" s="0" t="str">
        <f aca="false">IF(K354="","",IF(AND(Q354,R354),IF(O354=P354,"Match","Qty Different"),IF(Q354,"Only in List 1","Only in List 2")))</f>
        <v/>
      </c>
      <c r="T354" s="0" t="str">
        <f aca="false">IF(K354="","",IF(ISNUMBER(--L354),TEXT(--L354,"000000000000.000"),LOWER(L354)))</f>
        <v/>
      </c>
      <c r="U354" s="0" t="str">
        <f aca="false">IF(K354="","",IF(ISNUMBER(--M354),TEXT(--M354,"000000000000.000"),LOWER(M354)))</f>
        <v/>
      </c>
      <c r="V354" s="0" t="str">
        <f aca="false">IF(K354="","",LOWER(N354))</f>
        <v/>
      </c>
      <c r="W354" s="0" t="str">
        <f aca="false">IF(K354="","",B354)</f>
        <v/>
      </c>
      <c r="X354" s="0" t="str">
        <f aca="false">IF(K354="","",1+SUMPRODUCT(($K$2:$K$1001&lt;&gt;"")*(($T$2:$T$1001&lt;T354)+($T$2:$T$1001=T354)*(($U$2:$U$1001&lt;U354)+($U$2:$U$1001=U354)*(($V$2:$V$1001&lt;V354)+($V$2:$V$1001=V354)*(($W$2:$W$1001&lt;W354)+($W$2:$W$1001=W354)*(ROW($K$2:$K$1001)&lt;ROW(K354))))))))</f>
        <v/>
      </c>
    </row>
    <row r="355" customFormat="false" ht="15" hidden="false" customHeight="false" outlineLevel="0" collapsed="false">
      <c r="A355" s="0" t="str">
        <f aca="false">IF(TRIM('List 1'!A355&amp;'List 1'!C355&amp;'List 1'!D355)="","",LOWER(IF(OR(Comparison!$I$9="Item # + Part # + Description",Comparison!$I$9="Item # + Part #"),TRIM('List 1'!A355),"")&amp;"|"&amp;TRIM('List 1'!C355)&amp;"|"&amp;IF(OR(Comparison!$I$9="Item # + Part # + Description",Comparison!$I$9="Part # + Description"),TRIM('List 1'!D355),"")))</f>
        <v/>
      </c>
      <c r="B355" s="0" t="str">
        <f aca="false">IF(A355="","",SUMPRODUCT(--($A$2:A355=A355)))</f>
        <v/>
      </c>
      <c r="C355" s="0" t="str">
        <f aca="false">IF(A355="","",A355&amp;"#"&amp;B355)</f>
        <v/>
      </c>
      <c r="D355" s="0" t="str">
        <f aca="false">IF(A355="","",IFERROR(--'List 1'!B355,0))</f>
        <v/>
      </c>
      <c r="F355" s="0" t="str">
        <f aca="false">IF(TRIM('List 2'!A355&amp;'List 2'!C355&amp;'List 2'!D355)="","",LOWER(IF(OR(Comparison!$I$9="Item # + Part # + Description",Comparison!$I$9="Item # + Part #"),TRIM('List 2'!A355),"")&amp;"|"&amp;TRIM('List 2'!C355)&amp;"|"&amp;IF(OR(Comparison!$I$9="Item # + Part # + Description",Comparison!$I$9="Part # + Description"),TRIM('List 2'!D355),"")))</f>
        <v/>
      </c>
      <c r="G355" s="0" t="str">
        <f aca="false">IF(F355="","",SUMPRODUCT(--($F$2:F355=F355)))</f>
        <v/>
      </c>
      <c r="H355" s="0" t="str">
        <f aca="false">IF(F355="","",F355&amp;"#"&amp;G355)</f>
        <v/>
      </c>
      <c r="I355" s="0" t="str">
        <f aca="false">IF(F355="","",IFERROR(--'List 2'!B355,0))</f>
        <v/>
      </c>
      <c r="K355" s="0" t="str">
        <f aca="false">C355</f>
        <v/>
      </c>
      <c r="L355" s="0" t="str">
        <f aca="false">IF(K355="","",IF(ISNUMBER('List 1'!A355),'List 1'!A355,TRIM('List 1'!A355)))</f>
        <v/>
      </c>
      <c r="M355" s="0" t="str">
        <f aca="false">IF(K355="","",IF(ISNUMBER('List 1'!C355),'List 1'!C355,TRIM('List 1'!C355)))</f>
        <v/>
      </c>
      <c r="N355" s="0" t="str">
        <f aca="false">IF(K355="","",IF(ISNUMBER('List 1'!D355),'List 1'!D355,TRIM('List 1'!D355)))</f>
        <v/>
      </c>
      <c r="O355" s="0" t="str">
        <f aca="false">IF(K355="","",D355)</f>
        <v/>
      </c>
      <c r="P355" s="0" t="str">
        <f aca="false">IF(K355="","",IF(R355,SUMPRODUCT(--($H$2:$H$501=K355),$I$2:$I$501),0))</f>
        <v/>
      </c>
      <c r="Q355" s="0" t="str">
        <f aca="false">IF(K355="","",TRUE())</f>
        <v/>
      </c>
      <c r="R355" s="0" t="str">
        <f aca="false">IF(K355="","",SUMPRODUCT(--($H$2:$H$501=K355))&gt;0)</f>
        <v/>
      </c>
      <c r="S355" s="0" t="str">
        <f aca="false">IF(K355="","",IF(AND(Q355,R355),IF(O355=P355,"Match","Qty Different"),IF(Q355,"Only in List 1","Only in List 2")))</f>
        <v/>
      </c>
      <c r="T355" s="0" t="str">
        <f aca="false">IF(K355="","",IF(ISNUMBER(--L355),TEXT(--L355,"000000000000.000"),LOWER(L355)))</f>
        <v/>
      </c>
      <c r="U355" s="0" t="str">
        <f aca="false">IF(K355="","",IF(ISNUMBER(--M355),TEXT(--M355,"000000000000.000"),LOWER(M355)))</f>
        <v/>
      </c>
      <c r="V355" s="0" t="str">
        <f aca="false">IF(K355="","",LOWER(N355))</f>
        <v/>
      </c>
      <c r="W355" s="0" t="str">
        <f aca="false">IF(K355="","",B355)</f>
        <v/>
      </c>
      <c r="X355" s="0" t="str">
        <f aca="false">IF(K355="","",1+SUMPRODUCT(($K$2:$K$1001&lt;&gt;"")*(($T$2:$T$1001&lt;T355)+($T$2:$T$1001=T355)*(($U$2:$U$1001&lt;U355)+($U$2:$U$1001=U355)*(($V$2:$V$1001&lt;V355)+($V$2:$V$1001=V355)*(($W$2:$W$1001&lt;W355)+($W$2:$W$1001=W355)*(ROW($K$2:$K$1001)&lt;ROW(K355))))))))</f>
        <v/>
      </c>
    </row>
    <row r="356" customFormat="false" ht="15" hidden="false" customHeight="false" outlineLevel="0" collapsed="false">
      <c r="A356" s="0" t="str">
        <f aca="false">IF(TRIM('List 1'!A356&amp;'List 1'!C356&amp;'List 1'!D356)="","",LOWER(IF(OR(Comparison!$I$9="Item # + Part # + Description",Comparison!$I$9="Item # + Part #"),TRIM('List 1'!A356),"")&amp;"|"&amp;TRIM('List 1'!C356)&amp;"|"&amp;IF(OR(Comparison!$I$9="Item # + Part # + Description",Comparison!$I$9="Part # + Description"),TRIM('List 1'!D356),"")))</f>
        <v/>
      </c>
      <c r="B356" s="0" t="str">
        <f aca="false">IF(A356="","",SUMPRODUCT(--($A$2:A356=A356)))</f>
        <v/>
      </c>
      <c r="C356" s="0" t="str">
        <f aca="false">IF(A356="","",A356&amp;"#"&amp;B356)</f>
        <v/>
      </c>
      <c r="D356" s="0" t="str">
        <f aca="false">IF(A356="","",IFERROR(--'List 1'!B356,0))</f>
        <v/>
      </c>
      <c r="F356" s="0" t="str">
        <f aca="false">IF(TRIM('List 2'!A356&amp;'List 2'!C356&amp;'List 2'!D356)="","",LOWER(IF(OR(Comparison!$I$9="Item # + Part # + Description",Comparison!$I$9="Item # + Part #"),TRIM('List 2'!A356),"")&amp;"|"&amp;TRIM('List 2'!C356)&amp;"|"&amp;IF(OR(Comparison!$I$9="Item # + Part # + Description",Comparison!$I$9="Part # + Description"),TRIM('List 2'!D356),"")))</f>
        <v/>
      </c>
      <c r="G356" s="0" t="str">
        <f aca="false">IF(F356="","",SUMPRODUCT(--($F$2:F356=F356)))</f>
        <v/>
      </c>
      <c r="H356" s="0" t="str">
        <f aca="false">IF(F356="","",F356&amp;"#"&amp;G356)</f>
        <v/>
      </c>
      <c r="I356" s="0" t="str">
        <f aca="false">IF(F356="","",IFERROR(--'List 2'!B356,0))</f>
        <v/>
      </c>
      <c r="K356" s="0" t="str">
        <f aca="false">C356</f>
        <v/>
      </c>
      <c r="L356" s="0" t="str">
        <f aca="false">IF(K356="","",IF(ISNUMBER('List 1'!A356),'List 1'!A356,TRIM('List 1'!A356)))</f>
        <v/>
      </c>
      <c r="M356" s="0" t="str">
        <f aca="false">IF(K356="","",IF(ISNUMBER('List 1'!C356),'List 1'!C356,TRIM('List 1'!C356)))</f>
        <v/>
      </c>
      <c r="N356" s="0" t="str">
        <f aca="false">IF(K356="","",IF(ISNUMBER('List 1'!D356),'List 1'!D356,TRIM('List 1'!D356)))</f>
        <v/>
      </c>
      <c r="O356" s="0" t="str">
        <f aca="false">IF(K356="","",D356)</f>
        <v/>
      </c>
      <c r="P356" s="0" t="str">
        <f aca="false">IF(K356="","",IF(R356,SUMPRODUCT(--($H$2:$H$501=K356),$I$2:$I$501),0))</f>
        <v/>
      </c>
      <c r="Q356" s="0" t="str">
        <f aca="false">IF(K356="","",TRUE())</f>
        <v/>
      </c>
      <c r="R356" s="0" t="str">
        <f aca="false">IF(K356="","",SUMPRODUCT(--($H$2:$H$501=K356))&gt;0)</f>
        <v/>
      </c>
      <c r="S356" s="0" t="str">
        <f aca="false">IF(K356="","",IF(AND(Q356,R356),IF(O356=P356,"Match","Qty Different"),IF(Q356,"Only in List 1","Only in List 2")))</f>
        <v/>
      </c>
      <c r="T356" s="0" t="str">
        <f aca="false">IF(K356="","",IF(ISNUMBER(--L356),TEXT(--L356,"000000000000.000"),LOWER(L356)))</f>
        <v/>
      </c>
      <c r="U356" s="0" t="str">
        <f aca="false">IF(K356="","",IF(ISNUMBER(--M356),TEXT(--M356,"000000000000.000"),LOWER(M356)))</f>
        <v/>
      </c>
      <c r="V356" s="0" t="str">
        <f aca="false">IF(K356="","",LOWER(N356))</f>
        <v/>
      </c>
      <c r="W356" s="0" t="str">
        <f aca="false">IF(K356="","",B356)</f>
        <v/>
      </c>
      <c r="X356" s="0" t="str">
        <f aca="false">IF(K356="","",1+SUMPRODUCT(($K$2:$K$1001&lt;&gt;"")*(($T$2:$T$1001&lt;T356)+($T$2:$T$1001=T356)*(($U$2:$U$1001&lt;U356)+($U$2:$U$1001=U356)*(($V$2:$V$1001&lt;V356)+($V$2:$V$1001=V356)*(($W$2:$W$1001&lt;W356)+($W$2:$W$1001=W356)*(ROW($K$2:$K$1001)&lt;ROW(K356))))))))</f>
        <v/>
      </c>
    </row>
    <row r="357" customFormat="false" ht="15" hidden="false" customHeight="false" outlineLevel="0" collapsed="false">
      <c r="A357" s="0" t="str">
        <f aca="false">IF(TRIM('List 1'!A357&amp;'List 1'!C357&amp;'List 1'!D357)="","",LOWER(IF(OR(Comparison!$I$9="Item # + Part # + Description",Comparison!$I$9="Item # + Part #"),TRIM('List 1'!A357),"")&amp;"|"&amp;TRIM('List 1'!C357)&amp;"|"&amp;IF(OR(Comparison!$I$9="Item # + Part # + Description",Comparison!$I$9="Part # + Description"),TRIM('List 1'!D357),"")))</f>
        <v/>
      </c>
      <c r="B357" s="0" t="str">
        <f aca="false">IF(A357="","",SUMPRODUCT(--($A$2:A357=A357)))</f>
        <v/>
      </c>
      <c r="C357" s="0" t="str">
        <f aca="false">IF(A357="","",A357&amp;"#"&amp;B357)</f>
        <v/>
      </c>
      <c r="D357" s="0" t="str">
        <f aca="false">IF(A357="","",IFERROR(--'List 1'!B357,0))</f>
        <v/>
      </c>
      <c r="F357" s="0" t="str">
        <f aca="false">IF(TRIM('List 2'!A357&amp;'List 2'!C357&amp;'List 2'!D357)="","",LOWER(IF(OR(Comparison!$I$9="Item # + Part # + Description",Comparison!$I$9="Item # + Part #"),TRIM('List 2'!A357),"")&amp;"|"&amp;TRIM('List 2'!C357)&amp;"|"&amp;IF(OR(Comparison!$I$9="Item # + Part # + Description",Comparison!$I$9="Part # + Description"),TRIM('List 2'!D357),"")))</f>
        <v/>
      </c>
      <c r="G357" s="0" t="str">
        <f aca="false">IF(F357="","",SUMPRODUCT(--($F$2:F357=F357)))</f>
        <v/>
      </c>
      <c r="H357" s="0" t="str">
        <f aca="false">IF(F357="","",F357&amp;"#"&amp;G357)</f>
        <v/>
      </c>
      <c r="I357" s="0" t="str">
        <f aca="false">IF(F357="","",IFERROR(--'List 2'!B357,0))</f>
        <v/>
      </c>
      <c r="K357" s="0" t="str">
        <f aca="false">C357</f>
        <v/>
      </c>
      <c r="L357" s="0" t="str">
        <f aca="false">IF(K357="","",IF(ISNUMBER('List 1'!A357),'List 1'!A357,TRIM('List 1'!A357)))</f>
        <v/>
      </c>
      <c r="M357" s="0" t="str">
        <f aca="false">IF(K357="","",IF(ISNUMBER('List 1'!C357),'List 1'!C357,TRIM('List 1'!C357)))</f>
        <v/>
      </c>
      <c r="N357" s="0" t="str">
        <f aca="false">IF(K357="","",IF(ISNUMBER('List 1'!D357),'List 1'!D357,TRIM('List 1'!D357)))</f>
        <v/>
      </c>
      <c r="O357" s="0" t="str">
        <f aca="false">IF(K357="","",D357)</f>
        <v/>
      </c>
      <c r="P357" s="0" t="str">
        <f aca="false">IF(K357="","",IF(R357,SUMPRODUCT(--($H$2:$H$501=K357),$I$2:$I$501),0))</f>
        <v/>
      </c>
      <c r="Q357" s="0" t="str">
        <f aca="false">IF(K357="","",TRUE())</f>
        <v/>
      </c>
      <c r="R357" s="0" t="str">
        <f aca="false">IF(K357="","",SUMPRODUCT(--($H$2:$H$501=K357))&gt;0)</f>
        <v/>
      </c>
      <c r="S357" s="0" t="str">
        <f aca="false">IF(K357="","",IF(AND(Q357,R357),IF(O357=P357,"Match","Qty Different"),IF(Q357,"Only in List 1","Only in List 2")))</f>
        <v/>
      </c>
      <c r="T357" s="0" t="str">
        <f aca="false">IF(K357="","",IF(ISNUMBER(--L357),TEXT(--L357,"000000000000.000"),LOWER(L357)))</f>
        <v/>
      </c>
      <c r="U357" s="0" t="str">
        <f aca="false">IF(K357="","",IF(ISNUMBER(--M357),TEXT(--M357,"000000000000.000"),LOWER(M357)))</f>
        <v/>
      </c>
      <c r="V357" s="0" t="str">
        <f aca="false">IF(K357="","",LOWER(N357))</f>
        <v/>
      </c>
      <c r="W357" s="0" t="str">
        <f aca="false">IF(K357="","",B357)</f>
        <v/>
      </c>
      <c r="X357" s="0" t="str">
        <f aca="false">IF(K357="","",1+SUMPRODUCT(($K$2:$K$1001&lt;&gt;"")*(($T$2:$T$1001&lt;T357)+($T$2:$T$1001=T357)*(($U$2:$U$1001&lt;U357)+($U$2:$U$1001=U357)*(($V$2:$V$1001&lt;V357)+($V$2:$V$1001=V357)*(($W$2:$W$1001&lt;W357)+($W$2:$W$1001=W357)*(ROW($K$2:$K$1001)&lt;ROW(K357))))))))</f>
        <v/>
      </c>
    </row>
    <row r="358" customFormat="false" ht="15" hidden="false" customHeight="false" outlineLevel="0" collapsed="false">
      <c r="A358" s="0" t="str">
        <f aca="false">IF(TRIM('List 1'!A358&amp;'List 1'!C358&amp;'List 1'!D358)="","",LOWER(IF(OR(Comparison!$I$9="Item # + Part # + Description",Comparison!$I$9="Item # + Part #"),TRIM('List 1'!A358),"")&amp;"|"&amp;TRIM('List 1'!C358)&amp;"|"&amp;IF(OR(Comparison!$I$9="Item # + Part # + Description",Comparison!$I$9="Part # + Description"),TRIM('List 1'!D358),"")))</f>
        <v/>
      </c>
      <c r="B358" s="0" t="str">
        <f aca="false">IF(A358="","",SUMPRODUCT(--($A$2:A358=A358)))</f>
        <v/>
      </c>
      <c r="C358" s="0" t="str">
        <f aca="false">IF(A358="","",A358&amp;"#"&amp;B358)</f>
        <v/>
      </c>
      <c r="D358" s="0" t="str">
        <f aca="false">IF(A358="","",IFERROR(--'List 1'!B358,0))</f>
        <v/>
      </c>
      <c r="F358" s="0" t="str">
        <f aca="false">IF(TRIM('List 2'!A358&amp;'List 2'!C358&amp;'List 2'!D358)="","",LOWER(IF(OR(Comparison!$I$9="Item # + Part # + Description",Comparison!$I$9="Item # + Part #"),TRIM('List 2'!A358),"")&amp;"|"&amp;TRIM('List 2'!C358)&amp;"|"&amp;IF(OR(Comparison!$I$9="Item # + Part # + Description",Comparison!$I$9="Part # + Description"),TRIM('List 2'!D358),"")))</f>
        <v/>
      </c>
      <c r="G358" s="0" t="str">
        <f aca="false">IF(F358="","",SUMPRODUCT(--($F$2:F358=F358)))</f>
        <v/>
      </c>
      <c r="H358" s="0" t="str">
        <f aca="false">IF(F358="","",F358&amp;"#"&amp;G358)</f>
        <v/>
      </c>
      <c r="I358" s="0" t="str">
        <f aca="false">IF(F358="","",IFERROR(--'List 2'!B358,0))</f>
        <v/>
      </c>
      <c r="K358" s="0" t="str">
        <f aca="false">C358</f>
        <v/>
      </c>
      <c r="L358" s="0" t="str">
        <f aca="false">IF(K358="","",IF(ISNUMBER('List 1'!A358),'List 1'!A358,TRIM('List 1'!A358)))</f>
        <v/>
      </c>
      <c r="M358" s="0" t="str">
        <f aca="false">IF(K358="","",IF(ISNUMBER('List 1'!C358),'List 1'!C358,TRIM('List 1'!C358)))</f>
        <v/>
      </c>
      <c r="N358" s="0" t="str">
        <f aca="false">IF(K358="","",IF(ISNUMBER('List 1'!D358),'List 1'!D358,TRIM('List 1'!D358)))</f>
        <v/>
      </c>
      <c r="O358" s="0" t="str">
        <f aca="false">IF(K358="","",D358)</f>
        <v/>
      </c>
      <c r="P358" s="0" t="str">
        <f aca="false">IF(K358="","",IF(R358,SUMPRODUCT(--($H$2:$H$501=K358),$I$2:$I$501),0))</f>
        <v/>
      </c>
      <c r="Q358" s="0" t="str">
        <f aca="false">IF(K358="","",TRUE())</f>
        <v/>
      </c>
      <c r="R358" s="0" t="str">
        <f aca="false">IF(K358="","",SUMPRODUCT(--($H$2:$H$501=K358))&gt;0)</f>
        <v/>
      </c>
      <c r="S358" s="0" t="str">
        <f aca="false">IF(K358="","",IF(AND(Q358,R358),IF(O358=P358,"Match","Qty Different"),IF(Q358,"Only in List 1","Only in List 2")))</f>
        <v/>
      </c>
      <c r="T358" s="0" t="str">
        <f aca="false">IF(K358="","",IF(ISNUMBER(--L358),TEXT(--L358,"000000000000.000"),LOWER(L358)))</f>
        <v/>
      </c>
      <c r="U358" s="0" t="str">
        <f aca="false">IF(K358="","",IF(ISNUMBER(--M358),TEXT(--M358,"000000000000.000"),LOWER(M358)))</f>
        <v/>
      </c>
      <c r="V358" s="0" t="str">
        <f aca="false">IF(K358="","",LOWER(N358))</f>
        <v/>
      </c>
      <c r="W358" s="0" t="str">
        <f aca="false">IF(K358="","",B358)</f>
        <v/>
      </c>
      <c r="X358" s="0" t="str">
        <f aca="false">IF(K358="","",1+SUMPRODUCT(($K$2:$K$1001&lt;&gt;"")*(($T$2:$T$1001&lt;T358)+($T$2:$T$1001=T358)*(($U$2:$U$1001&lt;U358)+($U$2:$U$1001=U358)*(($V$2:$V$1001&lt;V358)+($V$2:$V$1001=V358)*(($W$2:$W$1001&lt;W358)+($W$2:$W$1001=W358)*(ROW($K$2:$K$1001)&lt;ROW(K358))))))))</f>
        <v/>
      </c>
    </row>
    <row r="359" customFormat="false" ht="15" hidden="false" customHeight="false" outlineLevel="0" collapsed="false">
      <c r="A359" s="0" t="str">
        <f aca="false">IF(TRIM('List 1'!A359&amp;'List 1'!C359&amp;'List 1'!D359)="","",LOWER(IF(OR(Comparison!$I$9="Item # + Part # + Description",Comparison!$I$9="Item # + Part #"),TRIM('List 1'!A359),"")&amp;"|"&amp;TRIM('List 1'!C359)&amp;"|"&amp;IF(OR(Comparison!$I$9="Item # + Part # + Description",Comparison!$I$9="Part # + Description"),TRIM('List 1'!D359),"")))</f>
        <v/>
      </c>
      <c r="B359" s="0" t="str">
        <f aca="false">IF(A359="","",SUMPRODUCT(--($A$2:A359=A359)))</f>
        <v/>
      </c>
      <c r="C359" s="0" t="str">
        <f aca="false">IF(A359="","",A359&amp;"#"&amp;B359)</f>
        <v/>
      </c>
      <c r="D359" s="0" t="str">
        <f aca="false">IF(A359="","",IFERROR(--'List 1'!B359,0))</f>
        <v/>
      </c>
      <c r="F359" s="0" t="str">
        <f aca="false">IF(TRIM('List 2'!A359&amp;'List 2'!C359&amp;'List 2'!D359)="","",LOWER(IF(OR(Comparison!$I$9="Item # + Part # + Description",Comparison!$I$9="Item # + Part #"),TRIM('List 2'!A359),"")&amp;"|"&amp;TRIM('List 2'!C359)&amp;"|"&amp;IF(OR(Comparison!$I$9="Item # + Part # + Description",Comparison!$I$9="Part # + Description"),TRIM('List 2'!D359),"")))</f>
        <v/>
      </c>
      <c r="G359" s="0" t="str">
        <f aca="false">IF(F359="","",SUMPRODUCT(--($F$2:F359=F359)))</f>
        <v/>
      </c>
      <c r="H359" s="0" t="str">
        <f aca="false">IF(F359="","",F359&amp;"#"&amp;G359)</f>
        <v/>
      </c>
      <c r="I359" s="0" t="str">
        <f aca="false">IF(F359="","",IFERROR(--'List 2'!B359,0))</f>
        <v/>
      </c>
      <c r="K359" s="0" t="str">
        <f aca="false">C359</f>
        <v/>
      </c>
      <c r="L359" s="0" t="str">
        <f aca="false">IF(K359="","",IF(ISNUMBER('List 1'!A359),'List 1'!A359,TRIM('List 1'!A359)))</f>
        <v/>
      </c>
      <c r="M359" s="0" t="str">
        <f aca="false">IF(K359="","",IF(ISNUMBER('List 1'!C359),'List 1'!C359,TRIM('List 1'!C359)))</f>
        <v/>
      </c>
      <c r="N359" s="0" t="str">
        <f aca="false">IF(K359="","",IF(ISNUMBER('List 1'!D359),'List 1'!D359,TRIM('List 1'!D359)))</f>
        <v/>
      </c>
      <c r="O359" s="0" t="str">
        <f aca="false">IF(K359="","",D359)</f>
        <v/>
      </c>
      <c r="P359" s="0" t="str">
        <f aca="false">IF(K359="","",IF(R359,SUMPRODUCT(--($H$2:$H$501=K359),$I$2:$I$501),0))</f>
        <v/>
      </c>
      <c r="Q359" s="0" t="str">
        <f aca="false">IF(K359="","",TRUE())</f>
        <v/>
      </c>
      <c r="R359" s="0" t="str">
        <f aca="false">IF(K359="","",SUMPRODUCT(--($H$2:$H$501=K359))&gt;0)</f>
        <v/>
      </c>
      <c r="S359" s="0" t="str">
        <f aca="false">IF(K359="","",IF(AND(Q359,R359),IF(O359=P359,"Match","Qty Different"),IF(Q359,"Only in List 1","Only in List 2")))</f>
        <v/>
      </c>
      <c r="T359" s="0" t="str">
        <f aca="false">IF(K359="","",IF(ISNUMBER(--L359),TEXT(--L359,"000000000000.000"),LOWER(L359)))</f>
        <v/>
      </c>
      <c r="U359" s="0" t="str">
        <f aca="false">IF(K359="","",IF(ISNUMBER(--M359),TEXT(--M359,"000000000000.000"),LOWER(M359)))</f>
        <v/>
      </c>
      <c r="V359" s="0" t="str">
        <f aca="false">IF(K359="","",LOWER(N359))</f>
        <v/>
      </c>
      <c r="W359" s="0" t="str">
        <f aca="false">IF(K359="","",B359)</f>
        <v/>
      </c>
      <c r="X359" s="0" t="str">
        <f aca="false">IF(K359="","",1+SUMPRODUCT(($K$2:$K$1001&lt;&gt;"")*(($T$2:$T$1001&lt;T359)+($T$2:$T$1001=T359)*(($U$2:$U$1001&lt;U359)+($U$2:$U$1001=U359)*(($V$2:$V$1001&lt;V359)+($V$2:$V$1001=V359)*(($W$2:$W$1001&lt;W359)+($W$2:$W$1001=W359)*(ROW($K$2:$K$1001)&lt;ROW(K359))))))))</f>
        <v/>
      </c>
    </row>
    <row r="360" customFormat="false" ht="15" hidden="false" customHeight="false" outlineLevel="0" collapsed="false">
      <c r="A360" s="0" t="str">
        <f aca="false">IF(TRIM('List 1'!A360&amp;'List 1'!C360&amp;'List 1'!D360)="","",LOWER(IF(OR(Comparison!$I$9="Item # + Part # + Description",Comparison!$I$9="Item # + Part #"),TRIM('List 1'!A360),"")&amp;"|"&amp;TRIM('List 1'!C360)&amp;"|"&amp;IF(OR(Comparison!$I$9="Item # + Part # + Description",Comparison!$I$9="Part # + Description"),TRIM('List 1'!D360),"")))</f>
        <v/>
      </c>
      <c r="B360" s="0" t="str">
        <f aca="false">IF(A360="","",SUMPRODUCT(--($A$2:A360=A360)))</f>
        <v/>
      </c>
      <c r="C360" s="0" t="str">
        <f aca="false">IF(A360="","",A360&amp;"#"&amp;B360)</f>
        <v/>
      </c>
      <c r="D360" s="0" t="str">
        <f aca="false">IF(A360="","",IFERROR(--'List 1'!B360,0))</f>
        <v/>
      </c>
      <c r="F360" s="0" t="str">
        <f aca="false">IF(TRIM('List 2'!A360&amp;'List 2'!C360&amp;'List 2'!D360)="","",LOWER(IF(OR(Comparison!$I$9="Item # + Part # + Description",Comparison!$I$9="Item # + Part #"),TRIM('List 2'!A360),"")&amp;"|"&amp;TRIM('List 2'!C360)&amp;"|"&amp;IF(OR(Comparison!$I$9="Item # + Part # + Description",Comparison!$I$9="Part # + Description"),TRIM('List 2'!D360),"")))</f>
        <v/>
      </c>
      <c r="G360" s="0" t="str">
        <f aca="false">IF(F360="","",SUMPRODUCT(--($F$2:F360=F360)))</f>
        <v/>
      </c>
      <c r="H360" s="0" t="str">
        <f aca="false">IF(F360="","",F360&amp;"#"&amp;G360)</f>
        <v/>
      </c>
      <c r="I360" s="0" t="str">
        <f aca="false">IF(F360="","",IFERROR(--'List 2'!B360,0))</f>
        <v/>
      </c>
      <c r="K360" s="0" t="str">
        <f aca="false">C360</f>
        <v/>
      </c>
      <c r="L360" s="0" t="str">
        <f aca="false">IF(K360="","",IF(ISNUMBER('List 1'!A360),'List 1'!A360,TRIM('List 1'!A360)))</f>
        <v/>
      </c>
      <c r="M360" s="0" t="str">
        <f aca="false">IF(K360="","",IF(ISNUMBER('List 1'!C360),'List 1'!C360,TRIM('List 1'!C360)))</f>
        <v/>
      </c>
      <c r="N360" s="0" t="str">
        <f aca="false">IF(K360="","",IF(ISNUMBER('List 1'!D360),'List 1'!D360,TRIM('List 1'!D360)))</f>
        <v/>
      </c>
      <c r="O360" s="0" t="str">
        <f aca="false">IF(K360="","",D360)</f>
        <v/>
      </c>
      <c r="P360" s="0" t="str">
        <f aca="false">IF(K360="","",IF(R360,SUMPRODUCT(--($H$2:$H$501=K360),$I$2:$I$501),0))</f>
        <v/>
      </c>
      <c r="Q360" s="0" t="str">
        <f aca="false">IF(K360="","",TRUE())</f>
        <v/>
      </c>
      <c r="R360" s="0" t="str">
        <f aca="false">IF(K360="","",SUMPRODUCT(--($H$2:$H$501=K360))&gt;0)</f>
        <v/>
      </c>
      <c r="S360" s="0" t="str">
        <f aca="false">IF(K360="","",IF(AND(Q360,R360),IF(O360=P360,"Match","Qty Different"),IF(Q360,"Only in List 1","Only in List 2")))</f>
        <v/>
      </c>
      <c r="T360" s="0" t="str">
        <f aca="false">IF(K360="","",IF(ISNUMBER(--L360),TEXT(--L360,"000000000000.000"),LOWER(L360)))</f>
        <v/>
      </c>
      <c r="U360" s="0" t="str">
        <f aca="false">IF(K360="","",IF(ISNUMBER(--M360),TEXT(--M360,"000000000000.000"),LOWER(M360)))</f>
        <v/>
      </c>
      <c r="V360" s="0" t="str">
        <f aca="false">IF(K360="","",LOWER(N360))</f>
        <v/>
      </c>
      <c r="W360" s="0" t="str">
        <f aca="false">IF(K360="","",B360)</f>
        <v/>
      </c>
      <c r="X360" s="0" t="str">
        <f aca="false">IF(K360="","",1+SUMPRODUCT(($K$2:$K$1001&lt;&gt;"")*(($T$2:$T$1001&lt;T360)+($T$2:$T$1001=T360)*(($U$2:$U$1001&lt;U360)+($U$2:$U$1001=U360)*(($V$2:$V$1001&lt;V360)+($V$2:$V$1001=V360)*(($W$2:$W$1001&lt;W360)+($W$2:$W$1001=W360)*(ROW($K$2:$K$1001)&lt;ROW(K360))))))))</f>
        <v/>
      </c>
    </row>
    <row r="361" customFormat="false" ht="15" hidden="false" customHeight="false" outlineLevel="0" collapsed="false">
      <c r="A361" s="0" t="str">
        <f aca="false">IF(TRIM('List 1'!A361&amp;'List 1'!C361&amp;'List 1'!D361)="","",LOWER(IF(OR(Comparison!$I$9="Item # + Part # + Description",Comparison!$I$9="Item # + Part #"),TRIM('List 1'!A361),"")&amp;"|"&amp;TRIM('List 1'!C361)&amp;"|"&amp;IF(OR(Comparison!$I$9="Item # + Part # + Description",Comparison!$I$9="Part # + Description"),TRIM('List 1'!D361),"")))</f>
        <v/>
      </c>
      <c r="B361" s="0" t="str">
        <f aca="false">IF(A361="","",SUMPRODUCT(--($A$2:A361=A361)))</f>
        <v/>
      </c>
      <c r="C361" s="0" t="str">
        <f aca="false">IF(A361="","",A361&amp;"#"&amp;B361)</f>
        <v/>
      </c>
      <c r="D361" s="0" t="str">
        <f aca="false">IF(A361="","",IFERROR(--'List 1'!B361,0))</f>
        <v/>
      </c>
      <c r="F361" s="0" t="str">
        <f aca="false">IF(TRIM('List 2'!A361&amp;'List 2'!C361&amp;'List 2'!D361)="","",LOWER(IF(OR(Comparison!$I$9="Item # + Part # + Description",Comparison!$I$9="Item # + Part #"),TRIM('List 2'!A361),"")&amp;"|"&amp;TRIM('List 2'!C361)&amp;"|"&amp;IF(OR(Comparison!$I$9="Item # + Part # + Description",Comparison!$I$9="Part # + Description"),TRIM('List 2'!D361),"")))</f>
        <v/>
      </c>
      <c r="G361" s="0" t="str">
        <f aca="false">IF(F361="","",SUMPRODUCT(--($F$2:F361=F361)))</f>
        <v/>
      </c>
      <c r="H361" s="0" t="str">
        <f aca="false">IF(F361="","",F361&amp;"#"&amp;G361)</f>
        <v/>
      </c>
      <c r="I361" s="0" t="str">
        <f aca="false">IF(F361="","",IFERROR(--'List 2'!B361,0))</f>
        <v/>
      </c>
      <c r="K361" s="0" t="str">
        <f aca="false">C361</f>
        <v/>
      </c>
      <c r="L361" s="0" t="str">
        <f aca="false">IF(K361="","",IF(ISNUMBER('List 1'!A361),'List 1'!A361,TRIM('List 1'!A361)))</f>
        <v/>
      </c>
      <c r="M361" s="0" t="str">
        <f aca="false">IF(K361="","",IF(ISNUMBER('List 1'!C361),'List 1'!C361,TRIM('List 1'!C361)))</f>
        <v/>
      </c>
      <c r="N361" s="0" t="str">
        <f aca="false">IF(K361="","",IF(ISNUMBER('List 1'!D361),'List 1'!D361,TRIM('List 1'!D361)))</f>
        <v/>
      </c>
      <c r="O361" s="0" t="str">
        <f aca="false">IF(K361="","",D361)</f>
        <v/>
      </c>
      <c r="P361" s="0" t="str">
        <f aca="false">IF(K361="","",IF(R361,SUMPRODUCT(--($H$2:$H$501=K361),$I$2:$I$501),0))</f>
        <v/>
      </c>
      <c r="Q361" s="0" t="str">
        <f aca="false">IF(K361="","",TRUE())</f>
        <v/>
      </c>
      <c r="R361" s="0" t="str">
        <f aca="false">IF(K361="","",SUMPRODUCT(--($H$2:$H$501=K361))&gt;0)</f>
        <v/>
      </c>
      <c r="S361" s="0" t="str">
        <f aca="false">IF(K361="","",IF(AND(Q361,R361),IF(O361=P361,"Match","Qty Different"),IF(Q361,"Only in List 1","Only in List 2")))</f>
        <v/>
      </c>
      <c r="T361" s="0" t="str">
        <f aca="false">IF(K361="","",IF(ISNUMBER(--L361),TEXT(--L361,"000000000000.000"),LOWER(L361)))</f>
        <v/>
      </c>
      <c r="U361" s="0" t="str">
        <f aca="false">IF(K361="","",IF(ISNUMBER(--M361),TEXT(--M361,"000000000000.000"),LOWER(M361)))</f>
        <v/>
      </c>
      <c r="V361" s="0" t="str">
        <f aca="false">IF(K361="","",LOWER(N361))</f>
        <v/>
      </c>
      <c r="W361" s="0" t="str">
        <f aca="false">IF(K361="","",B361)</f>
        <v/>
      </c>
      <c r="X361" s="0" t="str">
        <f aca="false">IF(K361="","",1+SUMPRODUCT(($K$2:$K$1001&lt;&gt;"")*(($T$2:$T$1001&lt;T361)+($T$2:$T$1001=T361)*(($U$2:$U$1001&lt;U361)+($U$2:$U$1001=U361)*(($V$2:$V$1001&lt;V361)+($V$2:$V$1001=V361)*(($W$2:$W$1001&lt;W361)+($W$2:$W$1001=W361)*(ROW($K$2:$K$1001)&lt;ROW(K361))))))))</f>
        <v/>
      </c>
    </row>
    <row r="362" customFormat="false" ht="15" hidden="false" customHeight="false" outlineLevel="0" collapsed="false">
      <c r="A362" s="0" t="str">
        <f aca="false">IF(TRIM('List 1'!A362&amp;'List 1'!C362&amp;'List 1'!D362)="","",LOWER(IF(OR(Comparison!$I$9="Item # + Part # + Description",Comparison!$I$9="Item # + Part #"),TRIM('List 1'!A362),"")&amp;"|"&amp;TRIM('List 1'!C362)&amp;"|"&amp;IF(OR(Comparison!$I$9="Item # + Part # + Description",Comparison!$I$9="Part # + Description"),TRIM('List 1'!D362),"")))</f>
        <v/>
      </c>
      <c r="B362" s="0" t="str">
        <f aca="false">IF(A362="","",SUMPRODUCT(--($A$2:A362=A362)))</f>
        <v/>
      </c>
      <c r="C362" s="0" t="str">
        <f aca="false">IF(A362="","",A362&amp;"#"&amp;B362)</f>
        <v/>
      </c>
      <c r="D362" s="0" t="str">
        <f aca="false">IF(A362="","",IFERROR(--'List 1'!B362,0))</f>
        <v/>
      </c>
      <c r="F362" s="0" t="str">
        <f aca="false">IF(TRIM('List 2'!A362&amp;'List 2'!C362&amp;'List 2'!D362)="","",LOWER(IF(OR(Comparison!$I$9="Item # + Part # + Description",Comparison!$I$9="Item # + Part #"),TRIM('List 2'!A362),"")&amp;"|"&amp;TRIM('List 2'!C362)&amp;"|"&amp;IF(OR(Comparison!$I$9="Item # + Part # + Description",Comparison!$I$9="Part # + Description"),TRIM('List 2'!D362),"")))</f>
        <v/>
      </c>
      <c r="G362" s="0" t="str">
        <f aca="false">IF(F362="","",SUMPRODUCT(--($F$2:F362=F362)))</f>
        <v/>
      </c>
      <c r="H362" s="0" t="str">
        <f aca="false">IF(F362="","",F362&amp;"#"&amp;G362)</f>
        <v/>
      </c>
      <c r="I362" s="0" t="str">
        <f aca="false">IF(F362="","",IFERROR(--'List 2'!B362,0))</f>
        <v/>
      </c>
      <c r="K362" s="0" t="str">
        <f aca="false">C362</f>
        <v/>
      </c>
      <c r="L362" s="0" t="str">
        <f aca="false">IF(K362="","",IF(ISNUMBER('List 1'!A362),'List 1'!A362,TRIM('List 1'!A362)))</f>
        <v/>
      </c>
      <c r="M362" s="0" t="str">
        <f aca="false">IF(K362="","",IF(ISNUMBER('List 1'!C362),'List 1'!C362,TRIM('List 1'!C362)))</f>
        <v/>
      </c>
      <c r="N362" s="0" t="str">
        <f aca="false">IF(K362="","",IF(ISNUMBER('List 1'!D362),'List 1'!D362,TRIM('List 1'!D362)))</f>
        <v/>
      </c>
      <c r="O362" s="0" t="str">
        <f aca="false">IF(K362="","",D362)</f>
        <v/>
      </c>
      <c r="P362" s="0" t="str">
        <f aca="false">IF(K362="","",IF(R362,SUMPRODUCT(--($H$2:$H$501=K362),$I$2:$I$501),0))</f>
        <v/>
      </c>
      <c r="Q362" s="0" t="str">
        <f aca="false">IF(K362="","",TRUE())</f>
        <v/>
      </c>
      <c r="R362" s="0" t="str">
        <f aca="false">IF(K362="","",SUMPRODUCT(--($H$2:$H$501=K362))&gt;0)</f>
        <v/>
      </c>
      <c r="S362" s="0" t="str">
        <f aca="false">IF(K362="","",IF(AND(Q362,R362),IF(O362=P362,"Match","Qty Different"),IF(Q362,"Only in List 1","Only in List 2")))</f>
        <v/>
      </c>
      <c r="T362" s="0" t="str">
        <f aca="false">IF(K362="","",IF(ISNUMBER(--L362),TEXT(--L362,"000000000000.000"),LOWER(L362)))</f>
        <v/>
      </c>
      <c r="U362" s="0" t="str">
        <f aca="false">IF(K362="","",IF(ISNUMBER(--M362),TEXT(--M362,"000000000000.000"),LOWER(M362)))</f>
        <v/>
      </c>
      <c r="V362" s="0" t="str">
        <f aca="false">IF(K362="","",LOWER(N362))</f>
        <v/>
      </c>
      <c r="W362" s="0" t="str">
        <f aca="false">IF(K362="","",B362)</f>
        <v/>
      </c>
      <c r="X362" s="0" t="str">
        <f aca="false">IF(K362="","",1+SUMPRODUCT(($K$2:$K$1001&lt;&gt;"")*(($T$2:$T$1001&lt;T362)+($T$2:$T$1001=T362)*(($U$2:$U$1001&lt;U362)+($U$2:$U$1001=U362)*(($V$2:$V$1001&lt;V362)+($V$2:$V$1001=V362)*(($W$2:$W$1001&lt;W362)+($W$2:$W$1001=W362)*(ROW($K$2:$K$1001)&lt;ROW(K362))))))))</f>
        <v/>
      </c>
    </row>
    <row r="363" customFormat="false" ht="15" hidden="false" customHeight="false" outlineLevel="0" collapsed="false">
      <c r="A363" s="0" t="str">
        <f aca="false">IF(TRIM('List 1'!A363&amp;'List 1'!C363&amp;'List 1'!D363)="","",LOWER(IF(OR(Comparison!$I$9="Item # + Part # + Description",Comparison!$I$9="Item # + Part #"),TRIM('List 1'!A363),"")&amp;"|"&amp;TRIM('List 1'!C363)&amp;"|"&amp;IF(OR(Comparison!$I$9="Item # + Part # + Description",Comparison!$I$9="Part # + Description"),TRIM('List 1'!D363),"")))</f>
        <v/>
      </c>
      <c r="B363" s="0" t="str">
        <f aca="false">IF(A363="","",SUMPRODUCT(--($A$2:A363=A363)))</f>
        <v/>
      </c>
      <c r="C363" s="0" t="str">
        <f aca="false">IF(A363="","",A363&amp;"#"&amp;B363)</f>
        <v/>
      </c>
      <c r="D363" s="0" t="str">
        <f aca="false">IF(A363="","",IFERROR(--'List 1'!B363,0))</f>
        <v/>
      </c>
      <c r="F363" s="0" t="str">
        <f aca="false">IF(TRIM('List 2'!A363&amp;'List 2'!C363&amp;'List 2'!D363)="","",LOWER(IF(OR(Comparison!$I$9="Item # + Part # + Description",Comparison!$I$9="Item # + Part #"),TRIM('List 2'!A363),"")&amp;"|"&amp;TRIM('List 2'!C363)&amp;"|"&amp;IF(OR(Comparison!$I$9="Item # + Part # + Description",Comparison!$I$9="Part # + Description"),TRIM('List 2'!D363),"")))</f>
        <v/>
      </c>
      <c r="G363" s="0" t="str">
        <f aca="false">IF(F363="","",SUMPRODUCT(--($F$2:F363=F363)))</f>
        <v/>
      </c>
      <c r="H363" s="0" t="str">
        <f aca="false">IF(F363="","",F363&amp;"#"&amp;G363)</f>
        <v/>
      </c>
      <c r="I363" s="0" t="str">
        <f aca="false">IF(F363="","",IFERROR(--'List 2'!B363,0))</f>
        <v/>
      </c>
      <c r="K363" s="0" t="str">
        <f aca="false">C363</f>
        <v/>
      </c>
      <c r="L363" s="0" t="str">
        <f aca="false">IF(K363="","",IF(ISNUMBER('List 1'!A363),'List 1'!A363,TRIM('List 1'!A363)))</f>
        <v/>
      </c>
      <c r="M363" s="0" t="str">
        <f aca="false">IF(K363="","",IF(ISNUMBER('List 1'!C363),'List 1'!C363,TRIM('List 1'!C363)))</f>
        <v/>
      </c>
      <c r="N363" s="0" t="str">
        <f aca="false">IF(K363="","",IF(ISNUMBER('List 1'!D363),'List 1'!D363,TRIM('List 1'!D363)))</f>
        <v/>
      </c>
      <c r="O363" s="0" t="str">
        <f aca="false">IF(K363="","",D363)</f>
        <v/>
      </c>
      <c r="P363" s="0" t="str">
        <f aca="false">IF(K363="","",IF(R363,SUMPRODUCT(--($H$2:$H$501=K363),$I$2:$I$501),0))</f>
        <v/>
      </c>
      <c r="Q363" s="0" t="str">
        <f aca="false">IF(K363="","",TRUE())</f>
        <v/>
      </c>
      <c r="R363" s="0" t="str">
        <f aca="false">IF(K363="","",SUMPRODUCT(--($H$2:$H$501=K363))&gt;0)</f>
        <v/>
      </c>
      <c r="S363" s="0" t="str">
        <f aca="false">IF(K363="","",IF(AND(Q363,R363),IF(O363=P363,"Match","Qty Different"),IF(Q363,"Only in List 1","Only in List 2")))</f>
        <v/>
      </c>
      <c r="T363" s="0" t="str">
        <f aca="false">IF(K363="","",IF(ISNUMBER(--L363),TEXT(--L363,"000000000000.000"),LOWER(L363)))</f>
        <v/>
      </c>
      <c r="U363" s="0" t="str">
        <f aca="false">IF(K363="","",IF(ISNUMBER(--M363),TEXT(--M363,"000000000000.000"),LOWER(M363)))</f>
        <v/>
      </c>
      <c r="V363" s="0" t="str">
        <f aca="false">IF(K363="","",LOWER(N363))</f>
        <v/>
      </c>
      <c r="W363" s="0" t="str">
        <f aca="false">IF(K363="","",B363)</f>
        <v/>
      </c>
      <c r="X363" s="0" t="str">
        <f aca="false">IF(K363="","",1+SUMPRODUCT(($K$2:$K$1001&lt;&gt;"")*(($T$2:$T$1001&lt;T363)+($T$2:$T$1001=T363)*(($U$2:$U$1001&lt;U363)+($U$2:$U$1001=U363)*(($V$2:$V$1001&lt;V363)+($V$2:$V$1001=V363)*(($W$2:$W$1001&lt;W363)+($W$2:$W$1001=W363)*(ROW($K$2:$K$1001)&lt;ROW(K363))))))))</f>
        <v/>
      </c>
    </row>
    <row r="364" customFormat="false" ht="15" hidden="false" customHeight="false" outlineLevel="0" collapsed="false">
      <c r="A364" s="0" t="str">
        <f aca="false">IF(TRIM('List 1'!A364&amp;'List 1'!C364&amp;'List 1'!D364)="","",LOWER(IF(OR(Comparison!$I$9="Item # + Part # + Description",Comparison!$I$9="Item # + Part #"),TRIM('List 1'!A364),"")&amp;"|"&amp;TRIM('List 1'!C364)&amp;"|"&amp;IF(OR(Comparison!$I$9="Item # + Part # + Description",Comparison!$I$9="Part # + Description"),TRIM('List 1'!D364),"")))</f>
        <v/>
      </c>
      <c r="B364" s="0" t="str">
        <f aca="false">IF(A364="","",SUMPRODUCT(--($A$2:A364=A364)))</f>
        <v/>
      </c>
      <c r="C364" s="0" t="str">
        <f aca="false">IF(A364="","",A364&amp;"#"&amp;B364)</f>
        <v/>
      </c>
      <c r="D364" s="0" t="str">
        <f aca="false">IF(A364="","",IFERROR(--'List 1'!B364,0))</f>
        <v/>
      </c>
      <c r="F364" s="0" t="str">
        <f aca="false">IF(TRIM('List 2'!A364&amp;'List 2'!C364&amp;'List 2'!D364)="","",LOWER(IF(OR(Comparison!$I$9="Item # + Part # + Description",Comparison!$I$9="Item # + Part #"),TRIM('List 2'!A364),"")&amp;"|"&amp;TRIM('List 2'!C364)&amp;"|"&amp;IF(OR(Comparison!$I$9="Item # + Part # + Description",Comparison!$I$9="Part # + Description"),TRIM('List 2'!D364),"")))</f>
        <v/>
      </c>
      <c r="G364" s="0" t="str">
        <f aca="false">IF(F364="","",SUMPRODUCT(--($F$2:F364=F364)))</f>
        <v/>
      </c>
      <c r="H364" s="0" t="str">
        <f aca="false">IF(F364="","",F364&amp;"#"&amp;G364)</f>
        <v/>
      </c>
      <c r="I364" s="0" t="str">
        <f aca="false">IF(F364="","",IFERROR(--'List 2'!B364,0))</f>
        <v/>
      </c>
      <c r="K364" s="0" t="str">
        <f aca="false">C364</f>
        <v/>
      </c>
      <c r="L364" s="0" t="str">
        <f aca="false">IF(K364="","",IF(ISNUMBER('List 1'!A364),'List 1'!A364,TRIM('List 1'!A364)))</f>
        <v/>
      </c>
      <c r="M364" s="0" t="str">
        <f aca="false">IF(K364="","",IF(ISNUMBER('List 1'!C364),'List 1'!C364,TRIM('List 1'!C364)))</f>
        <v/>
      </c>
      <c r="N364" s="0" t="str">
        <f aca="false">IF(K364="","",IF(ISNUMBER('List 1'!D364),'List 1'!D364,TRIM('List 1'!D364)))</f>
        <v/>
      </c>
      <c r="O364" s="0" t="str">
        <f aca="false">IF(K364="","",D364)</f>
        <v/>
      </c>
      <c r="P364" s="0" t="str">
        <f aca="false">IF(K364="","",IF(R364,SUMPRODUCT(--($H$2:$H$501=K364),$I$2:$I$501),0))</f>
        <v/>
      </c>
      <c r="Q364" s="0" t="str">
        <f aca="false">IF(K364="","",TRUE())</f>
        <v/>
      </c>
      <c r="R364" s="0" t="str">
        <f aca="false">IF(K364="","",SUMPRODUCT(--($H$2:$H$501=K364))&gt;0)</f>
        <v/>
      </c>
      <c r="S364" s="0" t="str">
        <f aca="false">IF(K364="","",IF(AND(Q364,R364),IF(O364=P364,"Match","Qty Different"),IF(Q364,"Only in List 1","Only in List 2")))</f>
        <v/>
      </c>
      <c r="T364" s="0" t="str">
        <f aca="false">IF(K364="","",IF(ISNUMBER(--L364),TEXT(--L364,"000000000000.000"),LOWER(L364)))</f>
        <v/>
      </c>
      <c r="U364" s="0" t="str">
        <f aca="false">IF(K364="","",IF(ISNUMBER(--M364),TEXT(--M364,"000000000000.000"),LOWER(M364)))</f>
        <v/>
      </c>
      <c r="V364" s="0" t="str">
        <f aca="false">IF(K364="","",LOWER(N364))</f>
        <v/>
      </c>
      <c r="W364" s="0" t="str">
        <f aca="false">IF(K364="","",B364)</f>
        <v/>
      </c>
      <c r="X364" s="0" t="str">
        <f aca="false">IF(K364="","",1+SUMPRODUCT(($K$2:$K$1001&lt;&gt;"")*(($T$2:$T$1001&lt;T364)+($T$2:$T$1001=T364)*(($U$2:$U$1001&lt;U364)+($U$2:$U$1001=U364)*(($V$2:$V$1001&lt;V364)+($V$2:$V$1001=V364)*(($W$2:$W$1001&lt;W364)+($W$2:$W$1001=W364)*(ROW($K$2:$K$1001)&lt;ROW(K364))))))))</f>
        <v/>
      </c>
    </row>
    <row r="365" customFormat="false" ht="15" hidden="false" customHeight="false" outlineLevel="0" collapsed="false">
      <c r="A365" s="0" t="str">
        <f aca="false">IF(TRIM('List 1'!A365&amp;'List 1'!C365&amp;'List 1'!D365)="","",LOWER(IF(OR(Comparison!$I$9="Item # + Part # + Description",Comparison!$I$9="Item # + Part #"),TRIM('List 1'!A365),"")&amp;"|"&amp;TRIM('List 1'!C365)&amp;"|"&amp;IF(OR(Comparison!$I$9="Item # + Part # + Description",Comparison!$I$9="Part # + Description"),TRIM('List 1'!D365),"")))</f>
        <v/>
      </c>
      <c r="B365" s="0" t="str">
        <f aca="false">IF(A365="","",SUMPRODUCT(--($A$2:A365=A365)))</f>
        <v/>
      </c>
      <c r="C365" s="0" t="str">
        <f aca="false">IF(A365="","",A365&amp;"#"&amp;B365)</f>
        <v/>
      </c>
      <c r="D365" s="0" t="str">
        <f aca="false">IF(A365="","",IFERROR(--'List 1'!B365,0))</f>
        <v/>
      </c>
      <c r="F365" s="0" t="str">
        <f aca="false">IF(TRIM('List 2'!A365&amp;'List 2'!C365&amp;'List 2'!D365)="","",LOWER(IF(OR(Comparison!$I$9="Item # + Part # + Description",Comparison!$I$9="Item # + Part #"),TRIM('List 2'!A365),"")&amp;"|"&amp;TRIM('List 2'!C365)&amp;"|"&amp;IF(OR(Comparison!$I$9="Item # + Part # + Description",Comparison!$I$9="Part # + Description"),TRIM('List 2'!D365),"")))</f>
        <v/>
      </c>
      <c r="G365" s="0" t="str">
        <f aca="false">IF(F365="","",SUMPRODUCT(--($F$2:F365=F365)))</f>
        <v/>
      </c>
      <c r="H365" s="0" t="str">
        <f aca="false">IF(F365="","",F365&amp;"#"&amp;G365)</f>
        <v/>
      </c>
      <c r="I365" s="0" t="str">
        <f aca="false">IF(F365="","",IFERROR(--'List 2'!B365,0))</f>
        <v/>
      </c>
      <c r="K365" s="0" t="str">
        <f aca="false">C365</f>
        <v/>
      </c>
      <c r="L365" s="0" t="str">
        <f aca="false">IF(K365="","",IF(ISNUMBER('List 1'!A365),'List 1'!A365,TRIM('List 1'!A365)))</f>
        <v/>
      </c>
      <c r="M365" s="0" t="str">
        <f aca="false">IF(K365="","",IF(ISNUMBER('List 1'!C365),'List 1'!C365,TRIM('List 1'!C365)))</f>
        <v/>
      </c>
      <c r="N365" s="0" t="str">
        <f aca="false">IF(K365="","",IF(ISNUMBER('List 1'!D365),'List 1'!D365,TRIM('List 1'!D365)))</f>
        <v/>
      </c>
      <c r="O365" s="0" t="str">
        <f aca="false">IF(K365="","",D365)</f>
        <v/>
      </c>
      <c r="P365" s="0" t="str">
        <f aca="false">IF(K365="","",IF(R365,SUMPRODUCT(--($H$2:$H$501=K365),$I$2:$I$501),0))</f>
        <v/>
      </c>
      <c r="Q365" s="0" t="str">
        <f aca="false">IF(K365="","",TRUE())</f>
        <v/>
      </c>
      <c r="R365" s="0" t="str">
        <f aca="false">IF(K365="","",SUMPRODUCT(--($H$2:$H$501=K365))&gt;0)</f>
        <v/>
      </c>
      <c r="S365" s="0" t="str">
        <f aca="false">IF(K365="","",IF(AND(Q365,R365),IF(O365=P365,"Match","Qty Different"),IF(Q365,"Only in List 1","Only in List 2")))</f>
        <v/>
      </c>
      <c r="T365" s="0" t="str">
        <f aca="false">IF(K365="","",IF(ISNUMBER(--L365),TEXT(--L365,"000000000000.000"),LOWER(L365)))</f>
        <v/>
      </c>
      <c r="U365" s="0" t="str">
        <f aca="false">IF(K365="","",IF(ISNUMBER(--M365),TEXT(--M365,"000000000000.000"),LOWER(M365)))</f>
        <v/>
      </c>
      <c r="V365" s="0" t="str">
        <f aca="false">IF(K365="","",LOWER(N365))</f>
        <v/>
      </c>
      <c r="W365" s="0" t="str">
        <f aca="false">IF(K365="","",B365)</f>
        <v/>
      </c>
      <c r="X365" s="0" t="str">
        <f aca="false">IF(K365="","",1+SUMPRODUCT(($K$2:$K$1001&lt;&gt;"")*(($T$2:$T$1001&lt;T365)+($T$2:$T$1001=T365)*(($U$2:$U$1001&lt;U365)+($U$2:$U$1001=U365)*(($V$2:$V$1001&lt;V365)+($V$2:$V$1001=V365)*(($W$2:$W$1001&lt;W365)+($W$2:$W$1001=W365)*(ROW($K$2:$K$1001)&lt;ROW(K365))))))))</f>
        <v/>
      </c>
    </row>
    <row r="366" customFormat="false" ht="15" hidden="false" customHeight="false" outlineLevel="0" collapsed="false">
      <c r="A366" s="0" t="str">
        <f aca="false">IF(TRIM('List 1'!A366&amp;'List 1'!C366&amp;'List 1'!D366)="","",LOWER(IF(OR(Comparison!$I$9="Item # + Part # + Description",Comparison!$I$9="Item # + Part #"),TRIM('List 1'!A366),"")&amp;"|"&amp;TRIM('List 1'!C366)&amp;"|"&amp;IF(OR(Comparison!$I$9="Item # + Part # + Description",Comparison!$I$9="Part # + Description"),TRIM('List 1'!D366),"")))</f>
        <v/>
      </c>
      <c r="B366" s="0" t="str">
        <f aca="false">IF(A366="","",SUMPRODUCT(--($A$2:A366=A366)))</f>
        <v/>
      </c>
      <c r="C366" s="0" t="str">
        <f aca="false">IF(A366="","",A366&amp;"#"&amp;B366)</f>
        <v/>
      </c>
      <c r="D366" s="0" t="str">
        <f aca="false">IF(A366="","",IFERROR(--'List 1'!B366,0))</f>
        <v/>
      </c>
      <c r="F366" s="0" t="str">
        <f aca="false">IF(TRIM('List 2'!A366&amp;'List 2'!C366&amp;'List 2'!D366)="","",LOWER(IF(OR(Comparison!$I$9="Item # + Part # + Description",Comparison!$I$9="Item # + Part #"),TRIM('List 2'!A366),"")&amp;"|"&amp;TRIM('List 2'!C366)&amp;"|"&amp;IF(OR(Comparison!$I$9="Item # + Part # + Description",Comparison!$I$9="Part # + Description"),TRIM('List 2'!D366),"")))</f>
        <v/>
      </c>
      <c r="G366" s="0" t="str">
        <f aca="false">IF(F366="","",SUMPRODUCT(--($F$2:F366=F366)))</f>
        <v/>
      </c>
      <c r="H366" s="0" t="str">
        <f aca="false">IF(F366="","",F366&amp;"#"&amp;G366)</f>
        <v/>
      </c>
      <c r="I366" s="0" t="str">
        <f aca="false">IF(F366="","",IFERROR(--'List 2'!B366,0))</f>
        <v/>
      </c>
      <c r="K366" s="0" t="str">
        <f aca="false">C366</f>
        <v/>
      </c>
      <c r="L366" s="0" t="str">
        <f aca="false">IF(K366="","",IF(ISNUMBER('List 1'!A366),'List 1'!A366,TRIM('List 1'!A366)))</f>
        <v/>
      </c>
      <c r="M366" s="0" t="str">
        <f aca="false">IF(K366="","",IF(ISNUMBER('List 1'!C366),'List 1'!C366,TRIM('List 1'!C366)))</f>
        <v/>
      </c>
      <c r="N366" s="0" t="str">
        <f aca="false">IF(K366="","",IF(ISNUMBER('List 1'!D366),'List 1'!D366,TRIM('List 1'!D366)))</f>
        <v/>
      </c>
      <c r="O366" s="0" t="str">
        <f aca="false">IF(K366="","",D366)</f>
        <v/>
      </c>
      <c r="P366" s="0" t="str">
        <f aca="false">IF(K366="","",IF(R366,SUMPRODUCT(--($H$2:$H$501=K366),$I$2:$I$501),0))</f>
        <v/>
      </c>
      <c r="Q366" s="0" t="str">
        <f aca="false">IF(K366="","",TRUE())</f>
        <v/>
      </c>
      <c r="R366" s="0" t="str">
        <f aca="false">IF(K366="","",SUMPRODUCT(--($H$2:$H$501=K366))&gt;0)</f>
        <v/>
      </c>
      <c r="S366" s="0" t="str">
        <f aca="false">IF(K366="","",IF(AND(Q366,R366),IF(O366=P366,"Match","Qty Different"),IF(Q366,"Only in List 1","Only in List 2")))</f>
        <v/>
      </c>
      <c r="T366" s="0" t="str">
        <f aca="false">IF(K366="","",IF(ISNUMBER(--L366),TEXT(--L366,"000000000000.000"),LOWER(L366)))</f>
        <v/>
      </c>
      <c r="U366" s="0" t="str">
        <f aca="false">IF(K366="","",IF(ISNUMBER(--M366),TEXT(--M366,"000000000000.000"),LOWER(M366)))</f>
        <v/>
      </c>
      <c r="V366" s="0" t="str">
        <f aca="false">IF(K366="","",LOWER(N366))</f>
        <v/>
      </c>
      <c r="W366" s="0" t="str">
        <f aca="false">IF(K366="","",B366)</f>
        <v/>
      </c>
      <c r="X366" s="0" t="str">
        <f aca="false">IF(K366="","",1+SUMPRODUCT(($K$2:$K$1001&lt;&gt;"")*(($T$2:$T$1001&lt;T366)+($T$2:$T$1001=T366)*(($U$2:$U$1001&lt;U366)+($U$2:$U$1001=U366)*(($V$2:$V$1001&lt;V366)+($V$2:$V$1001=V366)*(($W$2:$W$1001&lt;W366)+($W$2:$W$1001=W366)*(ROW($K$2:$K$1001)&lt;ROW(K366))))))))</f>
        <v/>
      </c>
    </row>
    <row r="367" customFormat="false" ht="15" hidden="false" customHeight="false" outlineLevel="0" collapsed="false">
      <c r="A367" s="0" t="str">
        <f aca="false">IF(TRIM('List 1'!A367&amp;'List 1'!C367&amp;'List 1'!D367)="","",LOWER(IF(OR(Comparison!$I$9="Item # + Part # + Description",Comparison!$I$9="Item # + Part #"),TRIM('List 1'!A367),"")&amp;"|"&amp;TRIM('List 1'!C367)&amp;"|"&amp;IF(OR(Comparison!$I$9="Item # + Part # + Description",Comparison!$I$9="Part # + Description"),TRIM('List 1'!D367),"")))</f>
        <v/>
      </c>
      <c r="B367" s="0" t="str">
        <f aca="false">IF(A367="","",SUMPRODUCT(--($A$2:A367=A367)))</f>
        <v/>
      </c>
      <c r="C367" s="0" t="str">
        <f aca="false">IF(A367="","",A367&amp;"#"&amp;B367)</f>
        <v/>
      </c>
      <c r="D367" s="0" t="str">
        <f aca="false">IF(A367="","",IFERROR(--'List 1'!B367,0))</f>
        <v/>
      </c>
      <c r="F367" s="0" t="str">
        <f aca="false">IF(TRIM('List 2'!A367&amp;'List 2'!C367&amp;'List 2'!D367)="","",LOWER(IF(OR(Comparison!$I$9="Item # + Part # + Description",Comparison!$I$9="Item # + Part #"),TRIM('List 2'!A367),"")&amp;"|"&amp;TRIM('List 2'!C367)&amp;"|"&amp;IF(OR(Comparison!$I$9="Item # + Part # + Description",Comparison!$I$9="Part # + Description"),TRIM('List 2'!D367),"")))</f>
        <v/>
      </c>
      <c r="G367" s="0" t="str">
        <f aca="false">IF(F367="","",SUMPRODUCT(--($F$2:F367=F367)))</f>
        <v/>
      </c>
      <c r="H367" s="0" t="str">
        <f aca="false">IF(F367="","",F367&amp;"#"&amp;G367)</f>
        <v/>
      </c>
      <c r="I367" s="0" t="str">
        <f aca="false">IF(F367="","",IFERROR(--'List 2'!B367,0))</f>
        <v/>
      </c>
      <c r="K367" s="0" t="str">
        <f aca="false">C367</f>
        <v/>
      </c>
      <c r="L367" s="0" t="str">
        <f aca="false">IF(K367="","",IF(ISNUMBER('List 1'!A367),'List 1'!A367,TRIM('List 1'!A367)))</f>
        <v/>
      </c>
      <c r="M367" s="0" t="str">
        <f aca="false">IF(K367="","",IF(ISNUMBER('List 1'!C367),'List 1'!C367,TRIM('List 1'!C367)))</f>
        <v/>
      </c>
      <c r="N367" s="0" t="str">
        <f aca="false">IF(K367="","",IF(ISNUMBER('List 1'!D367),'List 1'!D367,TRIM('List 1'!D367)))</f>
        <v/>
      </c>
      <c r="O367" s="0" t="str">
        <f aca="false">IF(K367="","",D367)</f>
        <v/>
      </c>
      <c r="P367" s="0" t="str">
        <f aca="false">IF(K367="","",IF(R367,SUMPRODUCT(--($H$2:$H$501=K367),$I$2:$I$501),0))</f>
        <v/>
      </c>
      <c r="Q367" s="0" t="str">
        <f aca="false">IF(K367="","",TRUE())</f>
        <v/>
      </c>
      <c r="R367" s="0" t="str">
        <f aca="false">IF(K367="","",SUMPRODUCT(--($H$2:$H$501=K367))&gt;0)</f>
        <v/>
      </c>
      <c r="S367" s="0" t="str">
        <f aca="false">IF(K367="","",IF(AND(Q367,R367),IF(O367=P367,"Match","Qty Different"),IF(Q367,"Only in List 1","Only in List 2")))</f>
        <v/>
      </c>
      <c r="T367" s="0" t="str">
        <f aca="false">IF(K367="","",IF(ISNUMBER(--L367),TEXT(--L367,"000000000000.000"),LOWER(L367)))</f>
        <v/>
      </c>
      <c r="U367" s="0" t="str">
        <f aca="false">IF(K367="","",IF(ISNUMBER(--M367),TEXT(--M367,"000000000000.000"),LOWER(M367)))</f>
        <v/>
      </c>
      <c r="V367" s="0" t="str">
        <f aca="false">IF(K367="","",LOWER(N367))</f>
        <v/>
      </c>
      <c r="W367" s="0" t="str">
        <f aca="false">IF(K367="","",B367)</f>
        <v/>
      </c>
      <c r="X367" s="0" t="str">
        <f aca="false">IF(K367="","",1+SUMPRODUCT(($K$2:$K$1001&lt;&gt;"")*(($T$2:$T$1001&lt;T367)+($T$2:$T$1001=T367)*(($U$2:$U$1001&lt;U367)+($U$2:$U$1001=U367)*(($V$2:$V$1001&lt;V367)+($V$2:$V$1001=V367)*(($W$2:$W$1001&lt;W367)+($W$2:$W$1001=W367)*(ROW($K$2:$K$1001)&lt;ROW(K367))))))))</f>
        <v/>
      </c>
    </row>
    <row r="368" customFormat="false" ht="15" hidden="false" customHeight="false" outlineLevel="0" collapsed="false">
      <c r="A368" s="0" t="str">
        <f aca="false">IF(TRIM('List 1'!A368&amp;'List 1'!C368&amp;'List 1'!D368)="","",LOWER(IF(OR(Comparison!$I$9="Item # + Part # + Description",Comparison!$I$9="Item # + Part #"),TRIM('List 1'!A368),"")&amp;"|"&amp;TRIM('List 1'!C368)&amp;"|"&amp;IF(OR(Comparison!$I$9="Item # + Part # + Description",Comparison!$I$9="Part # + Description"),TRIM('List 1'!D368),"")))</f>
        <v/>
      </c>
      <c r="B368" s="0" t="str">
        <f aca="false">IF(A368="","",SUMPRODUCT(--($A$2:A368=A368)))</f>
        <v/>
      </c>
      <c r="C368" s="0" t="str">
        <f aca="false">IF(A368="","",A368&amp;"#"&amp;B368)</f>
        <v/>
      </c>
      <c r="D368" s="0" t="str">
        <f aca="false">IF(A368="","",IFERROR(--'List 1'!B368,0))</f>
        <v/>
      </c>
      <c r="F368" s="0" t="str">
        <f aca="false">IF(TRIM('List 2'!A368&amp;'List 2'!C368&amp;'List 2'!D368)="","",LOWER(IF(OR(Comparison!$I$9="Item # + Part # + Description",Comparison!$I$9="Item # + Part #"),TRIM('List 2'!A368),"")&amp;"|"&amp;TRIM('List 2'!C368)&amp;"|"&amp;IF(OR(Comparison!$I$9="Item # + Part # + Description",Comparison!$I$9="Part # + Description"),TRIM('List 2'!D368),"")))</f>
        <v/>
      </c>
      <c r="G368" s="0" t="str">
        <f aca="false">IF(F368="","",SUMPRODUCT(--($F$2:F368=F368)))</f>
        <v/>
      </c>
      <c r="H368" s="0" t="str">
        <f aca="false">IF(F368="","",F368&amp;"#"&amp;G368)</f>
        <v/>
      </c>
      <c r="I368" s="0" t="str">
        <f aca="false">IF(F368="","",IFERROR(--'List 2'!B368,0))</f>
        <v/>
      </c>
      <c r="K368" s="0" t="str">
        <f aca="false">C368</f>
        <v/>
      </c>
      <c r="L368" s="0" t="str">
        <f aca="false">IF(K368="","",IF(ISNUMBER('List 1'!A368),'List 1'!A368,TRIM('List 1'!A368)))</f>
        <v/>
      </c>
      <c r="M368" s="0" t="str">
        <f aca="false">IF(K368="","",IF(ISNUMBER('List 1'!C368),'List 1'!C368,TRIM('List 1'!C368)))</f>
        <v/>
      </c>
      <c r="N368" s="0" t="str">
        <f aca="false">IF(K368="","",IF(ISNUMBER('List 1'!D368),'List 1'!D368,TRIM('List 1'!D368)))</f>
        <v/>
      </c>
      <c r="O368" s="0" t="str">
        <f aca="false">IF(K368="","",D368)</f>
        <v/>
      </c>
      <c r="P368" s="0" t="str">
        <f aca="false">IF(K368="","",IF(R368,SUMPRODUCT(--($H$2:$H$501=K368),$I$2:$I$501),0))</f>
        <v/>
      </c>
      <c r="Q368" s="0" t="str">
        <f aca="false">IF(K368="","",TRUE())</f>
        <v/>
      </c>
      <c r="R368" s="0" t="str">
        <f aca="false">IF(K368="","",SUMPRODUCT(--($H$2:$H$501=K368))&gt;0)</f>
        <v/>
      </c>
      <c r="S368" s="0" t="str">
        <f aca="false">IF(K368="","",IF(AND(Q368,R368),IF(O368=P368,"Match","Qty Different"),IF(Q368,"Only in List 1","Only in List 2")))</f>
        <v/>
      </c>
      <c r="T368" s="0" t="str">
        <f aca="false">IF(K368="","",IF(ISNUMBER(--L368),TEXT(--L368,"000000000000.000"),LOWER(L368)))</f>
        <v/>
      </c>
      <c r="U368" s="0" t="str">
        <f aca="false">IF(K368="","",IF(ISNUMBER(--M368),TEXT(--M368,"000000000000.000"),LOWER(M368)))</f>
        <v/>
      </c>
      <c r="V368" s="0" t="str">
        <f aca="false">IF(K368="","",LOWER(N368))</f>
        <v/>
      </c>
      <c r="W368" s="0" t="str">
        <f aca="false">IF(K368="","",B368)</f>
        <v/>
      </c>
      <c r="X368" s="0" t="str">
        <f aca="false">IF(K368="","",1+SUMPRODUCT(($K$2:$K$1001&lt;&gt;"")*(($T$2:$T$1001&lt;T368)+($T$2:$T$1001=T368)*(($U$2:$U$1001&lt;U368)+($U$2:$U$1001=U368)*(($V$2:$V$1001&lt;V368)+($V$2:$V$1001=V368)*(($W$2:$W$1001&lt;W368)+($W$2:$W$1001=W368)*(ROW($K$2:$K$1001)&lt;ROW(K368))))))))</f>
        <v/>
      </c>
    </row>
    <row r="369" customFormat="false" ht="15" hidden="false" customHeight="false" outlineLevel="0" collapsed="false">
      <c r="A369" s="0" t="str">
        <f aca="false">IF(TRIM('List 1'!A369&amp;'List 1'!C369&amp;'List 1'!D369)="","",LOWER(IF(OR(Comparison!$I$9="Item # + Part # + Description",Comparison!$I$9="Item # + Part #"),TRIM('List 1'!A369),"")&amp;"|"&amp;TRIM('List 1'!C369)&amp;"|"&amp;IF(OR(Comparison!$I$9="Item # + Part # + Description",Comparison!$I$9="Part # + Description"),TRIM('List 1'!D369),"")))</f>
        <v/>
      </c>
      <c r="B369" s="0" t="str">
        <f aca="false">IF(A369="","",SUMPRODUCT(--($A$2:A369=A369)))</f>
        <v/>
      </c>
      <c r="C369" s="0" t="str">
        <f aca="false">IF(A369="","",A369&amp;"#"&amp;B369)</f>
        <v/>
      </c>
      <c r="D369" s="0" t="str">
        <f aca="false">IF(A369="","",IFERROR(--'List 1'!B369,0))</f>
        <v/>
      </c>
      <c r="F369" s="0" t="str">
        <f aca="false">IF(TRIM('List 2'!A369&amp;'List 2'!C369&amp;'List 2'!D369)="","",LOWER(IF(OR(Comparison!$I$9="Item # + Part # + Description",Comparison!$I$9="Item # + Part #"),TRIM('List 2'!A369),"")&amp;"|"&amp;TRIM('List 2'!C369)&amp;"|"&amp;IF(OR(Comparison!$I$9="Item # + Part # + Description",Comparison!$I$9="Part # + Description"),TRIM('List 2'!D369),"")))</f>
        <v/>
      </c>
      <c r="G369" s="0" t="str">
        <f aca="false">IF(F369="","",SUMPRODUCT(--($F$2:F369=F369)))</f>
        <v/>
      </c>
      <c r="H369" s="0" t="str">
        <f aca="false">IF(F369="","",F369&amp;"#"&amp;G369)</f>
        <v/>
      </c>
      <c r="I369" s="0" t="str">
        <f aca="false">IF(F369="","",IFERROR(--'List 2'!B369,0))</f>
        <v/>
      </c>
      <c r="K369" s="0" t="str">
        <f aca="false">C369</f>
        <v/>
      </c>
      <c r="L369" s="0" t="str">
        <f aca="false">IF(K369="","",IF(ISNUMBER('List 1'!A369),'List 1'!A369,TRIM('List 1'!A369)))</f>
        <v/>
      </c>
      <c r="M369" s="0" t="str">
        <f aca="false">IF(K369="","",IF(ISNUMBER('List 1'!C369),'List 1'!C369,TRIM('List 1'!C369)))</f>
        <v/>
      </c>
      <c r="N369" s="0" t="str">
        <f aca="false">IF(K369="","",IF(ISNUMBER('List 1'!D369),'List 1'!D369,TRIM('List 1'!D369)))</f>
        <v/>
      </c>
      <c r="O369" s="0" t="str">
        <f aca="false">IF(K369="","",D369)</f>
        <v/>
      </c>
      <c r="P369" s="0" t="str">
        <f aca="false">IF(K369="","",IF(R369,SUMPRODUCT(--($H$2:$H$501=K369),$I$2:$I$501),0))</f>
        <v/>
      </c>
      <c r="Q369" s="0" t="str">
        <f aca="false">IF(K369="","",TRUE())</f>
        <v/>
      </c>
      <c r="R369" s="0" t="str">
        <f aca="false">IF(K369="","",SUMPRODUCT(--($H$2:$H$501=K369))&gt;0)</f>
        <v/>
      </c>
      <c r="S369" s="0" t="str">
        <f aca="false">IF(K369="","",IF(AND(Q369,R369),IF(O369=P369,"Match","Qty Different"),IF(Q369,"Only in List 1","Only in List 2")))</f>
        <v/>
      </c>
      <c r="T369" s="0" t="str">
        <f aca="false">IF(K369="","",IF(ISNUMBER(--L369),TEXT(--L369,"000000000000.000"),LOWER(L369)))</f>
        <v/>
      </c>
      <c r="U369" s="0" t="str">
        <f aca="false">IF(K369="","",IF(ISNUMBER(--M369),TEXT(--M369,"000000000000.000"),LOWER(M369)))</f>
        <v/>
      </c>
      <c r="V369" s="0" t="str">
        <f aca="false">IF(K369="","",LOWER(N369))</f>
        <v/>
      </c>
      <c r="W369" s="0" t="str">
        <f aca="false">IF(K369="","",B369)</f>
        <v/>
      </c>
      <c r="X369" s="0" t="str">
        <f aca="false">IF(K369="","",1+SUMPRODUCT(($K$2:$K$1001&lt;&gt;"")*(($T$2:$T$1001&lt;T369)+($T$2:$T$1001=T369)*(($U$2:$U$1001&lt;U369)+($U$2:$U$1001=U369)*(($V$2:$V$1001&lt;V369)+($V$2:$V$1001=V369)*(($W$2:$W$1001&lt;W369)+($W$2:$W$1001=W369)*(ROW($K$2:$K$1001)&lt;ROW(K369))))))))</f>
        <v/>
      </c>
    </row>
    <row r="370" customFormat="false" ht="15" hidden="false" customHeight="false" outlineLevel="0" collapsed="false">
      <c r="A370" s="0" t="str">
        <f aca="false">IF(TRIM('List 1'!A370&amp;'List 1'!C370&amp;'List 1'!D370)="","",LOWER(IF(OR(Comparison!$I$9="Item # + Part # + Description",Comparison!$I$9="Item # + Part #"),TRIM('List 1'!A370),"")&amp;"|"&amp;TRIM('List 1'!C370)&amp;"|"&amp;IF(OR(Comparison!$I$9="Item # + Part # + Description",Comparison!$I$9="Part # + Description"),TRIM('List 1'!D370),"")))</f>
        <v/>
      </c>
      <c r="B370" s="0" t="str">
        <f aca="false">IF(A370="","",SUMPRODUCT(--($A$2:A370=A370)))</f>
        <v/>
      </c>
      <c r="C370" s="0" t="str">
        <f aca="false">IF(A370="","",A370&amp;"#"&amp;B370)</f>
        <v/>
      </c>
      <c r="D370" s="0" t="str">
        <f aca="false">IF(A370="","",IFERROR(--'List 1'!B370,0))</f>
        <v/>
      </c>
      <c r="F370" s="0" t="str">
        <f aca="false">IF(TRIM('List 2'!A370&amp;'List 2'!C370&amp;'List 2'!D370)="","",LOWER(IF(OR(Comparison!$I$9="Item # + Part # + Description",Comparison!$I$9="Item # + Part #"),TRIM('List 2'!A370),"")&amp;"|"&amp;TRIM('List 2'!C370)&amp;"|"&amp;IF(OR(Comparison!$I$9="Item # + Part # + Description",Comparison!$I$9="Part # + Description"),TRIM('List 2'!D370),"")))</f>
        <v/>
      </c>
      <c r="G370" s="0" t="str">
        <f aca="false">IF(F370="","",SUMPRODUCT(--($F$2:F370=F370)))</f>
        <v/>
      </c>
      <c r="H370" s="0" t="str">
        <f aca="false">IF(F370="","",F370&amp;"#"&amp;G370)</f>
        <v/>
      </c>
      <c r="I370" s="0" t="str">
        <f aca="false">IF(F370="","",IFERROR(--'List 2'!B370,0))</f>
        <v/>
      </c>
      <c r="K370" s="0" t="str">
        <f aca="false">C370</f>
        <v/>
      </c>
      <c r="L370" s="0" t="str">
        <f aca="false">IF(K370="","",IF(ISNUMBER('List 1'!A370),'List 1'!A370,TRIM('List 1'!A370)))</f>
        <v/>
      </c>
      <c r="M370" s="0" t="str">
        <f aca="false">IF(K370="","",IF(ISNUMBER('List 1'!C370),'List 1'!C370,TRIM('List 1'!C370)))</f>
        <v/>
      </c>
      <c r="N370" s="0" t="str">
        <f aca="false">IF(K370="","",IF(ISNUMBER('List 1'!D370),'List 1'!D370,TRIM('List 1'!D370)))</f>
        <v/>
      </c>
      <c r="O370" s="0" t="str">
        <f aca="false">IF(K370="","",D370)</f>
        <v/>
      </c>
      <c r="P370" s="0" t="str">
        <f aca="false">IF(K370="","",IF(R370,SUMPRODUCT(--($H$2:$H$501=K370),$I$2:$I$501),0))</f>
        <v/>
      </c>
      <c r="Q370" s="0" t="str">
        <f aca="false">IF(K370="","",TRUE())</f>
        <v/>
      </c>
      <c r="R370" s="0" t="str">
        <f aca="false">IF(K370="","",SUMPRODUCT(--($H$2:$H$501=K370))&gt;0)</f>
        <v/>
      </c>
      <c r="S370" s="0" t="str">
        <f aca="false">IF(K370="","",IF(AND(Q370,R370),IF(O370=P370,"Match","Qty Different"),IF(Q370,"Only in List 1","Only in List 2")))</f>
        <v/>
      </c>
      <c r="T370" s="0" t="str">
        <f aca="false">IF(K370="","",IF(ISNUMBER(--L370),TEXT(--L370,"000000000000.000"),LOWER(L370)))</f>
        <v/>
      </c>
      <c r="U370" s="0" t="str">
        <f aca="false">IF(K370="","",IF(ISNUMBER(--M370),TEXT(--M370,"000000000000.000"),LOWER(M370)))</f>
        <v/>
      </c>
      <c r="V370" s="0" t="str">
        <f aca="false">IF(K370="","",LOWER(N370))</f>
        <v/>
      </c>
      <c r="W370" s="0" t="str">
        <f aca="false">IF(K370="","",B370)</f>
        <v/>
      </c>
      <c r="X370" s="0" t="str">
        <f aca="false">IF(K370="","",1+SUMPRODUCT(($K$2:$K$1001&lt;&gt;"")*(($T$2:$T$1001&lt;T370)+($T$2:$T$1001=T370)*(($U$2:$U$1001&lt;U370)+($U$2:$U$1001=U370)*(($V$2:$V$1001&lt;V370)+($V$2:$V$1001=V370)*(($W$2:$W$1001&lt;W370)+($W$2:$W$1001=W370)*(ROW($K$2:$K$1001)&lt;ROW(K370))))))))</f>
        <v/>
      </c>
    </row>
    <row r="371" customFormat="false" ht="15" hidden="false" customHeight="false" outlineLevel="0" collapsed="false">
      <c r="A371" s="0" t="str">
        <f aca="false">IF(TRIM('List 1'!A371&amp;'List 1'!C371&amp;'List 1'!D371)="","",LOWER(IF(OR(Comparison!$I$9="Item # + Part # + Description",Comparison!$I$9="Item # + Part #"),TRIM('List 1'!A371),"")&amp;"|"&amp;TRIM('List 1'!C371)&amp;"|"&amp;IF(OR(Comparison!$I$9="Item # + Part # + Description",Comparison!$I$9="Part # + Description"),TRIM('List 1'!D371),"")))</f>
        <v/>
      </c>
      <c r="B371" s="0" t="str">
        <f aca="false">IF(A371="","",SUMPRODUCT(--($A$2:A371=A371)))</f>
        <v/>
      </c>
      <c r="C371" s="0" t="str">
        <f aca="false">IF(A371="","",A371&amp;"#"&amp;B371)</f>
        <v/>
      </c>
      <c r="D371" s="0" t="str">
        <f aca="false">IF(A371="","",IFERROR(--'List 1'!B371,0))</f>
        <v/>
      </c>
      <c r="F371" s="0" t="str">
        <f aca="false">IF(TRIM('List 2'!A371&amp;'List 2'!C371&amp;'List 2'!D371)="","",LOWER(IF(OR(Comparison!$I$9="Item # + Part # + Description",Comparison!$I$9="Item # + Part #"),TRIM('List 2'!A371),"")&amp;"|"&amp;TRIM('List 2'!C371)&amp;"|"&amp;IF(OR(Comparison!$I$9="Item # + Part # + Description",Comparison!$I$9="Part # + Description"),TRIM('List 2'!D371),"")))</f>
        <v/>
      </c>
      <c r="G371" s="0" t="str">
        <f aca="false">IF(F371="","",SUMPRODUCT(--($F$2:F371=F371)))</f>
        <v/>
      </c>
      <c r="H371" s="0" t="str">
        <f aca="false">IF(F371="","",F371&amp;"#"&amp;G371)</f>
        <v/>
      </c>
      <c r="I371" s="0" t="str">
        <f aca="false">IF(F371="","",IFERROR(--'List 2'!B371,0))</f>
        <v/>
      </c>
      <c r="K371" s="0" t="str">
        <f aca="false">C371</f>
        <v/>
      </c>
      <c r="L371" s="0" t="str">
        <f aca="false">IF(K371="","",IF(ISNUMBER('List 1'!A371),'List 1'!A371,TRIM('List 1'!A371)))</f>
        <v/>
      </c>
      <c r="M371" s="0" t="str">
        <f aca="false">IF(K371="","",IF(ISNUMBER('List 1'!C371),'List 1'!C371,TRIM('List 1'!C371)))</f>
        <v/>
      </c>
      <c r="N371" s="0" t="str">
        <f aca="false">IF(K371="","",IF(ISNUMBER('List 1'!D371),'List 1'!D371,TRIM('List 1'!D371)))</f>
        <v/>
      </c>
      <c r="O371" s="0" t="str">
        <f aca="false">IF(K371="","",D371)</f>
        <v/>
      </c>
      <c r="P371" s="0" t="str">
        <f aca="false">IF(K371="","",IF(R371,SUMPRODUCT(--($H$2:$H$501=K371),$I$2:$I$501),0))</f>
        <v/>
      </c>
      <c r="Q371" s="0" t="str">
        <f aca="false">IF(K371="","",TRUE())</f>
        <v/>
      </c>
      <c r="R371" s="0" t="str">
        <f aca="false">IF(K371="","",SUMPRODUCT(--($H$2:$H$501=K371))&gt;0)</f>
        <v/>
      </c>
      <c r="S371" s="0" t="str">
        <f aca="false">IF(K371="","",IF(AND(Q371,R371),IF(O371=P371,"Match","Qty Different"),IF(Q371,"Only in List 1","Only in List 2")))</f>
        <v/>
      </c>
      <c r="T371" s="0" t="str">
        <f aca="false">IF(K371="","",IF(ISNUMBER(--L371),TEXT(--L371,"000000000000.000"),LOWER(L371)))</f>
        <v/>
      </c>
      <c r="U371" s="0" t="str">
        <f aca="false">IF(K371="","",IF(ISNUMBER(--M371),TEXT(--M371,"000000000000.000"),LOWER(M371)))</f>
        <v/>
      </c>
      <c r="V371" s="0" t="str">
        <f aca="false">IF(K371="","",LOWER(N371))</f>
        <v/>
      </c>
      <c r="W371" s="0" t="str">
        <f aca="false">IF(K371="","",B371)</f>
        <v/>
      </c>
      <c r="X371" s="0" t="str">
        <f aca="false">IF(K371="","",1+SUMPRODUCT(($K$2:$K$1001&lt;&gt;"")*(($T$2:$T$1001&lt;T371)+($T$2:$T$1001=T371)*(($U$2:$U$1001&lt;U371)+($U$2:$U$1001=U371)*(($V$2:$V$1001&lt;V371)+($V$2:$V$1001=V371)*(($W$2:$W$1001&lt;W371)+($W$2:$W$1001=W371)*(ROW($K$2:$K$1001)&lt;ROW(K371))))))))</f>
        <v/>
      </c>
    </row>
    <row r="372" customFormat="false" ht="15" hidden="false" customHeight="false" outlineLevel="0" collapsed="false">
      <c r="A372" s="0" t="str">
        <f aca="false">IF(TRIM('List 1'!A372&amp;'List 1'!C372&amp;'List 1'!D372)="","",LOWER(IF(OR(Comparison!$I$9="Item # + Part # + Description",Comparison!$I$9="Item # + Part #"),TRIM('List 1'!A372),"")&amp;"|"&amp;TRIM('List 1'!C372)&amp;"|"&amp;IF(OR(Comparison!$I$9="Item # + Part # + Description",Comparison!$I$9="Part # + Description"),TRIM('List 1'!D372),"")))</f>
        <v/>
      </c>
      <c r="B372" s="0" t="str">
        <f aca="false">IF(A372="","",SUMPRODUCT(--($A$2:A372=A372)))</f>
        <v/>
      </c>
      <c r="C372" s="0" t="str">
        <f aca="false">IF(A372="","",A372&amp;"#"&amp;B372)</f>
        <v/>
      </c>
      <c r="D372" s="0" t="str">
        <f aca="false">IF(A372="","",IFERROR(--'List 1'!B372,0))</f>
        <v/>
      </c>
      <c r="F372" s="0" t="str">
        <f aca="false">IF(TRIM('List 2'!A372&amp;'List 2'!C372&amp;'List 2'!D372)="","",LOWER(IF(OR(Comparison!$I$9="Item # + Part # + Description",Comparison!$I$9="Item # + Part #"),TRIM('List 2'!A372),"")&amp;"|"&amp;TRIM('List 2'!C372)&amp;"|"&amp;IF(OR(Comparison!$I$9="Item # + Part # + Description",Comparison!$I$9="Part # + Description"),TRIM('List 2'!D372),"")))</f>
        <v/>
      </c>
      <c r="G372" s="0" t="str">
        <f aca="false">IF(F372="","",SUMPRODUCT(--($F$2:F372=F372)))</f>
        <v/>
      </c>
      <c r="H372" s="0" t="str">
        <f aca="false">IF(F372="","",F372&amp;"#"&amp;G372)</f>
        <v/>
      </c>
      <c r="I372" s="0" t="str">
        <f aca="false">IF(F372="","",IFERROR(--'List 2'!B372,0))</f>
        <v/>
      </c>
      <c r="K372" s="0" t="str">
        <f aca="false">C372</f>
        <v/>
      </c>
      <c r="L372" s="0" t="str">
        <f aca="false">IF(K372="","",IF(ISNUMBER('List 1'!A372),'List 1'!A372,TRIM('List 1'!A372)))</f>
        <v/>
      </c>
      <c r="M372" s="0" t="str">
        <f aca="false">IF(K372="","",IF(ISNUMBER('List 1'!C372),'List 1'!C372,TRIM('List 1'!C372)))</f>
        <v/>
      </c>
      <c r="N372" s="0" t="str">
        <f aca="false">IF(K372="","",IF(ISNUMBER('List 1'!D372),'List 1'!D372,TRIM('List 1'!D372)))</f>
        <v/>
      </c>
      <c r="O372" s="0" t="str">
        <f aca="false">IF(K372="","",D372)</f>
        <v/>
      </c>
      <c r="P372" s="0" t="str">
        <f aca="false">IF(K372="","",IF(R372,SUMPRODUCT(--($H$2:$H$501=K372),$I$2:$I$501),0))</f>
        <v/>
      </c>
      <c r="Q372" s="0" t="str">
        <f aca="false">IF(K372="","",TRUE())</f>
        <v/>
      </c>
      <c r="R372" s="0" t="str">
        <f aca="false">IF(K372="","",SUMPRODUCT(--($H$2:$H$501=K372))&gt;0)</f>
        <v/>
      </c>
      <c r="S372" s="0" t="str">
        <f aca="false">IF(K372="","",IF(AND(Q372,R372),IF(O372=P372,"Match","Qty Different"),IF(Q372,"Only in List 1","Only in List 2")))</f>
        <v/>
      </c>
      <c r="T372" s="0" t="str">
        <f aca="false">IF(K372="","",IF(ISNUMBER(--L372),TEXT(--L372,"000000000000.000"),LOWER(L372)))</f>
        <v/>
      </c>
      <c r="U372" s="0" t="str">
        <f aca="false">IF(K372="","",IF(ISNUMBER(--M372),TEXT(--M372,"000000000000.000"),LOWER(M372)))</f>
        <v/>
      </c>
      <c r="V372" s="0" t="str">
        <f aca="false">IF(K372="","",LOWER(N372))</f>
        <v/>
      </c>
      <c r="W372" s="0" t="str">
        <f aca="false">IF(K372="","",B372)</f>
        <v/>
      </c>
      <c r="X372" s="0" t="str">
        <f aca="false">IF(K372="","",1+SUMPRODUCT(($K$2:$K$1001&lt;&gt;"")*(($T$2:$T$1001&lt;T372)+($T$2:$T$1001=T372)*(($U$2:$U$1001&lt;U372)+($U$2:$U$1001=U372)*(($V$2:$V$1001&lt;V372)+($V$2:$V$1001=V372)*(($W$2:$W$1001&lt;W372)+($W$2:$W$1001=W372)*(ROW($K$2:$K$1001)&lt;ROW(K372))))))))</f>
        <v/>
      </c>
    </row>
    <row r="373" customFormat="false" ht="15" hidden="false" customHeight="false" outlineLevel="0" collapsed="false">
      <c r="A373" s="0" t="str">
        <f aca="false">IF(TRIM('List 1'!A373&amp;'List 1'!C373&amp;'List 1'!D373)="","",LOWER(IF(OR(Comparison!$I$9="Item # + Part # + Description",Comparison!$I$9="Item # + Part #"),TRIM('List 1'!A373),"")&amp;"|"&amp;TRIM('List 1'!C373)&amp;"|"&amp;IF(OR(Comparison!$I$9="Item # + Part # + Description",Comparison!$I$9="Part # + Description"),TRIM('List 1'!D373),"")))</f>
        <v/>
      </c>
      <c r="B373" s="0" t="str">
        <f aca="false">IF(A373="","",SUMPRODUCT(--($A$2:A373=A373)))</f>
        <v/>
      </c>
      <c r="C373" s="0" t="str">
        <f aca="false">IF(A373="","",A373&amp;"#"&amp;B373)</f>
        <v/>
      </c>
      <c r="D373" s="0" t="str">
        <f aca="false">IF(A373="","",IFERROR(--'List 1'!B373,0))</f>
        <v/>
      </c>
      <c r="F373" s="0" t="str">
        <f aca="false">IF(TRIM('List 2'!A373&amp;'List 2'!C373&amp;'List 2'!D373)="","",LOWER(IF(OR(Comparison!$I$9="Item # + Part # + Description",Comparison!$I$9="Item # + Part #"),TRIM('List 2'!A373),"")&amp;"|"&amp;TRIM('List 2'!C373)&amp;"|"&amp;IF(OR(Comparison!$I$9="Item # + Part # + Description",Comparison!$I$9="Part # + Description"),TRIM('List 2'!D373),"")))</f>
        <v/>
      </c>
      <c r="G373" s="0" t="str">
        <f aca="false">IF(F373="","",SUMPRODUCT(--($F$2:F373=F373)))</f>
        <v/>
      </c>
      <c r="H373" s="0" t="str">
        <f aca="false">IF(F373="","",F373&amp;"#"&amp;G373)</f>
        <v/>
      </c>
      <c r="I373" s="0" t="str">
        <f aca="false">IF(F373="","",IFERROR(--'List 2'!B373,0))</f>
        <v/>
      </c>
      <c r="K373" s="0" t="str">
        <f aca="false">C373</f>
        <v/>
      </c>
      <c r="L373" s="0" t="str">
        <f aca="false">IF(K373="","",IF(ISNUMBER('List 1'!A373),'List 1'!A373,TRIM('List 1'!A373)))</f>
        <v/>
      </c>
      <c r="M373" s="0" t="str">
        <f aca="false">IF(K373="","",IF(ISNUMBER('List 1'!C373),'List 1'!C373,TRIM('List 1'!C373)))</f>
        <v/>
      </c>
      <c r="N373" s="0" t="str">
        <f aca="false">IF(K373="","",IF(ISNUMBER('List 1'!D373),'List 1'!D373,TRIM('List 1'!D373)))</f>
        <v/>
      </c>
      <c r="O373" s="0" t="str">
        <f aca="false">IF(K373="","",D373)</f>
        <v/>
      </c>
      <c r="P373" s="0" t="str">
        <f aca="false">IF(K373="","",IF(R373,SUMPRODUCT(--($H$2:$H$501=K373),$I$2:$I$501),0))</f>
        <v/>
      </c>
      <c r="Q373" s="0" t="str">
        <f aca="false">IF(K373="","",TRUE())</f>
        <v/>
      </c>
      <c r="R373" s="0" t="str">
        <f aca="false">IF(K373="","",SUMPRODUCT(--($H$2:$H$501=K373))&gt;0)</f>
        <v/>
      </c>
      <c r="S373" s="0" t="str">
        <f aca="false">IF(K373="","",IF(AND(Q373,R373),IF(O373=P373,"Match","Qty Different"),IF(Q373,"Only in List 1","Only in List 2")))</f>
        <v/>
      </c>
      <c r="T373" s="0" t="str">
        <f aca="false">IF(K373="","",IF(ISNUMBER(--L373),TEXT(--L373,"000000000000.000"),LOWER(L373)))</f>
        <v/>
      </c>
      <c r="U373" s="0" t="str">
        <f aca="false">IF(K373="","",IF(ISNUMBER(--M373),TEXT(--M373,"000000000000.000"),LOWER(M373)))</f>
        <v/>
      </c>
      <c r="V373" s="0" t="str">
        <f aca="false">IF(K373="","",LOWER(N373))</f>
        <v/>
      </c>
      <c r="W373" s="0" t="str">
        <f aca="false">IF(K373="","",B373)</f>
        <v/>
      </c>
      <c r="X373" s="0" t="str">
        <f aca="false">IF(K373="","",1+SUMPRODUCT(($K$2:$K$1001&lt;&gt;"")*(($T$2:$T$1001&lt;T373)+($T$2:$T$1001=T373)*(($U$2:$U$1001&lt;U373)+($U$2:$U$1001=U373)*(($V$2:$V$1001&lt;V373)+($V$2:$V$1001=V373)*(($W$2:$W$1001&lt;W373)+($W$2:$W$1001=W373)*(ROW($K$2:$K$1001)&lt;ROW(K373))))))))</f>
        <v/>
      </c>
    </row>
    <row r="374" customFormat="false" ht="15" hidden="false" customHeight="false" outlineLevel="0" collapsed="false">
      <c r="A374" s="0" t="str">
        <f aca="false">IF(TRIM('List 1'!A374&amp;'List 1'!C374&amp;'List 1'!D374)="","",LOWER(IF(OR(Comparison!$I$9="Item # + Part # + Description",Comparison!$I$9="Item # + Part #"),TRIM('List 1'!A374),"")&amp;"|"&amp;TRIM('List 1'!C374)&amp;"|"&amp;IF(OR(Comparison!$I$9="Item # + Part # + Description",Comparison!$I$9="Part # + Description"),TRIM('List 1'!D374),"")))</f>
        <v/>
      </c>
      <c r="B374" s="0" t="str">
        <f aca="false">IF(A374="","",SUMPRODUCT(--($A$2:A374=A374)))</f>
        <v/>
      </c>
      <c r="C374" s="0" t="str">
        <f aca="false">IF(A374="","",A374&amp;"#"&amp;B374)</f>
        <v/>
      </c>
      <c r="D374" s="0" t="str">
        <f aca="false">IF(A374="","",IFERROR(--'List 1'!B374,0))</f>
        <v/>
      </c>
      <c r="F374" s="0" t="str">
        <f aca="false">IF(TRIM('List 2'!A374&amp;'List 2'!C374&amp;'List 2'!D374)="","",LOWER(IF(OR(Comparison!$I$9="Item # + Part # + Description",Comparison!$I$9="Item # + Part #"),TRIM('List 2'!A374),"")&amp;"|"&amp;TRIM('List 2'!C374)&amp;"|"&amp;IF(OR(Comparison!$I$9="Item # + Part # + Description",Comparison!$I$9="Part # + Description"),TRIM('List 2'!D374),"")))</f>
        <v/>
      </c>
      <c r="G374" s="0" t="str">
        <f aca="false">IF(F374="","",SUMPRODUCT(--($F$2:F374=F374)))</f>
        <v/>
      </c>
      <c r="H374" s="0" t="str">
        <f aca="false">IF(F374="","",F374&amp;"#"&amp;G374)</f>
        <v/>
      </c>
      <c r="I374" s="0" t="str">
        <f aca="false">IF(F374="","",IFERROR(--'List 2'!B374,0))</f>
        <v/>
      </c>
      <c r="K374" s="0" t="str">
        <f aca="false">C374</f>
        <v/>
      </c>
      <c r="L374" s="0" t="str">
        <f aca="false">IF(K374="","",IF(ISNUMBER('List 1'!A374),'List 1'!A374,TRIM('List 1'!A374)))</f>
        <v/>
      </c>
      <c r="M374" s="0" t="str">
        <f aca="false">IF(K374="","",IF(ISNUMBER('List 1'!C374),'List 1'!C374,TRIM('List 1'!C374)))</f>
        <v/>
      </c>
      <c r="N374" s="0" t="str">
        <f aca="false">IF(K374="","",IF(ISNUMBER('List 1'!D374),'List 1'!D374,TRIM('List 1'!D374)))</f>
        <v/>
      </c>
      <c r="O374" s="0" t="str">
        <f aca="false">IF(K374="","",D374)</f>
        <v/>
      </c>
      <c r="P374" s="0" t="str">
        <f aca="false">IF(K374="","",IF(R374,SUMPRODUCT(--($H$2:$H$501=K374),$I$2:$I$501),0))</f>
        <v/>
      </c>
      <c r="Q374" s="0" t="str">
        <f aca="false">IF(K374="","",TRUE())</f>
        <v/>
      </c>
      <c r="R374" s="0" t="str">
        <f aca="false">IF(K374="","",SUMPRODUCT(--($H$2:$H$501=K374))&gt;0)</f>
        <v/>
      </c>
      <c r="S374" s="0" t="str">
        <f aca="false">IF(K374="","",IF(AND(Q374,R374),IF(O374=P374,"Match","Qty Different"),IF(Q374,"Only in List 1","Only in List 2")))</f>
        <v/>
      </c>
      <c r="T374" s="0" t="str">
        <f aca="false">IF(K374="","",IF(ISNUMBER(--L374),TEXT(--L374,"000000000000.000"),LOWER(L374)))</f>
        <v/>
      </c>
      <c r="U374" s="0" t="str">
        <f aca="false">IF(K374="","",IF(ISNUMBER(--M374),TEXT(--M374,"000000000000.000"),LOWER(M374)))</f>
        <v/>
      </c>
      <c r="V374" s="0" t="str">
        <f aca="false">IF(K374="","",LOWER(N374))</f>
        <v/>
      </c>
      <c r="W374" s="0" t="str">
        <f aca="false">IF(K374="","",B374)</f>
        <v/>
      </c>
      <c r="X374" s="0" t="str">
        <f aca="false">IF(K374="","",1+SUMPRODUCT(($K$2:$K$1001&lt;&gt;"")*(($T$2:$T$1001&lt;T374)+($T$2:$T$1001=T374)*(($U$2:$U$1001&lt;U374)+($U$2:$U$1001=U374)*(($V$2:$V$1001&lt;V374)+($V$2:$V$1001=V374)*(($W$2:$W$1001&lt;W374)+($W$2:$W$1001=W374)*(ROW($K$2:$K$1001)&lt;ROW(K374))))))))</f>
        <v/>
      </c>
    </row>
    <row r="375" customFormat="false" ht="15" hidden="false" customHeight="false" outlineLevel="0" collapsed="false">
      <c r="A375" s="0" t="str">
        <f aca="false">IF(TRIM('List 1'!A375&amp;'List 1'!C375&amp;'List 1'!D375)="","",LOWER(IF(OR(Comparison!$I$9="Item # + Part # + Description",Comparison!$I$9="Item # + Part #"),TRIM('List 1'!A375),"")&amp;"|"&amp;TRIM('List 1'!C375)&amp;"|"&amp;IF(OR(Comparison!$I$9="Item # + Part # + Description",Comparison!$I$9="Part # + Description"),TRIM('List 1'!D375),"")))</f>
        <v/>
      </c>
      <c r="B375" s="0" t="str">
        <f aca="false">IF(A375="","",SUMPRODUCT(--($A$2:A375=A375)))</f>
        <v/>
      </c>
      <c r="C375" s="0" t="str">
        <f aca="false">IF(A375="","",A375&amp;"#"&amp;B375)</f>
        <v/>
      </c>
      <c r="D375" s="0" t="str">
        <f aca="false">IF(A375="","",IFERROR(--'List 1'!B375,0))</f>
        <v/>
      </c>
      <c r="F375" s="0" t="str">
        <f aca="false">IF(TRIM('List 2'!A375&amp;'List 2'!C375&amp;'List 2'!D375)="","",LOWER(IF(OR(Comparison!$I$9="Item # + Part # + Description",Comparison!$I$9="Item # + Part #"),TRIM('List 2'!A375),"")&amp;"|"&amp;TRIM('List 2'!C375)&amp;"|"&amp;IF(OR(Comparison!$I$9="Item # + Part # + Description",Comparison!$I$9="Part # + Description"),TRIM('List 2'!D375),"")))</f>
        <v/>
      </c>
      <c r="G375" s="0" t="str">
        <f aca="false">IF(F375="","",SUMPRODUCT(--($F$2:F375=F375)))</f>
        <v/>
      </c>
      <c r="H375" s="0" t="str">
        <f aca="false">IF(F375="","",F375&amp;"#"&amp;G375)</f>
        <v/>
      </c>
      <c r="I375" s="0" t="str">
        <f aca="false">IF(F375="","",IFERROR(--'List 2'!B375,0))</f>
        <v/>
      </c>
      <c r="K375" s="0" t="str">
        <f aca="false">C375</f>
        <v/>
      </c>
      <c r="L375" s="0" t="str">
        <f aca="false">IF(K375="","",IF(ISNUMBER('List 1'!A375),'List 1'!A375,TRIM('List 1'!A375)))</f>
        <v/>
      </c>
      <c r="M375" s="0" t="str">
        <f aca="false">IF(K375="","",IF(ISNUMBER('List 1'!C375),'List 1'!C375,TRIM('List 1'!C375)))</f>
        <v/>
      </c>
      <c r="N375" s="0" t="str">
        <f aca="false">IF(K375="","",IF(ISNUMBER('List 1'!D375),'List 1'!D375,TRIM('List 1'!D375)))</f>
        <v/>
      </c>
      <c r="O375" s="0" t="str">
        <f aca="false">IF(K375="","",D375)</f>
        <v/>
      </c>
      <c r="P375" s="0" t="str">
        <f aca="false">IF(K375="","",IF(R375,SUMPRODUCT(--($H$2:$H$501=K375),$I$2:$I$501),0))</f>
        <v/>
      </c>
      <c r="Q375" s="0" t="str">
        <f aca="false">IF(K375="","",TRUE())</f>
        <v/>
      </c>
      <c r="R375" s="0" t="str">
        <f aca="false">IF(K375="","",SUMPRODUCT(--($H$2:$H$501=K375))&gt;0)</f>
        <v/>
      </c>
      <c r="S375" s="0" t="str">
        <f aca="false">IF(K375="","",IF(AND(Q375,R375),IF(O375=P375,"Match","Qty Different"),IF(Q375,"Only in List 1","Only in List 2")))</f>
        <v/>
      </c>
      <c r="T375" s="0" t="str">
        <f aca="false">IF(K375="","",IF(ISNUMBER(--L375),TEXT(--L375,"000000000000.000"),LOWER(L375)))</f>
        <v/>
      </c>
      <c r="U375" s="0" t="str">
        <f aca="false">IF(K375="","",IF(ISNUMBER(--M375),TEXT(--M375,"000000000000.000"),LOWER(M375)))</f>
        <v/>
      </c>
      <c r="V375" s="0" t="str">
        <f aca="false">IF(K375="","",LOWER(N375))</f>
        <v/>
      </c>
      <c r="W375" s="0" t="str">
        <f aca="false">IF(K375="","",B375)</f>
        <v/>
      </c>
      <c r="X375" s="0" t="str">
        <f aca="false">IF(K375="","",1+SUMPRODUCT(($K$2:$K$1001&lt;&gt;"")*(($T$2:$T$1001&lt;T375)+($T$2:$T$1001=T375)*(($U$2:$U$1001&lt;U375)+($U$2:$U$1001=U375)*(($V$2:$V$1001&lt;V375)+($V$2:$V$1001=V375)*(($W$2:$W$1001&lt;W375)+($W$2:$W$1001=W375)*(ROW($K$2:$K$1001)&lt;ROW(K375))))))))</f>
        <v/>
      </c>
    </row>
    <row r="376" customFormat="false" ht="15" hidden="false" customHeight="false" outlineLevel="0" collapsed="false">
      <c r="A376" s="0" t="str">
        <f aca="false">IF(TRIM('List 1'!A376&amp;'List 1'!C376&amp;'List 1'!D376)="","",LOWER(IF(OR(Comparison!$I$9="Item # + Part # + Description",Comparison!$I$9="Item # + Part #"),TRIM('List 1'!A376),"")&amp;"|"&amp;TRIM('List 1'!C376)&amp;"|"&amp;IF(OR(Comparison!$I$9="Item # + Part # + Description",Comparison!$I$9="Part # + Description"),TRIM('List 1'!D376),"")))</f>
        <v/>
      </c>
      <c r="B376" s="0" t="str">
        <f aca="false">IF(A376="","",SUMPRODUCT(--($A$2:A376=A376)))</f>
        <v/>
      </c>
      <c r="C376" s="0" t="str">
        <f aca="false">IF(A376="","",A376&amp;"#"&amp;B376)</f>
        <v/>
      </c>
      <c r="D376" s="0" t="str">
        <f aca="false">IF(A376="","",IFERROR(--'List 1'!B376,0))</f>
        <v/>
      </c>
      <c r="F376" s="0" t="str">
        <f aca="false">IF(TRIM('List 2'!A376&amp;'List 2'!C376&amp;'List 2'!D376)="","",LOWER(IF(OR(Comparison!$I$9="Item # + Part # + Description",Comparison!$I$9="Item # + Part #"),TRIM('List 2'!A376),"")&amp;"|"&amp;TRIM('List 2'!C376)&amp;"|"&amp;IF(OR(Comparison!$I$9="Item # + Part # + Description",Comparison!$I$9="Part # + Description"),TRIM('List 2'!D376),"")))</f>
        <v/>
      </c>
      <c r="G376" s="0" t="str">
        <f aca="false">IF(F376="","",SUMPRODUCT(--($F$2:F376=F376)))</f>
        <v/>
      </c>
      <c r="H376" s="0" t="str">
        <f aca="false">IF(F376="","",F376&amp;"#"&amp;G376)</f>
        <v/>
      </c>
      <c r="I376" s="0" t="str">
        <f aca="false">IF(F376="","",IFERROR(--'List 2'!B376,0))</f>
        <v/>
      </c>
      <c r="K376" s="0" t="str">
        <f aca="false">C376</f>
        <v/>
      </c>
      <c r="L376" s="0" t="str">
        <f aca="false">IF(K376="","",IF(ISNUMBER('List 1'!A376),'List 1'!A376,TRIM('List 1'!A376)))</f>
        <v/>
      </c>
      <c r="M376" s="0" t="str">
        <f aca="false">IF(K376="","",IF(ISNUMBER('List 1'!C376),'List 1'!C376,TRIM('List 1'!C376)))</f>
        <v/>
      </c>
      <c r="N376" s="0" t="str">
        <f aca="false">IF(K376="","",IF(ISNUMBER('List 1'!D376),'List 1'!D376,TRIM('List 1'!D376)))</f>
        <v/>
      </c>
      <c r="O376" s="0" t="str">
        <f aca="false">IF(K376="","",D376)</f>
        <v/>
      </c>
      <c r="P376" s="0" t="str">
        <f aca="false">IF(K376="","",IF(R376,SUMPRODUCT(--($H$2:$H$501=K376),$I$2:$I$501),0))</f>
        <v/>
      </c>
      <c r="Q376" s="0" t="str">
        <f aca="false">IF(K376="","",TRUE())</f>
        <v/>
      </c>
      <c r="R376" s="0" t="str">
        <f aca="false">IF(K376="","",SUMPRODUCT(--($H$2:$H$501=K376))&gt;0)</f>
        <v/>
      </c>
      <c r="S376" s="0" t="str">
        <f aca="false">IF(K376="","",IF(AND(Q376,R376),IF(O376=P376,"Match","Qty Different"),IF(Q376,"Only in List 1","Only in List 2")))</f>
        <v/>
      </c>
      <c r="T376" s="0" t="str">
        <f aca="false">IF(K376="","",IF(ISNUMBER(--L376),TEXT(--L376,"000000000000.000"),LOWER(L376)))</f>
        <v/>
      </c>
      <c r="U376" s="0" t="str">
        <f aca="false">IF(K376="","",IF(ISNUMBER(--M376),TEXT(--M376,"000000000000.000"),LOWER(M376)))</f>
        <v/>
      </c>
      <c r="V376" s="0" t="str">
        <f aca="false">IF(K376="","",LOWER(N376))</f>
        <v/>
      </c>
      <c r="W376" s="0" t="str">
        <f aca="false">IF(K376="","",B376)</f>
        <v/>
      </c>
      <c r="X376" s="0" t="str">
        <f aca="false">IF(K376="","",1+SUMPRODUCT(($K$2:$K$1001&lt;&gt;"")*(($T$2:$T$1001&lt;T376)+($T$2:$T$1001=T376)*(($U$2:$U$1001&lt;U376)+($U$2:$U$1001=U376)*(($V$2:$V$1001&lt;V376)+($V$2:$V$1001=V376)*(($W$2:$W$1001&lt;W376)+($W$2:$W$1001=W376)*(ROW($K$2:$K$1001)&lt;ROW(K376))))))))</f>
        <v/>
      </c>
    </row>
    <row r="377" customFormat="false" ht="15" hidden="false" customHeight="false" outlineLevel="0" collapsed="false">
      <c r="A377" s="0" t="str">
        <f aca="false">IF(TRIM('List 1'!A377&amp;'List 1'!C377&amp;'List 1'!D377)="","",LOWER(IF(OR(Comparison!$I$9="Item # + Part # + Description",Comparison!$I$9="Item # + Part #"),TRIM('List 1'!A377),"")&amp;"|"&amp;TRIM('List 1'!C377)&amp;"|"&amp;IF(OR(Comparison!$I$9="Item # + Part # + Description",Comparison!$I$9="Part # + Description"),TRIM('List 1'!D377),"")))</f>
        <v/>
      </c>
      <c r="B377" s="0" t="str">
        <f aca="false">IF(A377="","",SUMPRODUCT(--($A$2:A377=A377)))</f>
        <v/>
      </c>
      <c r="C377" s="0" t="str">
        <f aca="false">IF(A377="","",A377&amp;"#"&amp;B377)</f>
        <v/>
      </c>
      <c r="D377" s="0" t="str">
        <f aca="false">IF(A377="","",IFERROR(--'List 1'!B377,0))</f>
        <v/>
      </c>
      <c r="F377" s="0" t="str">
        <f aca="false">IF(TRIM('List 2'!A377&amp;'List 2'!C377&amp;'List 2'!D377)="","",LOWER(IF(OR(Comparison!$I$9="Item # + Part # + Description",Comparison!$I$9="Item # + Part #"),TRIM('List 2'!A377),"")&amp;"|"&amp;TRIM('List 2'!C377)&amp;"|"&amp;IF(OR(Comparison!$I$9="Item # + Part # + Description",Comparison!$I$9="Part # + Description"),TRIM('List 2'!D377),"")))</f>
        <v/>
      </c>
      <c r="G377" s="0" t="str">
        <f aca="false">IF(F377="","",SUMPRODUCT(--($F$2:F377=F377)))</f>
        <v/>
      </c>
      <c r="H377" s="0" t="str">
        <f aca="false">IF(F377="","",F377&amp;"#"&amp;G377)</f>
        <v/>
      </c>
      <c r="I377" s="0" t="str">
        <f aca="false">IF(F377="","",IFERROR(--'List 2'!B377,0))</f>
        <v/>
      </c>
      <c r="K377" s="0" t="str">
        <f aca="false">C377</f>
        <v/>
      </c>
      <c r="L377" s="0" t="str">
        <f aca="false">IF(K377="","",IF(ISNUMBER('List 1'!A377),'List 1'!A377,TRIM('List 1'!A377)))</f>
        <v/>
      </c>
      <c r="M377" s="0" t="str">
        <f aca="false">IF(K377="","",IF(ISNUMBER('List 1'!C377),'List 1'!C377,TRIM('List 1'!C377)))</f>
        <v/>
      </c>
      <c r="N377" s="0" t="str">
        <f aca="false">IF(K377="","",IF(ISNUMBER('List 1'!D377),'List 1'!D377,TRIM('List 1'!D377)))</f>
        <v/>
      </c>
      <c r="O377" s="0" t="str">
        <f aca="false">IF(K377="","",D377)</f>
        <v/>
      </c>
      <c r="P377" s="0" t="str">
        <f aca="false">IF(K377="","",IF(R377,SUMPRODUCT(--($H$2:$H$501=K377),$I$2:$I$501),0))</f>
        <v/>
      </c>
      <c r="Q377" s="0" t="str">
        <f aca="false">IF(K377="","",TRUE())</f>
        <v/>
      </c>
      <c r="R377" s="0" t="str">
        <f aca="false">IF(K377="","",SUMPRODUCT(--($H$2:$H$501=K377))&gt;0)</f>
        <v/>
      </c>
      <c r="S377" s="0" t="str">
        <f aca="false">IF(K377="","",IF(AND(Q377,R377),IF(O377=P377,"Match","Qty Different"),IF(Q377,"Only in List 1","Only in List 2")))</f>
        <v/>
      </c>
      <c r="T377" s="0" t="str">
        <f aca="false">IF(K377="","",IF(ISNUMBER(--L377),TEXT(--L377,"000000000000.000"),LOWER(L377)))</f>
        <v/>
      </c>
      <c r="U377" s="0" t="str">
        <f aca="false">IF(K377="","",IF(ISNUMBER(--M377),TEXT(--M377,"000000000000.000"),LOWER(M377)))</f>
        <v/>
      </c>
      <c r="V377" s="0" t="str">
        <f aca="false">IF(K377="","",LOWER(N377))</f>
        <v/>
      </c>
      <c r="W377" s="0" t="str">
        <f aca="false">IF(K377="","",B377)</f>
        <v/>
      </c>
      <c r="X377" s="0" t="str">
        <f aca="false">IF(K377="","",1+SUMPRODUCT(($K$2:$K$1001&lt;&gt;"")*(($T$2:$T$1001&lt;T377)+($T$2:$T$1001=T377)*(($U$2:$U$1001&lt;U377)+($U$2:$U$1001=U377)*(($V$2:$V$1001&lt;V377)+($V$2:$V$1001=V377)*(($W$2:$W$1001&lt;W377)+($W$2:$W$1001=W377)*(ROW($K$2:$K$1001)&lt;ROW(K377))))))))</f>
        <v/>
      </c>
    </row>
    <row r="378" customFormat="false" ht="15" hidden="false" customHeight="false" outlineLevel="0" collapsed="false">
      <c r="A378" s="0" t="str">
        <f aca="false">IF(TRIM('List 1'!A378&amp;'List 1'!C378&amp;'List 1'!D378)="","",LOWER(IF(OR(Comparison!$I$9="Item # + Part # + Description",Comparison!$I$9="Item # + Part #"),TRIM('List 1'!A378),"")&amp;"|"&amp;TRIM('List 1'!C378)&amp;"|"&amp;IF(OR(Comparison!$I$9="Item # + Part # + Description",Comparison!$I$9="Part # + Description"),TRIM('List 1'!D378),"")))</f>
        <v/>
      </c>
      <c r="B378" s="0" t="str">
        <f aca="false">IF(A378="","",SUMPRODUCT(--($A$2:A378=A378)))</f>
        <v/>
      </c>
      <c r="C378" s="0" t="str">
        <f aca="false">IF(A378="","",A378&amp;"#"&amp;B378)</f>
        <v/>
      </c>
      <c r="D378" s="0" t="str">
        <f aca="false">IF(A378="","",IFERROR(--'List 1'!B378,0))</f>
        <v/>
      </c>
      <c r="F378" s="0" t="str">
        <f aca="false">IF(TRIM('List 2'!A378&amp;'List 2'!C378&amp;'List 2'!D378)="","",LOWER(IF(OR(Comparison!$I$9="Item # + Part # + Description",Comparison!$I$9="Item # + Part #"),TRIM('List 2'!A378),"")&amp;"|"&amp;TRIM('List 2'!C378)&amp;"|"&amp;IF(OR(Comparison!$I$9="Item # + Part # + Description",Comparison!$I$9="Part # + Description"),TRIM('List 2'!D378),"")))</f>
        <v/>
      </c>
      <c r="G378" s="0" t="str">
        <f aca="false">IF(F378="","",SUMPRODUCT(--($F$2:F378=F378)))</f>
        <v/>
      </c>
      <c r="H378" s="0" t="str">
        <f aca="false">IF(F378="","",F378&amp;"#"&amp;G378)</f>
        <v/>
      </c>
      <c r="I378" s="0" t="str">
        <f aca="false">IF(F378="","",IFERROR(--'List 2'!B378,0))</f>
        <v/>
      </c>
      <c r="K378" s="0" t="str">
        <f aca="false">C378</f>
        <v/>
      </c>
      <c r="L378" s="0" t="str">
        <f aca="false">IF(K378="","",IF(ISNUMBER('List 1'!A378),'List 1'!A378,TRIM('List 1'!A378)))</f>
        <v/>
      </c>
      <c r="M378" s="0" t="str">
        <f aca="false">IF(K378="","",IF(ISNUMBER('List 1'!C378),'List 1'!C378,TRIM('List 1'!C378)))</f>
        <v/>
      </c>
      <c r="N378" s="0" t="str">
        <f aca="false">IF(K378="","",IF(ISNUMBER('List 1'!D378),'List 1'!D378,TRIM('List 1'!D378)))</f>
        <v/>
      </c>
      <c r="O378" s="0" t="str">
        <f aca="false">IF(K378="","",D378)</f>
        <v/>
      </c>
      <c r="P378" s="0" t="str">
        <f aca="false">IF(K378="","",IF(R378,SUMPRODUCT(--($H$2:$H$501=K378),$I$2:$I$501),0))</f>
        <v/>
      </c>
      <c r="Q378" s="0" t="str">
        <f aca="false">IF(K378="","",TRUE())</f>
        <v/>
      </c>
      <c r="R378" s="0" t="str">
        <f aca="false">IF(K378="","",SUMPRODUCT(--($H$2:$H$501=K378))&gt;0)</f>
        <v/>
      </c>
      <c r="S378" s="0" t="str">
        <f aca="false">IF(K378="","",IF(AND(Q378,R378),IF(O378=P378,"Match","Qty Different"),IF(Q378,"Only in List 1","Only in List 2")))</f>
        <v/>
      </c>
      <c r="T378" s="0" t="str">
        <f aca="false">IF(K378="","",IF(ISNUMBER(--L378),TEXT(--L378,"000000000000.000"),LOWER(L378)))</f>
        <v/>
      </c>
      <c r="U378" s="0" t="str">
        <f aca="false">IF(K378="","",IF(ISNUMBER(--M378),TEXT(--M378,"000000000000.000"),LOWER(M378)))</f>
        <v/>
      </c>
      <c r="V378" s="0" t="str">
        <f aca="false">IF(K378="","",LOWER(N378))</f>
        <v/>
      </c>
      <c r="W378" s="0" t="str">
        <f aca="false">IF(K378="","",B378)</f>
        <v/>
      </c>
      <c r="X378" s="0" t="str">
        <f aca="false">IF(K378="","",1+SUMPRODUCT(($K$2:$K$1001&lt;&gt;"")*(($T$2:$T$1001&lt;T378)+($T$2:$T$1001=T378)*(($U$2:$U$1001&lt;U378)+($U$2:$U$1001=U378)*(($V$2:$V$1001&lt;V378)+($V$2:$V$1001=V378)*(($W$2:$W$1001&lt;W378)+($W$2:$W$1001=W378)*(ROW($K$2:$K$1001)&lt;ROW(K378))))))))</f>
        <v/>
      </c>
    </row>
    <row r="379" customFormat="false" ht="15" hidden="false" customHeight="false" outlineLevel="0" collapsed="false">
      <c r="A379" s="0" t="str">
        <f aca="false">IF(TRIM('List 1'!A379&amp;'List 1'!C379&amp;'List 1'!D379)="","",LOWER(IF(OR(Comparison!$I$9="Item # + Part # + Description",Comparison!$I$9="Item # + Part #"),TRIM('List 1'!A379),"")&amp;"|"&amp;TRIM('List 1'!C379)&amp;"|"&amp;IF(OR(Comparison!$I$9="Item # + Part # + Description",Comparison!$I$9="Part # + Description"),TRIM('List 1'!D379),"")))</f>
        <v/>
      </c>
      <c r="B379" s="0" t="str">
        <f aca="false">IF(A379="","",SUMPRODUCT(--($A$2:A379=A379)))</f>
        <v/>
      </c>
      <c r="C379" s="0" t="str">
        <f aca="false">IF(A379="","",A379&amp;"#"&amp;B379)</f>
        <v/>
      </c>
      <c r="D379" s="0" t="str">
        <f aca="false">IF(A379="","",IFERROR(--'List 1'!B379,0))</f>
        <v/>
      </c>
      <c r="F379" s="0" t="str">
        <f aca="false">IF(TRIM('List 2'!A379&amp;'List 2'!C379&amp;'List 2'!D379)="","",LOWER(IF(OR(Comparison!$I$9="Item # + Part # + Description",Comparison!$I$9="Item # + Part #"),TRIM('List 2'!A379),"")&amp;"|"&amp;TRIM('List 2'!C379)&amp;"|"&amp;IF(OR(Comparison!$I$9="Item # + Part # + Description",Comparison!$I$9="Part # + Description"),TRIM('List 2'!D379),"")))</f>
        <v/>
      </c>
      <c r="G379" s="0" t="str">
        <f aca="false">IF(F379="","",SUMPRODUCT(--($F$2:F379=F379)))</f>
        <v/>
      </c>
      <c r="H379" s="0" t="str">
        <f aca="false">IF(F379="","",F379&amp;"#"&amp;G379)</f>
        <v/>
      </c>
      <c r="I379" s="0" t="str">
        <f aca="false">IF(F379="","",IFERROR(--'List 2'!B379,0))</f>
        <v/>
      </c>
      <c r="K379" s="0" t="str">
        <f aca="false">C379</f>
        <v/>
      </c>
      <c r="L379" s="0" t="str">
        <f aca="false">IF(K379="","",IF(ISNUMBER('List 1'!A379),'List 1'!A379,TRIM('List 1'!A379)))</f>
        <v/>
      </c>
      <c r="M379" s="0" t="str">
        <f aca="false">IF(K379="","",IF(ISNUMBER('List 1'!C379),'List 1'!C379,TRIM('List 1'!C379)))</f>
        <v/>
      </c>
      <c r="N379" s="0" t="str">
        <f aca="false">IF(K379="","",IF(ISNUMBER('List 1'!D379),'List 1'!D379,TRIM('List 1'!D379)))</f>
        <v/>
      </c>
      <c r="O379" s="0" t="str">
        <f aca="false">IF(K379="","",D379)</f>
        <v/>
      </c>
      <c r="P379" s="0" t="str">
        <f aca="false">IF(K379="","",IF(R379,SUMPRODUCT(--($H$2:$H$501=K379),$I$2:$I$501),0))</f>
        <v/>
      </c>
      <c r="Q379" s="0" t="str">
        <f aca="false">IF(K379="","",TRUE())</f>
        <v/>
      </c>
      <c r="R379" s="0" t="str">
        <f aca="false">IF(K379="","",SUMPRODUCT(--($H$2:$H$501=K379))&gt;0)</f>
        <v/>
      </c>
      <c r="S379" s="0" t="str">
        <f aca="false">IF(K379="","",IF(AND(Q379,R379),IF(O379=P379,"Match","Qty Different"),IF(Q379,"Only in List 1","Only in List 2")))</f>
        <v/>
      </c>
      <c r="T379" s="0" t="str">
        <f aca="false">IF(K379="","",IF(ISNUMBER(--L379),TEXT(--L379,"000000000000.000"),LOWER(L379)))</f>
        <v/>
      </c>
      <c r="U379" s="0" t="str">
        <f aca="false">IF(K379="","",IF(ISNUMBER(--M379),TEXT(--M379,"000000000000.000"),LOWER(M379)))</f>
        <v/>
      </c>
      <c r="V379" s="0" t="str">
        <f aca="false">IF(K379="","",LOWER(N379))</f>
        <v/>
      </c>
      <c r="W379" s="0" t="str">
        <f aca="false">IF(K379="","",B379)</f>
        <v/>
      </c>
      <c r="X379" s="0" t="str">
        <f aca="false">IF(K379="","",1+SUMPRODUCT(($K$2:$K$1001&lt;&gt;"")*(($T$2:$T$1001&lt;T379)+($T$2:$T$1001=T379)*(($U$2:$U$1001&lt;U379)+($U$2:$U$1001=U379)*(($V$2:$V$1001&lt;V379)+($V$2:$V$1001=V379)*(($W$2:$W$1001&lt;W379)+($W$2:$W$1001=W379)*(ROW($K$2:$K$1001)&lt;ROW(K379))))))))</f>
        <v/>
      </c>
    </row>
    <row r="380" customFormat="false" ht="15" hidden="false" customHeight="false" outlineLevel="0" collapsed="false">
      <c r="A380" s="0" t="str">
        <f aca="false">IF(TRIM('List 1'!A380&amp;'List 1'!C380&amp;'List 1'!D380)="","",LOWER(IF(OR(Comparison!$I$9="Item # + Part # + Description",Comparison!$I$9="Item # + Part #"),TRIM('List 1'!A380),"")&amp;"|"&amp;TRIM('List 1'!C380)&amp;"|"&amp;IF(OR(Comparison!$I$9="Item # + Part # + Description",Comparison!$I$9="Part # + Description"),TRIM('List 1'!D380),"")))</f>
        <v/>
      </c>
      <c r="B380" s="0" t="str">
        <f aca="false">IF(A380="","",SUMPRODUCT(--($A$2:A380=A380)))</f>
        <v/>
      </c>
      <c r="C380" s="0" t="str">
        <f aca="false">IF(A380="","",A380&amp;"#"&amp;B380)</f>
        <v/>
      </c>
      <c r="D380" s="0" t="str">
        <f aca="false">IF(A380="","",IFERROR(--'List 1'!B380,0))</f>
        <v/>
      </c>
      <c r="F380" s="0" t="str">
        <f aca="false">IF(TRIM('List 2'!A380&amp;'List 2'!C380&amp;'List 2'!D380)="","",LOWER(IF(OR(Comparison!$I$9="Item # + Part # + Description",Comparison!$I$9="Item # + Part #"),TRIM('List 2'!A380),"")&amp;"|"&amp;TRIM('List 2'!C380)&amp;"|"&amp;IF(OR(Comparison!$I$9="Item # + Part # + Description",Comparison!$I$9="Part # + Description"),TRIM('List 2'!D380),"")))</f>
        <v/>
      </c>
      <c r="G380" s="0" t="str">
        <f aca="false">IF(F380="","",SUMPRODUCT(--($F$2:F380=F380)))</f>
        <v/>
      </c>
      <c r="H380" s="0" t="str">
        <f aca="false">IF(F380="","",F380&amp;"#"&amp;G380)</f>
        <v/>
      </c>
      <c r="I380" s="0" t="str">
        <f aca="false">IF(F380="","",IFERROR(--'List 2'!B380,0))</f>
        <v/>
      </c>
      <c r="K380" s="0" t="str">
        <f aca="false">C380</f>
        <v/>
      </c>
      <c r="L380" s="0" t="str">
        <f aca="false">IF(K380="","",IF(ISNUMBER('List 1'!A380),'List 1'!A380,TRIM('List 1'!A380)))</f>
        <v/>
      </c>
      <c r="M380" s="0" t="str">
        <f aca="false">IF(K380="","",IF(ISNUMBER('List 1'!C380),'List 1'!C380,TRIM('List 1'!C380)))</f>
        <v/>
      </c>
      <c r="N380" s="0" t="str">
        <f aca="false">IF(K380="","",IF(ISNUMBER('List 1'!D380),'List 1'!D380,TRIM('List 1'!D380)))</f>
        <v/>
      </c>
      <c r="O380" s="0" t="str">
        <f aca="false">IF(K380="","",D380)</f>
        <v/>
      </c>
      <c r="P380" s="0" t="str">
        <f aca="false">IF(K380="","",IF(R380,SUMPRODUCT(--($H$2:$H$501=K380),$I$2:$I$501),0))</f>
        <v/>
      </c>
      <c r="Q380" s="0" t="str">
        <f aca="false">IF(K380="","",TRUE())</f>
        <v/>
      </c>
      <c r="R380" s="0" t="str">
        <f aca="false">IF(K380="","",SUMPRODUCT(--($H$2:$H$501=K380))&gt;0)</f>
        <v/>
      </c>
      <c r="S380" s="0" t="str">
        <f aca="false">IF(K380="","",IF(AND(Q380,R380),IF(O380=P380,"Match","Qty Different"),IF(Q380,"Only in List 1","Only in List 2")))</f>
        <v/>
      </c>
      <c r="T380" s="0" t="str">
        <f aca="false">IF(K380="","",IF(ISNUMBER(--L380),TEXT(--L380,"000000000000.000"),LOWER(L380)))</f>
        <v/>
      </c>
      <c r="U380" s="0" t="str">
        <f aca="false">IF(K380="","",IF(ISNUMBER(--M380),TEXT(--M380,"000000000000.000"),LOWER(M380)))</f>
        <v/>
      </c>
      <c r="V380" s="0" t="str">
        <f aca="false">IF(K380="","",LOWER(N380))</f>
        <v/>
      </c>
      <c r="W380" s="0" t="str">
        <f aca="false">IF(K380="","",B380)</f>
        <v/>
      </c>
      <c r="X380" s="0" t="str">
        <f aca="false">IF(K380="","",1+SUMPRODUCT(($K$2:$K$1001&lt;&gt;"")*(($T$2:$T$1001&lt;T380)+($T$2:$T$1001=T380)*(($U$2:$U$1001&lt;U380)+($U$2:$U$1001=U380)*(($V$2:$V$1001&lt;V380)+($V$2:$V$1001=V380)*(($W$2:$W$1001&lt;W380)+($W$2:$W$1001=W380)*(ROW($K$2:$K$1001)&lt;ROW(K380))))))))</f>
        <v/>
      </c>
    </row>
    <row r="381" customFormat="false" ht="15" hidden="false" customHeight="false" outlineLevel="0" collapsed="false">
      <c r="A381" s="0" t="str">
        <f aca="false">IF(TRIM('List 1'!A381&amp;'List 1'!C381&amp;'List 1'!D381)="","",LOWER(IF(OR(Comparison!$I$9="Item # + Part # + Description",Comparison!$I$9="Item # + Part #"),TRIM('List 1'!A381),"")&amp;"|"&amp;TRIM('List 1'!C381)&amp;"|"&amp;IF(OR(Comparison!$I$9="Item # + Part # + Description",Comparison!$I$9="Part # + Description"),TRIM('List 1'!D381),"")))</f>
        <v/>
      </c>
      <c r="B381" s="0" t="str">
        <f aca="false">IF(A381="","",SUMPRODUCT(--($A$2:A381=A381)))</f>
        <v/>
      </c>
      <c r="C381" s="0" t="str">
        <f aca="false">IF(A381="","",A381&amp;"#"&amp;B381)</f>
        <v/>
      </c>
      <c r="D381" s="0" t="str">
        <f aca="false">IF(A381="","",IFERROR(--'List 1'!B381,0))</f>
        <v/>
      </c>
      <c r="F381" s="0" t="str">
        <f aca="false">IF(TRIM('List 2'!A381&amp;'List 2'!C381&amp;'List 2'!D381)="","",LOWER(IF(OR(Comparison!$I$9="Item # + Part # + Description",Comparison!$I$9="Item # + Part #"),TRIM('List 2'!A381),"")&amp;"|"&amp;TRIM('List 2'!C381)&amp;"|"&amp;IF(OR(Comparison!$I$9="Item # + Part # + Description",Comparison!$I$9="Part # + Description"),TRIM('List 2'!D381),"")))</f>
        <v/>
      </c>
      <c r="G381" s="0" t="str">
        <f aca="false">IF(F381="","",SUMPRODUCT(--($F$2:F381=F381)))</f>
        <v/>
      </c>
      <c r="H381" s="0" t="str">
        <f aca="false">IF(F381="","",F381&amp;"#"&amp;G381)</f>
        <v/>
      </c>
      <c r="I381" s="0" t="str">
        <f aca="false">IF(F381="","",IFERROR(--'List 2'!B381,0))</f>
        <v/>
      </c>
      <c r="K381" s="0" t="str">
        <f aca="false">C381</f>
        <v/>
      </c>
      <c r="L381" s="0" t="str">
        <f aca="false">IF(K381="","",IF(ISNUMBER('List 1'!A381),'List 1'!A381,TRIM('List 1'!A381)))</f>
        <v/>
      </c>
      <c r="M381" s="0" t="str">
        <f aca="false">IF(K381="","",IF(ISNUMBER('List 1'!C381),'List 1'!C381,TRIM('List 1'!C381)))</f>
        <v/>
      </c>
      <c r="N381" s="0" t="str">
        <f aca="false">IF(K381="","",IF(ISNUMBER('List 1'!D381),'List 1'!D381,TRIM('List 1'!D381)))</f>
        <v/>
      </c>
      <c r="O381" s="0" t="str">
        <f aca="false">IF(K381="","",D381)</f>
        <v/>
      </c>
      <c r="P381" s="0" t="str">
        <f aca="false">IF(K381="","",IF(R381,SUMPRODUCT(--($H$2:$H$501=K381),$I$2:$I$501),0))</f>
        <v/>
      </c>
      <c r="Q381" s="0" t="str">
        <f aca="false">IF(K381="","",TRUE())</f>
        <v/>
      </c>
      <c r="R381" s="0" t="str">
        <f aca="false">IF(K381="","",SUMPRODUCT(--($H$2:$H$501=K381))&gt;0)</f>
        <v/>
      </c>
      <c r="S381" s="0" t="str">
        <f aca="false">IF(K381="","",IF(AND(Q381,R381),IF(O381=P381,"Match","Qty Different"),IF(Q381,"Only in List 1","Only in List 2")))</f>
        <v/>
      </c>
      <c r="T381" s="0" t="str">
        <f aca="false">IF(K381="","",IF(ISNUMBER(--L381),TEXT(--L381,"000000000000.000"),LOWER(L381)))</f>
        <v/>
      </c>
      <c r="U381" s="0" t="str">
        <f aca="false">IF(K381="","",IF(ISNUMBER(--M381),TEXT(--M381,"000000000000.000"),LOWER(M381)))</f>
        <v/>
      </c>
      <c r="V381" s="0" t="str">
        <f aca="false">IF(K381="","",LOWER(N381))</f>
        <v/>
      </c>
      <c r="W381" s="0" t="str">
        <f aca="false">IF(K381="","",B381)</f>
        <v/>
      </c>
      <c r="X381" s="0" t="str">
        <f aca="false">IF(K381="","",1+SUMPRODUCT(($K$2:$K$1001&lt;&gt;"")*(($T$2:$T$1001&lt;T381)+($T$2:$T$1001=T381)*(($U$2:$U$1001&lt;U381)+($U$2:$U$1001=U381)*(($V$2:$V$1001&lt;V381)+($V$2:$V$1001=V381)*(($W$2:$W$1001&lt;W381)+($W$2:$W$1001=W381)*(ROW($K$2:$K$1001)&lt;ROW(K381))))))))</f>
        <v/>
      </c>
    </row>
    <row r="382" customFormat="false" ht="15" hidden="false" customHeight="false" outlineLevel="0" collapsed="false">
      <c r="A382" s="0" t="str">
        <f aca="false">IF(TRIM('List 1'!A382&amp;'List 1'!C382&amp;'List 1'!D382)="","",LOWER(IF(OR(Comparison!$I$9="Item # + Part # + Description",Comparison!$I$9="Item # + Part #"),TRIM('List 1'!A382),"")&amp;"|"&amp;TRIM('List 1'!C382)&amp;"|"&amp;IF(OR(Comparison!$I$9="Item # + Part # + Description",Comparison!$I$9="Part # + Description"),TRIM('List 1'!D382),"")))</f>
        <v/>
      </c>
      <c r="B382" s="0" t="str">
        <f aca="false">IF(A382="","",SUMPRODUCT(--($A$2:A382=A382)))</f>
        <v/>
      </c>
      <c r="C382" s="0" t="str">
        <f aca="false">IF(A382="","",A382&amp;"#"&amp;B382)</f>
        <v/>
      </c>
      <c r="D382" s="0" t="str">
        <f aca="false">IF(A382="","",IFERROR(--'List 1'!B382,0))</f>
        <v/>
      </c>
      <c r="F382" s="0" t="str">
        <f aca="false">IF(TRIM('List 2'!A382&amp;'List 2'!C382&amp;'List 2'!D382)="","",LOWER(IF(OR(Comparison!$I$9="Item # + Part # + Description",Comparison!$I$9="Item # + Part #"),TRIM('List 2'!A382),"")&amp;"|"&amp;TRIM('List 2'!C382)&amp;"|"&amp;IF(OR(Comparison!$I$9="Item # + Part # + Description",Comparison!$I$9="Part # + Description"),TRIM('List 2'!D382),"")))</f>
        <v/>
      </c>
      <c r="G382" s="0" t="str">
        <f aca="false">IF(F382="","",SUMPRODUCT(--($F$2:F382=F382)))</f>
        <v/>
      </c>
      <c r="H382" s="0" t="str">
        <f aca="false">IF(F382="","",F382&amp;"#"&amp;G382)</f>
        <v/>
      </c>
      <c r="I382" s="0" t="str">
        <f aca="false">IF(F382="","",IFERROR(--'List 2'!B382,0))</f>
        <v/>
      </c>
      <c r="K382" s="0" t="str">
        <f aca="false">C382</f>
        <v/>
      </c>
      <c r="L382" s="0" t="str">
        <f aca="false">IF(K382="","",IF(ISNUMBER('List 1'!A382),'List 1'!A382,TRIM('List 1'!A382)))</f>
        <v/>
      </c>
      <c r="M382" s="0" t="str">
        <f aca="false">IF(K382="","",IF(ISNUMBER('List 1'!C382),'List 1'!C382,TRIM('List 1'!C382)))</f>
        <v/>
      </c>
      <c r="N382" s="0" t="str">
        <f aca="false">IF(K382="","",IF(ISNUMBER('List 1'!D382),'List 1'!D382,TRIM('List 1'!D382)))</f>
        <v/>
      </c>
      <c r="O382" s="0" t="str">
        <f aca="false">IF(K382="","",D382)</f>
        <v/>
      </c>
      <c r="P382" s="0" t="str">
        <f aca="false">IF(K382="","",IF(R382,SUMPRODUCT(--($H$2:$H$501=K382),$I$2:$I$501),0))</f>
        <v/>
      </c>
      <c r="Q382" s="0" t="str">
        <f aca="false">IF(K382="","",TRUE())</f>
        <v/>
      </c>
      <c r="R382" s="0" t="str">
        <f aca="false">IF(K382="","",SUMPRODUCT(--($H$2:$H$501=K382))&gt;0)</f>
        <v/>
      </c>
      <c r="S382" s="0" t="str">
        <f aca="false">IF(K382="","",IF(AND(Q382,R382),IF(O382=P382,"Match","Qty Different"),IF(Q382,"Only in List 1","Only in List 2")))</f>
        <v/>
      </c>
      <c r="T382" s="0" t="str">
        <f aca="false">IF(K382="","",IF(ISNUMBER(--L382),TEXT(--L382,"000000000000.000"),LOWER(L382)))</f>
        <v/>
      </c>
      <c r="U382" s="0" t="str">
        <f aca="false">IF(K382="","",IF(ISNUMBER(--M382),TEXT(--M382,"000000000000.000"),LOWER(M382)))</f>
        <v/>
      </c>
      <c r="V382" s="0" t="str">
        <f aca="false">IF(K382="","",LOWER(N382))</f>
        <v/>
      </c>
      <c r="W382" s="0" t="str">
        <f aca="false">IF(K382="","",B382)</f>
        <v/>
      </c>
      <c r="X382" s="0" t="str">
        <f aca="false">IF(K382="","",1+SUMPRODUCT(($K$2:$K$1001&lt;&gt;"")*(($T$2:$T$1001&lt;T382)+($T$2:$T$1001=T382)*(($U$2:$U$1001&lt;U382)+($U$2:$U$1001=U382)*(($V$2:$V$1001&lt;V382)+($V$2:$V$1001=V382)*(($W$2:$W$1001&lt;W382)+($W$2:$W$1001=W382)*(ROW($K$2:$K$1001)&lt;ROW(K382))))))))</f>
        <v/>
      </c>
    </row>
    <row r="383" customFormat="false" ht="15" hidden="false" customHeight="false" outlineLevel="0" collapsed="false">
      <c r="A383" s="0" t="str">
        <f aca="false">IF(TRIM('List 1'!A383&amp;'List 1'!C383&amp;'List 1'!D383)="","",LOWER(IF(OR(Comparison!$I$9="Item # + Part # + Description",Comparison!$I$9="Item # + Part #"),TRIM('List 1'!A383),"")&amp;"|"&amp;TRIM('List 1'!C383)&amp;"|"&amp;IF(OR(Comparison!$I$9="Item # + Part # + Description",Comparison!$I$9="Part # + Description"),TRIM('List 1'!D383),"")))</f>
        <v/>
      </c>
      <c r="B383" s="0" t="str">
        <f aca="false">IF(A383="","",SUMPRODUCT(--($A$2:A383=A383)))</f>
        <v/>
      </c>
      <c r="C383" s="0" t="str">
        <f aca="false">IF(A383="","",A383&amp;"#"&amp;B383)</f>
        <v/>
      </c>
      <c r="D383" s="0" t="str">
        <f aca="false">IF(A383="","",IFERROR(--'List 1'!B383,0))</f>
        <v/>
      </c>
      <c r="F383" s="0" t="str">
        <f aca="false">IF(TRIM('List 2'!A383&amp;'List 2'!C383&amp;'List 2'!D383)="","",LOWER(IF(OR(Comparison!$I$9="Item # + Part # + Description",Comparison!$I$9="Item # + Part #"),TRIM('List 2'!A383),"")&amp;"|"&amp;TRIM('List 2'!C383)&amp;"|"&amp;IF(OR(Comparison!$I$9="Item # + Part # + Description",Comparison!$I$9="Part # + Description"),TRIM('List 2'!D383),"")))</f>
        <v/>
      </c>
      <c r="G383" s="0" t="str">
        <f aca="false">IF(F383="","",SUMPRODUCT(--($F$2:F383=F383)))</f>
        <v/>
      </c>
      <c r="H383" s="0" t="str">
        <f aca="false">IF(F383="","",F383&amp;"#"&amp;G383)</f>
        <v/>
      </c>
      <c r="I383" s="0" t="str">
        <f aca="false">IF(F383="","",IFERROR(--'List 2'!B383,0))</f>
        <v/>
      </c>
      <c r="K383" s="0" t="str">
        <f aca="false">C383</f>
        <v/>
      </c>
      <c r="L383" s="0" t="str">
        <f aca="false">IF(K383="","",IF(ISNUMBER('List 1'!A383),'List 1'!A383,TRIM('List 1'!A383)))</f>
        <v/>
      </c>
      <c r="M383" s="0" t="str">
        <f aca="false">IF(K383="","",IF(ISNUMBER('List 1'!C383),'List 1'!C383,TRIM('List 1'!C383)))</f>
        <v/>
      </c>
      <c r="N383" s="0" t="str">
        <f aca="false">IF(K383="","",IF(ISNUMBER('List 1'!D383),'List 1'!D383,TRIM('List 1'!D383)))</f>
        <v/>
      </c>
      <c r="O383" s="0" t="str">
        <f aca="false">IF(K383="","",D383)</f>
        <v/>
      </c>
      <c r="P383" s="0" t="str">
        <f aca="false">IF(K383="","",IF(R383,SUMPRODUCT(--($H$2:$H$501=K383),$I$2:$I$501),0))</f>
        <v/>
      </c>
      <c r="Q383" s="0" t="str">
        <f aca="false">IF(K383="","",TRUE())</f>
        <v/>
      </c>
      <c r="R383" s="0" t="str">
        <f aca="false">IF(K383="","",SUMPRODUCT(--($H$2:$H$501=K383))&gt;0)</f>
        <v/>
      </c>
      <c r="S383" s="0" t="str">
        <f aca="false">IF(K383="","",IF(AND(Q383,R383),IF(O383=P383,"Match","Qty Different"),IF(Q383,"Only in List 1","Only in List 2")))</f>
        <v/>
      </c>
      <c r="T383" s="0" t="str">
        <f aca="false">IF(K383="","",IF(ISNUMBER(--L383),TEXT(--L383,"000000000000.000"),LOWER(L383)))</f>
        <v/>
      </c>
      <c r="U383" s="0" t="str">
        <f aca="false">IF(K383="","",IF(ISNUMBER(--M383),TEXT(--M383,"000000000000.000"),LOWER(M383)))</f>
        <v/>
      </c>
      <c r="V383" s="0" t="str">
        <f aca="false">IF(K383="","",LOWER(N383))</f>
        <v/>
      </c>
      <c r="W383" s="0" t="str">
        <f aca="false">IF(K383="","",B383)</f>
        <v/>
      </c>
      <c r="X383" s="0" t="str">
        <f aca="false">IF(K383="","",1+SUMPRODUCT(($K$2:$K$1001&lt;&gt;"")*(($T$2:$T$1001&lt;T383)+($T$2:$T$1001=T383)*(($U$2:$U$1001&lt;U383)+($U$2:$U$1001=U383)*(($V$2:$V$1001&lt;V383)+($V$2:$V$1001=V383)*(($W$2:$W$1001&lt;W383)+($W$2:$W$1001=W383)*(ROW($K$2:$K$1001)&lt;ROW(K383))))))))</f>
        <v/>
      </c>
    </row>
    <row r="384" customFormat="false" ht="15" hidden="false" customHeight="false" outlineLevel="0" collapsed="false">
      <c r="A384" s="0" t="str">
        <f aca="false">IF(TRIM('List 1'!A384&amp;'List 1'!C384&amp;'List 1'!D384)="","",LOWER(IF(OR(Comparison!$I$9="Item # + Part # + Description",Comparison!$I$9="Item # + Part #"),TRIM('List 1'!A384),"")&amp;"|"&amp;TRIM('List 1'!C384)&amp;"|"&amp;IF(OR(Comparison!$I$9="Item # + Part # + Description",Comparison!$I$9="Part # + Description"),TRIM('List 1'!D384),"")))</f>
        <v/>
      </c>
      <c r="B384" s="0" t="str">
        <f aca="false">IF(A384="","",SUMPRODUCT(--($A$2:A384=A384)))</f>
        <v/>
      </c>
      <c r="C384" s="0" t="str">
        <f aca="false">IF(A384="","",A384&amp;"#"&amp;B384)</f>
        <v/>
      </c>
      <c r="D384" s="0" t="str">
        <f aca="false">IF(A384="","",IFERROR(--'List 1'!B384,0))</f>
        <v/>
      </c>
      <c r="F384" s="0" t="str">
        <f aca="false">IF(TRIM('List 2'!A384&amp;'List 2'!C384&amp;'List 2'!D384)="","",LOWER(IF(OR(Comparison!$I$9="Item # + Part # + Description",Comparison!$I$9="Item # + Part #"),TRIM('List 2'!A384),"")&amp;"|"&amp;TRIM('List 2'!C384)&amp;"|"&amp;IF(OR(Comparison!$I$9="Item # + Part # + Description",Comparison!$I$9="Part # + Description"),TRIM('List 2'!D384),"")))</f>
        <v/>
      </c>
      <c r="G384" s="0" t="str">
        <f aca="false">IF(F384="","",SUMPRODUCT(--($F$2:F384=F384)))</f>
        <v/>
      </c>
      <c r="H384" s="0" t="str">
        <f aca="false">IF(F384="","",F384&amp;"#"&amp;G384)</f>
        <v/>
      </c>
      <c r="I384" s="0" t="str">
        <f aca="false">IF(F384="","",IFERROR(--'List 2'!B384,0))</f>
        <v/>
      </c>
      <c r="K384" s="0" t="str">
        <f aca="false">C384</f>
        <v/>
      </c>
      <c r="L384" s="0" t="str">
        <f aca="false">IF(K384="","",IF(ISNUMBER('List 1'!A384),'List 1'!A384,TRIM('List 1'!A384)))</f>
        <v/>
      </c>
      <c r="M384" s="0" t="str">
        <f aca="false">IF(K384="","",IF(ISNUMBER('List 1'!C384),'List 1'!C384,TRIM('List 1'!C384)))</f>
        <v/>
      </c>
      <c r="N384" s="0" t="str">
        <f aca="false">IF(K384="","",IF(ISNUMBER('List 1'!D384),'List 1'!D384,TRIM('List 1'!D384)))</f>
        <v/>
      </c>
      <c r="O384" s="0" t="str">
        <f aca="false">IF(K384="","",D384)</f>
        <v/>
      </c>
      <c r="P384" s="0" t="str">
        <f aca="false">IF(K384="","",IF(R384,SUMPRODUCT(--($H$2:$H$501=K384),$I$2:$I$501),0))</f>
        <v/>
      </c>
      <c r="Q384" s="0" t="str">
        <f aca="false">IF(K384="","",TRUE())</f>
        <v/>
      </c>
      <c r="R384" s="0" t="str">
        <f aca="false">IF(K384="","",SUMPRODUCT(--($H$2:$H$501=K384))&gt;0)</f>
        <v/>
      </c>
      <c r="S384" s="0" t="str">
        <f aca="false">IF(K384="","",IF(AND(Q384,R384),IF(O384=P384,"Match","Qty Different"),IF(Q384,"Only in List 1","Only in List 2")))</f>
        <v/>
      </c>
      <c r="T384" s="0" t="str">
        <f aca="false">IF(K384="","",IF(ISNUMBER(--L384),TEXT(--L384,"000000000000.000"),LOWER(L384)))</f>
        <v/>
      </c>
      <c r="U384" s="0" t="str">
        <f aca="false">IF(K384="","",IF(ISNUMBER(--M384),TEXT(--M384,"000000000000.000"),LOWER(M384)))</f>
        <v/>
      </c>
      <c r="V384" s="0" t="str">
        <f aca="false">IF(K384="","",LOWER(N384))</f>
        <v/>
      </c>
      <c r="W384" s="0" t="str">
        <f aca="false">IF(K384="","",B384)</f>
        <v/>
      </c>
      <c r="X384" s="0" t="str">
        <f aca="false">IF(K384="","",1+SUMPRODUCT(($K$2:$K$1001&lt;&gt;"")*(($T$2:$T$1001&lt;T384)+($T$2:$T$1001=T384)*(($U$2:$U$1001&lt;U384)+($U$2:$U$1001=U384)*(($V$2:$V$1001&lt;V384)+($V$2:$V$1001=V384)*(($W$2:$W$1001&lt;W384)+($W$2:$W$1001=W384)*(ROW($K$2:$K$1001)&lt;ROW(K384))))))))</f>
        <v/>
      </c>
    </row>
    <row r="385" customFormat="false" ht="15" hidden="false" customHeight="false" outlineLevel="0" collapsed="false">
      <c r="A385" s="0" t="str">
        <f aca="false">IF(TRIM('List 1'!A385&amp;'List 1'!C385&amp;'List 1'!D385)="","",LOWER(IF(OR(Comparison!$I$9="Item # + Part # + Description",Comparison!$I$9="Item # + Part #"),TRIM('List 1'!A385),"")&amp;"|"&amp;TRIM('List 1'!C385)&amp;"|"&amp;IF(OR(Comparison!$I$9="Item # + Part # + Description",Comparison!$I$9="Part # + Description"),TRIM('List 1'!D385),"")))</f>
        <v/>
      </c>
      <c r="B385" s="0" t="str">
        <f aca="false">IF(A385="","",SUMPRODUCT(--($A$2:A385=A385)))</f>
        <v/>
      </c>
      <c r="C385" s="0" t="str">
        <f aca="false">IF(A385="","",A385&amp;"#"&amp;B385)</f>
        <v/>
      </c>
      <c r="D385" s="0" t="str">
        <f aca="false">IF(A385="","",IFERROR(--'List 1'!B385,0))</f>
        <v/>
      </c>
      <c r="F385" s="0" t="str">
        <f aca="false">IF(TRIM('List 2'!A385&amp;'List 2'!C385&amp;'List 2'!D385)="","",LOWER(IF(OR(Comparison!$I$9="Item # + Part # + Description",Comparison!$I$9="Item # + Part #"),TRIM('List 2'!A385),"")&amp;"|"&amp;TRIM('List 2'!C385)&amp;"|"&amp;IF(OR(Comparison!$I$9="Item # + Part # + Description",Comparison!$I$9="Part # + Description"),TRIM('List 2'!D385),"")))</f>
        <v/>
      </c>
      <c r="G385" s="0" t="str">
        <f aca="false">IF(F385="","",SUMPRODUCT(--($F$2:F385=F385)))</f>
        <v/>
      </c>
      <c r="H385" s="0" t="str">
        <f aca="false">IF(F385="","",F385&amp;"#"&amp;G385)</f>
        <v/>
      </c>
      <c r="I385" s="0" t="str">
        <f aca="false">IF(F385="","",IFERROR(--'List 2'!B385,0))</f>
        <v/>
      </c>
      <c r="K385" s="0" t="str">
        <f aca="false">C385</f>
        <v/>
      </c>
      <c r="L385" s="0" t="str">
        <f aca="false">IF(K385="","",IF(ISNUMBER('List 1'!A385),'List 1'!A385,TRIM('List 1'!A385)))</f>
        <v/>
      </c>
      <c r="M385" s="0" t="str">
        <f aca="false">IF(K385="","",IF(ISNUMBER('List 1'!C385),'List 1'!C385,TRIM('List 1'!C385)))</f>
        <v/>
      </c>
      <c r="N385" s="0" t="str">
        <f aca="false">IF(K385="","",IF(ISNUMBER('List 1'!D385),'List 1'!D385,TRIM('List 1'!D385)))</f>
        <v/>
      </c>
      <c r="O385" s="0" t="str">
        <f aca="false">IF(K385="","",D385)</f>
        <v/>
      </c>
      <c r="P385" s="0" t="str">
        <f aca="false">IF(K385="","",IF(R385,SUMPRODUCT(--($H$2:$H$501=K385),$I$2:$I$501),0))</f>
        <v/>
      </c>
      <c r="Q385" s="0" t="str">
        <f aca="false">IF(K385="","",TRUE())</f>
        <v/>
      </c>
      <c r="R385" s="0" t="str">
        <f aca="false">IF(K385="","",SUMPRODUCT(--($H$2:$H$501=K385))&gt;0)</f>
        <v/>
      </c>
      <c r="S385" s="0" t="str">
        <f aca="false">IF(K385="","",IF(AND(Q385,R385),IF(O385=P385,"Match","Qty Different"),IF(Q385,"Only in List 1","Only in List 2")))</f>
        <v/>
      </c>
      <c r="T385" s="0" t="str">
        <f aca="false">IF(K385="","",IF(ISNUMBER(--L385),TEXT(--L385,"000000000000.000"),LOWER(L385)))</f>
        <v/>
      </c>
      <c r="U385" s="0" t="str">
        <f aca="false">IF(K385="","",IF(ISNUMBER(--M385),TEXT(--M385,"000000000000.000"),LOWER(M385)))</f>
        <v/>
      </c>
      <c r="V385" s="0" t="str">
        <f aca="false">IF(K385="","",LOWER(N385))</f>
        <v/>
      </c>
      <c r="W385" s="0" t="str">
        <f aca="false">IF(K385="","",B385)</f>
        <v/>
      </c>
      <c r="X385" s="0" t="str">
        <f aca="false">IF(K385="","",1+SUMPRODUCT(($K$2:$K$1001&lt;&gt;"")*(($T$2:$T$1001&lt;T385)+($T$2:$T$1001=T385)*(($U$2:$U$1001&lt;U385)+($U$2:$U$1001=U385)*(($V$2:$V$1001&lt;V385)+($V$2:$V$1001=V385)*(($W$2:$W$1001&lt;W385)+($W$2:$W$1001=W385)*(ROW($K$2:$K$1001)&lt;ROW(K385))))))))</f>
        <v/>
      </c>
    </row>
    <row r="386" customFormat="false" ht="15" hidden="false" customHeight="false" outlineLevel="0" collapsed="false">
      <c r="A386" s="0" t="str">
        <f aca="false">IF(TRIM('List 1'!A386&amp;'List 1'!C386&amp;'List 1'!D386)="","",LOWER(IF(OR(Comparison!$I$9="Item # + Part # + Description",Comparison!$I$9="Item # + Part #"),TRIM('List 1'!A386),"")&amp;"|"&amp;TRIM('List 1'!C386)&amp;"|"&amp;IF(OR(Comparison!$I$9="Item # + Part # + Description",Comparison!$I$9="Part # + Description"),TRIM('List 1'!D386),"")))</f>
        <v/>
      </c>
      <c r="B386" s="0" t="str">
        <f aca="false">IF(A386="","",SUMPRODUCT(--($A$2:A386=A386)))</f>
        <v/>
      </c>
      <c r="C386" s="0" t="str">
        <f aca="false">IF(A386="","",A386&amp;"#"&amp;B386)</f>
        <v/>
      </c>
      <c r="D386" s="0" t="str">
        <f aca="false">IF(A386="","",IFERROR(--'List 1'!B386,0))</f>
        <v/>
      </c>
      <c r="F386" s="0" t="str">
        <f aca="false">IF(TRIM('List 2'!A386&amp;'List 2'!C386&amp;'List 2'!D386)="","",LOWER(IF(OR(Comparison!$I$9="Item # + Part # + Description",Comparison!$I$9="Item # + Part #"),TRIM('List 2'!A386),"")&amp;"|"&amp;TRIM('List 2'!C386)&amp;"|"&amp;IF(OR(Comparison!$I$9="Item # + Part # + Description",Comparison!$I$9="Part # + Description"),TRIM('List 2'!D386),"")))</f>
        <v/>
      </c>
      <c r="G386" s="0" t="str">
        <f aca="false">IF(F386="","",SUMPRODUCT(--($F$2:F386=F386)))</f>
        <v/>
      </c>
      <c r="H386" s="0" t="str">
        <f aca="false">IF(F386="","",F386&amp;"#"&amp;G386)</f>
        <v/>
      </c>
      <c r="I386" s="0" t="str">
        <f aca="false">IF(F386="","",IFERROR(--'List 2'!B386,0))</f>
        <v/>
      </c>
      <c r="K386" s="0" t="str">
        <f aca="false">C386</f>
        <v/>
      </c>
      <c r="L386" s="0" t="str">
        <f aca="false">IF(K386="","",IF(ISNUMBER('List 1'!A386),'List 1'!A386,TRIM('List 1'!A386)))</f>
        <v/>
      </c>
      <c r="M386" s="0" t="str">
        <f aca="false">IF(K386="","",IF(ISNUMBER('List 1'!C386),'List 1'!C386,TRIM('List 1'!C386)))</f>
        <v/>
      </c>
      <c r="N386" s="0" t="str">
        <f aca="false">IF(K386="","",IF(ISNUMBER('List 1'!D386),'List 1'!D386,TRIM('List 1'!D386)))</f>
        <v/>
      </c>
      <c r="O386" s="0" t="str">
        <f aca="false">IF(K386="","",D386)</f>
        <v/>
      </c>
      <c r="P386" s="0" t="str">
        <f aca="false">IF(K386="","",IF(R386,SUMPRODUCT(--($H$2:$H$501=K386),$I$2:$I$501),0))</f>
        <v/>
      </c>
      <c r="Q386" s="0" t="str">
        <f aca="false">IF(K386="","",TRUE())</f>
        <v/>
      </c>
      <c r="R386" s="0" t="str">
        <f aca="false">IF(K386="","",SUMPRODUCT(--($H$2:$H$501=K386))&gt;0)</f>
        <v/>
      </c>
      <c r="S386" s="0" t="str">
        <f aca="false">IF(K386="","",IF(AND(Q386,R386),IF(O386=P386,"Match","Qty Different"),IF(Q386,"Only in List 1","Only in List 2")))</f>
        <v/>
      </c>
      <c r="T386" s="0" t="str">
        <f aca="false">IF(K386="","",IF(ISNUMBER(--L386),TEXT(--L386,"000000000000.000"),LOWER(L386)))</f>
        <v/>
      </c>
      <c r="U386" s="0" t="str">
        <f aca="false">IF(K386="","",IF(ISNUMBER(--M386),TEXT(--M386,"000000000000.000"),LOWER(M386)))</f>
        <v/>
      </c>
      <c r="V386" s="0" t="str">
        <f aca="false">IF(K386="","",LOWER(N386))</f>
        <v/>
      </c>
      <c r="W386" s="0" t="str">
        <f aca="false">IF(K386="","",B386)</f>
        <v/>
      </c>
      <c r="X386" s="0" t="str">
        <f aca="false">IF(K386="","",1+SUMPRODUCT(($K$2:$K$1001&lt;&gt;"")*(($T$2:$T$1001&lt;T386)+($T$2:$T$1001=T386)*(($U$2:$U$1001&lt;U386)+($U$2:$U$1001=U386)*(($V$2:$V$1001&lt;V386)+($V$2:$V$1001=V386)*(($W$2:$W$1001&lt;W386)+($W$2:$W$1001=W386)*(ROW($K$2:$K$1001)&lt;ROW(K386))))))))</f>
        <v/>
      </c>
    </row>
    <row r="387" customFormat="false" ht="15" hidden="false" customHeight="false" outlineLevel="0" collapsed="false">
      <c r="A387" s="0" t="str">
        <f aca="false">IF(TRIM('List 1'!A387&amp;'List 1'!C387&amp;'List 1'!D387)="","",LOWER(IF(OR(Comparison!$I$9="Item # + Part # + Description",Comparison!$I$9="Item # + Part #"),TRIM('List 1'!A387),"")&amp;"|"&amp;TRIM('List 1'!C387)&amp;"|"&amp;IF(OR(Comparison!$I$9="Item # + Part # + Description",Comparison!$I$9="Part # + Description"),TRIM('List 1'!D387),"")))</f>
        <v/>
      </c>
      <c r="B387" s="0" t="str">
        <f aca="false">IF(A387="","",SUMPRODUCT(--($A$2:A387=A387)))</f>
        <v/>
      </c>
      <c r="C387" s="0" t="str">
        <f aca="false">IF(A387="","",A387&amp;"#"&amp;B387)</f>
        <v/>
      </c>
      <c r="D387" s="0" t="str">
        <f aca="false">IF(A387="","",IFERROR(--'List 1'!B387,0))</f>
        <v/>
      </c>
      <c r="F387" s="0" t="str">
        <f aca="false">IF(TRIM('List 2'!A387&amp;'List 2'!C387&amp;'List 2'!D387)="","",LOWER(IF(OR(Comparison!$I$9="Item # + Part # + Description",Comparison!$I$9="Item # + Part #"),TRIM('List 2'!A387),"")&amp;"|"&amp;TRIM('List 2'!C387)&amp;"|"&amp;IF(OR(Comparison!$I$9="Item # + Part # + Description",Comparison!$I$9="Part # + Description"),TRIM('List 2'!D387),"")))</f>
        <v/>
      </c>
      <c r="G387" s="0" t="str">
        <f aca="false">IF(F387="","",SUMPRODUCT(--($F$2:F387=F387)))</f>
        <v/>
      </c>
      <c r="H387" s="0" t="str">
        <f aca="false">IF(F387="","",F387&amp;"#"&amp;G387)</f>
        <v/>
      </c>
      <c r="I387" s="0" t="str">
        <f aca="false">IF(F387="","",IFERROR(--'List 2'!B387,0))</f>
        <v/>
      </c>
      <c r="K387" s="0" t="str">
        <f aca="false">C387</f>
        <v/>
      </c>
      <c r="L387" s="0" t="str">
        <f aca="false">IF(K387="","",IF(ISNUMBER('List 1'!A387),'List 1'!A387,TRIM('List 1'!A387)))</f>
        <v/>
      </c>
      <c r="M387" s="0" t="str">
        <f aca="false">IF(K387="","",IF(ISNUMBER('List 1'!C387),'List 1'!C387,TRIM('List 1'!C387)))</f>
        <v/>
      </c>
      <c r="N387" s="0" t="str">
        <f aca="false">IF(K387="","",IF(ISNUMBER('List 1'!D387),'List 1'!D387,TRIM('List 1'!D387)))</f>
        <v/>
      </c>
      <c r="O387" s="0" t="str">
        <f aca="false">IF(K387="","",D387)</f>
        <v/>
      </c>
      <c r="P387" s="0" t="str">
        <f aca="false">IF(K387="","",IF(R387,SUMPRODUCT(--($H$2:$H$501=K387),$I$2:$I$501),0))</f>
        <v/>
      </c>
      <c r="Q387" s="0" t="str">
        <f aca="false">IF(K387="","",TRUE())</f>
        <v/>
      </c>
      <c r="R387" s="0" t="str">
        <f aca="false">IF(K387="","",SUMPRODUCT(--($H$2:$H$501=K387))&gt;0)</f>
        <v/>
      </c>
      <c r="S387" s="0" t="str">
        <f aca="false">IF(K387="","",IF(AND(Q387,R387),IF(O387=P387,"Match","Qty Different"),IF(Q387,"Only in List 1","Only in List 2")))</f>
        <v/>
      </c>
      <c r="T387" s="0" t="str">
        <f aca="false">IF(K387="","",IF(ISNUMBER(--L387),TEXT(--L387,"000000000000.000"),LOWER(L387)))</f>
        <v/>
      </c>
      <c r="U387" s="0" t="str">
        <f aca="false">IF(K387="","",IF(ISNUMBER(--M387),TEXT(--M387,"000000000000.000"),LOWER(M387)))</f>
        <v/>
      </c>
      <c r="V387" s="0" t="str">
        <f aca="false">IF(K387="","",LOWER(N387))</f>
        <v/>
      </c>
      <c r="W387" s="0" t="str">
        <f aca="false">IF(K387="","",B387)</f>
        <v/>
      </c>
      <c r="X387" s="0" t="str">
        <f aca="false">IF(K387="","",1+SUMPRODUCT(($K$2:$K$1001&lt;&gt;"")*(($T$2:$T$1001&lt;T387)+($T$2:$T$1001=T387)*(($U$2:$U$1001&lt;U387)+($U$2:$U$1001=U387)*(($V$2:$V$1001&lt;V387)+($V$2:$V$1001=V387)*(($W$2:$W$1001&lt;W387)+($W$2:$W$1001=W387)*(ROW($K$2:$K$1001)&lt;ROW(K387))))))))</f>
        <v/>
      </c>
    </row>
    <row r="388" customFormat="false" ht="15" hidden="false" customHeight="false" outlineLevel="0" collapsed="false">
      <c r="A388" s="0" t="str">
        <f aca="false">IF(TRIM('List 1'!A388&amp;'List 1'!C388&amp;'List 1'!D388)="","",LOWER(IF(OR(Comparison!$I$9="Item # + Part # + Description",Comparison!$I$9="Item # + Part #"),TRIM('List 1'!A388),"")&amp;"|"&amp;TRIM('List 1'!C388)&amp;"|"&amp;IF(OR(Comparison!$I$9="Item # + Part # + Description",Comparison!$I$9="Part # + Description"),TRIM('List 1'!D388),"")))</f>
        <v/>
      </c>
      <c r="B388" s="0" t="str">
        <f aca="false">IF(A388="","",SUMPRODUCT(--($A$2:A388=A388)))</f>
        <v/>
      </c>
      <c r="C388" s="0" t="str">
        <f aca="false">IF(A388="","",A388&amp;"#"&amp;B388)</f>
        <v/>
      </c>
      <c r="D388" s="0" t="str">
        <f aca="false">IF(A388="","",IFERROR(--'List 1'!B388,0))</f>
        <v/>
      </c>
      <c r="F388" s="0" t="str">
        <f aca="false">IF(TRIM('List 2'!A388&amp;'List 2'!C388&amp;'List 2'!D388)="","",LOWER(IF(OR(Comparison!$I$9="Item # + Part # + Description",Comparison!$I$9="Item # + Part #"),TRIM('List 2'!A388),"")&amp;"|"&amp;TRIM('List 2'!C388)&amp;"|"&amp;IF(OR(Comparison!$I$9="Item # + Part # + Description",Comparison!$I$9="Part # + Description"),TRIM('List 2'!D388),"")))</f>
        <v/>
      </c>
      <c r="G388" s="0" t="str">
        <f aca="false">IF(F388="","",SUMPRODUCT(--($F$2:F388=F388)))</f>
        <v/>
      </c>
      <c r="H388" s="0" t="str">
        <f aca="false">IF(F388="","",F388&amp;"#"&amp;G388)</f>
        <v/>
      </c>
      <c r="I388" s="0" t="str">
        <f aca="false">IF(F388="","",IFERROR(--'List 2'!B388,0))</f>
        <v/>
      </c>
      <c r="K388" s="0" t="str">
        <f aca="false">C388</f>
        <v/>
      </c>
      <c r="L388" s="0" t="str">
        <f aca="false">IF(K388="","",IF(ISNUMBER('List 1'!A388),'List 1'!A388,TRIM('List 1'!A388)))</f>
        <v/>
      </c>
      <c r="M388" s="0" t="str">
        <f aca="false">IF(K388="","",IF(ISNUMBER('List 1'!C388),'List 1'!C388,TRIM('List 1'!C388)))</f>
        <v/>
      </c>
      <c r="N388" s="0" t="str">
        <f aca="false">IF(K388="","",IF(ISNUMBER('List 1'!D388),'List 1'!D388,TRIM('List 1'!D388)))</f>
        <v/>
      </c>
      <c r="O388" s="0" t="str">
        <f aca="false">IF(K388="","",D388)</f>
        <v/>
      </c>
      <c r="P388" s="0" t="str">
        <f aca="false">IF(K388="","",IF(R388,SUMPRODUCT(--($H$2:$H$501=K388),$I$2:$I$501),0))</f>
        <v/>
      </c>
      <c r="Q388" s="0" t="str">
        <f aca="false">IF(K388="","",TRUE())</f>
        <v/>
      </c>
      <c r="R388" s="0" t="str">
        <f aca="false">IF(K388="","",SUMPRODUCT(--($H$2:$H$501=K388))&gt;0)</f>
        <v/>
      </c>
      <c r="S388" s="0" t="str">
        <f aca="false">IF(K388="","",IF(AND(Q388,R388),IF(O388=P388,"Match","Qty Different"),IF(Q388,"Only in List 1","Only in List 2")))</f>
        <v/>
      </c>
      <c r="T388" s="0" t="str">
        <f aca="false">IF(K388="","",IF(ISNUMBER(--L388),TEXT(--L388,"000000000000.000"),LOWER(L388)))</f>
        <v/>
      </c>
      <c r="U388" s="0" t="str">
        <f aca="false">IF(K388="","",IF(ISNUMBER(--M388),TEXT(--M388,"000000000000.000"),LOWER(M388)))</f>
        <v/>
      </c>
      <c r="V388" s="0" t="str">
        <f aca="false">IF(K388="","",LOWER(N388))</f>
        <v/>
      </c>
      <c r="W388" s="0" t="str">
        <f aca="false">IF(K388="","",B388)</f>
        <v/>
      </c>
      <c r="X388" s="0" t="str">
        <f aca="false">IF(K388="","",1+SUMPRODUCT(($K$2:$K$1001&lt;&gt;"")*(($T$2:$T$1001&lt;T388)+($T$2:$T$1001=T388)*(($U$2:$U$1001&lt;U388)+($U$2:$U$1001=U388)*(($V$2:$V$1001&lt;V388)+($V$2:$V$1001=V388)*(($W$2:$W$1001&lt;W388)+($W$2:$W$1001=W388)*(ROW($K$2:$K$1001)&lt;ROW(K388))))))))</f>
        <v/>
      </c>
    </row>
    <row r="389" customFormat="false" ht="15" hidden="false" customHeight="false" outlineLevel="0" collapsed="false">
      <c r="A389" s="0" t="str">
        <f aca="false">IF(TRIM('List 1'!A389&amp;'List 1'!C389&amp;'List 1'!D389)="","",LOWER(IF(OR(Comparison!$I$9="Item # + Part # + Description",Comparison!$I$9="Item # + Part #"),TRIM('List 1'!A389),"")&amp;"|"&amp;TRIM('List 1'!C389)&amp;"|"&amp;IF(OR(Comparison!$I$9="Item # + Part # + Description",Comparison!$I$9="Part # + Description"),TRIM('List 1'!D389),"")))</f>
        <v/>
      </c>
      <c r="B389" s="0" t="str">
        <f aca="false">IF(A389="","",SUMPRODUCT(--($A$2:A389=A389)))</f>
        <v/>
      </c>
      <c r="C389" s="0" t="str">
        <f aca="false">IF(A389="","",A389&amp;"#"&amp;B389)</f>
        <v/>
      </c>
      <c r="D389" s="0" t="str">
        <f aca="false">IF(A389="","",IFERROR(--'List 1'!B389,0))</f>
        <v/>
      </c>
      <c r="F389" s="0" t="str">
        <f aca="false">IF(TRIM('List 2'!A389&amp;'List 2'!C389&amp;'List 2'!D389)="","",LOWER(IF(OR(Comparison!$I$9="Item # + Part # + Description",Comparison!$I$9="Item # + Part #"),TRIM('List 2'!A389),"")&amp;"|"&amp;TRIM('List 2'!C389)&amp;"|"&amp;IF(OR(Comparison!$I$9="Item # + Part # + Description",Comparison!$I$9="Part # + Description"),TRIM('List 2'!D389),"")))</f>
        <v/>
      </c>
      <c r="G389" s="0" t="str">
        <f aca="false">IF(F389="","",SUMPRODUCT(--($F$2:F389=F389)))</f>
        <v/>
      </c>
      <c r="H389" s="0" t="str">
        <f aca="false">IF(F389="","",F389&amp;"#"&amp;G389)</f>
        <v/>
      </c>
      <c r="I389" s="0" t="str">
        <f aca="false">IF(F389="","",IFERROR(--'List 2'!B389,0))</f>
        <v/>
      </c>
      <c r="K389" s="0" t="str">
        <f aca="false">C389</f>
        <v/>
      </c>
      <c r="L389" s="0" t="str">
        <f aca="false">IF(K389="","",IF(ISNUMBER('List 1'!A389),'List 1'!A389,TRIM('List 1'!A389)))</f>
        <v/>
      </c>
      <c r="M389" s="0" t="str">
        <f aca="false">IF(K389="","",IF(ISNUMBER('List 1'!C389),'List 1'!C389,TRIM('List 1'!C389)))</f>
        <v/>
      </c>
      <c r="N389" s="0" t="str">
        <f aca="false">IF(K389="","",IF(ISNUMBER('List 1'!D389),'List 1'!D389,TRIM('List 1'!D389)))</f>
        <v/>
      </c>
      <c r="O389" s="0" t="str">
        <f aca="false">IF(K389="","",D389)</f>
        <v/>
      </c>
      <c r="P389" s="0" t="str">
        <f aca="false">IF(K389="","",IF(R389,SUMPRODUCT(--($H$2:$H$501=K389),$I$2:$I$501),0))</f>
        <v/>
      </c>
      <c r="Q389" s="0" t="str">
        <f aca="false">IF(K389="","",TRUE())</f>
        <v/>
      </c>
      <c r="R389" s="0" t="str">
        <f aca="false">IF(K389="","",SUMPRODUCT(--($H$2:$H$501=K389))&gt;0)</f>
        <v/>
      </c>
      <c r="S389" s="0" t="str">
        <f aca="false">IF(K389="","",IF(AND(Q389,R389),IF(O389=P389,"Match","Qty Different"),IF(Q389,"Only in List 1","Only in List 2")))</f>
        <v/>
      </c>
      <c r="T389" s="0" t="str">
        <f aca="false">IF(K389="","",IF(ISNUMBER(--L389),TEXT(--L389,"000000000000.000"),LOWER(L389)))</f>
        <v/>
      </c>
      <c r="U389" s="0" t="str">
        <f aca="false">IF(K389="","",IF(ISNUMBER(--M389),TEXT(--M389,"000000000000.000"),LOWER(M389)))</f>
        <v/>
      </c>
      <c r="V389" s="0" t="str">
        <f aca="false">IF(K389="","",LOWER(N389))</f>
        <v/>
      </c>
      <c r="W389" s="0" t="str">
        <f aca="false">IF(K389="","",B389)</f>
        <v/>
      </c>
      <c r="X389" s="0" t="str">
        <f aca="false">IF(K389="","",1+SUMPRODUCT(($K$2:$K$1001&lt;&gt;"")*(($T$2:$T$1001&lt;T389)+($T$2:$T$1001=T389)*(($U$2:$U$1001&lt;U389)+($U$2:$U$1001=U389)*(($V$2:$V$1001&lt;V389)+($V$2:$V$1001=V389)*(($W$2:$W$1001&lt;W389)+($W$2:$W$1001=W389)*(ROW($K$2:$K$1001)&lt;ROW(K389))))))))</f>
        <v/>
      </c>
    </row>
    <row r="390" customFormat="false" ht="15" hidden="false" customHeight="false" outlineLevel="0" collapsed="false">
      <c r="A390" s="0" t="str">
        <f aca="false">IF(TRIM('List 1'!A390&amp;'List 1'!C390&amp;'List 1'!D390)="","",LOWER(IF(OR(Comparison!$I$9="Item # + Part # + Description",Comparison!$I$9="Item # + Part #"),TRIM('List 1'!A390),"")&amp;"|"&amp;TRIM('List 1'!C390)&amp;"|"&amp;IF(OR(Comparison!$I$9="Item # + Part # + Description",Comparison!$I$9="Part # + Description"),TRIM('List 1'!D390),"")))</f>
        <v/>
      </c>
      <c r="B390" s="0" t="str">
        <f aca="false">IF(A390="","",SUMPRODUCT(--($A$2:A390=A390)))</f>
        <v/>
      </c>
      <c r="C390" s="0" t="str">
        <f aca="false">IF(A390="","",A390&amp;"#"&amp;B390)</f>
        <v/>
      </c>
      <c r="D390" s="0" t="str">
        <f aca="false">IF(A390="","",IFERROR(--'List 1'!B390,0))</f>
        <v/>
      </c>
      <c r="F390" s="0" t="str">
        <f aca="false">IF(TRIM('List 2'!A390&amp;'List 2'!C390&amp;'List 2'!D390)="","",LOWER(IF(OR(Comparison!$I$9="Item # + Part # + Description",Comparison!$I$9="Item # + Part #"),TRIM('List 2'!A390),"")&amp;"|"&amp;TRIM('List 2'!C390)&amp;"|"&amp;IF(OR(Comparison!$I$9="Item # + Part # + Description",Comparison!$I$9="Part # + Description"),TRIM('List 2'!D390),"")))</f>
        <v/>
      </c>
      <c r="G390" s="0" t="str">
        <f aca="false">IF(F390="","",SUMPRODUCT(--($F$2:F390=F390)))</f>
        <v/>
      </c>
      <c r="H390" s="0" t="str">
        <f aca="false">IF(F390="","",F390&amp;"#"&amp;G390)</f>
        <v/>
      </c>
      <c r="I390" s="0" t="str">
        <f aca="false">IF(F390="","",IFERROR(--'List 2'!B390,0))</f>
        <v/>
      </c>
      <c r="K390" s="0" t="str">
        <f aca="false">C390</f>
        <v/>
      </c>
      <c r="L390" s="0" t="str">
        <f aca="false">IF(K390="","",IF(ISNUMBER('List 1'!A390),'List 1'!A390,TRIM('List 1'!A390)))</f>
        <v/>
      </c>
      <c r="M390" s="0" t="str">
        <f aca="false">IF(K390="","",IF(ISNUMBER('List 1'!C390),'List 1'!C390,TRIM('List 1'!C390)))</f>
        <v/>
      </c>
      <c r="N390" s="0" t="str">
        <f aca="false">IF(K390="","",IF(ISNUMBER('List 1'!D390),'List 1'!D390,TRIM('List 1'!D390)))</f>
        <v/>
      </c>
      <c r="O390" s="0" t="str">
        <f aca="false">IF(K390="","",D390)</f>
        <v/>
      </c>
      <c r="P390" s="0" t="str">
        <f aca="false">IF(K390="","",IF(R390,SUMPRODUCT(--($H$2:$H$501=K390),$I$2:$I$501),0))</f>
        <v/>
      </c>
      <c r="Q390" s="0" t="str">
        <f aca="false">IF(K390="","",TRUE())</f>
        <v/>
      </c>
      <c r="R390" s="0" t="str">
        <f aca="false">IF(K390="","",SUMPRODUCT(--($H$2:$H$501=K390))&gt;0)</f>
        <v/>
      </c>
      <c r="S390" s="0" t="str">
        <f aca="false">IF(K390="","",IF(AND(Q390,R390),IF(O390=P390,"Match","Qty Different"),IF(Q390,"Only in List 1","Only in List 2")))</f>
        <v/>
      </c>
      <c r="T390" s="0" t="str">
        <f aca="false">IF(K390="","",IF(ISNUMBER(--L390),TEXT(--L390,"000000000000.000"),LOWER(L390)))</f>
        <v/>
      </c>
      <c r="U390" s="0" t="str">
        <f aca="false">IF(K390="","",IF(ISNUMBER(--M390),TEXT(--M390,"000000000000.000"),LOWER(M390)))</f>
        <v/>
      </c>
      <c r="V390" s="0" t="str">
        <f aca="false">IF(K390="","",LOWER(N390))</f>
        <v/>
      </c>
      <c r="W390" s="0" t="str">
        <f aca="false">IF(K390="","",B390)</f>
        <v/>
      </c>
      <c r="X390" s="0" t="str">
        <f aca="false">IF(K390="","",1+SUMPRODUCT(($K$2:$K$1001&lt;&gt;"")*(($T$2:$T$1001&lt;T390)+($T$2:$T$1001=T390)*(($U$2:$U$1001&lt;U390)+($U$2:$U$1001=U390)*(($V$2:$V$1001&lt;V390)+($V$2:$V$1001=V390)*(($W$2:$W$1001&lt;W390)+($W$2:$W$1001=W390)*(ROW($K$2:$K$1001)&lt;ROW(K390))))))))</f>
        <v/>
      </c>
    </row>
    <row r="391" customFormat="false" ht="15" hidden="false" customHeight="false" outlineLevel="0" collapsed="false">
      <c r="A391" s="0" t="str">
        <f aca="false">IF(TRIM('List 1'!A391&amp;'List 1'!C391&amp;'List 1'!D391)="","",LOWER(IF(OR(Comparison!$I$9="Item # + Part # + Description",Comparison!$I$9="Item # + Part #"),TRIM('List 1'!A391),"")&amp;"|"&amp;TRIM('List 1'!C391)&amp;"|"&amp;IF(OR(Comparison!$I$9="Item # + Part # + Description",Comparison!$I$9="Part # + Description"),TRIM('List 1'!D391),"")))</f>
        <v/>
      </c>
      <c r="B391" s="0" t="str">
        <f aca="false">IF(A391="","",SUMPRODUCT(--($A$2:A391=A391)))</f>
        <v/>
      </c>
      <c r="C391" s="0" t="str">
        <f aca="false">IF(A391="","",A391&amp;"#"&amp;B391)</f>
        <v/>
      </c>
      <c r="D391" s="0" t="str">
        <f aca="false">IF(A391="","",IFERROR(--'List 1'!B391,0))</f>
        <v/>
      </c>
      <c r="F391" s="0" t="str">
        <f aca="false">IF(TRIM('List 2'!A391&amp;'List 2'!C391&amp;'List 2'!D391)="","",LOWER(IF(OR(Comparison!$I$9="Item # + Part # + Description",Comparison!$I$9="Item # + Part #"),TRIM('List 2'!A391),"")&amp;"|"&amp;TRIM('List 2'!C391)&amp;"|"&amp;IF(OR(Comparison!$I$9="Item # + Part # + Description",Comparison!$I$9="Part # + Description"),TRIM('List 2'!D391),"")))</f>
        <v/>
      </c>
      <c r="G391" s="0" t="str">
        <f aca="false">IF(F391="","",SUMPRODUCT(--($F$2:F391=F391)))</f>
        <v/>
      </c>
      <c r="H391" s="0" t="str">
        <f aca="false">IF(F391="","",F391&amp;"#"&amp;G391)</f>
        <v/>
      </c>
      <c r="I391" s="0" t="str">
        <f aca="false">IF(F391="","",IFERROR(--'List 2'!B391,0))</f>
        <v/>
      </c>
      <c r="K391" s="0" t="str">
        <f aca="false">C391</f>
        <v/>
      </c>
      <c r="L391" s="0" t="str">
        <f aca="false">IF(K391="","",IF(ISNUMBER('List 1'!A391),'List 1'!A391,TRIM('List 1'!A391)))</f>
        <v/>
      </c>
      <c r="M391" s="0" t="str">
        <f aca="false">IF(K391="","",IF(ISNUMBER('List 1'!C391),'List 1'!C391,TRIM('List 1'!C391)))</f>
        <v/>
      </c>
      <c r="N391" s="0" t="str">
        <f aca="false">IF(K391="","",IF(ISNUMBER('List 1'!D391),'List 1'!D391,TRIM('List 1'!D391)))</f>
        <v/>
      </c>
      <c r="O391" s="0" t="str">
        <f aca="false">IF(K391="","",D391)</f>
        <v/>
      </c>
      <c r="P391" s="0" t="str">
        <f aca="false">IF(K391="","",IF(R391,SUMPRODUCT(--($H$2:$H$501=K391),$I$2:$I$501),0))</f>
        <v/>
      </c>
      <c r="Q391" s="0" t="str">
        <f aca="false">IF(K391="","",TRUE())</f>
        <v/>
      </c>
      <c r="R391" s="0" t="str">
        <f aca="false">IF(K391="","",SUMPRODUCT(--($H$2:$H$501=K391))&gt;0)</f>
        <v/>
      </c>
      <c r="S391" s="0" t="str">
        <f aca="false">IF(K391="","",IF(AND(Q391,R391),IF(O391=P391,"Match","Qty Different"),IF(Q391,"Only in List 1","Only in List 2")))</f>
        <v/>
      </c>
      <c r="T391" s="0" t="str">
        <f aca="false">IF(K391="","",IF(ISNUMBER(--L391),TEXT(--L391,"000000000000.000"),LOWER(L391)))</f>
        <v/>
      </c>
      <c r="U391" s="0" t="str">
        <f aca="false">IF(K391="","",IF(ISNUMBER(--M391),TEXT(--M391,"000000000000.000"),LOWER(M391)))</f>
        <v/>
      </c>
      <c r="V391" s="0" t="str">
        <f aca="false">IF(K391="","",LOWER(N391))</f>
        <v/>
      </c>
      <c r="W391" s="0" t="str">
        <f aca="false">IF(K391="","",B391)</f>
        <v/>
      </c>
      <c r="X391" s="0" t="str">
        <f aca="false">IF(K391="","",1+SUMPRODUCT(($K$2:$K$1001&lt;&gt;"")*(($T$2:$T$1001&lt;T391)+($T$2:$T$1001=T391)*(($U$2:$U$1001&lt;U391)+($U$2:$U$1001=U391)*(($V$2:$V$1001&lt;V391)+($V$2:$V$1001=V391)*(($W$2:$W$1001&lt;W391)+($W$2:$W$1001=W391)*(ROW($K$2:$K$1001)&lt;ROW(K391))))))))</f>
        <v/>
      </c>
    </row>
    <row r="392" customFormat="false" ht="15" hidden="false" customHeight="false" outlineLevel="0" collapsed="false">
      <c r="A392" s="0" t="str">
        <f aca="false">IF(TRIM('List 1'!A392&amp;'List 1'!C392&amp;'List 1'!D392)="","",LOWER(IF(OR(Comparison!$I$9="Item # + Part # + Description",Comparison!$I$9="Item # + Part #"),TRIM('List 1'!A392),"")&amp;"|"&amp;TRIM('List 1'!C392)&amp;"|"&amp;IF(OR(Comparison!$I$9="Item # + Part # + Description",Comparison!$I$9="Part # + Description"),TRIM('List 1'!D392),"")))</f>
        <v/>
      </c>
      <c r="B392" s="0" t="str">
        <f aca="false">IF(A392="","",SUMPRODUCT(--($A$2:A392=A392)))</f>
        <v/>
      </c>
      <c r="C392" s="0" t="str">
        <f aca="false">IF(A392="","",A392&amp;"#"&amp;B392)</f>
        <v/>
      </c>
      <c r="D392" s="0" t="str">
        <f aca="false">IF(A392="","",IFERROR(--'List 1'!B392,0))</f>
        <v/>
      </c>
      <c r="F392" s="0" t="str">
        <f aca="false">IF(TRIM('List 2'!A392&amp;'List 2'!C392&amp;'List 2'!D392)="","",LOWER(IF(OR(Comparison!$I$9="Item # + Part # + Description",Comparison!$I$9="Item # + Part #"),TRIM('List 2'!A392),"")&amp;"|"&amp;TRIM('List 2'!C392)&amp;"|"&amp;IF(OR(Comparison!$I$9="Item # + Part # + Description",Comparison!$I$9="Part # + Description"),TRIM('List 2'!D392),"")))</f>
        <v/>
      </c>
      <c r="G392" s="0" t="str">
        <f aca="false">IF(F392="","",SUMPRODUCT(--($F$2:F392=F392)))</f>
        <v/>
      </c>
      <c r="H392" s="0" t="str">
        <f aca="false">IF(F392="","",F392&amp;"#"&amp;G392)</f>
        <v/>
      </c>
      <c r="I392" s="0" t="str">
        <f aca="false">IF(F392="","",IFERROR(--'List 2'!B392,0))</f>
        <v/>
      </c>
      <c r="K392" s="0" t="str">
        <f aca="false">C392</f>
        <v/>
      </c>
      <c r="L392" s="0" t="str">
        <f aca="false">IF(K392="","",IF(ISNUMBER('List 1'!A392),'List 1'!A392,TRIM('List 1'!A392)))</f>
        <v/>
      </c>
      <c r="M392" s="0" t="str">
        <f aca="false">IF(K392="","",IF(ISNUMBER('List 1'!C392),'List 1'!C392,TRIM('List 1'!C392)))</f>
        <v/>
      </c>
      <c r="N392" s="0" t="str">
        <f aca="false">IF(K392="","",IF(ISNUMBER('List 1'!D392),'List 1'!D392,TRIM('List 1'!D392)))</f>
        <v/>
      </c>
      <c r="O392" s="0" t="str">
        <f aca="false">IF(K392="","",D392)</f>
        <v/>
      </c>
      <c r="P392" s="0" t="str">
        <f aca="false">IF(K392="","",IF(R392,SUMPRODUCT(--($H$2:$H$501=K392),$I$2:$I$501),0))</f>
        <v/>
      </c>
      <c r="Q392" s="0" t="str">
        <f aca="false">IF(K392="","",TRUE())</f>
        <v/>
      </c>
      <c r="R392" s="0" t="str">
        <f aca="false">IF(K392="","",SUMPRODUCT(--($H$2:$H$501=K392))&gt;0)</f>
        <v/>
      </c>
      <c r="S392" s="0" t="str">
        <f aca="false">IF(K392="","",IF(AND(Q392,R392),IF(O392=P392,"Match","Qty Different"),IF(Q392,"Only in List 1","Only in List 2")))</f>
        <v/>
      </c>
      <c r="T392" s="0" t="str">
        <f aca="false">IF(K392="","",IF(ISNUMBER(--L392),TEXT(--L392,"000000000000.000"),LOWER(L392)))</f>
        <v/>
      </c>
      <c r="U392" s="0" t="str">
        <f aca="false">IF(K392="","",IF(ISNUMBER(--M392),TEXT(--M392,"000000000000.000"),LOWER(M392)))</f>
        <v/>
      </c>
      <c r="V392" s="0" t="str">
        <f aca="false">IF(K392="","",LOWER(N392))</f>
        <v/>
      </c>
      <c r="W392" s="0" t="str">
        <f aca="false">IF(K392="","",B392)</f>
        <v/>
      </c>
      <c r="X392" s="0" t="str">
        <f aca="false">IF(K392="","",1+SUMPRODUCT(($K$2:$K$1001&lt;&gt;"")*(($T$2:$T$1001&lt;T392)+($T$2:$T$1001=T392)*(($U$2:$U$1001&lt;U392)+($U$2:$U$1001=U392)*(($V$2:$V$1001&lt;V392)+($V$2:$V$1001=V392)*(($W$2:$W$1001&lt;W392)+($W$2:$W$1001=W392)*(ROW($K$2:$K$1001)&lt;ROW(K392))))))))</f>
        <v/>
      </c>
    </row>
    <row r="393" customFormat="false" ht="15" hidden="false" customHeight="false" outlineLevel="0" collapsed="false">
      <c r="A393" s="0" t="str">
        <f aca="false">IF(TRIM('List 1'!A393&amp;'List 1'!C393&amp;'List 1'!D393)="","",LOWER(IF(OR(Comparison!$I$9="Item # + Part # + Description",Comparison!$I$9="Item # + Part #"),TRIM('List 1'!A393),"")&amp;"|"&amp;TRIM('List 1'!C393)&amp;"|"&amp;IF(OR(Comparison!$I$9="Item # + Part # + Description",Comparison!$I$9="Part # + Description"),TRIM('List 1'!D393),"")))</f>
        <v/>
      </c>
      <c r="B393" s="0" t="str">
        <f aca="false">IF(A393="","",SUMPRODUCT(--($A$2:A393=A393)))</f>
        <v/>
      </c>
      <c r="C393" s="0" t="str">
        <f aca="false">IF(A393="","",A393&amp;"#"&amp;B393)</f>
        <v/>
      </c>
      <c r="D393" s="0" t="str">
        <f aca="false">IF(A393="","",IFERROR(--'List 1'!B393,0))</f>
        <v/>
      </c>
      <c r="F393" s="0" t="str">
        <f aca="false">IF(TRIM('List 2'!A393&amp;'List 2'!C393&amp;'List 2'!D393)="","",LOWER(IF(OR(Comparison!$I$9="Item # + Part # + Description",Comparison!$I$9="Item # + Part #"),TRIM('List 2'!A393),"")&amp;"|"&amp;TRIM('List 2'!C393)&amp;"|"&amp;IF(OR(Comparison!$I$9="Item # + Part # + Description",Comparison!$I$9="Part # + Description"),TRIM('List 2'!D393),"")))</f>
        <v/>
      </c>
      <c r="G393" s="0" t="str">
        <f aca="false">IF(F393="","",SUMPRODUCT(--($F$2:F393=F393)))</f>
        <v/>
      </c>
      <c r="H393" s="0" t="str">
        <f aca="false">IF(F393="","",F393&amp;"#"&amp;G393)</f>
        <v/>
      </c>
      <c r="I393" s="0" t="str">
        <f aca="false">IF(F393="","",IFERROR(--'List 2'!B393,0))</f>
        <v/>
      </c>
      <c r="K393" s="0" t="str">
        <f aca="false">C393</f>
        <v/>
      </c>
      <c r="L393" s="0" t="str">
        <f aca="false">IF(K393="","",IF(ISNUMBER('List 1'!A393),'List 1'!A393,TRIM('List 1'!A393)))</f>
        <v/>
      </c>
      <c r="M393" s="0" t="str">
        <f aca="false">IF(K393="","",IF(ISNUMBER('List 1'!C393),'List 1'!C393,TRIM('List 1'!C393)))</f>
        <v/>
      </c>
      <c r="N393" s="0" t="str">
        <f aca="false">IF(K393="","",IF(ISNUMBER('List 1'!D393),'List 1'!D393,TRIM('List 1'!D393)))</f>
        <v/>
      </c>
      <c r="O393" s="0" t="str">
        <f aca="false">IF(K393="","",D393)</f>
        <v/>
      </c>
      <c r="P393" s="0" t="str">
        <f aca="false">IF(K393="","",IF(R393,SUMPRODUCT(--($H$2:$H$501=K393),$I$2:$I$501),0))</f>
        <v/>
      </c>
      <c r="Q393" s="0" t="str">
        <f aca="false">IF(K393="","",TRUE())</f>
        <v/>
      </c>
      <c r="R393" s="0" t="str">
        <f aca="false">IF(K393="","",SUMPRODUCT(--($H$2:$H$501=K393))&gt;0)</f>
        <v/>
      </c>
      <c r="S393" s="0" t="str">
        <f aca="false">IF(K393="","",IF(AND(Q393,R393),IF(O393=P393,"Match","Qty Different"),IF(Q393,"Only in List 1","Only in List 2")))</f>
        <v/>
      </c>
      <c r="T393" s="0" t="str">
        <f aca="false">IF(K393="","",IF(ISNUMBER(--L393),TEXT(--L393,"000000000000.000"),LOWER(L393)))</f>
        <v/>
      </c>
      <c r="U393" s="0" t="str">
        <f aca="false">IF(K393="","",IF(ISNUMBER(--M393),TEXT(--M393,"000000000000.000"),LOWER(M393)))</f>
        <v/>
      </c>
      <c r="V393" s="0" t="str">
        <f aca="false">IF(K393="","",LOWER(N393))</f>
        <v/>
      </c>
      <c r="W393" s="0" t="str">
        <f aca="false">IF(K393="","",B393)</f>
        <v/>
      </c>
      <c r="X393" s="0" t="str">
        <f aca="false">IF(K393="","",1+SUMPRODUCT(($K$2:$K$1001&lt;&gt;"")*(($T$2:$T$1001&lt;T393)+($T$2:$T$1001=T393)*(($U$2:$U$1001&lt;U393)+($U$2:$U$1001=U393)*(($V$2:$V$1001&lt;V393)+($V$2:$V$1001=V393)*(($W$2:$W$1001&lt;W393)+($W$2:$W$1001=W393)*(ROW($K$2:$K$1001)&lt;ROW(K393))))))))</f>
        <v/>
      </c>
    </row>
    <row r="394" customFormat="false" ht="15" hidden="false" customHeight="false" outlineLevel="0" collapsed="false">
      <c r="A394" s="0" t="str">
        <f aca="false">IF(TRIM('List 1'!A394&amp;'List 1'!C394&amp;'List 1'!D394)="","",LOWER(IF(OR(Comparison!$I$9="Item # + Part # + Description",Comparison!$I$9="Item # + Part #"),TRIM('List 1'!A394),"")&amp;"|"&amp;TRIM('List 1'!C394)&amp;"|"&amp;IF(OR(Comparison!$I$9="Item # + Part # + Description",Comparison!$I$9="Part # + Description"),TRIM('List 1'!D394),"")))</f>
        <v/>
      </c>
      <c r="B394" s="0" t="str">
        <f aca="false">IF(A394="","",SUMPRODUCT(--($A$2:A394=A394)))</f>
        <v/>
      </c>
      <c r="C394" s="0" t="str">
        <f aca="false">IF(A394="","",A394&amp;"#"&amp;B394)</f>
        <v/>
      </c>
      <c r="D394" s="0" t="str">
        <f aca="false">IF(A394="","",IFERROR(--'List 1'!B394,0))</f>
        <v/>
      </c>
      <c r="F394" s="0" t="str">
        <f aca="false">IF(TRIM('List 2'!A394&amp;'List 2'!C394&amp;'List 2'!D394)="","",LOWER(IF(OR(Comparison!$I$9="Item # + Part # + Description",Comparison!$I$9="Item # + Part #"),TRIM('List 2'!A394),"")&amp;"|"&amp;TRIM('List 2'!C394)&amp;"|"&amp;IF(OR(Comparison!$I$9="Item # + Part # + Description",Comparison!$I$9="Part # + Description"),TRIM('List 2'!D394),"")))</f>
        <v/>
      </c>
      <c r="G394" s="0" t="str">
        <f aca="false">IF(F394="","",SUMPRODUCT(--($F$2:F394=F394)))</f>
        <v/>
      </c>
      <c r="H394" s="0" t="str">
        <f aca="false">IF(F394="","",F394&amp;"#"&amp;G394)</f>
        <v/>
      </c>
      <c r="I394" s="0" t="str">
        <f aca="false">IF(F394="","",IFERROR(--'List 2'!B394,0))</f>
        <v/>
      </c>
      <c r="K394" s="0" t="str">
        <f aca="false">C394</f>
        <v/>
      </c>
      <c r="L394" s="0" t="str">
        <f aca="false">IF(K394="","",IF(ISNUMBER('List 1'!A394),'List 1'!A394,TRIM('List 1'!A394)))</f>
        <v/>
      </c>
      <c r="M394" s="0" t="str">
        <f aca="false">IF(K394="","",IF(ISNUMBER('List 1'!C394),'List 1'!C394,TRIM('List 1'!C394)))</f>
        <v/>
      </c>
      <c r="N394" s="0" t="str">
        <f aca="false">IF(K394="","",IF(ISNUMBER('List 1'!D394),'List 1'!D394,TRIM('List 1'!D394)))</f>
        <v/>
      </c>
      <c r="O394" s="0" t="str">
        <f aca="false">IF(K394="","",D394)</f>
        <v/>
      </c>
      <c r="P394" s="0" t="str">
        <f aca="false">IF(K394="","",IF(R394,SUMPRODUCT(--($H$2:$H$501=K394),$I$2:$I$501),0))</f>
        <v/>
      </c>
      <c r="Q394" s="0" t="str">
        <f aca="false">IF(K394="","",TRUE())</f>
        <v/>
      </c>
      <c r="R394" s="0" t="str">
        <f aca="false">IF(K394="","",SUMPRODUCT(--($H$2:$H$501=K394))&gt;0)</f>
        <v/>
      </c>
      <c r="S394" s="0" t="str">
        <f aca="false">IF(K394="","",IF(AND(Q394,R394),IF(O394=P394,"Match","Qty Different"),IF(Q394,"Only in List 1","Only in List 2")))</f>
        <v/>
      </c>
      <c r="T394" s="0" t="str">
        <f aca="false">IF(K394="","",IF(ISNUMBER(--L394),TEXT(--L394,"000000000000.000"),LOWER(L394)))</f>
        <v/>
      </c>
      <c r="U394" s="0" t="str">
        <f aca="false">IF(K394="","",IF(ISNUMBER(--M394),TEXT(--M394,"000000000000.000"),LOWER(M394)))</f>
        <v/>
      </c>
      <c r="V394" s="0" t="str">
        <f aca="false">IF(K394="","",LOWER(N394))</f>
        <v/>
      </c>
      <c r="W394" s="0" t="str">
        <f aca="false">IF(K394="","",B394)</f>
        <v/>
      </c>
      <c r="X394" s="0" t="str">
        <f aca="false">IF(K394="","",1+SUMPRODUCT(($K$2:$K$1001&lt;&gt;"")*(($T$2:$T$1001&lt;T394)+($T$2:$T$1001=T394)*(($U$2:$U$1001&lt;U394)+($U$2:$U$1001=U394)*(($V$2:$V$1001&lt;V394)+($V$2:$V$1001=V394)*(($W$2:$W$1001&lt;W394)+($W$2:$W$1001=W394)*(ROW($K$2:$K$1001)&lt;ROW(K394))))))))</f>
        <v/>
      </c>
    </row>
    <row r="395" customFormat="false" ht="15" hidden="false" customHeight="false" outlineLevel="0" collapsed="false">
      <c r="A395" s="0" t="str">
        <f aca="false">IF(TRIM('List 1'!A395&amp;'List 1'!C395&amp;'List 1'!D395)="","",LOWER(IF(OR(Comparison!$I$9="Item # + Part # + Description",Comparison!$I$9="Item # + Part #"),TRIM('List 1'!A395),"")&amp;"|"&amp;TRIM('List 1'!C395)&amp;"|"&amp;IF(OR(Comparison!$I$9="Item # + Part # + Description",Comparison!$I$9="Part # + Description"),TRIM('List 1'!D395),"")))</f>
        <v/>
      </c>
      <c r="B395" s="0" t="str">
        <f aca="false">IF(A395="","",SUMPRODUCT(--($A$2:A395=A395)))</f>
        <v/>
      </c>
      <c r="C395" s="0" t="str">
        <f aca="false">IF(A395="","",A395&amp;"#"&amp;B395)</f>
        <v/>
      </c>
      <c r="D395" s="0" t="str">
        <f aca="false">IF(A395="","",IFERROR(--'List 1'!B395,0))</f>
        <v/>
      </c>
      <c r="F395" s="0" t="str">
        <f aca="false">IF(TRIM('List 2'!A395&amp;'List 2'!C395&amp;'List 2'!D395)="","",LOWER(IF(OR(Comparison!$I$9="Item # + Part # + Description",Comparison!$I$9="Item # + Part #"),TRIM('List 2'!A395),"")&amp;"|"&amp;TRIM('List 2'!C395)&amp;"|"&amp;IF(OR(Comparison!$I$9="Item # + Part # + Description",Comparison!$I$9="Part # + Description"),TRIM('List 2'!D395),"")))</f>
        <v/>
      </c>
      <c r="G395" s="0" t="str">
        <f aca="false">IF(F395="","",SUMPRODUCT(--($F$2:F395=F395)))</f>
        <v/>
      </c>
      <c r="H395" s="0" t="str">
        <f aca="false">IF(F395="","",F395&amp;"#"&amp;G395)</f>
        <v/>
      </c>
      <c r="I395" s="0" t="str">
        <f aca="false">IF(F395="","",IFERROR(--'List 2'!B395,0))</f>
        <v/>
      </c>
      <c r="K395" s="0" t="str">
        <f aca="false">C395</f>
        <v/>
      </c>
      <c r="L395" s="0" t="str">
        <f aca="false">IF(K395="","",IF(ISNUMBER('List 1'!A395),'List 1'!A395,TRIM('List 1'!A395)))</f>
        <v/>
      </c>
      <c r="M395" s="0" t="str">
        <f aca="false">IF(K395="","",IF(ISNUMBER('List 1'!C395),'List 1'!C395,TRIM('List 1'!C395)))</f>
        <v/>
      </c>
      <c r="N395" s="0" t="str">
        <f aca="false">IF(K395="","",IF(ISNUMBER('List 1'!D395),'List 1'!D395,TRIM('List 1'!D395)))</f>
        <v/>
      </c>
      <c r="O395" s="0" t="str">
        <f aca="false">IF(K395="","",D395)</f>
        <v/>
      </c>
      <c r="P395" s="0" t="str">
        <f aca="false">IF(K395="","",IF(R395,SUMPRODUCT(--($H$2:$H$501=K395),$I$2:$I$501),0))</f>
        <v/>
      </c>
      <c r="Q395" s="0" t="str">
        <f aca="false">IF(K395="","",TRUE())</f>
        <v/>
      </c>
      <c r="R395" s="0" t="str">
        <f aca="false">IF(K395="","",SUMPRODUCT(--($H$2:$H$501=K395))&gt;0)</f>
        <v/>
      </c>
      <c r="S395" s="0" t="str">
        <f aca="false">IF(K395="","",IF(AND(Q395,R395),IF(O395=P395,"Match","Qty Different"),IF(Q395,"Only in List 1","Only in List 2")))</f>
        <v/>
      </c>
      <c r="T395" s="0" t="str">
        <f aca="false">IF(K395="","",IF(ISNUMBER(--L395),TEXT(--L395,"000000000000.000"),LOWER(L395)))</f>
        <v/>
      </c>
      <c r="U395" s="0" t="str">
        <f aca="false">IF(K395="","",IF(ISNUMBER(--M395),TEXT(--M395,"000000000000.000"),LOWER(M395)))</f>
        <v/>
      </c>
      <c r="V395" s="0" t="str">
        <f aca="false">IF(K395="","",LOWER(N395))</f>
        <v/>
      </c>
      <c r="W395" s="0" t="str">
        <f aca="false">IF(K395="","",B395)</f>
        <v/>
      </c>
      <c r="X395" s="0" t="str">
        <f aca="false">IF(K395="","",1+SUMPRODUCT(($K$2:$K$1001&lt;&gt;"")*(($T$2:$T$1001&lt;T395)+($T$2:$T$1001=T395)*(($U$2:$U$1001&lt;U395)+($U$2:$U$1001=U395)*(($V$2:$V$1001&lt;V395)+($V$2:$V$1001=V395)*(($W$2:$W$1001&lt;W395)+($W$2:$W$1001=W395)*(ROW($K$2:$K$1001)&lt;ROW(K395))))))))</f>
        <v/>
      </c>
    </row>
    <row r="396" customFormat="false" ht="15" hidden="false" customHeight="false" outlineLevel="0" collapsed="false">
      <c r="A396" s="0" t="str">
        <f aca="false">IF(TRIM('List 1'!A396&amp;'List 1'!C396&amp;'List 1'!D396)="","",LOWER(IF(OR(Comparison!$I$9="Item # + Part # + Description",Comparison!$I$9="Item # + Part #"),TRIM('List 1'!A396),"")&amp;"|"&amp;TRIM('List 1'!C396)&amp;"|"&amp;IF(OR(Comparison!$I$9="Item # + Part # + Description",Comparison!$I$9="Part # + Description"),TRIM('List 1'!D396),"")))</f>
        <v/>
      </c>
      <c r="B396" s="0" t="str">
        <f aca="false">IF(A396="","",SUMPRODUCT(--($A$2:A396=A396)))</f>
        <v/>
      </c>
      <c r="C396" s="0" t="str">
        <f aca="false">IF(A396="","",A396&amp;"#"&amp;B396)</f>
        <v/>
      </c>
      <c r="D396" s="0" t="str">
        <f aca="false">IF(A396="","",IFERROR(--'List 1'!B396,0))</f>
        <v/>
      </c>
      <c r="F396" s="0" t="str">
        <f aca="false">IF(TRIM('List 2'!A396&amp;'List 2'!C396&amp;'List 2'!D396)="","",LOWER(IF(OR(Comparison!$I$9="Item # + Part # + Description",Comparison!$I$9="Item # + Part #"),TRIM('List 2'!A396),"")&amp;"|"&amp;TRIM('List 2'!C396)&amp;"|"&amp;IF(OR(Comparison!$I$9="Item # + Part # + Description",Comparison!$I$9="Part # + Description"),TRIM('List 2'!D396),"")))</f>
        <v/>
      </c>
      <c r="G396" s="0" t="str">
        <f aca="false">IF(F396="","",SUMPRODUCT(--($F$2:F396=F396)))</f>
        <v/>
      </c>
      <c r="H396" s="0" t="str">
        <f aca="false">IF(F396="","",F396&amp;"#"&amp;G396)</f>
        <v/>
      </c>
      <c r="I396" s="0" t="str">
        <f aca="false">IF(F396="","",IFERROR(--'List 2'!B396,0))</f>
        <v/>
      </c>
      <c r="K396" s="0" t="str">
        <f aca="false">C396</f>
        <v/>
      </c>
      <c r="L396" s="0" t="str">
        <f aca="false">IF(K396="","",IF(ISNUMBER('List 1'!A396),'List 1'!A396,TRIM('List 1'!A396)))</f>
        <v/>
      </c>
      <c r="M396" s="0" t="str">
        <f aca="false">IF(K396="","",IF(ISNUMBER('List 1'!C396),'List 1'!C396,TRIM('List 1'!C396)))</f>
        <v/>
      </c>
      <c r="N396" s="0" t="str">
        <f aca="false">IF(K396="","",IF(ISNUMBER('List 1'!D396),'List 1'!D396,TRIM('List 1'!D396)))</f>
        <v/>
      </c>
      <c r="O396" s="0" t="str">
        <f aca="false">IF(K396="","",D396)</f>
        <v/>
      </c>
      <c r="P396" s="0" t="str">
        <f aca="false">IF(K396="","",IF(R396,SUMPRODUCT(--($H$2:$H$501=K396),$I$2:$I$501),0))</f>
        <v/>
      </c>
      <c r="Q396" s="0" t="str">
        <f aca="false">IF(K396="","",TRUE())</f>
        <v/>
      </c>
      <c r="R396" s="0" t="str">
        <f aca="false">IF(K396="","",SUMPRODUCT(--($H$2:$H$501=K396))&gt;0)</f>
        <v/>
      </c>
      <c r="S396" s="0" t="str">
        <f aca="false">IF(K396="","",IF(AND(Q396,R396),IF(O396=P396,"Match","Qty Different"),IF(Q396,"Only in List 1","Only in List 2")))</f>
        <v/>
      </c>
      <c r="T396" s="0" t="str">
        <f aca="false">IF(K396="","",IF(ISNUMBER(--L396),TEXT(--L396,"000000000000.000"),LOWER(L396)))</f>
        <v/>
      </c>
      <c r="U396" s="0" t="str">
        <f aca="false">IF(K396="","",IF(ISNUMBER(--M396),TEXT(--M396,"000000000000.000"),LOWER(M396)))</f>
        <v/>
      </c>
      <c r="V396" s="0" t="str">
        <f aca="false">IF(K396="","",LOWER(N396))</f>
        <v/>
      </c>
      <c r="W396" s="0" t="str">
        <f aca="false">IF(K396="","",B396)</f>
        <v/>
      </c>
      <c r="X396" s="0" t="str">
        <f aca="false">IF(K396="","",1+SUMPRODUCT(($K$2:$K$1001&lt;&gt;"")*(($T$2:$T$1001&lt;T396)+($T$2:$T$1001=T396)*(($U$2:$U$1001&lt;U396)+($U$2:$U$1001=U396)*(($V$2:$V$1001&lt;V396)+($V$2:$V$1001=V396)*(($W$2:$W$1001&lt;W396)+($W$2:$W$1001=W396)*(ROW($K$2:$K$1001)&lt;ROW(K396))))))))</f>
        <v/>
      </c>
    </row>
    <row r="397" customFormat="false" ht="15" hidden="false" customHeight="false" outlineLevel="0" collapsed="false">
      <c r="A397" s="0" t="str">
        <f aca="false">IF(TRIM('List 1'!A397&amp;'List 1'!C397&amp;'List 1'!D397)="","",LOWER(IF(OR(Comparison!$I$9="Item # + Part # + Description",Comparison!$I$9="Item # + Part #"),TRIM('List 1'!A397),"")&amp;"|"&amp;TRIM('List 1'!C397)&amp;"|"&amp;IF(OR(Comparison!$I$9="Item # + Part # + Description",Comparison!$I$9="Part # + Description"),TRIM('List 1'!D397),"")))</f>
        <v/>
      </c>
      <c r="B397" s="0" t="str">
        <f aca="false">IF(A397="","",SUMPRODUCT(--($A$2:A397=A397)))</f>
        <v/>
      </c>
      <c r="C397" s="0" t="str">
        <f aca="false">IF(A397="","",A397&amp;"#"&amp;B397)</f>
        <v/>
      </c>
      <c r="D397" s="0" t="str">
        <f aca="false">IF(A397="","",IFERROR(--'List 1'!B397,0))</f>
        <v/>
      </c>
      <c r="F397" s="0" t="str">
        <f aca="false">IF(TRIM('List 2'!A397&amp;'List 2'!C397&amp;'List 2'!D397)="","",LOWER(IF(OR(Comparison!$I$9="Item # + Part # + Description",Comparison!$I$9="Item # + Part #"),TRIM('List 2'!A397),"")&amp;"|"&amp;TRIM('List 2'!C397)&amp;"|"&amp;IF(OR(Comparison!$I$9="Item # + Part # + Description",Comparison!$I$9="Part # + Description"),TRIM('List 2'!D397),"")))</f>
        <v/>
      </c>
      <c r="G397" s="0" t="str">
        <f aca="false">IF(F397="","",SUMPRODUCT(--($F$2:F397=F397)))</f>
        <v/>
      </c>
      <c r="H397" s="0" t="str">
        <f aca="false">IF(F397="","",F397&amp;"#"&amp;G397)</f>
        <v/>
      </c>
      <c r="I397" s="0" t="str">
        <f aca="false">IF(F397="","",IFERROR(--'List 2'!B397,0))</f>
        <v/>
      </c>
      <c r="K397" s="0" t="str">
        <f aca="false">C397</f>
        <v/>
      </c>
      <c r="L397" s="0" t="str">
        <f aca="false">IF(K397="","",IF(ISNUMBER('List 1'!A397),'List 1'!A397,TRIM('List 1'!A397)))</f>
        <v/>
      </c>
      <c r="M397" s="0" t="str">
        <f aca="false">IF(K397="","",IF(ISNUMBER('List 1'!C397),'List 1'!C397,TRIM('List 1'!C397)))</f>
        <v/>
      </c>
      <c r="N397" s="0" t="str">
        <f aca="false">IF(K397="","",IF(ISNUMBER('List 1'!D397),'List 1'!D397,TRIM('List 1'!D397)))</f>
        <v/>
      </c>
      <c r="O397" s="0" t="str">
        <f aca="false">IF(K397="","",D397)</f>
        <v/>
      </c>
      <c r="P397" s="0" t="str">
        <f aca="false">IF(K397="","",IF(R397,SUMPRODUCT(--($H$2:$H$501=K397),$I$2:$I$501),0))</f>
        <v/>
      </c>
      <c r="Q397" s="0" t="str">
        <f aca="false">IF(K397="","",TRUE())</f>
        <v/>
      </c>
      <c r="R397" s="0" t="str">
        <f aca="false">IF(K397="","",SUMPRODUCT(--($H$2:$H$501=K397))&gt;0)</f>
        <v/>
      </c>
      <c r="S397" s="0" t="str">
        <f aca="false">IF(K397="","",IF(AND(Q397,R397),IF(O397=P397,"Match","Qty Different"),IF(Q397,"Only in List 1","Only in List 2")))</f>
        <v/>
      </c>
      <c r="T397" s="0" t="str">
        <f aca="false">IF(K397="","",IF(ISNUMBER(--L397),TEXT(--L397,"000000000000.000"),LOWER(L397)))</f>
        <v/>
      </c>
      <c r="U397" s="0" t="str">
        <f aca="false">IF(K397="","",IF(ISNUMBER(--M397),TEXT(--M397,"000000000000.000"),LOWER(M397)))</f>
        <v/>
      </c>
      <c r="V397" s="0" t="str">
        <f aca="false">IF(K397="","",LOWER(N397))</f>
        <v/>
      </c>
      <c r="W397" s="0" t="str">
        <f aca="false">IF(K397="","",B397)</f>
        <v/>
      </c>
      <c r="X397" s="0" t="str">
        <f aca="false">IF(K397="","",1+SUMPRODUCT(($K$2:$K$1001&lt;&gt;"")*(($T$2:$T$1001&lt;T397)+($T$2:$T$1001=T397)*(($U$2:$U$1001&lt;U397)+($U$2:$U$1001=U397)*(($V$2:$V$1001&lt;V397)+($V$2:$V$1001=V397)*(($W$2:$W$1001&lt;W397)+($W$2:$W$1001=W397)*(ROW($K$2:$K$1001)&lt;ROW(K397))))))))</f>
        <v/>
      </c>
    </row>
    <row r="398" customFormat="false" ht="15" hidden="false" customHeight="false" outlineLevel="0" collapsed="false">
      <c r="A398" s="0" t="str">
        <f aca="false">IF(TRIM('List 1'!A398&amp;'List 1'!C398&amp;'List 1'!D398)="","",LOWER(IF(OR(Comparison!$I$9="Item # + Part # + Description",Comparison!$I$9="Item # + Part #"),TRIM('List 1'!A398),"")&amp;"|"&amp;TRIM('List 1'!C398)&amp;"|"&amp;IF(OR(Comparison!$I$9="Item # + Part # + Description",Comparison!$I$9="Part # + Description"),TRIM('List 1'!D398),"")))</f>
        <v/>
      </c>
      <c r="B398" s="0" t="str">
        <f aca="false">IF(A398="","",SUMPRODUCT(--($A$2:A398=A398)))</f>
        <v/>
      </c>
      <c r="C398" s="0" t="str">
        <f aca="false">IF(A398="","",A398&amp;"#"&amp;B398)</f>
        <v/>
      </c>
      <c r="D398" s="0" t="str">
        <f aca="false">IF(A398="","",IFERROR(--'List 1'!B398,0))</f>
        <v/>
      </c>
      <c r="F398" s="0" t="str">
        <f aca="false">IF(TRIM('List 2'!A398&amp;'List 2'!C398&amp;'List 2'!D398)="","",LOWER(IF(OR(Comparison!$I$9="Item # + Part # + Description",Comparison!$I$9="Item # + Part #"),TRIM('List 2'!A398),"")&amp;"|"&amp;TRIM('List 2'!C398)&amp;"|"&amp;IF(OR(Comparison!$I$9="Item # + Part # + Description",Comparison!$I$9="Part # + Description"),TRIM('List 2'!D398),"")))</f>
        <v/>
      </c>
      <c r="G398" s="0" t="str">
        <f aca="false">IF(F398="","",SUMPRODUCT(--($F$2:F398=F398)))</f>
        <v/>
      </c>
      <c r="H398" s="0" t="str">
        <f aca="false">IF(F398="","",F398&amp;"#"&amp;G398)</f>
        <v/>
      </c>
      <c r="I398" s="0" t="str">
        <f aca="false">IF(F398="","",IFERROR(--'List 2'!B398,0))</f>
        <v/>
      </c>
      <c r="K398" s="0" t="str">
        <f aca="false">C398</f>
        <v/>
      </c>
      <c r="L398" s="0" t="str">
        <f aca="false">IF(K398="","",IF(ISNUMBER('List 1'!A398),'List 1'!A398,TRIM('List 1'!A398)))</f>
        <v/>
      </c>
      <c r="M398" s="0" t="str">
        <f aca="false">IF(K398="","",IF(ISNUMBER('List 1'!C398),'List 1'!C398,TRIM('List 1'!C398)))</f>
        <v/>
      </c>
      <c r="N398" s="0" t="str">
        <f aca="false">IF(K398="","",IF(ISNUMBER('List 1'!D398),'List 1'!D398,TRIM('List 1'!D398)))</f>
        <v/>
      </c>
      <c r="O398" s="0" t="str">
        <f aca="false">IF(K398="","",D398)</f>
        <v/>
      </c>
      <c r="P398" s="0" t="str">
        <f aca="false">IF(K398="","",IF(R398,SUMPRODUCT(--($H$2:$H$501=K398),$I$2:$I$501),0))</f>
        <v/>
      </c>
      <c r="Q398" s="0" t="str">
        <f aca="false">IF(K398="","",TRUE())</f>
        <v/>
      </c>
      <c r="R398" s="0" t="str">
        <f aca="false">IF(K398="","",SUMPRODUCT(--($H$2:$H$501=K398))&gt;0)</f>
        <v/>
      </c>
      <c r="S398" s="0" t="str">
        <f aca="false">IF(K398="","",IF(AND(Q398,R398),IF(O398=P398,"Match","Qty Different"),IF(Q398,"Only in List 1","Only in List 2")))</f>
        <v/>
      </c>
      <c r="T398" s="0" t="str">
        <f aca="false">IF(K398="","",IF(ISNUMBER(--L398),TEXT(--L398,"000000000000.000"),LOWER(L398)))</f>
        <v/>
      </c>
      <c r="U398" s="0" t="str">
        <f aca="false">IF(K398="","",IF(ISNUMBER(--M398),TEXT(--M398,"000000000000.000"),LOWER(M398)))</f>
        <v/>
      </c>
      <c r="V398" s="0" t="str">
        <f aca="false">IF(K398="","",LOWER(N398))</f>
        <v/>
      </c>
      <c r="W398" s="0" t="str">
        <f aca="false">IF(K398="","",B398)</f>
        <v/>
      </c>
      <c r="X398" s="0" t="str">
        <f aca="false">IF(K398="","",1+SUMPRODUCT(($K$2:$K$1001&lt;&gt;"")*(($T$2:$T$1001&lt;T398)+($T$2:$T$1001=T398)*(($U$2:$U$1001&lt;U398)+($U$2:$U$1001=U398)*(($V$2:$V$1001&lt;V398)+($V$2:$V$1001=V398)*(($W$2:$W$1001&lt;W398)+($W$2:$W$1001=W398)*(ROW($K$2:$K$1001)&lt;ROW(K398))))))))</f>
        <v/>
      </c>
    </row>
    <row r="399" customFormat="false" ht="15" hidden="false" customHeight="false" outlineLevel="0" collapsed="false">
      <c r="A399" s="0" t="str">
        <f aca="false">IF(TRIM('List 1'!A399&amp;'List 1'!C399&amp;'List 1'!D399)="","",LOWER(IF(OR(Comparison!$I$9="Item # + Part # + Description",Comparison!$I$9="Item # + Part #"),TRIM('List 1'!A399),"")&amp;"|"&amp;TRIM('List 1'!C399)&amp;"|"&amp;IF(OR(Comparison!$I$9="Item # + Part # + Description",Comparison!$I$9="Part # + Description"),TRIM('List 1'!D399),"")))</f>
        <v/>
      </c>
      <c r="B399" s="0" t="str">
        <f aca="false">IF(A399="","",SUMPRODUCT(--($A$2:A399=A399)))</f>
        <v/>
      </c>
      <c r="C399" s="0" t="str">
        <f aca="false">IF(A399="","",A399&amp;"#"&amp;B399)</f>
        <v/>
      </c>
      <c r="D399" s="0" t="str">
        <f aca="false">IF(A399="","",IFERROR(--'List 1'!B399,0))</f>
        <v/>
      </c>
      <c r="F399" s="0" t="str">
        <f aca="false">IF(TRIM('List 2'!A399&amp;'List 2'!C399&amp;'List 2'!D399)="","",LOWER(IF(OR(Comparison!$I$9="Item # + Part # + Description",Comparison!$I$9="Item # + Part #"),TRIM('List 2'!A399),"")&amp;"|"&amp;TRIM('List 2'!C399)&amp;"|"&amp;IF(OR(Comparison!$I$9="Item # + Part # + Description",Comparison!$I$9="Part # + Description"),TRIM('List 2'!D399),"")))</f>
        <v/>
      </c>
      <c r="G399" s="0" t="str">
        <f aca="false">IF(F399="","",SUMPRODUCT(--($F$2:F399=F399)))</f>
        <v/>
      </c>
      <c r="H399" s="0" t="str">
        <f aca="false">IF(F399="","",F399&amp;"#"&amp;G399)</f>
        <v/>
      </c>
      <c r="I399" s="0" t="str">
        <f aca="false">IF(F399="","",IFERROR(--'List 2'!B399,0))</f>
        <v/>
      </c>
      <c r="K399" s="0" t="str">
        <f aca="false">C399</f>
        <v/>
      </c>
      <c r="L399" s="0" t="str">
        <f aca="false">IF(K399="","",IF(ISNUMBER('List 1'!A399),'List 1'!A399,TRIM('List 1'!A399)))</f>
        <v/>
      </c>
      <c r="M399" s="0" t="str">
        <f aca="false">IF(K399="","",IF(ISNUMBER('List 1'!C399),'List 1'!C399,TRIM('List 1'!C399)))</f>
        <v/>
      </c>
      <c r="N399" s="0" t="str">
        <f aca="false">IF(K399="","",IF(ISNUMBER('List 1'!D399),'List 1'!D399,TRIM('List 1'!D399)))</f>
        <v/>
      </c>
      <c r="O399" s="0" t="str">
        <f aca="false">IF(K399="","",D399)</f>
        <v/>
      </c>
      <c r="P399" s="0" t="str">
        <f aca="false">IF(K399="","",IF(R399,SUMPRODUCT(--($H$2:$H$501=K399),$I$2:$I$501),0))</f>
        <v/>
      </c>
      <c r="Q399" s="0" t="str">
        <f aca="false">IF(K399="","",TRUE())</f>
        <v/>
      </c>
      <c r="R399" s="0" t="str">
        <f aca="false">IF(K399="","",SUMPRODUCT(--($H$2:$H$501=K399))&gt;0)</f>
        <v/>
      </c>
      <c r="S399" s="0" t="str">
        <f aca="false">IF(K399="","",IF(AND(Q399,R399),IF(O399=P399,"Match","Qty Different"),IF(Q399,"Only in List 1","Only in List 2")))</f>
        <v/>
      </c>
      <c r="T399" s="0" t="str">
        <f aca="false">IF(K399="","",IF(ISNUMBER(--L399),TEXT(--L399,"000000000000.000"),LOWER(L399)))</f>
        <v/>
      </c>
      <c r="U399" s="0" t="str">
        <f aca="false">IF(K399="","",IF(ISNUMBER(--M399),TEXT(--M399,"000000000000.000"),LOWER(M399)))</f>
        <v/>
      </c>
      <c r="V399" s="0" t="str">
        <f aca="false">IF(K399="","",LOWER(N399))</f>
        <v/>
      </c>
      <c r="W399" s="0" t="str">
        <f aca="false">IF(K399="","",B399)</f>
        <v/>
      </c>
      <c r="X399" s="0" t="str">
        <f aca="false">IF(K399="","",1+SUMPRODUCT(($K$2:$K$1001&lt;&gt;"")*(($T$2:$T$1001&lt;T399)+($T$2:$T$1001=T399)*(($U$2:$U$1001&lt;U399)+($U$2:$U$1001=U399)*(($V$2:$V$1001&lt;V399)+($V$2:$V$1001=V399)*(($W$2:$W$1001&lt;W399)+($W$2:$W$1001=W399)*(ROW($K$2:$K$1001)&lt;ROW(K399))))))))</f>
        <v/>
      </c>
    </row>
    <row r="400" customFormat="false" ht="15" hidden="false" customHeight="false" outlineLevel="0" collapsed="false">
      <c r="A400" s="0" t="str">
        <f aca="false">IF(TRIM('List 1'!A400&amp;'List 1'!C400&amp;'List 1'!D400)="","",LOWER(IF(OR(Comparison!$I$9="Item # + Part # + Description",Comparison!$I$9="Item # + Part #"),TRIM('List 1'!A400),"")&amp;"|"&amp;TRIM('List 1'!C400)&amp;"|"&amp;IF(OR(Comparison!$I$9="Item # + Part # + Description",Comparison!$I$9="Part # + Description"),TRIM('List 1'!D400),"")))</f>
        <v/>
      </c>
      <c r="B400" s="0" t="str">
        <f aca="false">IF(A400="","",SUMPRODUCT(--($A$2:A400=A400)))</f>
        <v/>
      </c>
      <c r="C400" s="0" t="str">
        <f aca="false">IF(A400="","",A400&amp;"#"&amp;B400)</f>
        <v/>
      </c>
      <c r="D400" s="0" t="str">
        <f aca="false">IF(A400="","",IFERROR(--'List 1'!B400,0))</f>
        <v/>
      </c>
      <c r="F400" s="0" t="str">
        <f aca="false">IF(TRIM('List 2'!A400&amp;'List 2'!C400&amp;'List 2'!D400)="","",LOWER(IF(OR(Comparison!$I$9="Item # + Part # + Description",Comparison!$I$9="Item # + Part #"),TRIM('List 2'!A400),"")&amp;"|"&amp;TRIM('List 2'!C400)&amp;"|"&amp;IF(OR(Comparison!$I$9="Item # + Part # + Description",Comparison!$I$9="Part # + Description"),TRIM('List 2'!D400),"")))</f>
        <v/>
      </c>
      <c r="G400" s="0" t="str">
        <f aca="false">IF(F400="","",SUMPRODUCT(--($F$2:F400=F400)))</f>
        <v/>
      </c>
      <c r="H400" s="0" t="str">
        <f aca="false">IF(F400="","",F400&amp;"#"&amp;G400)</f>
        <v/>
      </c>
      <c r="I400" s="0" t="str">
        <f aca="false">IF(F400="","",IFERROR(--'List 2'!B400,0))</f>
        <v/>
      </c>
      <c r="K400" s="0" t="str">
        <f aca="false">C400</f>
        <v/>
      </c>
      <c r="L400" s="0" t="str">
        <f aca="false">IF(K400="","",IF(ISNUMBER('List 1'!A400),'List 1'!A400,TRIM('List 1'!A400)))</f>
        <v/>
      </c>
      <c r="M400" s="0" t="str">
        <f aca="false">IF(K400="","",IF(ISNUMBER('List 1'!C400),'List 1'!C400,TRIM('List 1'!C400)))</f>
        <v/>
      </c>
      <c r="N400" s="0" t="str">
        <f aca="false">IF(K400="","",IF(ISNUMBER('List 1'!D400),'List 1'!D400,TRIM('List 1'!D400)))</f>
        <v/>
      </c>
      <c r="O400" s="0" t="str">
        <f aca="false">IF(K400="","",D400)</f>
        <v/>
      </c>
      <c r="P400" s="0" t="str">
        <f aca="false">IF(K400="","",IF(R400,SUMPRODUCT(--($H$2:$H$501=K400),$I$2:$I$501),0))</f>
        <v/>
      </c>
      <c r="Q400" s="0" t="str">
        <f aca="false">IF(K400="","",TRUE())</f>
        <v/>
      </c>
      <c r="R400" s="0" t="str">
        <f aca="false">IF(K400="","",SUMPRODUCT(--($H$2:$H$501=K400))&gt;0)</f>
        <v/>
      </c>
      <c r="S400" s="0" t="str">
        <f aca="false">IF(K400="","",IF(AND(Q400,R400),IF(O400=P400,"Match","Qty Different"),IF(Q400,"Only in List 1","Only in List 2")))</f>
        <v/>
      </c>
      <c r="T400" s="0" t="str">
        <f aca="false">IF(K400="","",IF(ISNUMBER(--L400),TEXT(--L400,"000000000000.000"),LOWER(L400)))</f>
        <v/>
      </c>
      <c r="U400" s="0" t="str">
        <f aca="false">IF(K400="","",IF(ISNUMBER(--M400),TEXT(--M400,"000000000000.000"),LOWER(M400)))</f>
        <v/>
      </c>
      <c r="V400" s="0" t="str">
        <f aca="false">IF(K400="","",LOWER(N400))</f>
        <v/>
      </c>
      <c r="W400" s="0" t="str">
        <f aca="false">IF(K400="","",B400)</f>
        <v/>
      </c>
      <c r="X400" s="0" t="str">
        <f aca="false">IF(K400="","",1+SUMPRODUCT(($K$2:$K$1001&lt;&gt;"")*(($T$2:$T$1001&lt;T400)+($T$2:$T$1001=T400)*(($U$2:$U$1001&lt;U400)+($U$2:$U$1001=U400)*(($V$2:$V$1001&lt;V400)+($V$2:$V$1001=V400)*(($W$2:$W$1001&lt;W400)+($W$2:$W$1001=W400)*(ROW($K$2:$K$1001)&lt;ROW(K400))))))))</f>
        <v/>
      </c>
    </row>
    <row r="401" customFormat="false" ht="15" hidden="false" customHeight="false" outlineLevel="0" collapsed="false">
      <c r="A401" s="0" t="str">
        <f aca="false">IF(TRIM('List 1'!A401&amp;'List 1'!C401&amp;'List 1'!D401)="","",LOWER(IF(OR(Comparison!$I$9="Item # + Part # + Description",Comparison!$I$9="Item # + Part #"),TRIM('List 1'!A401),"")&amp;"|"&amp;TRIM('List 1'!C401)&amp;"|"&amp;IF(OR(Comparison!$I$9="Item # + Part # + Description",Comparison!$I$9="Part # + Description"),TRIM('List 1'!D401),"")))</f>
        <v/>
      </c>
      <c r="B401" s="0" t="str">
        <f aca="false">IF(A401="","",SUMPRODUCT(--($A$2:A401=A401)))</f>
        <v/>
      </c>
      <c r="C401" s="0" t="str">
        <f aca="false">IF(A401="","",A401&amp;"#"&amp;B401)</f>
        <v/>
      </c>
      <c r="D401" s="0" t="str">
        <f aca="false">IF(A401="","",IFERROR(--'List 1'!B401,0))</f>
        <v/>
      </c>
      <c r="F401" s="0" t="str">
        <f aca="false">IF(TRIM('List 2'!A401&amp;'List 2'!C401&amp;'List 2'!D401)="","",LOWER(IF(OR(Comparison!$I$9="Item # + Part # + Description",Comparison!$I$9="Item # + Part #"),TRIM('List 2'!A401),"")&amp;"|"&amp;TRIM('List 2'!C401)&amp;"|"&amp;IF(OR(Comparison!$I$9="Item # + Part # + Description",Comparison!$I$9="Part # + Description"),TRIM('List 2'!D401),"")))</f>
        <v/>
      </c>
      <c r="G401" s="0" t="str">
        <f aca="false">IF(F401="","",SUMPRODUCT(--($F$2:F401=F401)))</f>
        <v/>
      </c>
      <c r="H401" s="0" t="str">
        <f aca="false">IF(F401="","",F401&amp;"#"&amp;G401)</f>
        <v/>
      </c>
      <c r="I401" s="0" t="str">
        <f aca="false">IF(F401="","",IFERROR(--'List 2'!B401,0))</f>
        <v/>
      </c>
      <c r="K401" s="0" t="str">
        <f aca="false">C401</f>
        <v/>
      </c>
      <c r="L401" s="0" t="str">
        <f aca="false">IF(K401="","",IF(ISNUMBER('List 1'!A401),'List 1'!A401,TRIM('List 1'!A401)))</f>
        <v/>
      </c>
      <c r="M401" s="0" t="str">
        <f aca="false">IF(K401="","",IF(ISNUMBER('List 1'!C401),'List 1'!C401,TRIM('List 1'!C401)))</f>
        <v/>
      </c>
      <c r="N401" s="0" t="str">
        <f aca="false">IF(K401="","",IF(ISNUMBER('List 1'!D401),'List 1'!D401,TRIM('List 1'!D401)))</f>
        <v/>
      </c>
      <c r="O401" s="0" t="str">
        <f aca="false">IF(K401="","",D401)</f>
        <v/>
      </c>
      <c r="P401" s="0" t="str">
        <f aca="false">IF(K401="","",IF(R401,SUMPRODUCT(--($H$2:$H$501=K401),$I$2:$I$501),0))</f>
        <v/>
      </c>
      <c r="Q401" s="0" t="str">
        <f aca="false">IF(K401="","",TRUE())</f>
        <v/>
      </c>
      <c r="R401" s="0" t="str">
        <f aca="false">IF(K401="","",SUMPRODUCT(--($H$2:$H$501=K401))&gt;0)</f>
        <v/>
      </c>
      <c r="S401" s="0" t="str">
        <f aca="false">IF(K401="","",IF(AND(Q401,R401),IF(O401=P401,"Match","Qty Different"),IF(Q401,"Only in List 1","Only in List 2")))</f>
        <v/>
      </c>
      <c r="T401" s="0" t="str">
        <f aca="false">IF(K401="","",IF(ISNUMBER(--L401),TEXT(--L401,"000000000000.000"),LOWER(L401)))</f>
        <v/>
      </c>
      <c r="U401" s="0" t="str">
        <f aca="false">IF(K401="","",IF(ISNUMBER(--M401),TEXT(--M401,"000000000000.000"),LOWER(M401)))</f>
        <v/>
      </c>
      <c r="V401" s="0" t="str">
        <f aca="false">IF(K401="","",LOWER(N401))</f>
        <v/>
      </c>
      <c r="W401" s="0" t="str">
        <f aca="false">IF(K401="","",B401)</f>
        <v/>
      </c>
      <c r="X401" s="0" t="str">
        <f aca="false">IF(K401="","",1+SUMPRODUCT(($K$2:$K$1001&lt;&gt;"")*(($T$2:$T$1001&lt;T401)+($T$2:$T$1001=T401)*(($U$2:$U$1001&lt;U401)+($U$2:$U$1001=U401)*(($V$2:$V$1001&lt;V401)+($V$2:$V$1001=V401)*(($W$2:$W$1001&lt;W401)+($W$2:$W$1001=W401)*(ROW($K$2:$K$1001)&lt;ROW(K401))))))))</f>
        <v/>
      </c>
    </row>
    <row r="402" customFormat="false" ht="15" hidden="false" customHeight="false" outlineLevel="0" collapsed="false">
      <c r="A402" s="0" t="str">
        <f aca="false">IF(TRIM('List 1'!A402&amp;'List 1'!C402&amp;'List 1'!D402)="","",LOWER(IF(OR(Comparison!$I$9="Item # + Part # + Description",Comparison!$I$9="Item # + Part #"),TRIM('List 1'!A402),"")&amp;"|"&amp;TRIM('List 1'!C402)&amp;"|"&amp;IF(OR(Comparison!$I$9="Item # + Part # + Description",Comparison!$I$9="Part # + Description"),TRIM('List 1'!D402),"")))</f>
        <v/>
      </c>
      <c r="B402" s="0" t="str">
        <f aca="false">IF(A402="","",SUMPRODUCT(--($A$2:A402=A402)))</f>
        <v/>
      </c>
      <c r="C402" s="0" t="str">
        <f aca="false">IF(A402="","",A402&amp;"#"&amp;B402)</f>
        <v/>
      </c>
      <c r="D402" s="0" t="str">
        <f aca="false">IF(A402="","",IFERROR(--'List 1'!B402,0))</f>
        <v/>
      </c>
      <c r="F402" s="0" t="str">
        <f aca="false">IF(TRIM('List 2'!A402&amp;'List 2'!C402&amp;'List 2'!D402)="","",LOWER(IF(OR(Comparison!$I$9="Item # + Part # + Description",Comparison!$I$9="Item # + Part #"),TRIM('List 2'!A402),"")&amp;"|"&amp;TRIM('List 2'!C402)&amp;"|"&amp;IF(OR(Comparison!$I$9="Item # + Part # + Description",Comparison!$I$9="Part # + Description"),TRIM('List 2'!D402),"")))</f>
        <v/>
      </c>
      <c r="G402" s="0" t="str">
        <f aca="false">IF(F402="","",SUMPRODUCT(--($F$2:F402=F402)))</f>
        <v/>
      </c>
      <c r="H402" s="0" t="str">
        <f aca="false">IF(F402="","",F402&amp;"#"&amp;G402)</f>
        <v/>
      </c>
      <c r="I402" s="0" t="str">
        <f aca="false">IF(F402="","",IFERROR(--'List 2'!B402,0))</f>
        <v/>
      </c>
      <c r="K402" s="0" t="str">
        <f aca="false">C402</f>
        <v/>
      </c>
      <c r="L402" s="0" t="str">
        <f aca="false">IF(K402="","",IF(ISNUMBER('List 1'!A402),'List 1'!A402,TRIM('List 1'!A402)))</f>
        <v/>
      </c>
      <c r="M402" s="0" t="str">
        <f aca="false">IF(K402="","",IF(ISNUMBER('List 1'!C402),'List 1'!C402,TRIM('List 1'!C402)))</f>
        <v/>
      </c>
      <c r="N402" s="0" t="str">
        <f aca="false">IF(K402="","",IF(ISNUMBER('List 1'!D402),'List 1'!D402,TRIM('List 1'!D402)))</f>
        <v/>
      </c>
      <c r="O402" s="0" t="str">
        <f aca="false">IF(K402="","",D402)</f>
        <v/>
      </c>
      <c r="P402" s="0" t="str">
        <f aca="false">IF(K402="","",IF(R402,SUMPRODUCT(--($H$2:$H$501=K402),$I$2:$I$501),0))</f>
        <v/>
      </c>
      <c r="Q402" s="0" t="str">
        <f aca="false">IF(K402="","",TRUE())</f>
        <v/>
      </c>
      <c r="R402" s="0" t="str">
        <f aca="false">IF(K402="","",SUMPRODUCT(--($H$2:$H$501=K402))&gt;0)</f>
        <v/>
      </c>
      <c r="S402" s="0" t="str">
        <f aca="false">IF(K402="","",IF(AND(Q402,R402),IF(O402=P402,"Match","Qty Different"),IF(Q402,"Only in List 1","Only in List 2")))</f>
        <v/>
      </c>
      <c r="T402" s="0" t="str">
        <f aca="false">IF(K402="","",IF(ISNUMBER(--L402),TEXT(--L402,"000000000000.000"),LOWER(L402)))</f>
        <v/>
      </c>
      <c r="U402" s="0" t="str">
        <f aca="false">IF(K402="","",IF(ISNUMBER(--M402),TEXT(--M402,"000000000000.000"),LOWER(M402)))</f>
        <v/>
      </c>
      <c r="V402" s="0" t="str">
        <f aca="false">IF(K402="","",LOWER(N402))</f>
        <v/>
      </c>
      <c r="W402" s="0" t="str">
        <f aca="false">IF(K402="","",B402)</f>
        <v/>
      </c>
      <c r="X402" s="0" t="str">
        <f aca="false">IF(K402="","",1+SUMPRODUCT(($K$2:$K$1001&lt;&gt;"")*(($T$2:$T$1001&lt;T402)+($T$2:$T$1001=T402)*(($U$2:$U$1001&lt;U402)+($U$2:$U$1001=U402)*(($V$2:$V$1001&lt;V402)+($V$2:$V$1001=V402)*(($W$2:$W$1001&lt;W402)+($W$2:$W$1001=W402)*(ROW($K$2:$K$1001)&lt;ROW(K402))))))))</f>
        <v/>
      </c>
    </row>
    <row r="403" customFormat="false" ht="15" hidden="false" customHeight="false" outlineLevel="0" collapsed="false">
      <c r="A403" s="0" t="str">
        <f aca="false">IF(TRIM('List 1'!A403&amp;'List 1'!C403&amp;'List 1'!D403)="","",LOWER(IF(OR(Comparison!$I$9="Item # + Part # + Description",Comparison!$I$9="Item # + Part #"),TRIM('List 1'!A403),"")&amp;"|"&amp;TRIM('List 1'!C403)&amp;"|"&amp;IF(OR(Comparison!$I$9="Item # + Part # + Description",Comparison!$I$9="Part # + Description"),TRIM('List 1'!D403),"")))</f>
        <v/>
      </c>
      <c r="B403" s="0" t="str">
        <f aca="false">IF(A403="","",SUMPRODUCT(--($A$2:A403=A403)))</f>
        <v/>
      </c>
      <c r="C403" s="0" t="str">
        <f aca="false">IF(A403="","",A403&amp;"#"&amp;B403)</f>
        <v/>
      </c>
      <c r="D403" s="0" t="str">
        <f aca="false">IF(A403="","",IFERROR(--'List 1'!B403,0))</f>
        <v/>
      </c>
      <c r="F403" s="0" t="str">
        <f aca="false">IF(TRIM('List 2'!A403&amp;'List 2'!C403&amp;'List 2'!D403)="","",LOWER(IF(OR(Comparison!$I$9="Item # + Part # + Description",Comparison!$I$9="Item # + Part #"),TRIM('List 2'!A403),"")&amp;"|"&amp;TRIM('List 2'!C403)&amp;"|"&amp;IF(OR(Comparison!$I$9="Item # + Part # + Description",Comparison!$I$9="Part # + Description"),TRIM('List 2'!D403),"")))</f>
        <v/>
      </c>
      <c r="G403" s="0" t="str">
        <f aca="false">IF(F403="","",SUMPRODUCT(--($F$2:F403=F403)))</f>
        <v/>
      </c>
      <c r="H403" s="0" t="str">
        <f aca="false">IF(F403="","",F403&amp;"#"&amp;G403)</f>
        <v/>
      </c>
      <c r="I403" s="0" t="str">
        <f aca="false">IF(F403="","",IFERROR(--'List 2'!B403,0))</f>
        <v/>
      </c>
      <c r="K403" s="0" t="str">
        <f aca="false">C403</f>
        <v/>
      </c>
      <c r="L403" s="0" t="str">
        <f aca="false">IF(K403="","",IF(ISNUMBER('List 1'!A403),'List 1'!A403,TRIM('List 1'!A403)))</f>
        <v/>
      </c>
      <c r="M403" s="0" t="str">
        <f aca="false">IF(K403="","",IF(ISNUMBER('List 1'!C403),'List 1'!C403,TRIM('List 1'!C403)))</f>
        <v/>
      </c>
      <c r="N403" s="0" t="str">
        <f aca="false">IF(K403="","",IF(ISNUMBER('List 1'!D403),'List 1'!D403,TRIM('List 1'!D403)))</f>
        <v/>
      </c>
      <c r="O403" s="0" t="str">
        <f aca="false">IF(K403="","",D403)</f>
        <v/>
      </c>
      <c r="P403" s="0" t="str">
        <f aca="false">IF(K403="","",IF(R403,SUMPRODUCT(--($H$2:$H$501=K403),$I$2:$I$501),0))</f>
        <v/>
      </c>
      <c r="Q403" s="0" t="str">
        <f aca="false">IF(K403="","",TRUE())</f>
        <v/>
      </c>
      <c r="R403" s="0" t="str">
        <f aca="false">IF(K403="","",SUMPRODUCT(--($H$2:$H$501=K403))&gt;0)</f>
        <v/>
      </c>
      <c r="S403" s="0" t="str">
        <f aca="false">IF(K403="","",IF(AND(Q403,R403),IF(O403=P403,"Match","Qty Different"),IF(Q403,"Only in List 1","Only in List 2")))</f>
        <v/>
      </c>
      <c r="T403" s="0" t="str">
        <f aca="false">IF(K403="","",IF(ISNUMBER(--L403),TEXT(--L403,"000000000000.000"),LOWER(L403)))</f>
        <v/>
      </c>
      <c r="U403" s="0" t="str">
        <f aca="false">IF(K403="","",IF(ISNUMBER(--M403),TEXT(--M403,"000000000000.000"),LOWER(M403)))</f>
        <v/>
      </c>
      <c r="V403" s="0" t="str">
        <f aca="false">IF(K403="","",LOWER(N403))</f>
        <v/>
      </c>
      <c r="W403" s="0" t="str">
        <f aca="false">IF(K403="","",B403)</f>
        <v/>
      </c>
      <c r="X403" s="0" t="str">
        <f aca="false">IF(K403="","",1+SUMPRODUCT(($K$2:$K$1001&lt;&gt;"")*(($T$2:$T$1001&lt;T403)+($T$2:$T$1001=T403)*(($U$2:$U$1001&lt;U403)+($U$2:$U$1001=U403)*(($V$2:$V$1001&lt;V403)+($V$2:$V$1001=V403)*(($W$2:$W$1001&lt;W403)+($W$2:$W$1001=W403)*(ROW($K$2:$K$1001)&lt;ROW(K403))))))))</f>
        <v/>
      </c>
    </row>
    <row r="404" customFormat="false" ht="15" hidden="false" customHeight="false" outlineLevel="0" collapsed="false">
      <c r="A404" s="0" t="str">
        <f aca="false">IF(TRIM('List 1'!A404&amp;'List 1'!C404&amp;'List 1'!D404)="","",LOWER(IF(OR(Comparison!$I$9="Item # + Part # + Description",Comparison!$I$9="Item # + Part #"),TRIM('List 1'!A404),"")&amp;"|"&amp;TRIM('List 1'!C404)&amp;"|"&amp;IF(OR(Comparison!$I$9="Item # + Part # + Description",Comparison!$I$9="Part # + Description"),TRIM('List 1'!D404),"")))</f>
        <v/>
      </c>
      <c r="B404" s="0" t="str">
        <f aca="false">IF(A404="","",SUMPRODUCT(--($A$2:A404=A404)))</f>
        <v/>
      </c>
      <c r="C404" s="0" t="str">
        <f aca="false">IF(A404="","",A404&amp;"#"&amp;B404)</f>
        <v/>
      </c>
      <c r="D404" s="0" t="str">
        <f aca="false">IF(A404="","",IFERROR(--'List 1'!B404,0))</f>
        <v/>
      </c>
      <c r="F404" s="0" t="str">
        <f aca="false">IF(TRIM('List 2'!A404&amp;'List 2'!C404&amp;'List 2'!D404)="","",LOWER(IF(OR(Comparison!$I$9="Item # + Part # + Description",Comparison!$I$9="Item # + Part #"),TRIM('List 2'!A404),"")&amp;"|"&amp;TRIM('List 2'!C404)&amp;"|"&amp;IF(OR(Comparison!$I$9="Item # + Part # + Description",Comparison!$I$9="Part # + Description"),TRIM('List 2'!D404),"")))</f>
        <v/>
      </c>
      <c r="G404" s="0" t="str">
        <f aca="false">IF(F404="","",SUMPRODUCT(--($F$2:F404=F404)))</f>
        <v/>
      </c>
      <c r="H404" s="0" t="str">
        <f aca="false">IF(F404="","",F404&amp;"#"&amp;G404)</f>
        <v/>
      </c>
      <c r="I404" s="0" t="str">
        <f aca="false">IF(F404="","",IFERROR(--'List 2'!B404,0))</f>
        <v/>
      </c>
      <c r="K404" s="0" t="str">
        <f aca="false">C404</f>
        <v/>
      </c>
      <c r="L404" s="0" t="str">
        <f aca="false">IF(K404="","",IF(ISNUMBER('List 1'!A404),'List 1'!A404,TRIM('List 1'!A404)))</f>
        <v/>
      </c>
      <c r="M404" s="0" t="str">
        <f aca="false">IF(K404="","",IF(ISNUMBER('List 1'!C404),'List 1'!C404,TRIM('List 1'!C404)))</f>
        <v/>
      </c>
      <c r="N404" s="0" t="str">
        <f aca="false">IF(K404="","",IF(ISNUMBER('List 1'!D404),'List 1'!D404,TRIM('List 1'!D404)))</f>
        <v/>
      </c>
      <c r="O404" s="0" t="str">
        <f aca="false">IF(K404="","",D404)</f>
        <v/>
      </c>
      <c r="P404" s="0" t="str">
        <f aca="false">IF(K404="","",IF(R404,SUMPRODUCT(--($H$2:$H$501=K404),$I$2:$I$501),0))</f>
        <v/>
      </c>
      <c r="Q404" s="0" t="str">
        <f aca="false">IF(K404="","",TRUE())</f>
        <v/>
      </c>
      <c r="R404" s="0" t="str">
        <f aca="false">IF(K404="","",SUMPRODUCT(--($H$2:$H$501=K404))&gt;0)</f>
        <v/>
      </c>
      <c r="S404" s="0" t="str">
        <f aca="false">IF(K404="","",IF(AND(Q404,R404),IF(O404=P404,"Match","Qty Different"),IF(Q404,"Only in List 1","Only in List 2")))</f>
        <v/>
      </c>
      <c r="T404" s="0" t="str">
        <f aca="false">IF(K404="","",IF(ISNUMBER(--L404),TEXT(--L404,"000000000000.000"),LOWER(L404)))</f>
        <v/>
      </c>
      <c r="U404" s="0" t="str">
        <f aca="false">IF(K404="","",IF(ISNUMBER(--M404),TEXT(--M404,"000000000000.000"),LOWER(M404)))</f>
        <v/>
      </c>
      <c r="V404" s="0" t="str">
        <f aca="false">IF(K404="","",LOWER(N404))</f>
        <v/>
      </c>
      <c r="W404" s="0" t="str">
        <f aca="false">IF(K404="","",B404)</f>
        <v/>
      </c>
      <c r="X404" s="0" t="str">
        <f aca="false">IF(K404="","",1+SUMPRODUCT(($K$2:$K$1001&lt;&gt;"")*(($T$2:$T$1001&lt;T404)+($T$2:$T$1001=T404)*(($U$2:$U$1001&lt;U404)+($U$2:$U$1001=U404)*(($V$2:$V$1001&lt;V404)+($V$2:$V$1001=V404)*(($W$2:$W$1001&lt;W404)+($W$2:$W$1001=W404)*(ROW($K$2:$K$1001)&lt;ROW(K404))))))))</f>
        <v/>
      </c>
    </row>
    <row r="405" customFormat="false" ht="15" hidden="false" customHeight="false" outlineLevel="0" collapsed="false">
      <c r="A405" s="0" t="str">
        <f aca="false">IF(TRIM('List 1'!A405&amp;'List 1'!C405&amp;'List 1'!D405)="","",LOWER(IF(OR(Comparison!$I$9="Item # + Part # + Description",Comparison!$I$9="Item # + Part #"),TRIM('List 1'!A405),"")&amp;"|"&amp;TRIM('List 1'!C405)&amp;"|"&amp;IF(OR(Comparison!$I$9="Item # + Part # + Description",Comparison!$I$9="Part # + Description"),TRIM('List 1'!D405),"")))</f>
        <v/>
      </c>
      <c r="B405" s="0" t="str">
        <f aca="false">IF(A405="","",SUMPRODUCT(--($A$2:A405=A405)))</f>
        <v/>
      </c>
      <c r="C405" s="0" t="str">
        <f aca="false">IF(A405="","",A405&amp;"#"&amp;B405)</f>
        <v/>
      </c>
      <c r="D405" s="0" t="str">
        <f aca="false">IF(A405="","",IFERROR(--'List 1'!B405,0))</f>
        <v/>
      </c>
      <c r="F405" s="0" t="str">
        <f aca="false">IF(TRIM('List 2'!A405&amp;'List 2'!C405&amp;'List 2'!D405)="","",LOWER(IF(OR(Comparison!$I$9="Item # + Part # + Description",Comparison!$I$9="Item # + Part #"),TRIM('List 2'!A405),"")&amp;"|"&amp;TRIM('List 2'!C405)&amp;"|"&amp;IF(OR(Comparison!$I$9="Item # + Part # + Description",Comparison!$I$9="Part # + Description"),TRIM('List 2'!D405),"")))</f>
        <v/>
      </c>
      <c r="G405" s="0" t="str">
        <f aca="false">IF(F405="","",SUMPRODUCT(--($F$2:F405=F405)))</f>
        <v/>
      </c>
      <c r="H405" s="0" t="str">
        <f aca="false">IF(F405="","",F405&amp;"#"&amp;G405)</f>
        <v/>
      </c>
      <c r="I405" s="0" t="str">
        <f aca="false">IF(F405="","",IFERROR(--'List 2'!B405,0))</f>
        <v/>
      </c>
      <c r="K405" s="0" t="str">
        <f aca="false">C405</f>
        <v/>
      </c>
      <c r="L405" s="0" t="str">
        <f aca="false">IF(K405="","",IF(ISNUMBER('List 1'!A405),'List 1'!A405,TRIM('List 1'!A405)))</f>
        <v/>
      </c>
      <c r="M405" s="0" t="str">
        <f aca="false">IF(K405="","",IF(ISNUMBER('List 1'!C405),'List 1'!C405,TRIM('List 1'!C405)))</f>
        <v/>
      </c>
      <c r="N405" s="0" t="str">
        <f aca="false">IF(K405="","",IF(ISNUMBER('List 1'!D405),'List 1'!D405,TRIM('List 1'!D405)))</f>
        <v/>
      </c>
      <c r="O405" s="0" t="str">
        <f aca="false">IF(K405="","",D405)</f>
        <v/>
      </c>
      <c r="P405" s="0" t="str">
        <f aca="false">IF(K405="","",IF(R405,SUMPRODUCT(--($H$2:$H$501=K405),$I$2:$I$501),0))</f>
        <v/>
      </c>
      <c r="Q405" s="0" t="str">
        <f aca="false">IF(K405="","",TRUE())</f>
        <v/>
      </c>
      <c r="R405" s="0" t="str">
        <f aca="false">IF(K405="","",SUMPRODUCT(--($H$2:$H$501=K405))&gt;0)</f>
        <v/>
      </c>
      <c r="S405" s="0" t="str">
        <f aca="false">IF(K405="","",IF(AND(Q405,R405),IF(O405=P405,"Match","Qty Different"),IF(Q405,"Only in List 1","Only in List 2")))</f>
        <v/>
      </c>
      <c r="T405" s="0" t="str">
        <f aca="false">IF(K405="","",IF(ISNUMBER(--L405),TEXT(--L405,"000000000000.000"),LOWER(L405)))</f>
        <v/>
      </c>
      <c r="U405" s="0" t="str">
        <f aca="false">IF(K405="","",IF(ISNUMBER(--M405),TEXT(--M405,"000000000000.000"),LOWER(M405)))</f>
        <v/>
      </c>
      <c r="V405" s="0" t="str">
        <f aca="false">IF(K405="","",LOWER(N405))</f>
        <v/>
      </c>
      <c r="W405" s="0" t="str">
        <f aca="false">IF(K405="","",B405)</f>
        <v/>
      </c>
      <c r="X405" s="0" t="str">
        <f aca="false">IF(K405="","",1+SUMPRODUCT(($K$2:$K$1001&lt;&gt;"")*(($T$2:$T$1001&lt;T405)+($T$2:$T$1001=T405)*(($U$2:$U$1001&lt;U405)+($U$2:$U$1001=U405)*(($V$2:$V$1001&lt;V405)+($V$2:$V$1001=V405)*(($W$2:$W$1001&lt;W405)+($W$2:$W$1001=W405)*(ROW($K$2:$K$1001)&lt;ROW(K405))))))))</f>
        <v/>
      </c>
    </row>
    <row r="406" customFormat="false" ht="15" hidden="false" customHeight="false" outlineLevel="0" collapsed="false">
      <c r="A406" s="0" t="str">
        <f aca="false">IF(TRIM('List 1'!A406&amp;'List 1'!C406&amp;'List 1'!D406)="","",LOWER(IF(OR(Comparison!$I$9="Item # + Part # + Description",Comparison!$I$9="Item # + Part #"),TRIM('List 1'!A406),"")&amp;"|"&amp;TRIM('List 1'!C406)&amp;"|"&amp;IF(OR(Comparison!$I$9="Item # + Part # + Description",Comparison!$I$9="Part # + Description"),TRIM('List 1'!D406),"")))</f>
        <v/>
      </c>
      <c r="B406" s="0" t="str">
        <f aca="false">IF(A406="","",SUMPRODUCT(--($A$2:A406=A406)))</f>
        <v/>
      </c>
      <c r="C406" s="0" t="str">
        <f aca="false">IF(A406="","",A406&amp;"#"&amp;B406)</f>
        <v/>
      </c>
      <c r="D406" s="0" t="str">
        <f aca="false">IF(A406="","",IFERROR(--'List 1'!B406,0))</f>
        <v/>
      </c>
      <c r="F406" s="0" t="str">
        <f aca="false">IF(TRIM('List 2'!A406&amp;'List 2'!C406&amp;'List 2'!D406)="","",LOWER(IF(OR(Comparison!$I$9="Item # + Part # + Description",Comparison!$I$9="Item # + Part #"),TRIM('List 2'!A406),"")&amp;"|"&amp;TRIM('List 2'!C406)&amp;"|"&amp;IF(OR(Comparison!$I$9="Item # + Part # + Description",Comparison!$I$9="Part # + Description"),TRIM('List 2'!D406),"")))</f>
        <v/>
      </c>
      <c r="G406" s="0" t="str">
        <f aca="false">IF(F406="","",SUMPRODUCT(--($F$2:F406=F406)))</f>
        <v/>
      </c>
      <c r="H406" s="0" t="str">
        <f aca="false">IF(F406="","",F406&amp;"#"&amp;G406)</f>
        <v/>
      </c>
      <c r="I406" s="0" t="str">
        <f aca="false">IF(F406="","",IFERROR(--'List 2'!B406,0))</f>
        <v/>
      </c>
      <c r="K406" s="0" t="str">
        <f aca="false">C406</f>
        <v/>
      </c>
      <c r="L406" s="0" t="str">
        <f aca="false">IF(K406="","",IF(ISNUMBER('List 1'!A406),'List 1'!A406,TRIM('List 1'!A406)))</f>
        <v/>
      </c>
      <c r="M406" s="0" t="str">
        <f aca="false">IF(K406="","",IF(ISNUMBER('List 1'!C406),'List 1'!C406,TRIM('List 1'!C406)))</f>
        <v/>
      </c>
      <c r="N406" s="0" t="str">
        <f aca="false">IF(K406="","",IF(ISNUMBER('List 1'!D406),'List 1'!D406,TRIM('List 1'!D406)))</f>
        <v/>
      </c>
      <c r="O406" s="0" t="str">
        <f aca="false">IF(K406="","",D406)</f>
        <v/>
      </c>
      <c r="P406" s="0" t="str">
        <f aca="false">IF(K406="","",IF(R406,SUMPRODUCT(--($H$2:$H$501=K406),$I$2:$I$501),0))</f>
        <v/>
      </c>
      <c r="Q406" s="0" t="str">
        <f aca="false">IF(K406="","",TRUE())</f>
        <v/>
      </c>
      <c r="R406" s="0" t="str">
        <f aca="false">IF(K406="","",SUMPRODUCT(--($H$2:$H$501=K406))&gt;0)</f>
        <v/>
      </c>
      <c r="S406" s="0" t="str">
        <f aca="false">IF(K406="","",IF(AND(Q406,R406),IF(O406=P406,"Match","Qty Different"),IF(Q406,"Only in List 1","Only in List 2")))</f>
        <v/>
      </c>
      <c r="T406" s="0" t="str">
        <f aca="false">IF(K406="","",IF(ISNUMBER(--L406),TEXT(--L406,"000000000000.000"),LOWER(L406)))</f>
        <v/>
      </c>
      <c r="U406" s="0" t="str">
        <f aca="false">IF(K406="","",IF(ISNUMBER(--M406),TEXT(--M406,"000000000000.000"),LOWER(M406)))</f>
        <v/>
      </c>
      <c r="V406" s="0" t="str">
        <f aca="false">IF(K406="","",LOWER(N406))</f>
        <v/>
      </c>
      <c r="W406" s="0" t="str">
        <f aca="false">IF(K406="","",B406)</f>
        <v/>
      </c>
      <c r="X406" s="0" t="str">
        <f aca="false">IF(K406="","",1+SUMPRODUCT(($K$2:$K$1001&lt;&gt;"")*(($T$2:$T$1001&lt;T406)+($T$2:$T$1001=T406)*(($U$2:$U$1001&lt;U406)+($U$2:$U$1001=U406)*(($V$2:$V$1001&lt;V406)+($V$2:$V$1001=V406)*(($W$2:$W$1001&lt;W406)+($W$2:$W$1001=W406)*(ROW($K$2:$K$1001)&lt;ROW(K406))))))))</f>
        <v/>
      </c>
    </row>
    <row r="407" customFormat="false" ht="15" hidden="false" customHeight="false" outlineLevel="0" collapsed="false">
      <c r="A407" s="0" t="str">
        <f aca="false">IF(TRIM('List 1'!A407&amp;'List 1'!C407&amp;'List 1'!D407)="","",LOWER(IF(OR(Comparison!$I$9="Item # + Part # + Description",Comparison!$I$9="Item # + Part #"),TRIM('List 1'!A407),"")&amp;"|"&amp;TRIM('List 1'!C407)&amp;"|"&amp;IF(OR(Comparison!$I$9="Item # + Part # + Description",Comparison!$I$9="Part # + Description"),TRIM('List 1'!D407),"")))</f>
        <v/>
      </c>
      <c r="B407" s="0" t="str">
        <f aca="false">IF(A407="","",SUMPRODUCT(--($A$2:A407=A407)))</f>
        <v/>
      </c>
      <c r="C407" s="0" t="str">
        <f aca="false">IF(A407="","",A407&amp;"#"&amp;B407)</f>
        <v/>
      </c>
      <c r="D407" s="0" t="str">
        <f aca="false">IF(A407="","",IFERROR(--'List 1'!B407,0))</f>
        <v/>
      </c>
      <c r="F407" s="0" t="str">
        <f aca="false">IF(TRIM('List 2'!A407&amp;'List 2'!C407&amp;'List 2'!D407)="","",LOWER(IF(OR(Comparison!$I$9="Item # + Part # + Description",Comparison!$I$9="Item # + Part #"),TRIM('List 2'!A407),"")&amp;"|"&amp;TRIM('List 2'!C407)&amp;"|"&amp;IF(OR(Comparison!$I$9="Item # + Part # + Description",Comparison!$I$9="Part # + Description"),TRIM('List 2'!D407),"")))</f>
        <v/>
      </c>
      <c r="G407" s="0" t="str">
        <f aca="false">IF(F407="","",SUMPRODUCT(--($F$2:F407=F407)))</f>
        <v/>
      </c>
      <c r="H407" s="0" t="str">
        <f aca="false">IF(F407="","",F407&amp;"#"&amp;G407)</f>
        <v/>
      </c>
      <c r="I407" s="0" t="str">
        <f aca="false">IF(F407="","",IFERROR(--'List 2'!B407,0))</f>
        <v/>
      </c>
      <c r="K407" s="0" t="str">
        <f aca="false">C407</f>
        <v/>
      </c>
      <c r="L407" s="0" t="str">
        <f aca="false">IF(K407="","",IF(ISNUMBER('List 1'!A407),'List 1'!A407,TRIM('List 1'!A407)))</f>
        <v/>
      </c>
      <c r="M407" s="0" t="str">
        <f aca="false">IF(K407="","",IF(ISNUMBER('List 1'!C407),'List 1'!C407,TRIM('List 1'!C407)))</f>
        <v/>
      </c>
      <c r="N407" s="0" t="str">
        <f aca="false">IF(K407="","",IF(ISNUMBER('List 1'!D407),'List 1'!D407,TRIM('List 1'!D407)))</f>
        <v/>
      </c>
      <c r="O407" s="0" t="str">
        <f aca="false">IF(K407="","",D407)</f>
        <v/>
      </c>
      <c r="P407" s="0" t="str">
        <f aca="false">IF(K407="","",IF(R407,SUMPRODUCT(--($H$2:$H$501=K407),$I$2:$I$501),0))</f>
        <v/>
      </c>
      <c r="Q407" s="0" t="str">
        <f aca="false">IF(K407="","",TRUE())</f>
        <v/>
      </c>
      <c r="R407" s="0" t="str">
        <f aca="false">IF(K407="","",SUMPRODUCT(--($H$2:$H$501=K407))&gt;0)</f>
        <v/>
      </c>
      <c r="S407" s="0" t="str">
        <f aca="false">IF(K407="","",IF(AND(Q407,R407),IF(O407=P407,"Match","Qty Different"),IF(Q407,"Only in List 1","Only in List 2")))</f>
        <v/>
      </c>
      <c r="T407" s="0" t="str">
        <f aca="false">IF(K407="","",IF(ISNUMBER(--L407),TEXT(--L407,"000000000000.000"),LOWER(L407)))</f>
        <v/>
      </c>
      <c r="U407" s="0" t="str">
        <f aca="false">IF(K407="","",IF(ISNUMBER(--M407),TEXT(--M407,"000000000000.000"),LOWER(M407)))</f>
        <v/>
      </c>
      <c r="V407" s="0" t="str">
        <f aca="false">IF(K407="","",LOWER(N407))</f>
        <v/>
      </c>
      <c r="W407" s="0" t="str">
        <f aca="false">IF(K407="","",B407)</f>
        <v/>
      </c>
      <c r="X407" s="0" t="str">
        <f aca="false">IF(K407="","",1+SUMPRODUCT(($K$2:$K$1001&lt;&gt;"")*(($T$2:$T$1001&lt;T407)+($T$2:$T$1001=T407)*(($U$2:$U$1001&lt;U407)+($U$2:$U$1001=U407)*(($V$2:$V$1001&lt;V407)+($V$2:$V$1001=V407)*(($W$2:$W$1001&lt;W407)+($W$2:$W$1001=W407)*(ROW($K$2:$K$1001)&lt;ROW(K407))))))))</f>
        <v/>
      </c>
    </row>
    <row r="408" customFormat="false" ht="15" hidden="false" customHeight="false" outlineLevel="0" collapsed="false">
      <c r="A408" s="0" t="str">
        <f aca="false">IF(TRIM('List 1'!A408&amp;'List 1'!C408&amp;'List 1'!D408)="","",LOWER(IF(OR(Comparison!$I$9="Item # + Part # + Description",Comparison!$I$9="Item # + Part #"),TRIM('List 1'!A408),"")&amp;"|"&amp;TRIM('List 1'!C408)&amp;"|"&amp;IF(OR(Comparison!$I$9="Item # + Part # + Description",Comparison!$I$9="Part # + Description"),TRIM('List 1'!D408),"")))</f>
        <v/>
      </c>
      <c r="B408" s="0" t="str">
        <f aca="false">IF(A408="","",SUMPRODUCT(--($A$2:A408=A408)))</f>
        <v/>
      </c>
      <c r="C408" s="0" t="str">
        <f aca="false">IF(A408="","",A408&amp;"#"&amp;B408)</f>
        <v/>
      </c>
      <c r="D408" s="0" t="str">
        <f aca="false">IF(A408="","",IFERROR(--'List 1'!B408,0))</f>
        <v/>
      </c>
      <c r="F408" s="0" t="str">
        <f aca="false">IF(TRIM('List 2'!A408&amp;'List 2'!C408&amp;'List 2'!D408)="","",LOWER(IF(OR(Comparison!$I$9="Item # + Part # + Description",Comparison!$I$9="Item # + Part #"),TRIM('List 2'!A408),"")&amp;"|"&amp;TRIM('List 2'!C408)&amp;"|"&amp;IF(OR(Comparison!$I$9="Item # + Part # + Description",Comparison!$I$9="Part # + Description"),TRIM('List 2'!D408),"")))</f>
        <v/>
      </c>
      <c r="G408" s="0" t="str">
        <f aca="false">IF(F408="","",SUMPRODUCT(--($F$2:F408=F408)))</f>
        <v/>
      </c>
      <c r="H408" s="0" t="str">
        <f aca="false">IF(F408="","",F408&amp;"#"&amp;G408)</f>
        <v/>
      </c>
      <c r="I408" s="0" t="str">
        <f aca="false">IF(F408="","",IFERROR(--'List 2'!B408,0))</f>
        <v/>
      </c>
      <c r="K408" s="0" t="str">
        <f aca="false">C408</f>
        <v/>
      </c>
      <c r="L408" s="0" t="str">
        <f aca="false">IF(K408="","",IF(ISNUMBER('List 1'!A408),'List 1'!A408,TRIM('List 1'!A408)))</f>
        <v/>
      </c>
      <c r="M408" s="0" t="str">
        <f aca="false">IF(K408="","",IF(ISNUMBER('List 1'!C408),'List 1'!C408,TRIM('List 1'!C408)))</f>
        <v/>
      </c>
      <c r="N408" s="0" t="str">
        <f aca="false">IF(K408="","",IF(ISNUMBER('List 1'!D408),'List 1'!D408,TRIM('List 1'!D408)))</f>
        <v/>
      </c>
      <c r="O408" s="0" t="str">
        <f aca="false">IF(K408="","",D408)</f>
        <v/>
      </c>
      <c r="P408" s="0" t="str">
        <f aca="false">IF(K408="","",IF(R408,SUMPRODUCT(--($H$2:$H$501=K408),$I$2:$I$501),0))</f>
        <v/>
      </c>
      <c r="Q408" s="0" t="str">
        <f aca="false">IF(K408="","",TRUE())</f>
        <v/>
      </c>
      <c r="R408" s="0" t="str">
        <f aca="false">IF(K408="","",SUMPRODUCT(--($H$2:$H$501=K408))&gt;0)</f>
        <v/>
      </c>
      <c r="S408" s="0" t="str">
        <f aca="false">IF(K408="","",IF(AND(Q408,R408),IF(O408=P408,"Match","Qty Different"),IF(Q408,"Only in List 1","Only in List 2")))</f>
        <v/>
      </c>
      <c r="T408" s="0" t="str">
        <f aca="false">IF(K408="","",IF(ISNUMBER(--L408),TEXT(--L408,"000000000000.000"),LOWER(L408)))</f>
        <v/>
      </c>
      <c r="U408" s="0" t="str">
        <f aca="false">IF(K408="","",IF(ISNUMBER(--M408),TEXT(--M408,"000000000000.000"),LOWER(M408)))</f>
        <v/>
      </c>
      <c r="V408" s="0" t="str">
        <f aca="false">IF(K408="","",LOWER(N408))</f>
        <v/>
      </c>
      <c r="W408" s="0" t="str">
        <f aca="false">IF(K408="","",B408)</f>
        <v/>
      </c>
      <c r="X408" s="0" t="str">
        <f aca="false">IF(K408="","",1+SUMPRODUCT(($K$2:$K$1001&lt;&gt;"")*(($T$2:$T$1001&lt;T408)+($T$2:$T$1001=T408)*(($U$2:$U$1001&lt;U408)+($U$2:$U$1001=U408)*(($V$2:$V$1001&lt;V408)+($V$2:$V$1001=V408)*(($W$2:$W$1001&lt;W408)+($W$2:$W$1001=W408)*(ROW($K$2:$K$1001)&lt;ROW(K408))))))))</f>
        <v/>
      </c>
    </row>
    <row r="409" customFormat="false" ht="15" hidden="false" customHeight="false" outlineLevel="0" collapsed="false">
      <c r="A409" s="0" t="str">
        <f aca="false">IF(TRIM('List 1'!A409&amp;'List 1'!C409&amp;'List 1'!D409)="","",LOWER(IF(OR(Comparison!$I$9="Item # + Part # + Description",Comparison!$I$9="Item # + Part #"),TRIM('List 1'!A409),"")&amp;"|"&amp;TRIM('List 1'!C409)&amp;"|"&amp;IF(OR(Comparison!$I$9="Item # + Part # + Description",Comparison!$I$9="Part # + Description"),TRIM('List 1'!D409),"")))</f>
        <v/>
      </c>
      <c r="B409" s="0" t="str">
        <f aca="false">IF(A409="","",SUMPRODUCT(--($A$2:A409=A409)))</f>
        <v/>
      </c>
      <c r="C409" s="0" t="str">
        <f aca="false">IF(A409="","",A409&amp;"#"&amp;B409)</f>
        <v/>
      </c>
      <c r="D409" s="0" t="str">
        <f aca="false">IF(A409="","",IFERROR(--'List 1'!B409,0))</f>
        <v/>
      </c>
      <c r="F409" s="0" t="str">
        <f aca="false">IF(TRIM('List 2'!A409&amp;'List 2'!C409&amp;'List 2'!D409)="","",LOWER(IF(OR(Comparison!$I$9="Item # + Part # + Description",Comparison!$I$9="Item # + Part #"),TRIM('List 2'!A409),"")&amp;"|"&amp;TRIM('List 2'!C409)&amp;"|"&amp;IF(OR(Comparison!$I$9="Item # + Part # + Description",Comparison!$I$9="Part # + Description"),TRIM('List 2'!D409),"")))</f>
        <v/>
      </c>
      <c r="G409" s="0" t="str">
        <f aca="false">IF(F409="","",SUMPRODUCT(--($F$2:F409=F409)))</f>
        <v/>
      </c>
      <c r="H409" s="0" t="str">
        <f aca="false">IF(F409="","",F409&amp;"#"&amp;G409)</f>
        <v/>
      </c>
      <c r="I409" s="0" t="str">
        <f aca="false">IF(F409="","",IFERROR(--'List 2'!B409,0))</f>
        <v/>
      </c>
      <c r="K409" s="0" t="str">
        <f aca="false">C409</f>
        <v/>
      </c>
      <c r="L409" s="0" t="str">
        <f aca="false">IF(K409="","",IF(ISNUMBER('List 1'!A409),'List 1'!A409,TRIM('List 1'!A409)))</f>
        <v/>
      </c>
      <c r="M409" s="0" t="str">
        <f aca="false">IF(K409="","",IF(ISNUMBER('List 1'!C409),'List 1'!C409,TRIM('List 1'!C409)))</f>
        <v/>
      </c>
      <c r="N409" s="0" t="str">
        <f aca="false">IF(K409="","",IF(ISNUMBER('List 1'!D409),'List 1'!D409,TRIM('List 1'!D409)))</f>
        <v/>
      </c>
      <c r="O409" s="0" t="str">
        <f aca="false">IF(K409="","",D409)</f>
        <v/>
      </c>
      <c r="P409" s="0" t="str">
        <f aca="false">IF(K409="","",IF(R409,SUMPRODUCT(--($H$2:$H$501=K409),$I$2:$I$501),0))</f>
        <v/>
      </c>
      <c r="Q409" s="0" t="str">
        <f aca="false">IF(K409="","",TRUE())</f>
        <v/>
      </c>
      <c r="R409" s="0" t="str">
        <f aca="false">IF(K409="","",SUMPRODUCT(--($H$2:$H$501=K409))&gt;0)</f>
        <v/>
      </c>
      <c r="S409" s="0" t="str">
        <f aca="false">IF(K409="","",IF(AND(Q409,R409),IF(O409=P409,"Match","Qty Different"),IF(Q409,"Only in List 1","Only in List 2")))</f>
        <v/>
      </c>
      <c r="T409" s="0" t="str">
        <f aca="false">IF(K409="","",IF(ISNUMBER(--L409),TEXT(--L409,"000000000000.000"),LOWER(L409)))</f>
        <v/>
      </c>
      <c r="U409" s="0" t="str">
        <f aca="false">IF(K409="","",IF(ISNUMBER(--M409),TEXT(--M409,"000000000000.000"),LOWER(M409)))</f>
        <v/>
      </c>
      <c r="V409" s="0" t="str">
        <f aca="false">IF(K409="","",LOWER(N409))</f>
        <v/>
      </c>
      <c r="W409" s="0" t="str">
        <f aca="false">IF(K409="","",B409)</f>
        <v/>
      </c>
      <c r="X409" s="0" t="str">
        <f aca="false">IF(K409="","",1+SUMPRODUCT(($K$2:$K$1001&lt;&gt;"")*(($T$2:$T$1001&lt;T409)+($T$2:$T$1001=T409)*(($U$2:$U$1001&lt;U409)+($U$2:$U$1001=U409)*(($V$2:$V$1001&lt;V409)+($V$2:$V$1001=V409)*(($W$2:$W$1001&lt;W409)+($W$2:$W$1001=W409)*(ROW($K$2:$K$1001)&lt;ROW(K409))))))))</f>
        <v/>
      </c>
    </row>
    <row r="410" customFormat="false" ht="15" hidden="false" customHeight="false" outlineLevel="0" collapsed="false">
      <c r="A410" s="0" t="str">
        <f aca="false">IF(TRIM('List 1'!A410&amp;'List 1'!C410&amp;'List 1'!D410)="","",LOWER(IF(OR(Comparison!$I$9="Item # + Part # + Description",Comparison!$I$9="Item # + Part #"),TRIM('List 1'!A410),"")&amp;"|"&amp;TRIM('List 1'!C410)&amp;"|"&amp;IF(OR(Comparison!$I$9="Item # + Part # + Description",Comparison!$I$9="Part # + Description"),TRIM('List 1'!D410),"")))</f>
        <v/>
      </c>
      <c r="B410" s="0" t="str">
        <f aca="false">IF(A410="","",SUMPRODUCT(--($A$2:A410=A410)))</f>
        <v/>
      </c>
      <c r="C410" s="0" t="str">
        <f aca="false">IF(A410="","",A410&amp;"#"&amp;B410)</f>
        <v/>
      </c>
      <c r="D410" s="0" t="str">
        <f aca="false">IF(A410="","",IFERROR(--'List 1'!B410,0))</f>
        <v/>
      </c>
      <c r="F410" s="0" t="str">
        <f aca="false">IF(TRIM('List 2'!A410&amp;'List 2'!C410&amp;'List 2'!D410)="","",LOWER(IF(OR(Comparison!$I$9="Item # + Part # + Description",Comparison!$I$9="Item # + Part #"),TRIM('List 2'!A410),"")&amp;"|"&amp;TRIM('List 2'!C410)&amp;"|"&amp;IF(OR(Comparison!$I$9="Item # + Part # + Description",Comparison!$I$9="Part # + Description"),TRIM('List 2'!D410),"")))</f>
        <v/>
      </c>
      <c r="G410" s="0" t="str">
        <f aca="false">IF(F410="","",SUMPRODUCT(--($F$2:F410=F410)))</f>
        <v/>
      </c>
      <c r="H410" s="0" t="str">
        <f aca="false">IF(F410="","",F410&amp;"#"&amp;G410)</f>
        <v/>
      </c>
      <c r="I410" s="0" t="str">
        <f aca="false">IF(F410="","",IFERROR(--'List 2'!B410,0))</f>
        <v/>
      </c>
      <c r="K410" s="0" t="str">
        <f aca="false">C410</f>
        <v/>
      </c>
      <c r="L410" s="0" t="str">
        <f aca="false">IF(K410="","",IF(ISNUMBER('List 1'!A410),'List 1'!A410,TRIM('List 1'!A410)))</f>
        <v/>
      </c>
      <c r="M410" s="0" t="str">
        <f aca="false">IF(K410="","",IF(ISNUMBER('List 1'!C410),'List 1'!C410,TRIM('List 1'!C410)))</f>
        <v/>
      </c>
      <c r="N410" s="0" t="str">
        <f aca="false">IF(K410="","",IF(ISNUMBER('List 1'!D410),'List 1'!D410,TRIM('List 1'!D410)))</f>
        <v/>
      </c>
      <c r="O410" s="0" t="str">
        <f aca="false">IF(K410="","",D410)</f>
        <v/>
      </c>
      <c r="P410" s="0" t="str">
        <f aca="false">IF(K410="","",IF(R410,SUMPRODUCT(--($H$2:$H$501=K410),$I$2:$I$501),0))</f>
        <v/>
      </c>
      <c r="Q410" s="0" t="str">
        <f aca="false">IF(K410="","",TRUE())</f>
        <v/>
      </c>
      <c r="R410" s="0" t="str">
        <f aca="false">IF(K410="","",SUMPRODUCT(--($H$2:$H$501=K410))&gt;0)</f>
        <v/>
      </c>
      <c r="S410" s="0" t="str">
        <f aca="false">IF(K410="","",IF(AND(Q410,R410),IF(O410=P410,"Match","Qty Different"),IF(Q410,"Only in List 1","Only in List 2")))</f>
        <v/>
      </c>
      <c r="T410" s="0" t="str">
        <f aca="false">IF(K410="","",IF(ISNUMBER(--L410),TEXT(--L410,"000000000000.000"),LOWER(L410)))</f>
        <v/>
      </c>
      <c r="U410" s="0" t="str">
        <f aca="false">IF(K410="","",IF(ISNUMBER(--M410),TEXT(--M410,"000000000000.000"),LOWER(M410)))</f>
        <v/>
      </c>
      <c r="V410" s="0" t="str">
        <f aca="false">IF(K410="","",LOWER(N410))</f>
        <v/>
      </c>
      <c r="W410" s="0" t="str">
        <f aca="false">IF(K410="","",B410)</f>
        <v/>
      </c>
      <c r="X410" s="0" t="str">
        <f aca="false">IF(K410="","",1+SUMPRODUCT(($K$2:$K$1001&lt;&gt;"")*(($T$2:$T$1001&lt;T410)+($T$2:$T$1001=T410)*(($U$2:$U$1001&lt;U410)+($U$2:$U$1001=U410)*(($V$2:$V$1001&lt;V410)+($V$2:$V$1001=V410)*(($W$2:$W$1001&lt;W410)+($W$2:$W$1001=W410)*(ROW($K$2:$K$1001)&lt;ROW(K410))))))))</f>
        <v/>
      </c>
    </row>
    <row r="411" customFormat="false" ht="15" hidden="false" customHeight="false" outlineLevel="0" collapsed="false">
      <c r="A411" s="0" t="str">
        <f aca="false">IF(TRIM('List 1'!A411&amp;'List 1'!C411&amp;'List 1'!D411)="","",LOWER(IF(OR(Comparison!$I$9="Item # + Part # + Description",Comparison!$I$9="Item # + Part #"),TRIM('List 1'!A411),"")&amp;"|"&amp;TRIM('List 1'!C411)&amp;"|"&amp;IF(OR(Comparison!$I$9="Item # + Part # + Description",Comparison!$I$9="Part # + Description"),TRIM('List 1'!D411),"")))</f>
        <v/>
      </c>
      <c r="B411" s="0" t="str">
        <f aca="false">IF(A411="","",SUMPRODUCT(--($A$2:A411=A411)))</f>
        <v/>
      </c>
      <c r="C411" s="0" t="str">
        <f aca="false">IF(A411="","",A411&amp;"#"&amp;B411)</f>
        <v/>
      </c>
      <c r="D411" s="0" t="str">
        <f aca="false">IF(A411="","",IFERROR(--'List 1'!B411,0))</f>
        <v/>
      </c>
      <c r="F411" s="0" t="str">
        <f aca="false">IF(TRIM('List 2'!A411&amp;'List 2'!C411&amp;'List 2'!D411)="","",LOWER(IF(OR(Comparison!$I$9="Item # + Part # + Description",Comparison!$I$9="Item # + Part #"),TRIM('List 2'!A411),"")&amp;"|"&amp;TRIM('List 2'!C411)&amp;"|"&amp;IF(OR(Comparison!$I$9="Item # + Part # + Description",Comparison!$I$9="Part # + Description"),TRIM('List 2'!D411),"")))</f>
        <v/>
      </c>
      <c r="G411" s="0" t="str">
        <f aca="false">IF(F411="","",SUMPRODUCT(--($F$2:F411=F411)))</f>
        <v/>
      </c>
      <c r="H411" s="0" t="str">
        <f aca="false">IF(F411="","",F411&amp;"#"&amp;G411)</f>
        <v/>
      </c>
      <c r="I411" s="0" t="str">
        <f aca="false">IF(F411="","",IFERROR(--'List 2'!B411,0))</f>
        <v/>
      </c>
      <c r="K411" s="0" t="str">
        <f aca="false">C411</f>
        <v/>
      </c>
      <c r="L411" s="0" t="str">
        <f aca="false">IF(K411="","",IF(ISNUMBER('List 1'!A411),'List 1'!A411,TRIM('List 1'!A411)))</f>
        <v/>
      </c>
      <c r="M411" s="0" t="str">
        <f aca="false">IF(K411="","",IF(ISNUMBER('List 1'!C411),'List 1'!C411,TRIM('List 1'!C411)))</f>
        <v/>
      </c>
      <c r="N411" s="0" t="str">
        <f aca="false">IF(K411="","",IF(ISNUMBER('List 1'!D411),'List 1'!D411,TRIM('List 1'!D411)))</f>
        <v/>
      </c>
      <c r="O411" s="0" t="str">
        <f aca="false">IF(K411="","",D411)</f>
        <v/>
      </c>
      <c r="P411" s="0" t="str">
        <f aca="false">IF(K411="","",IF(R411,SUMPRODUCT(--($H$2:$H$501=K411),$I$2:$I$501),0))</f>
        <v/>
      </c>
      <c r="Q411" s="0" t="str">
        <f aca="false">IF(K411="","",TRUE())</f>
        <v/>
      </c>
      <c r="R411" s="0" t="str">
        <f aca="false">IF(K411="","",SUMPRODUCT(--($H$2:$H$501=K411))&gt;0)</f>
        <v/>
      </c>
      <c r="S411" s="0" t="str">
        <f aca="false">IF(K411="","",IF(AND(Q411,R411),IF(O411=P411,"Match","Qty Different"),IF(Q411,"Only in List 1","Only in List 2")))</f>
        <v/>
      </c>
      <c r="T411" s="0" t="str">
        <f aca="false">IF(K411="","",IF(ISNUMBER(--L411),TEXT(--L411,"000000000000.000"),LOWER(L411)))</f>
        <v/>
      </c>
      <c r="U411" s="0" t="str">
        <f aca="false">IF(K411="","",IF(ISNUMBER(--M411),TEXT(--M411,"000000000000.000"),LOWER(M411)))</f>
        <v/>
      </c>
      <c r="V411" s="0" t="str">
        <f aca="false">IF(K411="","",LOWER(N411))</f>
        <v/>
      </c>
      <c r="W411" s="0" t="str">
        <f aca="false">IF(K411="","",B411)</f>
        <v/>
      </c>
      <c r="X411" s="0" t="str">
        <f aca="false">IF(K411="","",1+SUMPRODUCT(($K$2:$K$1001&lt;&gt;"")*(($T$2:$T$1001&lt;T411)+($T$2:$T$1001=T411)*(($U$2:$U$1001&lt;U411)+($U$2:$U$1001=U411)*(($V$2:$V$1001&lt;V411)+($V$2:$V$1001=V411)*(($W$2:$W$1001&lt;W411)+($W$2:$W$1001=W411)*(ROW($K$2:$K$1001)&lt;ROW(K411))))))))</f>
        <v/>
      </c>
    </row>
    <row r="412" customFormat="false" ht="15" hidden="false" customHeight="false" outlineLevel="0" collapsed="false">
      <c r="A412" s="0" t="str">
        <f aca="false">IF(TRIM('List 1'!A412&amp;'List 1'!C412&amp;'List 1'!D412)="","",LOWER(IF(OR(Comparison!$I$9="Item # + Part # + Description",Comparison!$I$9="Item # + Part #"),TRIM('List 1'!A412),"")&amp;"|"&amp;TRIM('List 1'!C412)&amp;"|"&amp;IF(OR(Comparison!$I$9="Item # + Part # + Description",Comparison!$I$9="Part # + Description"),TRIM('List 1'!D412),"")))</f>
        <v/>
      </c>
      <c r="B412" s="0" t="str">
        <f aca="false">IF(A412="","",SUMPRODUCT(--($A$2:A412=A412)))</f>
        <v/>
      </c>
      <c r="C412" s="0" t="str">
        <f aca="false">IF(A412="","",A412&amp;"#"&amp;B412)</f>
        <v/>
      </c>
      <c r="D412" s="0" t="str">
        <f aca="false">IF(A412="","",IFERROR(--'List 1'!B412,0))</f>
        <v/>
      </c>
      <c r="F412" s="0" t="str">
        <f aca="false">IF(TRIM('List 2'!A412&amp;'List 2'!C412&amp;'List 2'!D412)="","",LOWER(IF(OR(Comparison!$I$9="Item # + Part # + Description",Comparison!$I$9="Item # + Part #"),TRIM('List 2'!A412),"")&amp;"|"&amp;TRIM('List 2'!C412)&amp;"|"&amp;IF(OR(Comparison!$I$9="Item # + Part # + Description",Comparison!$I$9="Part # + Description"),TRIM('List 2'!D412),"")))</f>
        <v/>
      </c>
      <c r="G412" s="0" t="str">
        <f aca="false">IF(F412="","",SUMPRODUCT(--($F$2:F412=F412)))</f>
        <v/>
      </c>
      <c r="H412" s="0" t="str">
        <f aca="false">IF(F412="","",F412&amp;"#"&amp;G412)</f>
        <v/>
      </c>
      <c r="I412" s="0" t="str">
        <f aca="false">IF(F412="","",IFERROR(--'List 2'!B412,0))</f>
        <v/>
      </c>
      <c r="K412" s="0" t="str">
        <f aca="false">C412</f>
        <v/>
      </c>
      <c r="L412" s="0" t="str">
        <f aca="false">IF(K412="","",IF(ISNUMBER('List 1'!A412),'List 1'!A412,TRIM('List 1'!A412)))</f>
        <v/>
      </c>
      <c r="M412" s="0" t="str">
        <f aca="false">IF(K412="","",IF(ISNUMBER('List 1'!C412),'List 1'!C412,TRIM('List 1'!C412)))</f>
        <v/>
      </c>
      <c r="N412" s="0" t="str">
        <f aca="false">IF(K412="","",IF(ISNUMBER('List 1'!D412),'List 1'!D412,TRIM('List 1'!D412)))</f>
        <v/>
      </c>
      <c r="O412" s="0" t="str">
        <f aca="false">IF(K412="","",D412)</f>
        <v/>
      </c>
      <c r="P412" s="0" t="str">
        <f aca="false">IF(K412="","",IF(R412,SUMPRODUCT(--($H$2:$H$501=K412),$I$2:$I$501),0))</f>
        <v/>
      </c>
      <c r="Q412" s="0" t="str">
        <f aca="false">IF(K412="","",TRUE())</f>
        <v/>
      </c>
      <c r="R412" s="0" t="str">
        <f aca="false">IF(K412="","",SUMPRODUCT(--($H$2:$H$501=K412))&gt;0)</f>
        <v/>
      </c>
      <c r="S412" s="0" t="str">
        <f aca="false">IF(K412="","",IF(AND(Q412,R412),IF(O412=P412,"Match","Qty Different"),IF(Q412,"Only in List 1","Only in List 2")))</f>
        <v/>
      </c>
      <c r="T412" s="0" t="str">
        <f aca="false">IF(K412="","",IF(ISNUMBER(--L412),TEXT(--L412,"000000000000.000"),LOWER(L412)))</f>
        <v/>
      </c>
      <c r="U412" s="0" t="str">
        <f aca="false">IF(K412="","",IF(ISNUMBER(--M412),TEXT(--M412,"000000000000.000"),LOWER(M412)))</f>
        <v/>
      </c>
      <c r="V412" s="0" t="str">
        <f aca="false">IF(K412="","",LOWER(N412))</f>
        <v/>
      </c>
      <c r="W412" s="0" t="str">
        <f aca="false">IF(K412="","",B412)</f>
        <v/>
      </c>
      <c r="X412" s="0" t="str">
        <f aca="false">IF(K412="","",1+SUMPRODUCT(($K$2:$K$1001&lt;&gt;"")*(($T$2:$T$1001&lt;T412)+($T$2:$T$1001=T412)*(($U$2:$U$1001&lt;U412)+($U$2:$U$1001=U412)*(($V$2:$V$1001&lt;V412)+($V$2:$V$1001=V412)*(($W$2:$W$1001&lt;W412)+($W$2:$W$1001=W412)*(ROW($K$2:$K$1001)&lt;ROW(K412))))))))</f>
        <v/>
      </c>
    </row>
    <row r="413" customFormat="false" ht="15" hidden="false" customHeight="false" outlineLevel="0" collapsed="false">
      <c r="A413" s="0" t="str">
        <f aca="false">IF(TRIM('List 1'!A413&amp;'List 1'!C413&amp;'List 1'!D413)="","",LOWER(IF(OR(Comparison!$I$9="Item # + Part # + Description",Comparison!$I$9="Item # + Part #"),TRIM('List 1'!A413),"")&amp;"|"&amp;TRIM('List 1'!C413)&amp;"|"&amp;IF(OR(Comparison!$I$9="Item # + Part # + Description",Comparison!$I$9="Part # + Description"),TRIM('List 1'!D413),"")))</f>
        <v/>
      </c>
      <c r="B413" s="0" t="str">
        <f aca="false">IF(A413="","",SUMPRODUCT(--($A$2:A413=A413)))</f>
        <v/>
      </c>
      <c r="C413" s="0" t="str">
        <f aca="false">IF(A413="","",A413&amp;"#"&amp;B413)</f>
        <v/>
      </c>
      <c r="D413" s="0" t="str">
        <f aca="false">IF(A413="","",IFERROR(--'List 1'!B413,0))</f>
        <v/>
      </c>
      <c r="F413" s="0" t="str">
        <f aca="false">IF(TRIM('List 2'!A413&amp;'List 2'!C413&amp;'List 2'!D413)="","",LOWER(IF(OR(Comparison!$I$9="Item # + Part # + Description",Comparison!$I$9="Item # + Part #"),TRIM('List 2'!A413),"")&amp;"|"&amp;TRIM('List 2'!C413)&amp;"|"&amp;IF(OR(Comparison!$I$9="Item # + Part # + Description",Comparison!$I$9="Part # + Description"),TRIM('List 2'!D413),"")))</f>
        <v/>
      </c>
      <c r="G413" s="0" t="str">
        <f aca="false">IF(F413="","",SUMPRODUCT(--($F$2:F413=F413)))</f>
        <v/>
      </c>
      <c r="H413" s="0" t="str">
        <f aca="false">IF(F413="","",F413&amp;"#"&amp;G413)</f>
        <v/>
      </c>
      <c r="I413" s="0" t="str">
        <f aca="false">IF(F413="","",IFERROR(--'List 2'!B413,0))</f>
        <v/>
      </c>
      <c r="K413" s="0" t="str">
        <f aca="false">C413</f>
        <v/>
      </c>
      <c r="L413" s="0" t="str">
        <f aca="false">IF(K413="","",IF(ISNUMBER('List 1'!A413),'List 1'!A413,TRIM('List 1'!A413)))</f>
        <v/>
      </c>
      <c r="M413" s="0" t="str">
        <f aca="false">IF(K413="","",IF(ISNUMBER('List 1'!C413),'List 1'!C413,TRIM('List 1'!C413)))</f>
        <v/>
      </c>
      <c r="N413" s="0" t="str">
        <f aca="false">IF(K413="","",IF(ISNUMBER('List 1'!D413),'List 1'!D413,TRIM('List 1'!D413)))</f>
        <v/>
      </c>
      <c r="O413" s="0" t="str">
        <f aca="false">IF(K413="","",D413)</f>
        <v/>
      </c>
      <c r="P413" s="0" t="str">
        <f aca="false">IF(K413="","",IF(R413,SUMPRODUCT(--($H$2:$H$501=K413),$I$2:$I$501),0))</f>
        <v/>
      </c>
      <c r="Q413" s="0" t="str">
        <f aca="false">IF(K413="","",TRUE())</f>
        <v/>
      </c>
      <c r="R413" s="0" t="str">
        <f aca="false">IF(K413="","",SUMPRODUCT(--($H$2:$H$501=K413))&gt;0)</f>
        <v/>
      </c>
      <c r="S413" s="0" t="str">
        <f aca="false">IF(K413="","",IF(AND(Q413,R413),IF(O413=P413,"Match","Qty Different"),IF(Q413,"Only in List 1","Only in List 2")))</f>
        <v/>
      </c>
      <c r="T413" s="0" t="str">
        <f aca="false">IF(K413="","",IF(ISNUMBER(--L413),TEXT(--L413,"000000000000.000"),LOWER(L413)))</f>
        <v/>
      </c>
      <c r="U413" s="0" t="str">
        <f aca="false">IF(K413="","",IF(ISNUMBER(--M413),TEXT(--M413,"000000000000.000"),LOWER(M413)))</f>
        <v/>
      </c>
      <c r="V413" s="0" t="str">
        <f aca="false">IF(K413="","",LOWER(N413))</f>
        <v/>
      </c>
      <c r="W413" s="0" t="str">
        <f aca="false">IF(K413="","",B413)</f>
        <v/>
      </c>
      <c r="X413" s="0" t="str">
        <f aca="false">IF(K413="","",1+SUMPRODUCT(($K$2:$K$1001&lt;&gt;"")*(($T$2:$T$1001&lt;T413)+($T$2:$T$1001=T413)*(($U$2:$U$1001&lt;U413)+($U$2:$U$1001=U413)*(($V$2:$V$1001&lt;V413)+($V$2:$V$1001=V413)*(($W$2:$W$1001&lt;W413)+($W$2:$W$1001=W413)*(ROW($K$2:$K$1001)&lt;ROW(K413))))))))</f>
        <v/>
      </c>
    </row>
    <row r="414" customFormat="false" ht="15" hidden="false" customHeight="false" outlineLevel="0" collapsed="false">
      <c r="A414" s="0" t="str">
        <f aca="false">IF(TRIM('List 1'!A414&amp;'List 1'!C414&amp;'List 1'!D414)="","",LOWER(IF(OR(Comparison!$I$9="Item # + Part # + Description",Comparison!$I$9="Item # + Part #"),TRIM('List 1'!A414),"")&amp;"|"&amp;TRIM('List 1'!C414)&amp;"|"&amp;IF(OR(Comparison!$I$9="Item # + Part # + Description",Comparison!$I$9="Part # + Description"),TRIM('List 1'!D414),"")))</f>
        <v/>
      </c>
      <c r="B414" s="0" t="str">
        <f aca="false">IF(A414="","",SUMPRODUCT(--($A$2:A414=A414)))</f>
        <v/>
      </c>
      <c r="C414" s="0" t="str">
        <f aca="false">IF(A414="","",A414&amp;"#"&amp;B414)</f>
        <v/>
      </c>
      <c r="D414" s="0" t="str">
        <f aca="false">IF(A414="","",IFERROR(--'List 1'!B414,0))</f>
        <v/>
      </c>
      <c r="F414" s="0" t="str">
        <f aca="false">IF(TRIM('List 2'!A414&amp;'List 2'!C414&amp;'List 2'!D414)="","",LOWER(IF(OR(Comparison!$I$9="Item # + Part # + Description",Comparison!$I$9="Item # + Part #"),TRIM('List 2'!A414),"")&amp;"|"&amp;TRIM('List 2'!C414)&amp;"|"&amp;IF(OR(Comparison!$I$9="Item # + Part # + Description",Comparison!$I$9="Part # + Description"),TRIM('List 2'!D414),"")))</f>
        <v/>
      </c>
      <c r="G414" s="0" t="str">
        <f aca="false">IF(F414="","",SUMPRODUCT(--($F$2:F414=F414)))</f>
        <v/>
      </c>
      <c r="H414" s="0" t="str">
        <f aca="false">IF(F414="","",F414&amp;"#"&amp;G414)</f>
        <v/>
      </c>
      <c r="I414" s="0" t="str">
        <f aca="false">IF(F414="","",IFERROR(--'List 2'!B414,0))</f>
        <v/>
      </c>
      <c r="K414" s="0" t="str">
        <f aca="false">C414</f>
        <v/>
      </c>
      <c r="L414" s="0" t="str">
        <f aca="false">IF(K414="","",IF(ISNUMBER('List 1'!A414),'List 1'!A414,TRIM('List 1'!A414)))</f>
        <v/>
      </c>
      <c r="M414" s="0" t="str">
        <f aca="false">IF(K414="","",IF(ISNUMBER('List 1'!C414),'List 1'!C414,TRIM('List 1'!C414)))</f>
        <v/>
      </c>
      <c r="N414" s="0" t="str">
        <f aca="false">IF(K414="","",IF(ISNUMBER('List 1'!D414),'List 1'!D414,TRIM('List 1'!D414)))</f>
        <v/>
      </c>
      <c r="O414" s="0" t="str">
        <f aca="false">IF(K414="","",D414)</f>
        <v/>
      </c>
      <c r="P414" s="0" t="str">
        <f aca="false">IF(K414="","",IF(R414,SUMPRODUCT(--($H$2:$H$501=K414),$I$2:$I$501),0))</f>
        <v/>
      </c>
      <c r="Q414" s="0" t="str">
        <f aca="false">IF(K414="","",TRUE())</f>
        <v/>
      </c>
      <c r="R414" s="0" t="str">
        <f aca="false">IF(K414="","",SUMPRODUCT(--($H$2:$H$501=K414))&gt;0)</f>
        <v/>
      </c>
      <c r="S414" s="0" t="str">
        <f aca="false">IF(K414="","",IF(AND(Q414,R414),IF(O414=P414,"Match","Qty Different"),IF(Q414,"Only in List 1","Only in List 2")))</f>
        <v/>
      </c>
      <c r="T414" s="0" t="str">
        <f aca="false">IF(K414="","",IF(ISNUMBER(--L414),TEXT(--L414,"000000000000.000"),LOWER(L414)))</f>
        <v/>
      </c>
      <c r="U414" s="0" t="str">
        <f aca="false">IF(K414="","",IF(ISNUMBER(--M414),TEXT(--M414,"000000000000.000"),LOWER(M414)))</f>
        <v/>
      </c>
      <c r="V414" s="0" t="str">
        <f aca="false">IF(K414="","",LOWER(N414))</f>
        <v/>
      </c>
      <c r="W414" s="0" t="str">
        <f aca="false">IF(K414="","",B414)</f>
        <v/>
      </c>
      <c r="X414" s="0" t="str">
        <f aca="false">IF(K414="","",1+SUMPRODUCT(($K$2:$K$1001&lt;&gt;"")*(($T$2:$T$1001&lt;T414)+($T$2:$T$1001=T414)*(($U$2:$U$1001&lt;U414)+($U$2:$U$1001=U414)*(($V$2:$V$1001&lt;V414)+($V$2:$V$1001=V414)*(($W$2:$W$1001&lt;W414)+($W$2:$W$1001=W414)*(ROW($K$2:$K$1001)&lt;ROW(K414))))))))</f>
        <v/>
      </c>
    </row>
    <row r="415" customFormat="false" ht="15" hidden="false" customHeight="false" outlineLevel="0" collapsed="false">
      <c r="A415" s="0" t="str">
        <f aca="false">IF(TRIM('List 1'!A415&amp;'List 1'!C415&amp;'List 1'!D415)="","",LOWER(IF(OR(Comparison!$I$9="Item # + Part # + Description",Comparison!$I$9="Item # + Part #"),TRIM('List 1'!A415),"")&amp;"|"&amp;TRIM('List 1'!C415)&amp;"|"&amp;IF(OR(Comparison!$I$9="Item # + Part # + Description",Comparison!$I$9="Part # + Description"),TRIM('List 1'!D415),"")))</f>
        <v/>
      </c>
      <c r="B415" s="0" t="str">
        <f aca="false">IF(A415="","",SUMPRODUCT(--($A$2:A415=A415)))</f>
        <v/>
      </c>
      <c r="C415" s="0" t="str">
        <f aca="false">IF(A415="","",A415&amp;"#"&amp;B415)</f>
        <v/>
      </c>
      <c r="D415" s="0" t="str">
        <f aca="false">IF(A415="","",IFERROR(--'List 1'!B415,0))</f>
        <v/>
      </c>
      <c r="F415" s="0" t="str">
        <f aca="false">IF(TRIM('List 2'!A415&amp;'List 2'!C415&amp;'List 2'!D415)="","",LOWER(IF(OR(Comparison!$I$9="Item # + Part # + Description",Comparison!$I$9="Item # + Part #"),TRIM('List 2'!A415),"")&amp;"|"&amp;TRIM('List 2'!C415)&amp;"|"&amp;IF(OR(Comparison!$I$9="Item # + Part # + Description",Comparison!$I$9="Part # + Description"),TRIM('List 2'!D415),"")))</f>
        <v/>
      </c>
      <c r="G415" s="0" t="str">
        <f aca="false">IF(F415="","",SUMPRODUCT(--($F$2:F415=F415)))</f>
        <v/>
      </c>
      <c r="H415" s="0" t="str">
        <f aca="false">IF(F415="","",F415&amp;"#"&amp;G415)</f>
        <v/>
      </c>
      <c r="I415" s="0" t="str">
        <f aca="false">IF(F415="","",IFERROR(--'List 2'!B415,0))</f>
        <v/>
      </c>
      <c r="K415" s="0" t="str">
        <f aca="false">C415</f>
        <v/>
      </c>
      <c r="L415" s="0" t="str">
        <f aca="false">IF(K415="","",IF(ISNUMBER('List 1'!A415),'List 1'!A415,TRIM('List 1'!A415)))</f>
        <v/>
      </c>
      <c r="M415" s="0" t="str">
        <f aca="false">IF(K415="","",IF(ISNUMBER('List 1'!C415),'List 1'!C415,TRIM('List 1'!C415)))</f>
        <v/>
      </c>
      <c r="N415" s="0" t="str">
        <f aca="false">IF(K415="","",IF(ISNUMBER('List 1'!D415),'List 1'!D415,TRIM('List 1'!D415)))</f>
        <v/>
      </c>
      <c r="O415" s="0" t="str">
        <f aca="false">IF(K415="","",D415)</f>
        <v/>
      </c>
      <c r="P415" s="0" t="str">
        <f aca="false">IF(K415="","",IF(R415,SUMPRODUCT(--($H$2:$H$501=K415),$I$2:$I$501),0))</f>
        <v/>
      </c>
      <c r="Q415" s="0" t="str">
        <f aca="false">IF(K415="","",TRUE())</f>
        <v/>
      </c>
      <c r="R415" s="0" t="str">
        <f aca="false">IF(K415="","",SUMPRODUCT(--($H$2:$H$501=K415))&gt;0)</f>
        <v/>
      </c>
      <c r="S415" s="0" t="str">
        <f aca="false">IF(K415="","",IF(AND(Q415,R415),IF(O415=P415,"Match","Qty Different"),IF(Q415,"Only in List 1","Only in List 2")))</f>
        <v/>
      </c>
      <c r="T415" s="0" t="str">
        <f aca="false">IF(K415="","",IF(ISNUMBER(--L415),TEXT(--L415,"000000000000.000"),LOWER(L415)))</f>
        <v/>
      </c>
      <c r="U415" s="0" t="str">
        <f aca="false">IF(K415="","",IF(ISNUMBER(--M415),TEXT(--M415,"000000000000.000"),LOWER(M415)))</f>
        <v/>
      </c>
      <c r="V415" s="0" t="str">
        <f aca="false">IF(K415="","",LOWER(N415))</f>
        <v/>
      </c>
      <c r="W415" s="0" t="str">
        <f aca="false">IF(K415="","",B415)</f>
        <v/>
      </c>
      <c r="X415" s="0" t="str">
        <f aca="false">IF(K415="","",1+SUMPRODUCT(($K$2:$K$1001&lt;&gt;"")*(($T$2:$T$1001&lt;T415)+($T$2:$T$1001=T415)*(($U$2:$U$1001&lt;U415)+($U$2:$U$1001=U415)*(($V$2:$V$1001&lt;V415)+($V$2:$V$1001=V415)*(($W$2:$W$1001&lt;W415)+($W$2:$W$1001=W415)*(ROW($K$2:$K$1001)&lt;ROW(K415))))))))</f>
        <v/>
      </c>
    </row>
    <row r="416" customFormat="false" ht="15" hidden="false" customHeight="false" outlineLevel="0" collapsed="false">
      <c r="A416" s="0" t="str">
        <f aca="false">IF(TRIM('List 1'!A416&amp;'List 1'!C416&amp;'List 1'!D416)="","",LOWER(IF(OR(Comparison!$I$9="Item # + Part # + Description",Comparison!$I$9="Item # + Part #"),TRIM('List 1'!A416),"")&amp;"|"&amp;TRIM('List 1'!C416)&amp;"|"&amp;IF(OR(Comparison!$I$9="Item # + Part # + Description",Comparison!$I$9="Part # + Description"),TRIM('List 1'!D416),"")))</f>
        <v/>
      </c>
      <c r="B416" s="0" t="str">
        <f aca="false">IF(A416="","",SUMPRODUCT(--($A$2:A416=A416)))</f>
        <v/>
      </c>
      <c r="C416" s="0" t="str">
        <f aca="false">IF(A416="","",A416&amp;"#"&amp;B416)</f>
        <v/>
      </c>
      <c r="D416" s="0" t="str">
        <f aca="false">IF(A416="","",IFERROR(--'List 1'!B416,0))</f>
        <v/>
      </c>
      <c r="F416" s="0" t="str">
        <f aca="false">IF(TRIM('List 2'!A416&amp;'List 2'!C416&amp;'List 2'!D416)="","",LOWER(IF(OR(Comparison!$I$9="Item # + Part # + Description",Comparison!$I$9="Item # + Part #"),TRIM('List 2'!A416),"")&amp;"|"&amp;TRIM('List 2'!C416)&amp;"|"&amp;IF(OR(Comparison!$I$9="Item # + Part # + Description",Comparison!$I$9="Part # + Description"),TRIM('List 2'!D416),"")))</f>
        <v/>
      </c>
      <c r="G416" s="0" t="str">
        <f aca="false">IF(F416="","",SUMPRODUCT(--($F$2:F416=F416)))</f>
        <v/>
      </c>
      <c r="H416" s="0" t="str">
        <f aca="false">IF(F416="","",F416&amp;"#"&amp;G416)</f>
        <v/>
      </c>
      <c r="I416" s="0" t="str">
        <f aca="false">IF(F416="","",IFERROR(--'List 2'!B416,0))</f>
        <v/>
      </c>
      <c r="K416" s="0" t="str">
        <f aca="false">C416</f>
        <v/>
      </c>
      <c r="L416" s="0" t="str">
        <f aca="false">IF(K416="","",IF(ISNUMBER('List 1'!A416),'List 1'!A416,TRIM('List 1'!A416)))</f>
        <v/>
      </c>
      <c r="M416" s="0" t="str">
        <f aca="false">IF(K416="","",IF(ISNUMBER('List 1'!C416),'List 1'!C416,TRIM('List 1'!C416)))</f>
        <v/>
      </c>
      <c r="N416" s="0" t="str">
        <f aca="false">IF(K416="","",IF(ISNUMBER('List 1'!D416),'List 1'!D416,TRIM('List 1'!D416)))</f>
        <v/>
      </c>
      <c r="O416" s="0" t="str">
        <f aca="false">IF(K416="","",D416)</f>
        <v/>
      </c>
      <c r="P416" s="0" t="str">
        <f aca="false">IF(K416="","",IF(R416,SUMPRODUCT(--($H$2:$H$501=K416),$I$2:$I$501),0))</f>
        <v/>
      </c>
      <c r="Q416" s="0" t="str">
        <f aca="false">IF(K416="","",TRUE())</f>
        <v/>
      </c>
      <c r="R416" s="0" t="str">
        <f aca="false">IF(K416="","",SUMPRODUCT(--($H$2:$H$501=K416))&gt;0)</f>
        <v/>
      </c>
      <c r="S416" s="0" t="str">
        <f aca="false">IF(K416="","",IF(AND(Q416,R416),IF(O416=P416,"Match","Qty Different"),IF(Q416,"Only in List 1","Only in List 2")))</f>
        <v/>
      </c>
      <c r="T416" s="0" t="str">
        <f aca="false">IF(K416="","",IF(ISNUMBER(--L416),TEXT(--L416,"000000000000.000"),LOWER(L416)))</f>
        <v/>
      </c>
      <c r="U416" s="0" t="str">
        <f aca="false">IF(K416="","",IF(ISNUMBER(--M416),TEXT(--M416,"000000000000.000"),LOWER(M416)))</f>
        <v/>
      </c>
      <c r="V416" s="0" t="str">
        <f aca="false">IF(K416="","",LOWER(N416))</f>
        <v/>
      </c>
      <c r="W416" s="0" t="str">
        <f aca="false">IF(K416="","",B416)</f>
        <v/>
      </c>
      <c r="X416" s="0" t="str">
        <f aca="false">IF(K416="","",1+SUMPRODUCT(($K$2:$K$1001&lt;&gt;"")*(($T$2:$T$1001&lt;T416)+($T$2:$T$1001=T416)*(($U$2:$U$1001&lt;U416)+($U$2:$U$1001=U416)*(($V$2:$V$1001&lt;V416)+($V$2:$V$1001=V416)*(($W$2:$W$1001&lt;W416)+($W$2:$W$1001=W416)*(ROW($K$2:$K$1001)&lt;ROW(K416))))))))</f>
        <v/>
      </c>
    </row>
    <row r="417" customFormat="false" ht="15" hidden="false" customHeight="false" outlineLevel="0" collapsed="false">
      <c r="A417" s="0" t="str">
        <f aca="false">IF(TRIM('List 1'!A417&amp;'List 1'!C417&amp;'List 1'!D417)="","",LOWER(IF(OR(Comparison!$I$9="Item # + Part # + Description",Comparison!$I$9="Item # + Part #"),TRIM('List 1'!A417),"")&amp;"|"&amp;TRIM('List 1'!C417)&amp;"|"&amp;IF(OR(Comparison!$I$9="Item # + Part # + Description",Comparison!$I$9="Part # + Description"),TRIM('List 1'!D417),"")))</f>
        <v/>
      </c>
      <c r="B417" s="0" t="str">
        <f aca="false">IF(A417="","",SUMPRODUCT(--($A$2:A417=A417)))</f>
        <v/>
      </c>
      <c r="C417" s="0" t="str">
        <f aca="false">IF(A417="","",A417&amp;"#"&amp;B417)</f>
        <v/>
      </c>
      <c r="D417" s="0" t="str">
        <f aca="false">IF(A417="","",IFERROR(--'List 1'!B417,0))</f>
        <v/>
      </c>
      <c r="F417" s="0" t="str">
        <f aca="false">IF(TRIM('List 2'!A417&amp;'List 2'!C417&amp;'List 2'!D417)="","",LOWER(IF(OR(Comparison!$I$9="Item # + Part # + Description",Comparison!$I$9="Item # + Part #"),TRIM('List 2'!A417),"")&amp;"|"&amp;TRIM('List 2'!C417)&amp;"|"&amp;IF(OR(Comparison!$I$9="Item # + Part # + Description",Comparison!$I$9="Part # + Description"),TRIM('List 2'!D417),"")))</f>
        <v/>
      </c>
      <c r="G417" s="0" t="str">
        <f aca="false">IF(F417="","",SUMPRODUCT(--($F$2:F417=F417)))</f>
        <v/>
      </c>
      <c r="H417" s="0" t="str">
        <f aca="false">IF(F417="","",F417&amp;"#"&amp;G417)</f>
        <v/>
      </c>
      <c r="I417" s="0" t="str">
        <f aca="false">IF(F417="","",IFERROR(--'List 2'!B417,0))</f>
        <v/>
      </c>
      <c r="K417" s="0" t="str">
        <f aca="false">C417</f>
        <v/>
      </c>
      <c r="L417" s="0" t="str">
        <f aca="false">IF(K417="","",IF(ISNUMBER('List 1'!A417),'List 1'!A417,TRIM('List 1'!A417)))</f>
        <v/>
      </c>
      <c r="M417" s="0" t="str">
        <f aca="false">IF(K417="","",IF(ISNUMBER('List 1'!C417),'List 1'!C417,TRIM('List 1'!C417)))</f>
        <v/>
      </c>
      <c r="N417" s="0" t="str">
        <f aca="false">IF(K417="","",IF(ISNUMBER('List 1'!D417),'List 1'!D417,TRIM('List 1'!D417)))</f>
        <v/>
      </c>
      <c r="O417" s="0" t="str">
        <f aca="false">IF(K417="","",D417)</f>
        <v/>
      </c>
      <c r="P417" s="0" t="str">
        <f aca="false">IF(K417="","",IF(R417,SUMPRODUCT(--($H$2:$H$501=K417),$I$2:$I$501),0))</f>
        <v/>
      </c>
      <c r="Q417" s="0" t="str">
        <f aca="false">IF(K417="","",TRUE())</f>
        <v/>
      </c>
      <c r="R417" s="0" t="str">
        <f aca="false">IF(K417="","",SUMPRODUCT(--($H$2:$H$501=K417))&gt;0)</f>
        <v/>
      </c>
      <c r="S417" s="0" t="str">
        <f aca="false">IF(K417="","",IF(AND(Q417,R417),IF(O417=P417,"Match","Qty Different"),IF(Q417,"Only in List 1","Only in List 2")))</f>
        <v/>
      </c>
      <c r="T417" s="0" t="str">
        <f aca="false">IF(K417="","",IF(ISNUMBER(--L417),TEXT(--L417,"000000000000.000"),LOWER(L417)))</f>
        <v/>
      </c>
      <c r="U417" s="0" t="str">
        <f aca="false">IF(K417="","",IF(ISNUMBER(--M417),TEXT(--M417,"000000000000.000"),LOWER(M417)))</f>
        <v/>
      </c>
      <c r="V417" s="0" t="str">
        <f aca="false">IF(K417="","",LOWER(N417))</f>
        <v/>
      </c>
      <c r="W417" s="0" t="str">
        <f aca="false">IF(K417="","",B417)</f>
        <v/>
      </c>
      <c r="X417" s="0" t="str">
        <f aca="false">IF(K417="","",1+SUMPRODUCT(($K$2:$K$1001&lt;&gt;"")*(($T$2:$T$1001&lt;T417)+($T$2:$T$1001=T417)*(($U$2:$U$1001&lt;U417)+($U$2:$U$1001=U417)*(($V$2:$V$1001&lt;V417)+($V$2:$V$1001=V417)*(($W$2:$W$1001&lt;W417)+($W$2:$W$1001=W417)*(ROW($K$2:$K$1001)&lt;ROW(K417))))))))</f>
        <v/>
      </c>
    </row>
    <row r="418" customFormat="false" ht="15" hidden="false" customHeight="false" outlineLevel="0" collapsed="false">
      <c r="A418" s="0" t="str">
        <f aca="false">IF(TRIM('List 1'!A418&amp;'List 1'!C418&amp;'List 1'!D418)="","",LOWER(IF(OR(Comparison!$I$9="Item # + Part # + Description",Comparison!$I$9="Item # + Part #"),TRIM('List 1'!A418),"")&amp;"|"&amp;TRIM('List 1'!C418)&amp;"|"&amp;IF(OR(Comparison!$I$9="Item # + Part # + Description",Comparison!$I$9="Part # + Description"),TRIM('List 1'!D418),"")))</f>
        <v/>
      </c>
      <c r="B418" s="0" t="str">
        <f aca="false">IF(A418="","",SUMPRODUCT(--($A$2:A418=A418)))</f>
        <v/>
      </c>
      <c r="C418" s="0" t="str">
        <f aca="false">IF(A418="","",A418&amp;"#"&amp;B418)</f>
        <v/>
      </c>
      <c r="D418" s="0" t="str">
        <f aca="false">IF(A418="","",IFERROR(--'List 1'!B418,0))</f>
        <v/>
      </c>
      <c r="F418" s="0" t="str">
        <f aca="false">IF(TRIM('List 2'!A418&amp;'List 2'!C418&amp;'List 2'!D418)="","",LOWER(IF(OR(Comparison!$I$9="Item # + Part # + Description",Comparison!$I$9="Item # + Part #"),TRIM('List 2'!A418),"")&amp;"|"&amp;TRIM('List 2'!C418)&amp;"|"&amp;IF(OR(Comparison!$I$9="Item # + Part # + Description",Comparison!$I$9="Part # + Description"),TRIM('List 2'!D418),"")))</f>
        <v/>
      </c>
      <c r="G418" s="0" t="str">
        <f aca="false">IF(F418="","",SUMPRODUCT(--($F$2:F418=F418)))</f>
        <v/>
      </c>
      <c r="H418" s="0" t="str">
        <f aca="false">IF(F418="","",F418&amp;"#"&amp;G418)</f>
        <v/>
      </c>
      <c r="I418" s="0" t="str">
        <f aca="false">IF(F418="","",IFERROR(--'List 2'!B418,0))</f>
        <v/>
      </c>
      <c r="K418" s="0" t="str">
        <f aca="false">C418</f>
        <v/>
      </c>
      <c r="L418" s="0" t="str">
        <f aca="false">IF(K418="","",IF(ISNUMBER('List 1'!A418),'List 1'!A418,TRIM('List 1'!A418)))</f>
        <v/>
      </c>
      <c r="M418" s="0" t="str">
        <f aca="false">IF(K418="","",IF(ISNUMBER('List 1'!C418),'List 1'!C418,TRIM('List 1'!C418)))</f>
        <v/>
      </c>
      <c r="N418" s="0" t="str">
        <f aca="false">IF(K418="","",IF(ISNUMBER('List 1'!D418),'List 1'!D418,TRIM('List 1'!D418)))</f>
        <v/>
      </c>
      <c r="O418" s="0" t="str">
        <f aca="false">IF(K418="","",D418)</f>
        <v/>
      </c>
      <c r="P418" s="0" t="str">
        <f aca="false">IF(K418="","",IF(R418,SUMPRODUCT(--($H$2:$H$501=K418),$I$2:$I$501),0))</f>
        <v/>
      </c>
      <c r="Q418" s="0" t="str">
        <f aca="false">IF(K418="","",TRUE())</f>
        <v/>
      </c>
      <c r="R418" s="0" t="str">
        <f aca="false">IF(K418="","",SUMPRODUCT(--($H$2:$H$501=K418))&gt;0)</f>
        <v/>
      </c>
      <c r="S418" s="0" t="str">
        <f aca="false">IF(K418="","",IF(AND(Q418,R418),IF(O418=P418,"Match","Qty Different"),IF(Q418,"Only in List 1","Only in List 2")))</f>
        <v/>
      </c>
      <c r="T418" s="0" t="str">
        <f aca="false">IF(K418="","",IF(ISNUMBER(--L418),TEXT(--L418,"000000000000.000"),LOWER(L418)))</f>
        <v/>
      </c>
      <c r="U418" s="0" t="str">
        <f aca="false">IF(K418="","",IF(ISNUMBER(--M418),TEXT(--M418,"000000000000.000"),LOWER(M418)))</f>
        <v/>
      </c>
      <c r="V418" s="0" t="str">
        <f aca="false">IF(K418="","",LOWER(N418))</f>
        <v/>
      </c>
      <c r="W418" s="0" t="str">
        <f aca="false">IF(K418="","",B418)</f>
        <v/>
      </c>
      <c r="X418" s="0" t="str">
        <f aca="false">IF(K418="","",1+SUMPRODUCT(($K$2:$K$1001&lt;&gt;"")*(($T$2:$T$1001&lt;T418)+($T$2:$T$1001=T418)*(($U$2:$U$1001&lt;U418)+($U$2:$U$1001=U418)*(($V$2:$V$1001&lt;V418)+($V$2:$V$1001=V418)*(($W$2:$W$1001&lt;W418)+($W$2:$W$1001=W418)*(ROW($K$2:$K$1001)&lt;ROW(K418))))))))</f>
        <v/>
      </c>
    </row>
    <row r="419" customFormat="false" ht="15" hidden="false" customHeight="false" outlineLevel="0" collapsed="false">
      <c r="A419" s="0" t="str">
        <f aca="false">IF(TRIM('List 1'!A419&amp;'List 1'!C419&amp;'List 1'!D419)="","",LOWER(IF(OR(Comparison!$I$9="Item # + Part # + Description",Comparison!$I$9="Item # + Part #"),TRIM('List 1'!A419),"")&amp;"|"&amp;TRIM('List 1'!C419)&amp;"|"&amp;IF(OR(Comparison!$I$9="Item # + Part # + Description",Comparison!$I$9="Part # + Description"),TRIM('List 1'!D419),"")))</f>
        <v/>
      </c>
      <c r="B419" s="0" t="str">
        <f aca="false">IF(A419="","",SUMPRODUCT(--($A$2:A419=A419)))</f>
        <v/>
      </c>
      <c r="C419" s="0" t="str">
        <f aca="false">IF(A419="","",A419&amp;"#"&amp;B419)</f>
        <v/>
      </c>
      <c r="D419" s="0" t="str">
        <f aca="false">IF(A419="","",IFERROR(--'List 1'!B419,0))</f>
        <v/>
      </c>
      <c r="F419" s="0" t="str">
        <f aca="false">IF(TRIM('List 2'!A419&amp;'List 2'!C419&amp;'List 2'!D419)="","",LOWER(IF(OR(Comparison!$I$9="Item # + Part # + Description",Comparison!$I$9="Item # + Part #"),TRIM('List 2'!A419),"")&amp;"|"&amp;TRIM('List 2'!C419)&amp;"|"&amp;IF(OR(Comparison!$I$9="Item # + Part # + Description",Comparison!$I$9="Part # + Description"),TRIM('List 2'!D419),"")))</f>
        <v/>
      </c>
      <c r="G419" s="0" t="str">
        <f aca="false">IF(F419="","",SUMPRODUCT(--($F$2:F419=F419)))</f>
        <v/>
      </c>
      <c r="H419" s="0" t="str">
        <f aca="false">IF(F419="","",F419&amp;"#"&amp;G419)</f>
        <v/>
      </c>
      <c r="I419" s="0" t="str">
        <f aca="false">IF(F419="","",IFERROR(--'List 2'!B419,0))</f>
        <v/>
      </c>
      <c r="K419" s="0" t="str">
        <f aca="false">C419</f>
        <v/>
      </c>
      <c r="L419" s="0" t="str">
        <f aca="false">IF(K419="","",IF(ISNUMBER('List 1'!A419),'List 1'!A419,TRIM('List 1'!A419)))</f>
        <v/>
      </c>
      <c r="M419" s="0" t="str">
        <f aca="false">IF(K419="","",IF(ISNUMBER('List 1'!C419),'List 1'!C419,TRIM('List 1'!C419)))</f>
        <v/>
      </c>
      <c r="N419" s="0" t="str">
        <f aca="false">IF(K419="","",IF(ISNUMBER('List 1'!D419),'List 1'!D419,TRIM('List 1'!D419)))</f>
        <v/>
      </c>
      <c r="O419" s="0" t="str">
        <f aca="false">IF(K419="","",D419)</f>
        <v/>
      </c>
      <c r="P419" s="0" t="str">
        <f aca="false">IF(K419="","",IF(R419,SUMPRODUCT(--($H$2:$H$501=K419),$I$2:$I$501),0))</f>
        <v/>
      </c>
      <c r="Q419" s="0" t="str">
        <f aca="false">IF(K419="","",TRUE())</f>
        <v/>
      </c>
      <c r="R419" s="0" t="str">
        <f aca="false">IF(K419="","",SUMPRODUCT(--($H$2:$H$501=K419))&gt;0)</f>
        <v/>
      </c>
      <c r="S419" s="0" t="str">
        <f aca="false">IF(K419="","",IF(AND(Q419,R419),IF(O419=P419,"Match","Qty Different"),IF(Q419,"Only in List 1","Only in List 2")))</f>
        <v/>
      </c>
      <c r="T419" s="0" t="str">
        <f aca="false">IF(K419="","",IF(ISNUMBER(--L419),TEXT(--L419,"000000000000.000"),LOWER(L419)))</f>
        <v/>
      </c>
      <c r="U419" s="0" t="str">
        <f aca="false">IF(K419="","",IF(ISNUMBER(--M419),TEXT(--M419,"000000000000.000"),LOWER(M419)))</f>
        <v/>
      </c>
      <c r="V419" s="0" t="str">
        <f aca="false">IF(K419="","",LOWER(N419))</f>
        <v/>
      </c>
      <c r="W419" s="0" t="str">
        <f aca="false">IF(K419="","",B419)</f>
        <v/>
      </c>
      <c r="X419" s="0" t="str">
        <f aca="false">IF(K419="","",1+SUMPRODUCT(($K$2:$K$1001&lt;&gt;"")*(($T$2:$T$1001&lt;T419)+($T$2:$T$1001=T419)*(($U$2:$U$1001&lt;U419)+($U$2:$U$1001=U419)*(($V$2:$V$1001&lt;V419)+($V$2:$V$1001=V419)*(($W$2:$W$1001&lt;W419)+($W$2:$W$1001=W419)*(ROW($K$2:$K$1001)&lt;ROW(K419))))))))</f>
        <v/>
      </c>
    </row>
    <row r="420" customFormat="false" ht="15" hidden="false" customHeight="false" outlineLevel="0" collapsed="false">
      <c r="A420" s="0" t="str">
        <f aca="false">IF(TRIM('List 1'!A420&amp;'List 1'!C420&amp;'List 1'!D420)="","",LOWER(IF(OR(Comparison!$I$9="Item # + Part # + Description",Comparison!$I$9="Item # + Part #"),TRIM('List 1'!A420),"")&amp;"|"&amp;TRIM('List 1'!C420)&amp;"|"&amp;IF(OR(Comparison!$I$9="Item # + Part # + Description",Comparison!$I$9="Part # + Description"),TRIM('List 1'!D420),"")))</f>
        <v/>
      </c>
      <c r="B420" s="0" t="str">
        <f aca="false">IF(A420="","",SUMPRODUCT(--($A$2:A420=A420)))</f>
        <v/>
      </c>
      <c r="C420" s="0" t="str">
        <f aca="false">IF(A420="","",A420&amp;"#"&amp;B420)</f>
        <v/>
      </c>
      <c r="D420" s="0" t="str">
        <f aca="false">IF(A420="","",IFERROR(--'List 1'!B420,0))</f>
        <v/>
      </c>
      <c r="F420" s="0" t="str">
        <f aca="false">IF(TRIM('List 2'!A420&amp;'List 2'!C420&amp;'List 2'!D420)="","",LOWER(IF(OR(Comparison!$I$9="Item # + Part # + Description",Comparison!$I$9="Item # + Part #"),TRIM('List 2'!A420),"")&amp;"|"&amp;TRIM('List 2'!C420)&amp;"|"&amp;IF(OR(Comparison!$I$9="Item # + Part # + Description",Comparison!$I$9="Part # + Description"),TRIM('List 2'!D420),"")))</f>
        <v/>
      </c>
      <c r="G420" s="0" t="str">
        <f aca="false">IF(F420="","",SUMPRODUCT(--($F$2:F420=F420)))</f>
        <v/>
      </c>
      <c r="H420" s="0" t="str">
        <f aca="false">IF(F420="","",F420&amp;"#"&amp;G420)</f>
        <v/>
      </c>
      <c r="I420" s="0" t="str">
        <f aca="false">IF(F420="","",IFERROR(--'List 2'!B420,0))</f>
        <v/>
      </c>
      <c r="K420" s="0" t="str">
        <f aca="false">C420</f>
        <v/>
      </c>
      <c r="L420" s="0" t="str">
        <f aca="false">IF(K420="","",IF(ISNUMBER('List 1'!A420),'List 1'!A420,TRIM('List 1'!A420)))</f>
        <v/>
      </c>
      <c r="M420" s="0" t="str">
        <f aca="false">IF(K420="","",IF(ISNUMBER('List 1'!C420),'List 1'!C420,TRIM('List 1'!C420)))</f>
        <v/>
      </c>
      <c r="N420" s="0" t="str">
        <f aca="false">IF(K420="","",IF(ISNUMBER('List 1'!D420),'List 1'!D420,TRIM('List 1'!D420)))</f>
        <v/>
      </c>
      <c r="O420" s="0" t="str">
        <f aca="false">IF(K420="","",D420)</f>
        <v/>
      </c>
      <c r="P420" s="0" t="str">
        <f aca="false">IF(K420="","",IF(R420,SUMPRODUCT(--($H$2:$H$501=K420),$I$2:$I$501),0))</f>
        <v/>
      </c>
      <c r="Q420" s="0" t="str">
        <f aca="false">IF(K420="","",TRUE())</f>
        <v/>
      </c>
      <c r="R420" s="0" t="str">
        <f aca="false">IF(K420="","",SUMPRODUCT(--($H$2:$H$501=K420))&gt;0)</f>
        <v/>
      </c>
      <c r="S420" s="0" t="str">
        <f aca="false">IF(K420="","",IF(AND(Q420,R420),IF(O420=P420,"Match","Qty Different"),IF(Q420,"Only in List 1","Only in List 2")))</f>
        <v/>
      </c>
      <c r="T420" s="0" t="str">
        <f aca="false">IF(K420="","",IF(ISNUMBER(--L420),TEXT(--L420,"000000000000.000"),LOWER(L420)))</f>
        <v/>
      </c>
      <c r="U420" s="0" t="str">
        <f aca="false">IF(K420="","",IF(ISNUMBER(--M420),TEXT(--M420,"000000000000.000"),LOWER(M420)))</f>
        <v/>
      </c>
      <c r="V420" s="0" t="str">
        <f aca="false">IF(K420="","",LOWER(N420))</f>
        <v/>
      </c>
      <c r="W420" s="0" t="str">
        <f aca="false">IF(K420="","",B420)</f>
        <v/>
      </c>
      <c r="X420" s="0" t="str">
        <f aca="false">IF(K420="","",1+SUMPRODUCT(($K$2:$K$1001&lt;&gt;"")*(($T$2:$T$1001&lt;T420)+($T$2:$T$1001=T420)*(($U$2:$U$1001&lt;U420)+($U$2:$U$1001=U420)*(($V$2:$V$1001&lt;V420)+($V$2:$V$1001=V420)*(($W$2:$W$1001&lt;W420)+($W$2:$W$1001=W420)*(ROW($K$2:$K$1001)&lt;ROW(K420))))))))</f>
        <v/>
      </c>
    </row>
    <row r="421" customFormat="false" ht="15" hidden="false" customHeight="false" outlineLevel="0" collapsed="false">
      <c r="A421" s="0" t="str">
        <f aca="false">IF(TRIM('List 1'!A421&amp;'List 1'!C421&amp;'List 1'!D421)="","",LOWER(IF(OR(Comparison!$I$9="Item # + Part # + Description",Comparison!$I$9="Item # + Part #"),TRIM('List 1'!A421),"")&amp;"|"&amp;TRIM('List 1'!C421)&amp;"|"&amp;IF(OR(Comparison!$I$9="Item # + Part # + Description",Comparison!$I$9="Part # + Description"),TRIM('List 1'!D421),"")))</f>
        <v/>
      </c>
      <c r="B421" s="0" t="str">
        <f aca="false">IF(A421="","",SUMPRODUCT(--($A$2:A421=A421)))</f>
        <v/>
      </c>
      <c r="C421" s="0" t="str">
        <f aca="false">IF(A421="","",A421&amp;"#"&amp;B421)</f>
        <v/>
      </c>
      <c r="D421" s="0" t="str">
        <f aca="false">IF(A421="","",IFERROR(--'List 1'!B421,0))</f>
        <v/>
      </c>
      <c r="F421" s="0" t="str">
        <f aca="false">IF(TRIM('List 2'!A421&amp;'List 2'!C421&amp;'List 2'!D421)="","",LOWER(IF(OR(Comparison!$I$9="Item # + Part # + Description",Comparison!$I$9="Item # + Part #"),TRIM('List 2'!A421),"")&amp;"|"&amp;TRIM('List 2'!C421)&amp;"|"&amp;IF(OR(Comparison!$I$9="Item # + Part # + Description",Comparison!$I$9="Part # + Description"),TRIM('List 2'!D421),"")))</f>
        <v/>
      </c>
      <c r="G421" s="0" t="str">
        <f aca="false">IF(F421="","",SUMPRODUCT(--($F$2:F421=F421)))</f>
        <v/>
      </c>
      <c r="H421" s="0" t="str">
        <f aca="false">IF(F421="","",F421&amp;"#"&amp;G421)</f>
        <v/>
      </c>
      <c r="I421" s="0" t="str">
        <f aca="false">IF(F421="","",IFERROR(--'List 2'!B421,0))</f>
        <v/>
      </c>
      <c r="K421" s="0" t="str">
        <f aca="false">C421</f>
        <v/>
      </c>
      <c r="L421" s="0" t="str">
        <f aca="false">IF(K421="","",IF(ISNUMBER('List 1'!A421),'List 1'!A421,TRIM('List 1'!A421)))</f>
        <v/>
      </c>
      <c r="M421" s="0" t="str">
        <f aca="false">IF(K421="","",IF(ISNUMBER('List 1'!C421),'List 1'!C421,TRIM('List 1'!C421)))</f>
        <v/>
      </c>
      <c r="N421" s="0" t="str">
        <f aca="false">IF(K421="","",IF(ISNUMBER('List 1'!D421),'List 1'!D421,TRIM('List 1'!D421)))</f>
        <v/>
      </c>
      <c r="O421" s="0" t="str">
        <f aca="false">IF(K421="","",D421)</f>
        <v/>
      </c>
      <c r="P421" s="0" t="str">
        <f aca="false">IF(K421="","",IF(R421,SUMPRODUCT(--($H$2:$H$501=K421),$I$2:$I$501),0))</f>
        <v/>
      </c>
      <c r="Q421" s="0" t="str">
        <f aca="false">IF(K421="","",TRUE())</f>
        <v/>
      </c>
      <c r="R421" s="0" t="str">
        <f aca="false">IF(K421="","",SUMPRODUCT(--($H$2:$H$501=K421))&gt;0)</f>
        <v/>
      </c>
      <c r="S421" s="0" t="str">
        <f aca="false">IF(K421="","",IF(AND(Q421,R421),IF(O421=P421,"Match","Qty Different"),IF(Q421,"Only in List 1","Only in List 2")))</f>
        <v/>
      </c>
      <c r="T421" s="0" t="str">
        <f aca="false">IF(K421="","",IF(ISNUMBER(--L421),TEXT(--L421,"000000000000.000"),LOWER(L421)))</f>
        <v/>
      </c>
      <c r="U421" s="0" t="str">
        <f aca="false">IF(K421="","",IF(ISNUMBER(--M421),TEXT(--M421,"000000000000.000"),LOWER(M421)))</f>
        <v/>
      </c>
      <c r="V421" s="0" t="str">
        <f aca="false">IF(K421="","",LOWER(N421))</f>
        <v/>
      </c>
      <c r="W421" s="0" t="str">
        <f aca="false">IF(K421="","",B421)</f>
        <v/>
      </c>
      <c r="X421" s="0" t="str">
        <f aca="false">IF(K421="","",1+SUMPRODUCT(($K$2:$K$1001&lt;&gt;"")*(($T$2:$T$1001&lt;T421)+($T$2:$T$1001=T421)*(($U$2:$U$1001&lt;U421)+($U$2:$U$1001=U421)*(($V$2:$V$1001&lt;V421)+($V$2:$V$1001=V421)*(($W$2:$W$1001&lt;W421)+($W$2:$W$1001=W421)*(ROW($K$2:$K$1001)&lt;ROW(K421))))))))</f>
        <v/>
      </c>
    </row>
    <row r="422" customFormat="false" ht="15" hidden="false" customHeight="false" outlineLevel="0" collapsed="false">
      <c r="A422" s="0" t="str">
        <f aca="false">IF(TRIM('List 1'!A422&amp;'List 1'!C422&amp;'List 1'!D422)="","",LOWER(IF(OR(Comparison!$I$9="Item # + Part # + Description",Comparison!$I$9="Item # + Part #"),TRIM('List 1'!A422),"")&amp;"|"&amp;TRIM('List 1'!C422)&amp;"|"&amp;IF(OR(Comparison!$I$9="Item # + Part # + Description",Comparison!$I$9="Part # + Description"),TRIM('List 1'!D422),"")))</f>
        <v/>
      </c>
      <c r="B422" s="0" t="str">
        <f aca="false">IF(A422="","",SUMPRODUCT(--($A$2:A422=A422)))</f>
        <v/>
      </c>
      <c r="C422" s="0" t="str">
        <f aca="false">IF(A422="","",A422&amp;"#"&amp;B422)</f>
        <v/>
      </c>
      <c r="D422" s="0" t="str">
        <f aca="false">IF(A422="","",IFERROR(--'List 1'!B422,0))</f>
        <v/>
      </c>
      <c r="F422" s="0" t="str">
        <f aca="false">IF(TRIM('List 2'!A422&amp;'List 2'!C422&amp;'List 2'!D422)="","",LOWER(IF(OR(Comparison!$I$9="Item # + Part # + Description",Comparison!$I$9="Item # + Part #"),TRIM('List 2'!A422),"")&amp;"|"&amp;TRIM('List 2'!C422)&amp;"|"&amp;IF(OR(Comparison!$I$9="Item # + Part # + Description",Comparison!$I$9="Part # + Description"),TRIM('List 2'!D422),"")))</f>
        <v/>
      </c>
      <c r="G422" s="0" t="str">
        <f aca="false">IF(F422="","",SUMPRODUCT(--($F$2:F422=F422)))</f>
        <v/>
      </c>
      <c r="H422" s="0" t="str">
        <f aca="false">IF(F422="","",F422&amp;"#"&amp;G422)</f>
        <v/>
      </c>
      <c r="I422" s="0" t="str">
        <f aca="false">IF(F422="","",IFERROR(--'List 2'!B422,0))</f>
        <v/>
      </c>
      <c r="K422" s="0" t="str">
        <f aca="false">C422</f>
        <v/>
      </c>
      <c r="L422" s="0" t="str">
        <f aca="false">IF(K422="","",IF(ISNUMBER('List 1'!A422),'List 1'!A422,TRIM('List 1'!A422)))</f>
        <v/>
      </c>
      <c r="M422" s="0" t="str">
        <f aca="false">IF(K422="","",IF(ISNUMBER('List 1'!C422),'List 1'!C422,TRIM('List 1'!C422)))</f>
        <v/>
      </c>
      <c r="N422" s="0" t="str">
        <f aca="false">IF(K422="","",IF(ISNUMBER('List 1'!D422),'List 1'!D422,TRIM('List 1'!D422)))</f>
        <v/>
      </c>
      <c r="O422" s="0" t="str">
        <f aca="false">IF(K422="","",D422)</f>
        <v/>
      </c>
      <c r="P422" s="0" t="str">
        <f aca="false">IF(K422="","",IF(R422,SUMPRODUCT(--($H$2:$H$501=K422),$I$2:$I$501),0))</f>
        <v/>
      </c>
      <c r="Q422" s="0" t="str">
        <f aca="false">IF(K422="","",TRUE())</f>
        <v/>
      </c>
      <c r="R422" s="0" t="str">
        <f aca="false">IF(K422="","",SUMPRODUCT(--($H$2:$H$501=K422))&gt;0)</f>
        <v/>
      </c>
      <c r="S422" s="0" t="str">
        <f aca="false">IF(K422="","",IF(AND(Q422,R422),IF(O422=P422,"Match","Qty Different"),IF(Q422,"Only in List 1","Only in List 2")))</f>
        <v/>
      </c>
      <c r="T422" s="0" t="str">
        <f aca="false">IF(K422="","",IF(ISNUMBER(--L422),TEXT(--L422,"000000000000.000"),LOWER(L422)))</f>
        <v/>
      </c>
      <c r="U422" s="0" t="str">
        <f aca="false">IF(K422="","",IF(ISNUMBER(--M422),TEXT(--M422,"000000000000.000"),LOWER(M422)))</f>
        <v/>
      </c>
      <c r="V422" s="0" t="str">
        <f aca="false">IF(K422="","",LOWER(N422))</f>
        <v/>
      </c>
      <c r="W422" s="0" t="str">
        <f aca="false">IF(K422="","",B422)</f>
        <v/>
      </c>
      <c r="X422" s="0" t="str">
        <f aca="false">IF(K422="","",1+SUMPRODUCT(($K$2:$K$1001&lt;&gt;"")*(($T$2:$T$1001&lt;T422)+($T$2:$T$1001=T422)*(($U$2:$U$1001&lt;U422)+($U$2:$U$1001=U422)*(($V$2:$V$1001&lt;V422)+($V$2:$V$1001=V422)*(($W$2:$W$1001&lt;W422)+($W$2:$W$1001=W422)*(ROW($K$2:$K$1001)&lt;ROW(K422))))))))</f>
        <v/>
      </c>
    </row>
    <row r="423" customFormat="false" ht="15" hidden="false" customHeight="false" outlineLevel="0" collapsed="false">
      <c r="A423" s="0" t="str">
        <f aca="false">IF(TRIM('List 1'!A423&amp;'List 1'!C423&amp;'List 1'!D423)="","",LOWER(IF(OR(Comparison!$I$9="Item # + Part # + Description",Comparison!$I$9="Item # + Part #"),TRIM('List 1'!A423),"")&amp;"|"&amp;TRIM('List 1'!C423)&amp;"|"&amp;IF(OR(Comparison!$I$9="Item # + Part # + Description",Comparison!$I$9="Part # + Description"),TRIM('List 1'!D423),"")))</f>
        <v/>
      </c>
      <c r="B423" s="0" t="str">
        <f aca="false">IF(A423="","",SUMPRODUCT(--($A$2:A423=A423)))</f>
        <v/>
      </c>
      <c r="C423" s="0" t="str">
        <f aca="false">IF(A423="","",A423&amp;"#"&amp;B423)</f>
        <v/>
      </c>
      <c r="D423" s="0" t="str">
        <f aca="false">IF(A423="","",IFERROR(--'List 1'!B423,0))</f>
        <v/>
      </c>
      <c r="F423" s="0" t="str">
        <f aca="false">IF(TRIM('List 2'!A423&amp;'List 2'!C423&amp;'List 2'!D423)="","",LOWER(IF(OR(Comparison!$I$9="Item # + Part # + Description",Comparison!$I$9="Item # + Part #"),TRIM('List 2'!A423),"")&amp;"|"&amp;TRIM('List 2'!C423)&amp;"|"&amp;IF(OR(Comparison!$I$9="Item # + Part # + Description",Comparison!$I$9="Part # + Description"),TRIM('List 2'!D423),"")))</f>
        <v/>
      </c>
      <c r="G423" s="0" t="str">
        <f aca="false">IF(F423="","",SUMPRODUCT(--($F$2:F423=F423)))</f>
        <v/>
      </c>
      <c r="H423" s="0" t="str">
        <f aca="false">IF(F423="","",F423&amp;"#"&amp;G423)</f>
        <v/>
      </c>
      <c r="I423" s="0" t="str">
        <f aca="false">IF(F423="","",IFERROR(--'List 2'!B423,0))</f>
        <v/>
      </c>
      <c r="K423" s="0" t="str">
        <f aca="false">C423</f>
        <v/>
      </c>
      <c r="L423" s="0" t="str">
        <f aca="false">IF(K423="","",IF(ISNUMBER('List 1'!A423),'List 1'!A423,TRIM('List 1'!A423)))</f>
        <v/>
      </c>
      <c r="M423" s="0" t="str">
        <f aca="false">IF(K423="","",IF(ISNUMBER('List 1'!C423),'List 1'!C423,TRIM('List 1'!C423)))</f>
        <v/>
      </c>
      <c r="N423" s="0" t="str">
        <f aca="false">IF(K423="","",IF(ISNUMBER('List 1'!D423),'List 1'!D423,TRIM('List 1'!D423)))</f>
        <v/>
      </c>
      <c r="O423" s="0" t="str">
        <f aca="false">IF(K423="","",D423)</f>
        <v/>
      </c>
      <c r="P423" s="0" t="str">
        <f aca="false">IF(K423="","",IF(R423,SUMPRODUCT(--($H$2:$H$501=K423),$I$2:$I$501),0))</f>
        <v/>
      </c>
      <c r="Q423" s="0" t="str">
        <f aca="false">IF(K423="","",TRUE())</f>
        <v/>
      </c>
      <c r="R423" s="0" t="str">
        <f aca="false">IF(K423="","",SUMPRODUCT(--($H$2:$H$501=K423))&gt;0)</f>
        <v/>
      </c>
      <c r="S423" s="0" t="str">
        <f aca="false">IF(K423="","",IF(AND(Q423,R423),IF(O423=P423,"Match","Qty Different"),IF(Q423,"Only in List 1","Only in List 2")))</f>
        <v/>
      </c>
      <c r="T423" s="0" t="str">
        <f aca="false">IF(K423="","",IF(ISNUMBER(--L423),TEXT(--L423,"000000000000.000"),LOWER(L423)))</f>
        <v/>
      </c>
      <c r="U423" s="0" t="str">
        <f aca="false">IF(K423="","",IF(ISNUMBER(--M423),TEXT(--M423,"000000000000.000"),LOWER(M423)))</f>
        <v/>
      </c>
      <c r="V423" s="0" t="str">
        <f aca="false">IF(K423="","",LOWER(N423))</f>
        <v/>
      </c>
      <c r="W423" s="0" t="str">
        <f aca="false">IF(K423="","",B423)</f>
        <v/>
      </c>
      <c r="X423" s="0" t="str">
        <f aca="false">IF(K423="","",1+SUMPRODUCT(($K$2:$K$1001&lt;&gt;"")*(($T$2:$T$1001&lt;T423)+($T$2:$T$1001=T423)*(($U$2:$U$1001&lt;U423)+($U$2:$U$1001=U423)*(($V$2:$V$1001&lt;V423)+($V$2:$V$1001=V423)*(($W$2:$W$1001&lt;W423)+($W$2:$W$1001=W423)*(ROW($K$2:$K$1001)&lt;ROW(K423))))))))</f>
        <v/>
      </c>
    </row>
    <row r="424" customFormat="false" ht="15" hidden="false" customHeight="false" outlineLevel="0" collapsed="false">
      <c r="A424" s="0" t="str">
        <f aca="false">IF(TRIM('List 1'!A424&amp;'List 1'!C424&amp;'List 1'!D424)="","",LOWER(IF(OR(Comparison!$I$9="Item # + Part # + Description",Comparison!$I$9="Item # + Part #"),TRIM('List 1'!A424),"")&amp;"|"&amp;TRIM('List 1'!C424)&amp;"|"&amp;IF(OR(Comparison!$I$9="Item # + Part # + Description",Comparison!$I$9="Part # + Description"),TRIM('List 1'!D424),"")))</f>
        <v/>
      </c>
      <c r="B424" s="0" t="str">
        <f aca="false">IF(A424="","",SUMPRODUCT(--($A$2:A424=A424)))</f>
        <v/>
      </c>
      <c r="C424" s="0" t="str">
        <f aca="false">IF(A424="","",A424&amp;"#"&amp;B424)</f>
        <v/>
      </c>
      <c r="D424" s="0" t="str">
        <f aca="false">IF(A424="","",IFERROR(--'List 1'!B424,0))</f>
        <v/>
      </c>
      <c r="F424" s="0" t="str">
        <f aca="false">IF(TRIM('List 2'!A424&amp;'List 2'!C424&amp;'List 2'!D424)="","",LOWER(IF(OR(Comparison!$I$9="Item # + Part # + Description",Comparison!$I$9="Item # + Part #"),TRIM('List 2'!A424),"")&amp;"|"&amp;TRIM('List 2'!C424)&amp;"|"&amp;IF(OR(Comparison!$I$9="Item # + Part # + Description",Comparison!$I$9="Part # + Description"),TRIM('List 2'!D424),"")))</f>
        <v/>
      </c>
      <c r="G424" s="0" t="str">
        <f aca="false">IF(F424="","",SUMPRODUCT(--($F$2:F424=F424)))</f>
        <v/>
      </c>
      <c r="H424" s="0" t="str">
        <f aca="false">IF(F424="","",F424&amp;"#"&amp;G424)</f>
        <v/>
      </c>
      <c r="I424" s="0" t="str">
        <f aca="false">IF(F424="","",IFERROR(--'List 2'!B424,0))</f>
        <v/>
      </c>
      <c r="K424" s="0" t="str">
        <f aca="false">C424</f>
        <v/>
      </c>
      <c r="L424" s="0" t="str">
        <f aca="false">IF(K424="","",IF(ISNUMBER('List 1'!A424),'List 1'!A424,TRIM('List 1'!A424)))</f>
        <v/>
      </c>
      <c r="M424" s="0" t="str">
        <f aca="false">IF(K424="","",IF(ISNUMBER('List 1'!C424),'List 1'!C424,TRIM('List 1'!C424)))</f>
        <v/>
      </c>
      <c r="N424" s="0" t="str">
        <f aca="false">IF(K424="","",IF(ISNUMBER('List 1'!D424),'List 1'!D424,TRIM('List 1'!D424)))</f>
        <v/>
      </c>
      <c r="O424" s="0" t="str">
        <f aca="false">IF(K424="","",D424)</f>
        <v/>
      </c>
      <c r="P424" s="0" t="str">
        <f aca="false">IF(K424="","",IF(R424,SUMPRODUCT(--($H$2:$H$501=K424),$I$2:$I$501),0))</f>
        <v/>
      </c>
      <c r="Q424" s="0" t="str">
        <f aca="false">IF(K424="","",TRUE())</f>
        <v/>
      </c>
      <c r="R424" s="0" t="str">
        <f aca="false">IF(K424="","",SUMPRODUCT(--($H$2:$H$501=K424))&gt;0)</f>
        <v/>
      </c>
      <c r="S424" s="0" t="str">
        <f aca="false">IF(K424="","",IF(AND(Q424,R424),IF(O424=P424,"Match","Qty Different"),IF(Q424,"Only in List 1","Only in List 2")))</f>
        <v/>
      </c>
      <c r="T424" s="0" t="str">
        <f aca="false">IF(K424="","",IF(ISNUMBER(--L424),TEXT(--L424,"000000000000.000"),LOWER(L424)))</f>
        <v/>
      </c>
      <c r="U424" s="0" t="str">
        <f aca="false">IF(K424="","",IF(ISNUMBER(--M424),TEXT(--M424,"000000000000.000"),LOWER(M424)))</f>
        <v/>
      </c>
      <c r="V424" s="0" t="str">
        <f aca="false">IF(K424="","",LOWER(N424))</f>
        <v/>
      </c>
      <c r="W424" s="0" t="str">
        <f aca="false">IF(K424="","",B424)</f>
        <v/>
      </c>
      <c r="X424" s="0" t="str">
        <f aca="false">IF(K424="","",1+SUMPRODUCT(($K$2:$K$1001&lt;&gt;"")*(($T$2:$T$1001&lt;T424)+($T$2:$T$1001=T424)*(($U$2:$U$1001&lt;U424)+($U$2:$U$1001=U424)*(($V$2:$V$1001&lt;V424)+($V$2:$V$1001=V424)*(($W$2:$W$1001&lt;W424)+($W$2:$W$1001=W424)*(ROW($K$2:$K$1001)&lt;ROW(K424))))))))</f>
        <v/>
      </c>
    </row>
    <row r="425" customFormat="false" ht="15" hidden="false" customHeight="false" outlineLevel="0" collapsed="false">
      <c r="A425" s="0" t="str">
        <f aca="false">IF(TRIM('List 1'!A425&amp;'List 1'!C425&amp;'List 1'!D425)="","",LOWER(IF(OR(Comparison!$I$9="Item # + Part # + Description",Comparison!$I$9="Item # + Part #"),TRIM('List 1'!A425),"")&amp;"|"&amp;TRIM('List 1'!C425)&amp;"|"&amp;IF(OR(Comparison!$I$9="Item # + Part # + Description",Comparison!$I$9="Part # + Description"),TRIM('List 1'!D425),"")))</f>
        <v/>
      </c>
      <c r="B425" s="0" t="str">
        <f aca="false">IF(A425="","",SUMPRODUCT(--($A$2:A425=A425)))</f>
        <v/>
      </c>
      <c r="C425" s="0" t="str">
        <f aca="false">IF(A425="","",A425&amp;"#"&amp;B425)</f>
        <v/>
      </c>
      <c r="D425" s="0" t="str">
        <f aca="false">IF(A425="","",IFERROR(--'List 1'!B425,0))</f>
        <v/>
      </c>
      <c r="F425" s="0" t="str">
        <f aca="false">IF(TRIM('List 2'!A425&amp;'List 2'!C425&amp;'List 2'!D425)="","",LOWER(IF(OR(Comparison!$I$9="Item # + Part # + Description",Comparison!$I$9="Item # + Part #"),TRIM('List 2'!A425),"")&amp;"|"&amp;TRIM('List 2'!C425)&amp;"|"&amp;IF(OR(Comparison!$I$9="Item # + Part # + Description",Comparison!$I$9="Part # + Description"),TRIM('List 2'!D425),"")))</f>
        <v/>
      </c>
      <c r="G425" s="0" t="str">
        <f aca="false">IF(F425="","",SUMPRODUCT(--($F$2:F425=F425)))</f>
        <v/>
      </c>
      <c r="H425" s="0" t="str">
        <f aca="false">IF(F425="","",F425&amp;"#"&amp;G425)</f>
        <v/>
      </c>
      <c r="I425" s="0" t="str">
        <f aca="false">IF(F425="","",IFERROR(--'List 2'!B425,0))</f>
        <v/>
      </c>
      <c r="K425" s="0" t="str">
        <f aca="false">C425</f>
        <v/>
      </c>
      <c r="L425" s="0" t="str">
        <f aca="false">IF(K425="","",IF(ISNUMBER('List 1'!A425),'List 1'!A425,TRIM('List 1'!A425)))</f>
        <v/>
      </c>
      <c r="M425" s="0" t="str">
        <f aca="false">IF(K425="","",IF(ISNUMBER('List 1'!C425),'List 1'!C425,TRIM('List 1'!C425)))</f>
        <v/>
      </c>
      <c r="N425" s="0" t="str">
        <f aca="false">IF(K425="","",IF(ISNUMBER('List 1'!D425),'List 1'!D425,TRIM('List 1'!D425)))</f>
        <v/>
      </c>
      <c r="O425" s="0" t="str">
        <f aca="false">IF(K425="","",D425)</f>
        <v/>
      </c>
      <c r="P425" s="0" t="str">
        <f aca="false">IF(K425="","",IF(R425,SUMPRODUCT(--($H$2:$H$501=K425),$I$2:$I$501),0))</f>
        <v/>
      </c>
      <c r="Q425" s="0" t="str">
        <f aca="false">IF(K425="","",TRUE())</f>
        <v/>
      </c>
      <c r="R425" s="0" t="str">
        <f aca="false">IF(K425="","",SUMPRODUCT(--($H$2:$H$501=K425))&gt;0)</f>
        <v/>
      </c>
      <c r="S425" s="0" t="str">
        <f aca="false">IF(K425="","",IF(AND(Q425,R425),IF(O425=P425,"Match","Qty Different"),IF(Q425,"Only in List 1","Only in List 2")))</f>
        <v/>
      </c>
      <c r="T425" s="0" t="str">
        <f aca="false">IF(K425="","",IF(ISNUMBER(--L425),TEXT(--L425,"000000000000.000"),LOWER(L425)))</f>
        <v/>
      </c>
      <c r="U425" s="0" t="str">
        <f aca="false">IF(K425="","",IF(ISNUMBER(--M425),TEXT(--M425,"000000000000.000"),LOWER(M425)))</f>
        <v/>
      </c>
      <c r="V425" s="0" t="str">
        <f aca="false">IF(K425="","",LOWER(N425))</f>
        <v/>
      </c>
      <c r="W425" s="0" t="str">
        <f aca="false">IF(K425="","",B425)</f>
        <v/>
      </c>
      <c r="X425" s="0" t="str">
        <f aca="false">IF(K425="","",1+SUMPRODUCT(($K$2:$K$1001&lt;&gt;"")*(($T$2:$T$1001&lt;T425)+($T$2:$T$1001=T425)*(($U$2:$U$1001&lt;U425)+($U$2:$U$1001=U425)*(($V$2:$V$1001&lt;V425)+($V$2:$V$1001=V425)*(($W$2:$W$1001&lt;W425)+($W$2:$W$1001=W425)*(ROW($K$2:$K$1001)&lt;ROW(K425))))))))</f>
        <v/>
      </c>
    </row>
    <row r="426" customFormat="false" ht="15" hidden="false" customHeight="false" outlineLevel="0" collapsed="false">
      <c r="A426" s="0" t="str">
        <f aca="false">IF(TRIM('List 1'!A426&amp;'List 1'!C426&amp;'List 1'!D426)="","",LOWER(IF(OR(Comparison!$I$9="Item # + Part # + Description",Comparison!$I$9="Item # + Part #"),TRIM('List 1'!A426),"")&amp;"|"&amp;TRIM('List 1'!C426)&amp;"|"&amp;IF(OR(Comparison!$I$9="Item # + Part # + Description",Comparison!$I$9="Part # + Description"),TRIM('List 1'!D426),"")))</f>
        <v/>
      </c>
      <c r="B426" s="0" t="str">
        <f aca="false">IF(A426="","",SUMPRODUCT(--($A$2:A426=A426)))</f>
        <v/>
      </c>
      <c r="C426" s="0" t="str">
        <f aca="false">IF(A426="","",A426&amp;"#"&amp;B426)</f>
        <v/>
      </c>
      <c r="D426" s="0" t="str">
        <f aca="false">IF(A426="","",IFERROR(--'List 1'!B426,0))</f>
        <v/>
      </c>
      <c r="F426" s="0" t="str">
        <f aca="false">IF(TRIM('List 2'!A426&amp;'List 2'!C426&amp;'List 2'!D426)="","",LOWER(IF(OR(Comparison!$I$9="Item # + Part # + Description",Comparison!$I$9="Item # + Part #"),TRIM('List 2'!A426),"")&amp;"|"&amp;TRIM('List 2'!C426)&amp;"|"&amp;IF(OR(Comparison!$I$9="Item # + Part # + Description",Comparison!$I$9="Part # + Description"),TRIM('List 2'!D426),"")))</f>
        <v/>
      </c>
      <c r="G426" s="0" t="str">
        <f aca="false">IF(F426="","",SUMPRODUCT(--($F$2:F426=F426)))</f>
        <v/>
      </c>
      <c r="H426" s="0" t="str">
        <f aca="false">IF(F426="","",F426&amp;"#"&amp;G426)</f>
        <v/>
      </c>
      <c r="I426" s="0" t="str">
        <f aca="false">IF(F426="","",IFERROR(--'List 2'!B426,0))</f>
        <v/>
      </c>
      <c r="K426" s="0" t="str">
        <f aca="false">C426</f>
        <v/>
      </c>
      <c r="L426" s="0" t="str">
        <f aca="false">IF(K426="","",IF(ISNUMBER('List 1'!A426),'List 1'!A426,TRIM('List 1'!A426)))</f>
        <v/>
      </c>
      <c r="M426" s="0" t="str">
        <f aca="false">IF(K426="","",IF(ISNUMBER('List 1'!C426),'List 1'!C426,TRIM('List 1'!C426)))</f>
        <v/>
      </c>
      <c r="N426" s="0" t="str">
        <f aca="false">IF(K426="","",IF(ISNUMBER('List 1'!D426),'List 1'!D426,TRIM('List 1'!D426)))</f>
        <v/>
      </c>
      <c r="O426" s="0" t="str">
        <f aca="false">IF(K426="","",D426)</f>
        <v/>
      </c>
      <c r="P426" s="0" t="str">
        <f aca="false">IF(K426="","",IF(R426,SUMPRODUCT(--($H$2:$H$501=K426),$I$2:$I$501),0))</f>
        <v/>
      </c>
      <c r="Q426" s="0" t="str">
        <f aca="false">IF(K426="","",TRUE())</f>
        <v/>
      </c>
      <c r="R426" s="0" t="str">
        <f aca="false">IF(K426="","",SUMPRODUCT(--($H$2:$H$501=K426))&gt;0)</f>
        <v/>
      </c>
      <c r="S426" s="0" t="str">
        <f aca="false">IF(K426="","",IF(AND(Q426,R426),IF(O426=P426,"Match","Qty Different"),IF(Q426,"Only in List 1","Only in List 2")))</f>
        <v/>
      </c>
      <c r="T426" s="0" t="str">
        <f aca="false">IF(K426="","",IF(ISNUMBER(--L426),TEXT(--L426,"000000000000.000"),LOWER(L426)))</f>
        <v/>
      </c>
      <c r="U426" s="0" t="str">
        <f aca="false">IF(K426="","",IF(ISNUMBER(--M426),TEXT(--M426,"000000000000.000"),LOWER(M426)))</f>
        <v/>
      </c>
      <c r="V426" s="0" t="str">
        <f aca="false">IF(K426="","",LOWER(N426))</f>
        <v/>
      </c>
      <c r="W426" s="0" t="str">
        <f aca="false">IF(K426="","",B426)</f>
        <v/>
      </c>
      <c r="X426" s="0" t="str">
        <f aca="false">IF(K426="","",1+SUMPRODUCT(($K$2:$K$1001&lt;&gt;"")*(($T$2:$T$1001&lt;T426)+($T$2:$T$1001=T426)*(($U$2:$U$1001&lt;U426)+($U$2:$U$1001=U426)*(($V$2:$V$1001&lt;V426)+($V$2:$V$1001=V426)*(($W$2:$W$1001&lt;W426)+($W$2:$W$1001=W426)*(ROW($K$2:$K$1001)&lt;ROW(K426))))))))</f>
        <v/>
      </c>
    </row>
    <row r="427" customFormat="false" ht="15" hidden="false" customHeight="false" outlineLevel="0" collapsed="false">
      <c r="A427" s="0" t="str">
        <f aca="false">IF(TRIM('List 1'!A427&amp;'List 1'!C427&amp;'List 1'!D427)="","",LOWER(IF(OR(Comparison!$I$9="Item # + Part # + Description",Comparison!$I$9="Item # + Part #"),TRIM('List 1'!A427),"")&amp;"|"&amp;TRIM('List 1'!C427)&amp;"|"&amp;IF(OR(Comparison!$I$9="Item # + Part # + Description",Comparison!$I$9="Part # + Description"),TRIM('List 1'!D427),"")))</f>
        <v/>
      </c>
      <c r="B427" s="0" t="str">
        <f aca="false">IF(A427="","",SUMPRODUCT(--($A$2:A427=A427)))</f>
        <v/>
      </c>
      <c r="C427" s="0" t="str">
        <f aca="false">IF(A427="","",A427&amp;"#"&amp;B427)</f>
        <v/>
      </c>
      <c r="D427" s="0" t="str">
        <f aca="false">IF(A427="","",IFERROR(--'List 1'!B427,0))</f>
        <v/>
      </c>
      <c r="F427" s="0" t="str">
        <f aca="false">IF(TRIM('List 2'!A427&amp;'List 2'!C427&amp;'List 2'!D427)="","",LOWER(IF(OR(Comparison!$I$9="Item # + Part # + Description",Comparison!$I$9="Item # + Part #"),TRIM('List 2'!A427),"")&amp;"|"&amp;TRIM('List 2'!C427)&amp;"|"&amp;IF(OR(Comparison!$I$9="Item # + Part # + Description",Comparison!$I$9="Part # + Description"),TRIM('List 2'!D427),"")))</f>
        <v/>
      </c>
      <c r="G427" s="0" t="str">
        <f aca="false">IF(F427="","",SUMPRODUCT(--($F$2:F427=F427)))</f>
        <v/>
      </c>
      <c r="H427" s="0" t="str">
        <f aca="false">IF(F427="","",F427&amp;"#"&amp;G427)</f>
        <v/>
      </c>
      <c r="I427" s="0" t="str">
        <f aca="false">IF(F427="","",IFERROR(--'List 2'!B427,0))</f>
        <v/>
      </c>
      <c r="K427" s="0" t="str">
        <f aca="false">C427</f>
        <v/>
      </c>
      <c r="L427" s="0" t="str">
        <f aca="false">IF(K427="","",IF(ISNUMBER('List 1'!A427),'List 1'!A427,TRIM('List 1'!A427)))</f>
        <v/>
      </c>
      <c r="M427" s="0" t="str">
        <f aca="false">IF(K427="","",IF(ISNUMBER('List 1'!C427),'List 1'!C427,TRIM('List 1'!C427)))</f>
        <v/>
      </c>
      <c r="N427" s="0" t="str">
        <f aca="false">IF(K427="","",IF(ISNUMBER('List 1'!D427),'List 1'!D427,TRIM('List 1'!D427)))</f>
        <v/>
      </c>
      <c r="O427" s="0" t="str">
        <f aca="false">IF(K427="","",D427)</f>
        <v/>
      </c>
      <c r="P427" s="0" t="str">
        <f aca="false">IF(K427="","",IF(R427,SUMPRODUCT(--($H$2:$H$501=K427),$I$2:$I$501),0))</f>
        <v/>
      </c>
      <c r="Q427" s="0" t="str">
        <f aca="false">IF(K427="","",TRUE())</f>
        <v/>
      </c>
      <c r="R427" s="0" t="str">
        <f aca="false">IF(K427="","",SUMPRODUCT(--($H$2:$H$501=K427))&gt;0)</f>
        <v/>
      </c>
      <c r="S427" s="0" t="str">
        <f aca="false">IF(K427="","",IF(AND(Q427,R427),IF(O427=P427,"Match","Qty Different"),IF(Q427,"Only in List 1","Only in List 2")))</f>
        <v/>
      </c>
      <c r="T427" s="0" t="str">
        <f aca="false">IF(K427="","",IF(ISNUMBER(--L427),TEXT(--L427,"000000000000.000"),LOWER(L427)))</f>
        <v/>
      </c>
      <c r="U427" s="0" t="str">
        <f aca="false">IF(K427="","",IF(ISNUMBER(--M427),TEXT(--M427,"000000000000.000"),LOWER(M427)))</f>
        <v/>
      </c>
      <c r="V427" s="0" t="str">
        <f aca="false">IF(K427="","",LOWER(N427))</f>
        <v/>
      </c>
      <c r="W427" s="0" t="str">
        <f aca="false">IF(K427="","",B427)</f>
        <v/>
      </c>
      <c r="X427" s="0" t="str">
        <f aca="false">IF(K427="","",1+SUMPRODUCT(($K$2:$K$1001&lt;&gt;"")*(($T$2:$T$1001&lt;T427)+($T$2:$T$1001=T427)*(($U$2:$U$1001&lt;U427)+($U$2:$U$1001=U427)*(($V$2:$V$1001&lt;V427)+($V$2:$V$1001=V427)*(($W$2:$W$1001&lt;W427)+($W$2:$W$1001=W427)*(ROW($K$2:$K$1001)&lt;ROW(K427))))))))</f>
        <v/>
      </c>
    </row>
    <row r="428" customFormat="false" ht="15" hidden="false" customHeight="false" outlineLevel="0" collapsed="false">
      <c r="A428" s="0" t="str">
        <f aca="false">IF(TRIM('List 1'!A428&amp;'List 1'!C428&amp;'List 1'!D428)="","",LOWER(IF(OR(Comparison!$I$9="Item # + Part # + Description",Comparison!$I$9="Item # + Part #"),TRIM('List 1'!A428),"")&amp;"|"&amp;TRIM('List 1'!C428)&amp;"|"&amp;IF(OR(Comparison!$I$9="Item # + Part # + Description",Comparison!$I$9="Part # + Description"),TRIM('List 1'!D428),"")))</f>
        <v/>
      </c>
      <c r="B428" s="0" t="str">
        <f aca="false">IF(A428="","",SUMPRODUCT(--($A$2:A428=A428)))</f>
        <v/>
      </c>
      <c r="C428" s="0" t="str">
        <f aca="false">IF(A428="","",A428&amp;"#"&amp;B428)</f>
        <v/>
      </c>
      <c r="D428" s="0" t="str">
        <f aca="false">IF(A428="","",IFERROR(--'List 1'!B428,0))</f>
        <v/>
      </c>
      <c r="F428" s="0" t="str">
        <f aca="false">IF(TRIM('List 2'!A428&amp;'List 2'!C428&amp;'List 2'!D428)="","",LOWER(IF(OR(Comparison!$I$9="Item # + Part # + Description",Comparison!$I$9="Item # + Part #"),TRIM('List 2'!A428),"")&amp;"|"&amp;TRIM('List 2'!C428)&amp;"|"&amp;IF(OR(Comparison!$I$9="Item # + Part # + Description",Comparison!$I$9="Part # + Description"),TRIM('List 2'!D428),"")))</f>
        <v/>
      </c>
      <c r="G428" s="0" t="str">
        <f aca="false">IF(F428="","",SUMPRODUCT(--($F$2:F428=F428)))</f>
        <v/>
      </c>
      <c r="H428" s="0" t="str">
        <f aca="false">IF(F428="","",F428&amp;"#"&amp;G428)</f>
        <v/>
      </c>
      <c r="I428" s="0" t="str">
        <f aca="false">IF(F428="","",IFERROR(--'List 2'!B428,0))</f>
        <v/>
      </c>
      <c r="K428" s="0" t="str">
        <f aca="false">C428</f>
        <v/>
      </c>
      <c r="L428" s="0" t="str">
        <f aca="false">IF(K428="","",IF(ISNUMBER('List 1'!A428),'List 1'!A428,TRIM('List 1'!A428)))</f>
        <v/>
      </c>
      <c r="M428" s="0" t="str">
        <f aca="false">IF(K428="","",IF(ISNUMBER('List 1'!C428),'List 1'!C428,TRIM('List 1'!C428)))</f>
        <v/>
      </c>
      <c r="N428" s="0" t="str">
        <f aca="false">IF(K428="","",IF(ISNUMBER('List 1'!D428),'List 1'!D428,TRIM('List 1'!D428)))</f>
        <v/>
      </c>
      <c r="O428" s="0" t="str">
        <f aca="false">IF(K428="","",D428)</f>
        <v/>
      </c>
      <c r="P428" s="0" t="str">
        <f aca="false">IF(K428="","",IF(R428,SUMPRODUCT(--($H$2:$H$501=K428),$I$2:$I$501),0))</f>
        <v/>
      </c>
      <c r="Q428" s="0" t="str">
        <f aca="false">IF(K428="","",TRUE())</f>
        <v/>
      </c>
      <c r="R428" s="0" t="str">
        <f aca="false">IF(K428="","",SUMPRODUCT(--($H$2:$H$501=K428))&gt;0)</f>
        <v/>
      </c>
      <c r="S428" s="0" t="str">
        <f aca="false">IF(K428="","",IF(AND(Q428,R428),IF(O428=P428,"Match","Qty Different"),IF(Q428,"Only in List 1","Only in List 2")))</f>
        <v/>
      </c>
      <c r="T428" s="0" t="str">
        <f aca="false">IF(K428="","",IF(ISNUMBER(--L428),TEXT(--L428,"000000000000.000"),LOWER(L428)))</f>
        <v/>
      </c>
      <c r="U428" s="0" t="str">
        <f aca="false">IF(K428="","",IF(ISNUMBER(--M428),TEXT(--M428,"000000000000.000"),LOWER(M428)))</f>
        <v/>
      </c>
      <c r="V428" s="0" t="str">
        <f aca="false">IF(K428="","",LOWER(N428))</f>
        <v/>
      </c>
      <c r="W428" s="0" t="str">
        <f aca="false">IF(K428="","",B428)</f>
        <v/>
      </c>
      <c r="X428" s="0" t="str">
        <f aca="false">IF(K428="","",1+SUMPRODUCT(($K$2:$K$1001&lt;&gt;"")*(($T$2:$T$1001&lt;T428)+($T$2:$T$1001=T428)*(($U$2:$U$1001&lt;U428)+($U$2:$U$1001=U428)*(($V$2:$V$1001&lt;V428)+($V$2:$V$1001=V428)*(($W$2:$W$1001&lt;W428)+($W$2:$W$1001=W428)*(ROW($K$2:$K$1001)&lt;ROW(K428))))))))</f>
        <v/>
      </c>
    </row>
    <row r="429" customFormat="false" ht="15" hidden="false" customHeight="false" outlineLevel="0" collapsed="false">
      <c r="A429" s="0" t="str">
        <f aca="false">IF(TRIM('List 1'!A429&amp;'List 1'!C429&amp;'List 1'!D429)="","",LOWER(IF(OR(Comparison!$I$9="Item # + Part # + Description",Comparison!$I$9="Item # + Part #"),TRIM('List 1'!A429),"")&amp;"|"&amp;TRIM('List 1'!C429)&amp;"|"&amp;IF(OR(Comparison!$I$9="Item # + Part # + Description",Comparison!$I$9="Part # + Description"),TRIM('List 1'!D429),"")))</f>
        <v/>
      </c>
      <c r="B429" s="0" t="str">
        <f aca="false">IF(A429="","",SUMPRODUCT(--($A$2:A429=A429)))</f>
        <v/>
      </c>
      <c r="C429" s="0" t="str">
        <f aca="false">IF(A429="","",A429&amp;"#"&amp;B429)</f>
        <v/>
      </c>
      <c r="D429" s="0" t="str">
        <f aca="false">IF(A429="","",IFERROR(--'List 1'!B429,0))</f>
        <v/>
      </c>
      <c r="F429" s="0" t="str">
        <f aca="false">IF(TRIM('List 2'!A429&amp;'List 2'!C429&amp;'List 2'!D429)="","",LOWER(IF(OR(Comparison!$I$9="Item # + Part # + Description",Comparison!$I$9="Item # + Part #"),TRIM('List 2'!A429),"")&amp;"|"&amp;TRIM('List 2'!C429)&amp;"|"&amp;IF(OR(Comparison!$I$9="Item # + Part # + Description",Comparison!$I$9="Part # + Description"),TRIM('List 2'!D429),"")))</f>
        <v/>
      </c>
      <c r="G429" s="0" t="str">
        <f aca="false">IF(F429="","",SUMPRODUCT(--($F$2:F429=F429)))</f>
        <v/>
      </c>
      <c r="H429" s="0" t="str">
        <f aca="false">IF(F429="","",F429&amp;"#"&amp;G429)</f>
        <v/>
      </c>
      <c r="I429" s="0" t="str">
        <f aca="false">IF(F429="","",IFERROR(--'List 2'!B429,0))</f>
        <v/>
      </c>
      <c r="K429" s="0" t="str">
        <f aca="false">C429</f>
        <v/>
      </c>
      <c r="L429" s="0" t="str">
        <f aca="false">IF(K429="","",IF(ISNUMBER('List 1'!A429),'List 1'!A429,TRIM('List 1'!A429)))</f>
        <v/>
      </c>
      <c r="M429" s="0" t="str">
        <f aca="false">IF(K429="","",IF(ISNUMBER('List 1'!C429),'List 1'!C429,TRIM('List 1'!C429)))</f>
        <v/>
      </c>
      <c r="N429" s="0" t="str">
        <f aca="false">IF(K429="","",IF(ISNUMBER('List 1'!D429),'List 1'!D429,TRIM('List 1'!D429)))</f>
        <v/>
      </c>
      <c r="O429" s="0" t="str">
        <f aca="false">IF(K429="","",D429)</f>
        <v/>
      </c>
      <c r="P429" s="0" t="str">
        <f aca="false">IF(K429="","",IF(R429,SUMPRODUCT(--($H$2:$H$501=K429),$I$2:$I$501),0))</f>
        <v/>
      </c>
      <c r="Q429" s="0" t="str">
        <f aca="false">IF(K429="","",TRUE())</f>
        <v/>
      </c>
      <c r="R429" s="0" t="str">
        <f aca="false">IF(K429="","",SUMPRODUCT(--($H$2:$H$501=K429))&gt;0)</f>
        <v/>
      </c>
      <c r="S429" s="0" t="str">
        <f aca="false">IF(K429="","",IF(AND(Q429,R429),IF(O429=P429,"Match","Qty Different"),IF(Q429,"Only in List 1","Only in List 2")))</f>
        <v/>
      </c>
      <c r="T429" s="0" t="str">
        <f aca="false">IF(K429="","",IF(ISNUMBER(--L429),TEXT(--L429,"000000000000.000"),LOWER(L429)))</f>
        <v/>
      </c>
      <c r="U429" s="0" t="str">
        <f aca="false">IF(K429="","",IF(ISNUMBER(--M429),TEXT(--M429,"000000000000.000"),LOWER(M429)))</f>
        <v/>
      </c>
      <c r="V429" s="0" t="str">
        <f aca="false">IF(K429="","",LOWER(N429))</f>
        <v/>
      </c>
      <c r="W429" s="0" t="str">
        <f aca="false">IF(K429="","",B429)</f>
        <v/>
      </c>
      <c r="X429" s="0" t="str">
        <f aca="false">IF(K429="","",1+SUMPRODUCT(($K$2:$K$1001&lt;&gt;"")*(($T$2:$T$1001&lt;T429)+($T$2:$T$1001=T429)*(($U$2:$U$1001&lt;U429)+($U$2:$U$1001=U429)*(($V$2:$V$1001&lt;V429)+($V$2:$V$1001=V429)*(($W$2:$W$1001&lt;W429)+($W$2:$W$1001=W429)*(ROW($K$2:$K$1001)&lt;ROW(K429))))))))</f>
        <v/>
      </c>
    </row>
    <row r="430" customFormat="false" ht="15" hidden="false" customHeight="false" outlineLevel="0" collapsed="false">
      <c r="A430" s="0" t="str">
        <f aca="false">IF(TRIM('List 1'!A430&amp;'List 1'!C430&amp;'List 1'!D430)="","",LOWER(IF(OR(Comparison!$I$9="Item # + Part # + Description",Comparison!$I$9="Item # + Part #"),TRIM('List 1'!A430),"")&amp;"|"&amp;TRIM('List 1'!C430)&amp;"|"&amp;IF(OR(Comparison!$I$9="Item # + Part # + Description",Comparison!$I$9="Part # + Description"),TRIM('List 1'!D430),"")))</f>
        <v/>
      </c>
      <c r="B430" s="0" t="str">
        <f aca="false">IF(A430="","",SUMPRODUCT(--($A$2:A430=A430)))</f>
        <v/>
      </c>
      <c r="C430" s="0" t="str">
        <f aca="false">IF(A430="","",A430&amp;"#"&amp;B430)</f>
        <v/>
      </c>
      <c r="D430" s="0" t="str">
        <f aca="false">IF(A430="","",IFERROR(--'List 1'!B430,0))</f>
        <v/>
      </c>
      <c r="F430" s="0" t="str">
        <f aca="false">IF(TRIM('List 2'!A430&amp;'List 2'!C430&amp;'List 2'!D430)="","",LOWER(IF(OR(Comparison!$I$9="Item # + Part # + Description",Comparison!$I$9="Item # + Part #"),TRIM('List 2'!A430),"")&amp;"|"&amp;TRIM('List 2'!C430)&amp;"|"&amp;IF(OR(Comparison!$I$9="Item # + Part # + Description",Comparison!$I$9="Part # + Description"),TRIM('List 2'!D430),"")))</f>
        <v/>
      </c>
      <c r="G430" s="0" t="str">
        <f aca="false">IF(F430="","",SUMPRODUCT(--($F$2:F430=F430)))</f>
        <v/>
      </c>
      <c r="H430" s="0" t="str">
        <f aca="false">IF(F430="","",F430&amp;"#"&amp;G430)</f>
        <v/>
      </c>
      <c r="I430" s="0" t="str">
        <f aca="false">IF(F430="","",IFERROR(--'List 2'!B430,0))</f>
        <v/>
      </c>
      <c r="K430" s="0" t="str">
        <f aca="false">C430</f>
        <v/>
      </c>
      <c r="L430" s="0" t="str">
        <f aca="false">IF(K430="","",IF(ISNUMBER('List 1'!A430),'List 1'!A430,TRIM('List 1'!A430)))</f>
        <v/>
      </c>
      <c r="M430" s="0" t="str">
        <f aca="false">IF(K430="","",IF(ISNUMBER('List 1'!C430),'List 1'!C430,TRIM('List 1'!C430)))</f>
        <v/>
      </c>
      <c r="N430" s="0" t="str">
        <f aca="false">IF(K430="","",IF(ISNUMBER('List 1'!D430),'List 1'!D430,TRIM('List 1'!D430)))</f>
        <v/>
      </c>
      <c r="O430" s="0" t="str">
        <f aca="false">IF(K430="","",D430)</f>
        <v/>
      </c>
      <c r="P430" s="0" t="str">
        <f aca="false">IF(K430="","",IF(R430,SUMPRODUCT(--($H$2:$H$501=K430),$I$2:$I$501),0))</f>
        <v/>
      </c>
      <c r="Q430" s="0" t="str">
        <f aca="false">IF(K430="","",TRUE())</f>
        <v/>
      </c>
      <c r="R430" s="0" t="str">
        <f aca="false">IF(K430="","",SUMPRODUCT(--($H$2:$H$501=K430))&gt;0)</f>
        <v/>
      </c>
      <c r="S430" s="0" t="str">
        <f aca="false">IF(K430="","",IF(AND(Q430,R430),IF(O430=P430,"Match","Qty Different"),IF(Q430,"Only in List 1","Only in List 2")))</f>
        <v/>
      </c>
      <c r="T430" s="0" t="str">
        <f aca="false">IF(K430="","",IF(ISNUMBER(--L430),TEXT(--L430,"000000000000.000"),LOWER(L430)))</f>
        <v/>
      </c>
      <c r="U430" s="0" t="str">
        <f aca="false">IF(K430="","",IF(ISNUMBER(--M430),TEXT(--M430,"000000000000.000"),LOWER(M430)))</f>
        <v/>
      </c>
      <c r="V430" s="0" t="str">
        <f aca="false">IF(K430="","",LOWER(N430))</f>
        <v/>
      </c>
      <c r="W430" s="0" t="str">
        <f aca="false">IF(K430="","",B430)</f>
        <v/>
      </c>
      <c r="X430" s="0" t="str">
        <f aca="false">IF(K430="","",1+SUMPRODUCT(($K$2:$K$1001&lt;&gt;"")*(($T$2:$T$1001&lt;T430)+($T$2:$T$1001=T430)*(($U$2:$U$1001&lt;U430)+($U$2:$U$1001=U430)*(($V$2:$V$1001&lt;V430)+($V$2:$V$1001=V430)*(($W$2:$W$1001&lt;W430)+($W$2:$W$1001=W430)*(ROW($K$2:$K$1001)&lt;ROW(K430))))))))</f>
        <v/>
      </c>
    </row>
    <row r="431" customFormat="false" ht="15" hidden="false" customHeight="false" outlineLevel="0" collapsed="false">
      <c r="A431" s="0" t="str">
        <f aca="false">IF(TRIM('List 1'!A431&amp;'List 1'!C431&amp;'List 1'!D431)="","",LOWER(IF(OR(Comparison!$I$9="Item # + Part # + Description",Comparison!$I$9="Item # + Part #"),TRIM('List 1'!A431),"")&amp;"|"&amp;TRIM('List 1'!C431)&amp;"|"&amp;IF(OR(Comparison!$I$9="Item # + Part # + Description",Comparison!$I$9="Part # + Description"),TRIM('List 1'!D431),"")))</f>
        <v/>
      </c>
      <c r="B431" s="0" t="str">
        <f aca="false">IF(A431="","",SUMPRODUCT(--($A$2:A431=A431)))</f>
        <v/>
      </c>
      <c r="C431" s="0" t="str">
        <f aca="false">IF(A431="","",A431&amp;"#"&amp;B431)</f>
        <v/>
      </c>
      <c r="D431" s="0" t="str">
        <f aca="false">IF(A431="","",IFERROR(--'List 1'!B431,0))</f>
        <v/>
      </c>
      <c r="F431" s="0" t="str">
        <f aca="false">IF(TRIM('List 2'!A431&amp;'List 2'!C431&amp;'List 2'!D431)="","",LOWER(IF(OR(Comparison!$I$9="Item # + Part # + Description",Comparison!$I$9="Item # + Part #"),TRIM('List 2'!A431),"")&amp;"|"&amp;TRIM('List 2'!C431)&amp;"|"&amp;IF(OR(Comparison!$I$9="Item # + Part # + Description",Comparison!$I$9="Part # + Description"),TRIM('List 2'!D431),"")))</f>
        <v/>
      </c>
      <c r="G431" s="0" t="str">
        <f aca="false">IF(F431="","",SUMPRODUCT(--($F$2:F431=F431)))</f>
        <v/>
      </c>
      <c r="H431" s="0" t="str">
        <f aca="false">IF(F431="","",F431&amp;"#"&amp;G431)</f>
        <v/>
      </c>
      <c r="I431" s="0" t="str">
        <f aca="false">IF(F431="","",IFERROR(--'List 2'!B431,0))</f>
        <v/>
      </c>
      <c r="K431" s="0" t="str">
        <f aca="false">C431</f>
        <v/>
      </c>
      <c r="L431" s="0" t="str">
        <f aca="false">IF(K431="","",IF(ISNUMBER('List 1'!A431),'List 1'!A431,TRIM('List 1'!A431)))</f>
        <v/>
      </c>
      <c r="M431" s="0" t="str">
        <f aca="false">IF(K431="","",IF(ISNUMBER('List 1'!C431),'List 1'!C431,TRIM('List 1'!C431)))</f>
        <v/>
      </c>
      <c r="N431" s="0" t="str">
        <f aca="false">IF(K431="","",IF(ISNUMBER('List 1'!D431),'List 1'!D431,TRIM('List 1'!D431)))</f>
        <v/>
      </c>
      <c r="O431" s="0" t="str">
        <f aca="false">IF(K431="","",D431)</f>
        <v/>
      </c>
      <c r="P431" s="0" t="str">
        <f aca="false">IF(K431="","",IF(R431,SUMPRODUCT(--($H$2:$H$501=K431),$I$2:$I$501),0))</f>
        <v/>
      </c>
      <c r="Q431" s="0" t="str">
        <f aca="false">IF(K431="","",TRUE())</f>
        <v/>
      </c>
      <c r="R431" s="0" t="str">
        <f aca="false">IF(K431="","",SUMPRODUCT(--($H$2:$H$501=K431))&gt;0)</f>
        <v/>
      </c>
      <c r="S431" s="0" t="str">
        <f aca="false">IF(K431="","",IF(AND(Q431,R431),IF(O431=P431,"Match","Qty Different"),IF(Q431,"Only in List 1","Only in List 2")))</f>
        <v/>
      </c>
      <c r="T431" s="0" t="str">
        <f aca="false">IF(K431="","",IF(ISNUMBER(--L431),TEXT(--L431,"000000000000.000"),LOWER(L431)))</f>
        <v/>
      </c>
      <c r="U431" s="0" t="str">
        <f aca="false">IF(K431="","",IF(ISNUMBER(--M431),TEXT(--M431,"000000000000.000"),LOWER(M431)))</f>
        <v/>
      </c>
      <c r="V431" s="0" t="str">
        <f aca="false">IF(K431="","",LOWER(N431))</f>
        <v/>
      </c>
      <c r="W431" s="0" t="str">
        <f aca="false">IF(K431="","",B431)</f>
        <v/>
      </c>
      <c r="X431" s="0" t="str">
        <f aca="false">IF(K431="","",1+SUMPRODUCT(($K$2:$K$1001&lt;&gt;"")*(($T$2:$T$1001&lt;T431)+($T$2:$T$1001=T431)*(($U$2:$U$1001&lt;U431)+($U$2:$U$1001=U431)*(($V$2:$V$1001&lt;V431)+($V$2:$V$1001=V431)*(($W$2:$W$1001&lt;W431)+($W$2:$W$1001=W431)*(ROW($K$2:$K$1001)&lt;ROW(K431))))))))</f>
        <v/>
      </c>
    </row>
    <row r="432" customFormat="false" ht="15" hidden="false" customHeight="false" outlineLevel="0" collapsed="false">
      <c r="A432" s="0" t="str">
        <f aca="false">IF(TRIM('List 1'!A432&amp;'List 1'!C432&amp;'List 1'!D432)="","",LOWER(IF(OR(Comparison!$I$9="Item # + Part # + Description",Comparison!$I$9="Item # + Part #"),TRIM('List 1'!A432),"")&amp;"|"&amp;TRIM('List 1'!C432)&amp;"|"&amp;IF(OR(Comparison!$I$9="Item # + Part # + Description",Comparison!$I$9="Part # + Description"),TRIM('List 1'!D432),"")))</f>
        <v/>
      </c>
      <c r="B432" s="0" t="str">
        <f aca="false">IF(A432="","",SUMPRODUCT(--($A$2:A432=A432)))</f>
        <v/>
      </c>
      <c r="C432" s="0" t="str">
        <f aca="false">IF(A432="","",A432&amp;"#"&amp;B432)</f>
        <v/>
      </c>
      <c r="D432" s="0" t="str">
        <f aca="false">IF(A432="","",IFERROR(--'List 1'!B432,0))</f>
        <v/>
      </c>
      <c r="F432" s="0" t="str">
        <f aca="false">IF(TRIM('List 2'!A432&amp;'List 2'!C432&amp;'List 2'!D432)="","",LOWER(IF(OR(Comparison!$I$9="Item # + Part # + Description",Comparison!$I$9="Item # + Part #"),TRIM('List 2'!A432),"")&amp;"|"&amp;TRIM('List 2'!C432)&amp;"|"&amp;IF(OR(Comparison!$I$9="Item # + Part # + Description",Comparison!$I$9="Part # + Description"),TRIM('List 2'!D432),"")))</f>
        <v/>
      </c>
      <c r="G432" s="0" t="str">
        <f aca="false">IF(F432="","",SUMPRODUCT(--($F$2:F432=F432)))</f>
        <v/>
      </c>
      <c r="H432" s="0" t="str">
        <f aca="false">IF(F432="","",F432&amp;"#"&amp;G432)</f>
        <v/>
      </c>
      <c r="I432" s="0" t="str">
        <f aca="false">IF(F432="","",IFERROR(--'List 2'!B432,0))</f>
        <v/>
      </c>
      <c r="K432" s="0" t="str">
        <f aca="false">C432</f>
        <v/>
      </c>
      <c r="L432" s="0" t="str">
        <f aca="false">IF(K432="","",IF(ISNUMBER('List 1'!A432),'List 1'!A432,TRIM('List 1'!A432)))</f>
        <v/>
      </c>
      <c r="M432" s="0" t="str">
        <f aca="false">IF(K432="","",IF(ISNUMBER('List 1'!C432),'List 1'!C432,TRIM('List 1'!C432)))</f>
        <v/>
      </c>
      <c r="N432" s="0" t="str">
        <f aca="false">IF(K432="","",IF(ISNUMBER('List 1'!D432),'List 1'!D432,TRIM('List 1'!D432)))</f>
        <v/>
      </c>
      <c r="O432" s="0" t="str">
        <f aca="false">IF(K432="","",D432)</f>
        <v/>
      </c>
      <c r="P432" s="0" t="str">
        <f aca="false">IF(K432="","",IF(R432,SUMPRODUCT(--($H$2:$H$501=K432),$I$2:$I$501),0))</f>
        <v/>
      </c>
      <c r="Q432" s="0" t="str">
        <f aca="false">IF(K432="","",TRUE())</f>
        <v/>
      </c>
      <c r="R432" s="0" t="str">
        <f aca="false">IF(K432="","",SUMPRODUCT(--($H$2:$H$501=K432))&gt;0)</f>
        <v/>
      </c>
      <c r="S432" s="0" t="str">
        <f aca="false">IF(K432="","",IF(AND(Q432,R432),IF(O432=P432,"Match","Qty Different"),IF(Q432,"Only in List 1","Only in List 2")))</f>
        <v/>
      </c>
      <c r="T432" s="0" t="str">
        <f aca="false">IF(K432="","",IF(ISNUMBER(--L432),TEXT(--L432,"000000000000.000"),LOWER(L432)))</f>
        <v/>
      </c>
      <c r="U432" s="0" t="str">
        <f aca="false">IF(K432="","",IF(ISNUMBER(--M432),TEXT(--M432,"000000000000.000"),LOWER(M432)))</f>
        <v/>
      </c>
      <c r="V432" s="0" t="str">
        <f aca="false">IF(K432="","",LOWER(N432))</f>
        <v/>
      </c>
      <c r="W432" s="0" t="str">
        <f aca="false">IF(K432="","",B432)</f>
        <v/>
      </c>
      <c r="X432" s="0" t="str">
        <f aca="false">IF(K432="","",1+SUMPRODUCT(($K$2:$K$1001&lt;&gt;"")*(($T$2:$T$1001&lt;T432)+($T$2:$T$1001=T432)*(($U$2:$U$1001&lt;U432)+($U$2:$U$1001=U432)*(($V$2:$V$1001&lt;V432)+($V$2:$V$1001=V432)*(($W$2:$W$1001&lt;W432)+($W$2:$W$1001=W432)*(ROW($K$2:$K$1001)&lt;ROW(K432))))))))</f>
        <v/>
      </c>
    </row>
    <row r="433" customFormat="false" ht="15" hidden="false" customHeight="false" outlineLevel="0" collapsed="false">
      <c r="A433" s="0" t="str">
        <f aca="false">IF(TRIM('List 1'!A433&amp;'List 1'!C433&amp;'List 1'!D433)="","",LOWER(IF(OR(Comparison!$I$9="Item # + Part # + Description",Comparison!$I$9="Item # + Part #"),TRIM('List 1'!A433),"")&amp;"|"&amp;TRIM('List 1'!C433)&amp;"|"&amp;IF(OR(Comparison!$I$9="Item # + Part # + Description",Comparison!$I$9="Part # + Description"),TRIM('List 1'!D433),"")))</f>
        <v/>
      </c>
      <c r="B433" s="0" t="str">
        <f aca="false">IF(A433="","",SUMPRODUCT(--($A$2:A433=A433)))</f>
        <v/>
      </c>
      <c r="C433" s="0" t="str">
        <f aca="false">IF(A433="","",A433&amp;"#"&amp;B433)</f>
        <v/>
      </c>
      <c r="D433" s="0" t="str">
        <f aca="false">IF(A433="","",IFERROR(--'List 1'!B433,0))</f>
        <v/>
      </c>
      <c r="F433" s="0" t="str">
        <f aca="false">IF(TRIM('List 2'!A433&amp;'List 2'!C433&amp;'List 2'!D433)="","",LOWER(IF(OR(Comparison!$I$9="Item # + Part # + Description",Comparison!$I$9="Item # + Part #"),TRIM('List 2'!A433),"")&amp;"|"&amp;TRIM('List 2'!C433)&amp;"|"&amp;IF(OR(Comparison!$I$9="Item # + Part # + Description",Comparison!$I$9="Part # + Description"),TRIM('List 2'!D433),"")))</f>
        <v/>
      </c>
      <c r="G433" s="0" t="str">
        <f aca="false">IF(F433="","",SUMPRODUCT(--($F$2:F433=F433)))</f>
        <v/>
      </c>
      <c r="H433" s="0" t="str">
        <f aca="false">IF(F433="","",F433&amp;"#"&amp;G433)</f>
        <v/>
      </c>
      <c r="I433" s="0" t="str">
        <f aca="false">IF(F433="","",IFERROR(--'List 2'!B433,0))</f>
        <v/>
      </c>
      <c r="K433" s="0" t="str">
        <f aca="false">C433</f>
        <v/>
      </c>
      <c r="L433" s="0" t="str">
        <f aca="false">IF(K433="","",IF(ISNUMBER('List 1'!A433),'List 1'!A433,TRIM('List 1'!A433)))</f>
        <v/>
      </c>
      <c r="M433" s="0" t="str">
        <f aca="false">IF(K433="","",IF(ISNUMBER('List 1'!C433),'List 1'!C433,TRIM('List 1'!C433)))</f>
        <v/>
      </c>
      <c r="N433" s="0" t="str">
        <f aca="false">IF(K433="","",IF(ISNUMBER('List 1'!D433),'List 1'!D433,TRIM('List 1'!D433)))</f>
        <v/>
      </c>
      <c r="O433" s="0" t="str">
        <f aca="false">IF(K433="","",D433)</f>
        <v/>
      </c>
      <c r="P433" s="0" t="str">
        <f aca="false">IF(K433="","",IF(R433,SUMPRODUCT(--($H$2:$H$501=K433),$I$2:$I$501),0))</f>
        <v/>
      </c>
      <c r="Q433" s="0" t="str">
        <f aca="false">IF(K433="","",TRUE())</f>
        <v/>
      </c>
      <c r="R433" s="0" t="str">
        <f aca="false">IF(K433="","",SUMPRODUCT(--($H$2:$H$501=K433))&gt;0)</f>
        <v/>
      </c>
      <c r="S433" s="0" t="str">
        <f aca="false">IF(K433="","",IF(AND(Q433,R433),IF(O433=P433,"Match","Qty Different"),IF(Q433,"Only in List 1","Only in List 2")))</f>
        <v/>
      </c>
      <c r="T433" s="0" t="str">
        <f aca="false">IF(K433="","",IF(ISNUMBER(--L433),TEXT(--L433,"000000000000.000"),LOWER(L433)))</f>
        <v/>
      </c>
      <c r="U433" s="0" t="str">
        <f aca="false">IF(K433="","",IF(ISNUMBER(--M433),TEXT(--M433,"000000000000.000"),LOWER(M433)))</f>
        <v/>
      </c>
      <c r="V433" s="0" t="str">
        <f aca="false">IF(K433="","",LOWER(N433))</f>
        <v/>
      </c>
      <c r="W433" s="0" t="str">
        <f aca="false">IF(K433="","",B433)</f>
        <v/>
      </c>
      <c r="X433" s="0" t="str">
        <f aca="false">IF(K433="","",1+SUMPRODUCT(($K$2:$K$1001&lt;&gt;"")*(($T$2:$T$1001&lt;T433)+($T$2:$T$1001=T433)*(($U$2:$U$1001&lt;U433)+($U$2:$U$1001=U433)*(($V$2:$V$1001&lt;V433)+($V$2:$V$1001=V433)*(($W$2:$W$1001&lt;W433)+($W$2:$W$1001=W433)*(ROW($K$2:$K$1001)&lt;ROW(K433))))))))</f>
        <v/>
      </c>
    </row>
    <row r="434" customFormat="false" ht="15" hidden="false" customHeight="false" outlineLevel="0" collapsed="false">
      <c r="A434" s="0" t="str">
        <f aca="false">IF(TRIM('List 1'!A434&amp;'List 1'!C434&amp;'List 1'!D434)="","",LOWER(IF(OR(Comparison!$I$9="Item # + Part # + Description",Comparison!$I$9="Item # + Part #"),TRIM('List 1'!A434),"")&amp;"|"&amp;TRIM('List 1'!C434)&amp;"|"&amp;IF(OR(Comparison!$I$9="Item # + Part # + Description",Comparison!$I$9="Part # + Description"),TRIM('List 1'!D434),"")))</f>
        <v/>
      </c>
      <c r="B434" s="0" t="str">
        <f aca="false">IF(A434="","",SUMPRODUCT(--($A$2:A434=A434)))</f>
        <v/>
      </c>
      <c r="C434" s="0" t="str">
        <f aca="false">IF(A434="","",A434&amp;"#"&amp;B434)</f>
        <v/>
      </c>
      <c r="D434" s="0" t="str">
        <f aca="false">IF(A434="","",IFERROR(--'List 1'!B434,0))</f>
        <v/>
      </c>
      <c r="F434" s="0" t="str">
        <f aca="false">IF(TRIM('List 2'!A434&amp;'List 2'!C434&amp;'List 2'!D434)="","",LOWER(IF(OR(Comparison!$I$9="Item # + Part # + Description",Comparison!$I$9="Item # + Part #"),TRIM('List 2'!A434),"")&amp;"|"&amp;TRIM('List 2'!C434)&amp;"|"&amp;IF(OR(Comparison!$I$9="Item # + Part # + Description",Comparison!$I$9="Part # + Description"),TRIM('List 2'!D434),"")))</f>
        <v/>
      </c>
      <c r="G434" s="0" t="str">
        <f aca="false">IF(F434="","",SUMPRODUCT(--($F$2:F434=F434)))</f>
        <v/>
      </c>
      <c r="H434" s="0" t="str">
        <f aca="false">IF(F434="","",F434&amp;"#"&amp;G434)</f>
        <v/>
      </c>
      <c r="I434" s="0" t="str">
        <f aca="false">IF(F434="","",IFERROR(--'List 2'!B434,0))</f>
        <v/>
      </c>
      <c r="K434" s="0" t="str">
        <f aca="false">C434</f>
        <v/>
      </c>
      <c r="L434" s="0" t="str">
        <f aca="false">IF(K434="","",IF(ISNUMBER('List 1'!A434),'List 1'!A434,TRIM('List 1'!A434)))</f>
        <v/>
      </c>
      <c r="M434" s="0" t="str">
        <f aca="false">IF(K434="","",IF(ISNUMBER('List 1'!C434),'List 1'!C434,TRIM('List 1'!C434)))</f>
        <v/>
      </c>
      <c r="N434" s="0" t="str">
        <f aca="false">IF(K434="","",IF(ISNUMBER('List 1'!D434),'List 1'!D434,TRIM('List 1'!D434)))</f>
        <v/>
      </c>
      <c r="O434" s="0" t="str">
        <f aca="false">IF(K434="","",D434)</f>
        <v/>
      </c>
      <c r="P434" s="0" t="str">
        <f aca="false">IF(K434="","",IF(R434,SUMPRODUCT(--($H$2:$H$501=K434),$I$2:$I$501),0))</f>
        <v/>
      </c>
      <c r="Q434" s="0" t="str">
        <f aca="false">IF(K434="","",TRUE())</f>
        <v/>
      </c>
      <c r="R434" s="0" t="str">
        <f aca="false">IF(K434="","",SUMPRODUCT(--($H$2:$H$501=K434))&gt;0)</f>
        <v/>
      </c>
      <c r="S434" s="0" t="str">
        <f aca="false">IF(K434="","",IF(AND(Q434,R434),IF(O434=P434,"Match","Qty Different"),IF(Q434,"Only in List 1","Only in List 2")))</f>
        <v/>
      </c>
      <c r="T434" s="0" t="str">
        <f aca="false">IF(K434="","",IF(ISNUMBER(--L434),TEXT(--L434,"000000000000.000"),LOWER(L434)))</f>
        <v/>
      </c>
      <c r="U434" s="0" t="str">
        <f aca="false">IF(K434="","",IF(ISNUMBER(--M434),TEXT(--M434,"000000000000.000"),LOWER(M434)))</f>
        <v/>
      </c>
      <c r="V434" s="0" t="str">
        <f aca="false">IF(K434="","",LOWER(N434))</f>
        <v/>
      </c>
      <c r="W434" s="0" t="str">
        <f aca="false">IF(K434="","",B434)</f>
        <v/>
      </c>
      <c r="X434" s="0" t="str">
        <f aca="false">IF(K434="","",1+SUMPRODUCT(($K$2:$K$1001&lt;&gt;"")*(($T$2:$T$1001&lt;T434)+($T$2:$T$1001=T434)*(($U$2:$U$1001&lt;U434)+($U$2:$U$1001=U434)*(($V$2:$V$1001&lt;V434)+($V$2:$V$1001=V434)*(($W$2:$W$1001&lt;W434)+($W$2:$W$1001=W434)*(ROW($K$2:$K$1001)&lt;ROW(K434))))))))</f>
        <v/>
      </c>
    </row>
    <row r="435" customFormat="false" ht="15" hidden="false" customHeight="false" outlineLevel="0" collapsed="false">
      <c r="A435" s="0" t="str">
        <f aca="false">IF(TRIM('List 1'!A435&amp;'List 1'!C435&amp;'List 1'!D435)="","",LOWER(IF(OR(Comparison!$I$9="Item # + Part # + Description",Comparison!$I$9="Item # + Part #"),TRIM('List 1'!A435),"")&amp;"|"&amp;TRIM('List 1'!C435)&amp;"|"&amp;IF(OR(Comparison!$I$9="Item # + Part # + Description",Comparison!$I$9="Part # + Description"),TRIM('List 1'!D435),"")))</f>
        <v/>
      </c>
      <c r="B435" s="0" t="str">
        <f aca="false">IF(A435="","",SUMPRODUCT(--($A$2:A435=A435)))</f>
        <v/>
      </c>
      <c r="C435" s="0" t="str">
        <f aca="false">IF(A435="","",A435&amp;"#"&amp;B435)</f>
        <v/>
      </c>
      <c r="D435" s="0" t="str">
        <f aca="false">IF(A435="","",IFERROR(--'List 1'!B435,0))</f>
        <v/>
      </c>
      <c r="F435" s="0" t="str">
        <f aca="false">IF(TRIM('List 2'!A435&amp;'List 2'!C435&amp;'List 2'!D435)="","",LOWER(IF(OR(Comparison!$I$9="Item # + Part # + Description",Comparison!$I$9="Item # + Part #"),TRIM('List 2'!A435),"")&amp;"|"&amp;TRIM('List 2'!C435)&amp;"|"&amp;IF(OR(Comparison!$I$9="Item # + Part # + Description",Comparison!$I$9="Part # + Description"),TRIM('List 2'!D435),"")))</f>
        <v/>
      </c>
      <c r="G435" s="0" t="str">
        <f aca="false">IF(F435="","",SUMPRODUCT(--($F$2:F435=F435)))</f>
        <v/>
      </c>
      <c r="H435" s="0" t="str">
        <f aca="false">IF(F435="","",F435&amp;"#"&amp;G435)</f>
        <v/>
      </c>
      <c r="I435" s="0" t="str">
        <f aca="false">IF(F435="","",IFERROR(--'List 2'!B435,0))</f>
        <v/>
      </c>
      <c r="K435" s="0" t="str">
        <f aca="false">C435</f>
        <v/>
      </c>
      <c r="L435" s="0" t="str">
        <f aca="false">IF(K435="","",IF(ISNUMBER('List 1'!A435),'List 1'!A435,TRIM('List 1'!A435)))</f>
        <v/>
      </c>
      <c r="M435" s="0" t="str">
        <f aca="false">IF(K435="","",IF(ISNUMBER('List 1'!C435),'List 1'!C435,TRIM('List 1'!C435)))</f>
        <v/>
      </c>
      <c r="N435" s="0" t="str">
        <f aca="false">IF(K435="","",IF(ISNUMBER('List 1'!D435),'List 1'!D435,TRIM('List 1'!D435)))</f>
        <v/>
      </c>
      <c r="O435" s="0" t="str">
        <f aca="false">IF(K435="","",D435)</f>
        <v/>
      </c>
      <c r="P435" s="0" t="str">
        <f aca="false">IF(K435="","",IF(R435,SUMPRODUCT(--($H$2:$H$501=K435),$I$2:$I$501),0))</f>
        <v/>
      </c>
      <c r="Q435" s="0" t="str">
        <f aca="false">IF(K435="","",TRUE())</f>
        <v/>
      </c>
      <c r="R435" s="0" t="str">
        <f aca="false">IF(K435="","",SUMPRODUCT(--($H$2:$H$501=K435))&gt;0)</f>
        <v/>
      </c>
      <c r="S435" s="0" t="str">
        <f aca="false">IF(K435="","",IF(AND(Q435,R435),IF(O435=P435,"Match","Qty Different"),IF(Q435,"Only in List 1","Only in List 2")))</f>
        <v/>
      </c>
      <c r="T435" s="0" t="str">
        <f aca="false">IF(K435="","",IF(ISNUMBER(--L435),TEXT(--L435,"000000000000.000"),LOWER(L435)))</f>
        <v/>
      </c>
      <c r="U435" s="0" t="str">
        <f aca="false">IF(K435="","",IF(ISNUMBER(--M435),TEXT(--M435,"000000000000.000"),LOWER(M435)))</f>
        <v/>
      </c>
      <c r="V435" s="0" t="str">
        <f aca="false">IF(K435="","",LOWER(N435))</f>
        <v/>
      </c>
      <c r="W435" s="0" t="str">
        <f aca="false">IF(K435="","",B435)</f>
        <v/>
      </c>
      <c r="X435" s="0" t="str">
        <f aca="false">IF(K435="","",1+SUMPRODUCT(($K$2:$K$1001&lt;&gt;"")*(($T$2:$T$1001&lt;T435)+($T$2:$T$1001=T435)*(($U$2:$U$1001&lt;U435)+($U$2:$U$1001=U435)*(($V$2:$V$1001&lt;V435)+($V$2:$V$1001=V435)*(($W$2:$W$1001&lt;W435)+($W$2:$W$1001=W435)*(ROW($K$2:$K$1001)&lt;ROW(K435))))))))</f>
        <v/>
      </c>
    </row>
    <row r="436" customFormat="false" ht="15" hidden="false" customHeight="false" outlineLevel="0" collapsed="false">
      <c r="A436" s="0" t="str">
        <f aca="false">IF(TRIM('List 1'!A436&amp;'List 1'!C436&amp;'List 1'!D436)="","",LOWER(IF(OR(Comparison!$I$9="Item # + Part # + Description",Comparison!$I$9="Item # + Part #"),TRIM('List 1'!A436),"")&amp;"|"&amp;TRIM('List 1'!C436)&amp;"|"&amp;IF(OR(Comparison!$I$9="Item # + Part # + Description",Comparison!$I$9="Part # + Description"),TRIM('List 1'!D436),"")))</f>
        <v/>
      </c>
      <c r="B436" s="0" t="str">
        <f aca="false">IF(A436="","",SUMPRODUCT(--($A$2:A436=A436)))</f>
        <v/>
      </c>
      <c r="C436" s="0" t="str">
        <f aca="false">IF(A436="","",A436&amp;"#"&amp;B436)</f>
        <v/>
      </c>
      <c r="D436" s="0" t="str">
        <f aca="false">IF(A436="","",IFERROR(--'List 1'!B436,0))</f>
        <v/>
      </c>
      <c r="F436" s="0" t="str">
        <f aca="false">IF(TRIM('List 2'!A436&amp;'List 2'!C436&amp;'List 2'!D436)="","",LOWER(IF(OR(Comparison!$I$9="Item # + Part # + Description",Comparison!$I$9="Item # + Part #"),TRIM('List 2'!A436),"")&amp;"|"&amp;TRIM('List 2'!C436)&amp;"|"&amp;IF(OR(Comparison!$I$9="Item # + Part # + Description",Comparison!$I$9="Part # + Description"),TRIM('List 2'!D436),"")))</f>
        <v/>
      </c>
      <c r="G436" s="0" t="str">
        <f aca="false">IF(F436="","",SUMPRODUCT(--($F$2:F436=F436)))</f>
        <v/>
      </c>
      <c r="H436" s="0" t="str">
        <f aca="false">IF(F436="","",F436&amp;"#"&amp;G436)</f>
        <v/>
      </c>
      <c r="I436" s="0" t="str">
        <f aca="false">IF(F436="","",IFERROR(--'List 2'!B436,0))</f>
        <v/>
      </c>
      <c r="K436" s="0" t="str">
        <f aca="false">C436</f>
        <v/>
      </c>
      <c r="L436" s="0" t="str">
        <f aca="false">IF(K436="","",IF(ISNUMBER('List 1'!A436),'List 1'!A436,TRIM('List 1'!A436)))</f>
        <v/>
      </c>
      <c r="M436" s="0" t="str">
        <f aca="false">IF(K436="","",IF(ISNUMBER('List 1'!C436),'List 1'!C436,TRIM('List 1'!C436)))</f>
        <v/>
      </c>
      <c r="N436" s="0" t="str">
        <f aca="false">IF(K436="","",IF(ISNUMBER('List 1'!D436),'List 1'!D436,TRIM('List 1'!D436)))</f>
        <v/>
      </c>
      <c r="O436" s="0" t="str">
        <f aca="false">IF(K436="","",D436)</f>
        <v/>
      </c>
      <c r="P436" s="0" t="str">
        <f aca="false">IF(K436="","",IF(R436,SUMPRODUCT(--($H$2:$H$501=K436),$I$2:$I$501),0))</f>
        <v/>
      </c>
      <c r="Q436" s="0" t="str">
        <f aca="false">IF(K436="","",TRUE())</f>
        <v/>
      </c>
      <c r="R436" s="0" t="str">
        <f aca="false">IF(K436="","",SUMPRODUCT(--($H$2:$H$501=K436))&gt;0)</f>
        <v/>
      </c>
      <c r="S436" s="0" t="str">
        <f aca="false">IF(K436="","",IF(AND(Q436,R436),IF(O436=P436,"Match","Qty Different"),IF(Q436,"Only in List 1","Only in List 2")))</f>
        <v/>
      </c>
      <c r="T436" s="0" t="str">
        <f aca="false">IF(K436="","",IF(ISNUMBER(--L436),TEXT(--L436,"000000000000.000"),LOWER(L436)))</f>
        <v/>
      </c>
      <c r="U436" s="0" t="str">
        <f aca="false">IF(K436="","",IF(ISNUMBER(--M436),TEXT(--M436,"000000000000.000"),LOWER(M436)))</f>
        <v/>
      </c>
      <c r="V436" s="0" t="str">
        <f aca="false">IF(K436="","",LOWER(N436))</f>
        <v/>
      </c>
      <c r="W436" s="0" t="str">
        <f aca="false">IF(K436="","",B436)</f>
        <v/>
      </c>
      <c r="X436" s="0" t="str">
        <f aca="false">IF(K436="","",1+SUMPRODUCT(($K$2:$K$1001&lt;&gt;"")*(($T$2:$T$1001&lt;T436)+($T$2:$T$1001=T436)*(($U$2:$U$1001&lt;U436)+($U$2:$U$1001=U436)*(($V$2:$V$1001&lt;V436)+($V$2:$V$1001=V436)*(($W$2:$W$1001&lt;W436)+($W$2:$W$1001=W436)*(ROW($K$2:$K$1001)&lt;ROW(K436))))))))</f>
        <v/>
      </c>
    </row>
    <row r="437" customFormat="false" ht="15" hidden="false" customHeight="false" outlineLevel="0" collapsed="false">
      <c r="A437" s="0" t="str">
        <f aca="false">IF(TRIM('List 1'!A437&amp;'List 1'!C437&amp;'List 1'!D437)="","",LOWER(IF(OR(Comparison!$I$9="Item # + Part # + Description",Comparison!$I$9="Item # + Part #"),TRIM('List 1'!A437),"")&amp;"|"&amp;TRIM('List 1'!C437)&amp;"|"&amp;IF(OR(Comparison!$I$9="Item # + Part # + Description",Comparison!$I$9="Part # + Description"),TRIM('List 1'!D437),"")))</f>
        <v/>
      </c>
      <c r="B437" s="0" t="str">
        <f aca="false">IF(A437="","",SUMPRODUCT(--($A$2:A437=A437)))</f>
        <v/>
      </c>
      <c r="C437" s="0" t="str">
        <f aca="false">IF(A437="","",A437&amp;"#"&amp;B437)</f>
        <v/>
      </c>
      <c r="D437" s="0" t="str">
        <f aca="false">IF(A437="","",IFERROR(--'List 1'!B437,0))</f>
        <v/>
      </c>
      <c r="F437" s="0" t="str">
        <f aca="false">IF(TRIM('List 2'!A437&amp;'List 2'!C437&amp;'List 2'!D437)="","",LOWER(IF(OR(Comparison!$I$9="Item # + Part # + Description",Comparison!$I$9="Item # + Part #"),TRIM('List 2'!A437),"")&amp;"|"&amp;TRIM('List 2'!C437)&amp;"|"&amp;IF(OR(Comparison!$I$9="Item # + Part # + Description",Comparison!$I$9="Part # + Description"),TRIM('List 2'!D437),"")))</f>
        <v/>
      </c>
      <c r="G437" s="0" t="str">
        <f aca="false">IF(F437="","",SUMPRODUCT(--($F$2:F437=F437)))</f>
        <v/>
      </c>
      <c r="H437" s="0" t="str">
        <f aca="false">IF(F437="","",F437&amp;"#"&amp;G437)</f>
        <v/>
      </c>
      <c r="I437" s="0" t="str">
        <f aca="false">IF(F437="","",IFERROR(--'List 2'!B437,0))</f>
        <v/>
      </c>
      <c r="K437" s="0" t="str">
        <f aca="false">C437</f>
        <v/>
      </c>
      <c r="L437" s="0" t="str">
        <f aca="false">IF(K437="","",IF(ISNUMBER('List 1'!A437),'List 1'!A437,TRIM('List 1'!A437)))</f>
        <v/>
      </c>
      <c r="M437" s="0" t="str">
        <f aca="false">IF(K437="","",IF(ISNUMBER('List 1'!C437),'List 1'!C437,TRIM('List 1'!C437)))</f>
        <v/>
      </c>
      <c r="N437" s="0" t="str">
        <f aca="false">IF(K437="","",IF(ISNUMBER('List 1'!D437),'List 1'!D437,TRIM('List 1'!D437)))</f>
        <v/>
      </c>
      <c r="O437" s="0" t="str">
        <f aca="false">IF(K437="","",D437)</f>
        <v/>
      </c>
      <c r="P437" s="0" t="str">
        <f aca="false">IF(K437="","",IF(R437,SUMPRODUCT(--($H$2:$H$501=K437),$I$2:$I$501),0))</f>
        <v/>
      </c>
      <c r="Q437" s="0" t="str">
        <f aca="false">IF(K437="","",TRUE())</f>
        <v/>
      </c>
      <c r="R437" s="0" t="str">
        <f aca="false">IF(K437="","",SUMPRODUCT(--($H$2:$H$501=K437))&gt;0)</f>
        <v/>
      </c>
      <c r="S437" s="0" t="str">
        <f aca="false">IF(K437="","",IF(AND(Q437,R437),IF(O437=P437,"Match","Qty Different"),IF(Q437,"Only in List 1","Only in List 2")))</f>
        <v/>
      </c>
      <c r="T437" s="0" t="str">
        <f aca="false">IF(K437="","",IF(ISNUMBER(--L437),TEXT(--L437,"000000000000.000"),LOWER(L437)))</f>
        <v/>
      </c>
      <c r="U437" s="0" t="str">
        <f aca="false">IF(K437="","",IF(ISNUMBER(--M437),TEXT(--M437,"000000000000.000"),LOWER(M437)))</f>
        <v/>
      </c>
      <c r="V437" s="0" t="str">
        <f aca="false">IF(K437="","",LOWER(N437))</f>
        <v/>
      </c>
      <c r="W437" s="0" t="str">
        <f aca="false">IF(K437="","",B437)</f>
        <v/>
      </c>
      <c r="X437" s="0" t="str">
        <f aca="false">IF(K437="","",1+SUMPRODUCT(($K$2:$K$1001&lt;&gt;"")*(($T$2:$T$1001&lt;T437)+($T$2:$T$1001=T437)*(($U$2:$U$1001&lt;U437)+($U$2:$U$1001=U437)*(($V$2:$V$1001&lt;V437)+($V$2:$V$1001=V437)*(($W$2:$W$1001&lt;W437)+($W$2:$W$1001=W437)*(ROW($K$2:$K$1001)&lt;ROW(K437))))))))</f>
        <v/>
      </c>
    </row>
    <row r="438" customFormat="false" ht="15" hidden="false" customHeight="false" outlineLevel="0" collapsed="false">
      <c r="A438" s="0" t="str">
        <f aca="false">IF(TRIM('List 1'!A438&amp;'List 1'!C438&amp;'List 1'!D438)="","",LOWER(IF(OR(Comparison!$I$9="Item # + Part # + Description",Comparison!$I$9="Item # + Part #"),TRIM('List 1'!A438),"")&amp;"|"&amp;TRIM('List 1'!C438)&amp;"|"&amp;IF(OR(Comparison!$I$9="Item # + Part # + Description",Comparison!$I$9="Part # + Description"),TRIM('List 1'!D438),"")))</f>
        <v/>
      </c>
      <c r="B438" s="0" t="str">
        <f aca="false">IF(A438="","",SUMPRODUCT(--($A$2:A438=A438)))</f>
        <v/>
      </c>
      <c r="C438" s="0" t="str">
        <f aca="false">IF(A438="","",A438&amp;"#"&amp;B438)</f>
        <v/>
      </c>
      <c r="D438" s="0" t="str">
        <f aca="false">IF(A438="","",IFERROR(--'List 1'!B438,0))</f>
        <v/>
      </c>
      <c r="F438" s="0" t="str">
        <f aca="false">IF(TRIM('List 2'!A438&amp;'List 2'!C438&amp;'List 2'!D438)="","",LOWER(IF(OR(Comparison!$I$9="Item # + Part # + Description",Comparison!$I$9="Item # + Part #"),TRIM('List 2'!A438),"")&amp;"|"&amp;TRIM('List 2'!C438)&amp;"|"&amp;IF(OR(Comparison!$I$9="Item # + Part # + Description",Comparison!$I$9="Part # + Description"),TRIM('List 2'!D438),"")))</f>
        <v/>
      </c>
      <c r="G438" s="0" t="str">
        <f aca="false">IF(F438="","",SUMPRODUCT(--($F$2:F438=F438)))</f>
        <v/>
      </c>
      <c r="H438" s="0" t="str">
        <f aca="false">IF(F438="","",F438&amp;"#"&amp;G438)</f>
        <v/>
      </c>
      <c r="I438" s="0" t="str">
        <f aca="false">IF(F438="","",IFERROR(--'List 2'!B438,0))</f>
        <v/>
      </c>
      <c r="K438" s="0" t="str">
        <f aca="false">C438</f>
        <v/>
      </c>
      <c r="L438" s="0" t="str">
        <f aca="false">IF(K438="","",IF(ISNUMBER('List 1'!A438),'List 1'!A438,TRIM('List 1'!A438)))</f>
        <v/>
      </c>
      <c r="M438" s="0" t="str">
        <f aca="false">IF(K438="","",IF(ISNUMBER('List 1'!C438),'List 1'!C438,TRIM('List 1'!C438)))</f>
        <v/>
      </c>
      <c r="N438" s="0" t="str">
        <f aca="false">IF(K438="","",IF(ISNUMBER('List 1'!D438),'List 1'!D438,TRIM('List 1'!D438)))</f>
        <v/>
      </c>
      <c r="O438" s="0" t="str">
        <f aca="false">IF(K438="","",D438)</f>
        <v/>
      </c>
      <c r="P438" s="0" t="str">
        <f aca="false">IF(K438="","",IF(R438,SUMPRODUCT(--($H$2:$H$501=K438),$I$2:$I$501),0))</f>
        <v/>
      </c>
      <c r="Q438" s="0" t="str">
        <f aca="false">IF(K438="","",TRUE())</f>
        <v/>
      </c>
      <c r="R438" s="0" t="str">
        <f aca="false">IF(K438="","",SUMPRODUCT(--($H$2:$H$501=K438))&gt;0)</f>
        <v/>
      </c>
      <c r="S438" s="0" t="str">
        <f aca="false">IF(K438="","",IF(AND(Q438,R438),IF(O438=P438,"Match","Qty Different"),IF(Q438,"Only in List 1","Only in List 2")))</f>
        <v/>
      </c>
      <c r="T438" s="0" t="str">
        <f aca="false">IF(K438="","",IF(ISNUMBER(--L438),TEXT(--L438,"000000000000.000"),LOWER(L438)))</f>
        <v/>
      </c>
      <c r="U438" s="0" t="str">
        <f aca="false">IF(K438="","",IF(ISNUMBER(--M438),TEXT(--M438,"000000000000.000"),LOWER(M438)))</f>
        <v/>
      </c>
      <c r="V438" s="0" t="str">
        <f aca="false">IF(K438="","",LOWER(N438))</f>
        <v/>
      </c>
      <c r="W438" s="0" t="str">
        <f aca="false">IF(K438="","",B438)</f>
        <v/>
      </c>
      <c r="X438" s="0" t="str">
        <f aca="false">IF(K438="","",1+SUMPRODUCT(($K$2:$K$1001&lt;&gt;"")*(($T$2:$T$1001&lt;T438)+($T$2:$T$1001=T438)*(($U$2:$U$1001&lt;U438)+($U$2:$U$1001=U438)*(($V$2:$V$1001&lt;V438)+($V$2:$V$1001=V438)*(($W$2:$W$1001&lt;W438)+($W$2:$W$1001=W438)*(ROW($K$2:$K$1001)&lt;ROW(K438))))))))</f>
        <v/>
      </c>
    </row>
    <row r="439" customFormat="false" ht="15" hidden="false" customHeight="false" outlineLevel="0" collapsed="false">
      <c r="A439" s="0" t="str">
        <f aca="false">IF(TRIM('List 1'!A439&amp;'List 1'!C439&amp;'List 1'!D439)="","",LOWER(IF(OR(Comparison!$I$9="Item # + Part # + Description",Comparison!$I$9="Item # + Part #"),TRIM('List 1'!A439),"")&amp;"|"&amp;TRIM('List 1'!C439)&amp;"|"&amp;IF(OR(Comparison!$I$9="Item # + Part # + Description",Comparison!$I$9="Part # + Description"),TRIM('List 1'!D439),"")))</f>
        <v/>
      </c>
      <c r="B439" s="0" t="str">
        <f aca="false">IF(A439="","",SUMPRODUCT(--($A$2:A439=A439)))</f>
        <v/>
      </c>
      <c r="C439" s="0" t="str">
        <f aca="false">IF(A439="","",A439&amp;"#"&amp;B439)</f>
        <v/>
      </c>
      <c r="D439" s="0" t="str">
        <f aca="false">IF(A439="","",IFERROR(--'List 1'!B439,0))</f>
        <v/>
      </c>
      <c r="F439" s="0" t="str">
        <f aca="false">IF(TRIM('List 2'!A439&amp;'List 2'!C439&amp;'List 2'!D439)="","",LOWER(IF(OR(Comparison!$I$9="Item # + Part # + Description",Comparison!$I$9="Item # + Part #"),TRIM('List 2'!A439),"")&amp;"|"&amp;TRIM('List 2'!C439)&amp;"|"&amp;IF(OR(Comparison!$I$9="Item # + Part # + Description",Comparison!$I$9="Part # + Description"),TRIM('List 2'!D439),"")))</f>
        <v/>
      </c>
      <c r="G439" s="0" t="str">
        <f aca="false">IF(F439="","",SUMPRODUCT(--($F$2:F439=F439)))</f>
        <v/>
      </c>
      <c r="H439" s="0" t="str">
        <f aca="false">IF(F439="","",F439&amp;"#"&amp;G439)</f>
        <v/>
      </c>
      <c r="I439" s="0" t="str">
        <f aca="false">IF(F439="","",IFERROR(--'List 2'!B439,0))</f>
        <v/>
      </c>
      <c r="K439" s="0" t="str">
        <f aca="false">C439</f>
        <v/>
      </c>
      <c r="L439" s="0" t="str">
        <f aca="false">IF(K439="","",IF(ISNUMBER('List 1'!A439),'List 1'!A439,TRIM('List 1'!A439)))</f>
        <v/>
      </c>
      <c r="M439" s="0" t="str">
        <f aca="false">IF(K439="","",IF(ISNUMBER('List 1'!C439),'List 1'!C439,TRIM('List 1'!C439)))</f>
        <v/>
      </c>
      <c r="N439" s="0" t="str">
        <f aca="false">IF(K439="","",IF(ISNUMBER('List 1'!D439),'List 1'!D439,TRIM('List 1'!D439)))</f>
        <v/>
      </c>
      <c r="O439" s="0" t="str">
        <f aca="false">IF(K439="","",D439)</f>
        <v/>
      </c>
      <c r="P439" s="0" t="str">
        <f aca="false">IF(K439="","",IF(R439,SUMPRODUCT(--($H$2:$H$501=K439),$I$2:$I$501),0))</f>
        <v/>
      </c>
      <c r="Q439" s="0" t="str">
        <f aca="false">IF(K439="","",TRUE())</f>
        <v/>
      </c>
      <c r="R439" s="0" t="str">
        <f aca="false">IF(K439="","",SUMPRODUCT(--($H$2:$H$501=K439))&gt;0)</f>
        <v/>
      </c>
      <c r="S439" s="0" t="str">
        <f aca="false">IF(K439="","",IF(AND(Q439,R439),IF(O439=P439,"Match","Qty Different"),IF(Q439,"Only in List 1","Only in List 2")))</f>
        <v/>
      </c>
      <c r="T439" s="0" t="str">
        <f aca="false">IF(K439="","",IF(ISNUMBER(--L439),TEXT(--L439,"000000000000.000"),LOWER(L439)))</f>
        <v/>
      </c>
      <c r="U439" s="0" t="str">
        <f aca="false">IF(K439="","",IF(ISNUMBER(--M439),TEXT(--M439,"000000000000.000"),LOWER(M439)))</f>
        <v/>
      </c>
      <c r="V439" s="0" t="str">
        <f aca="false">IF(K439="","",LOWER(N439))</f>
        <v/>
      </c>
      <c r="W439" s="0" t="str">
        <f aca="false">IF(K439="","",B439)</f>
        <v/>
      </c>
      <c r="X439" s="0" t="str">
        <f aca="false">IF(K439="","",1+SUMPRODUCT(($K$2:$K$1001&lt;&gt;"")*(($T$2:$T$1001&lt;T439)+($T$2:$T$1001=T439)*(($U$2:$U$1001&lt;U439)+($U$2:$U$1001=U439)*(($V$2:$V$1001&lt;V439)+($V$2:$V$1001=V439)*(($W$2:$W$1001&lt;W439)+($W$2:$W$1001=W439)*(ROW($K$2:$K$1001)&lt;ROW(K439))))))))</f>
        <v/>
      </c>
    </row>
    <row r="440" customFormat="false" ht="15" hidden="false" customHeight="false" outlineLevel="0" collapsed="false">
      <c r="A440" s="0" t="str">
        <f aca="false">IF(TRIM('List 1'!A440&amp;'List 1'!C440&amp;'List 1'!D440)="","",LOWER(IF(OR(Comparison!$I$9="Item # + Part # + Description",Comparison!$I$9="Item # + Part #"),TRIM('List 1'!A440),"")&amp;"|"&amp;TRIM('List 1'!C440)&amp;"|"&amp;IF(OR(Comparison!$I$9="Item # + Part # + Description",Comparison!$I$9="Part # + Description"),TRIM('List 1'!D440),"")))</f>
        <v/>
      </c>
      <c r="B440" s="0" t="str">
        <f aca="false">IF(A440="","",SUMPRODUCT(--($A$2:A440=A440)))</f>
        <v/>
      </c>
      <c r="C440" s="0" t="str">
        <f aca="false">IF(A440="","",A440&amp;"#"&amp;B440)</f>
        <v/>
      </c>
      <c r="D440" s="0" t="str">
        <f aca="false">IF(A440="","",IFERROR(--'List 1'!B440,0))</f>
        <v/>
      </c>
      <c r="F440" s="0" t="str">
        <f aca="false">IF(TRIM('List 2'!A440&amp;'List 2'!C440&amp;'List 2'!D440)="","",LOWER(IF(OR(Comparison!$I$9="Item # + Part # + Description",Comparison!$I$9="Item # + Part #"),TRIM('List 2'!A440),"")&amp;"|"&amp;TRIM('List 2'!C440)&amp;"|"&amp;IF(OR(Comparison!$I$9="Item # + Part # + Description",Comparison!$I$9="Part # + Description"),TRIM('List 2'!D440),"")))</f>
        <v/>
      </c>
      <c r="G440" s="0" t="str">
        <f aca="false">IF(F440="","",SUMPRODUCT(--($F$2:F440=F440)))</f>
        <v/>
      </c>
      <c r="H440" s="0" t="str">
        <f aca="false">IF(F440="","",F440&amp;"#"&amp;G440)</f>
        <v/>
      </c>
      <c r="I440" s="0" t="str">
        <f aca="false">IF(F440="","",IFERROR(--'List 2'!B440,0))</f>
        <v/>
      </c>
      <c r="K440" s="0" t="str">
        <f aca="false">C440</f>
        <v/>
      </c>
      <c r="L440" s="0" t="str">
        <f aca="false">IF(K440="","",IF(ISNUMBER('List 1'!A440),'List 1'!A440,TRIM('List 1'!A440)))</f>
        <v/>
      </c>
      <c r="M440" s="0" t="str">
        <f aca="false">IF(K440="","",IF(ISNUMBER('List 1'!C440),'List 1'!C440,TRIM('List 1'!C440)))</f>
        <v/>
      </c>
      <c r="N440" s="0" t="str">
        <f aca="false">IF(K440="","",IF(ISNUMBER('List 1'!D440),'List 1'!D440,TRIM('List 1'!D440)))</f>
        <v/>
      </c>
      <c r="O440" s="0" t="str">
        <f aca="false">IF(K440="","",D440)</f>
        <v/>
      </c>
      <c r="P440" s="0" t="str">
        <f aca="false">IF(K440="","",IF(R440,SUMPRODUCT(--($H$2:$H$501=K440),$I$2:$I$501),0))</f>
        <v/>
      </c>
      <c r="Q440" s="0" t="str">
        <f aca="false">IF(K440="","",TRUE())</f>
        <v/>
      </c>
      <c r="R440" s="0" t="str">
        <f aca="false">IF(K440="","",SUMPRODUCT(--($H$2:$H$501=K440))&gt;0)</f>
        <v/>
      </c>
      <c r="S440" s="0" t="str">
        <f aca="false">IF(K440="","",IF(AND(Q440,R440),IF(O440=P440,"Match","Qty Different"),IF(Q440,"Only in List 1","Only in List 2")))</f>
        <v/>
      </c>
      <c r="T440" s="0" t="str">
        <f aca="false">IF(K440="","",IF(ISNUMBER(--L440),TEXT(--L440,"000000000000.000"),LOWER(L440)))</f>
        <v/>
      </c>
      <c r="U440" s="0" t="str">
        <f aca="false">IF(K440="","",IF(ISNUMBER(--M440),TEXT(--M440,"000000000000.000"),LOWER(M440)))</f>
        <v/>
      </c>
      <c r="V440" s="0" t="str">
        <f aca="false">IF(K440="","",LOWER(N440))</f>
        <v/>
      </c>
      <c r="W440" s="0" t="str">
        <f aca="false">IF(K440="","",B440)</f>
        <v/>
      </c>
      <c r="X440" s="0" t="str">
        <f aca="false">IF(K440="","",1+SUMPRODUCT(($K$2:$K$1001&lt;&gt;"")*(($T$2:$T$1001&lt;T440)+($T$2:$T$1001=T440)*(($U$2:$U$1001&lt;U440)+($U$2:$U$1001=U440)*(($V$2:$V$1001&lt;V440)+($V$2:$V$1001=V440)*(($W$2:$W$1001&lt;W440)+($W$2:$W$1001=W440)*(ROW($K$2:$K$1001)&lt;ROW(K440))))))))</f>
        <v/>
      </c>
    </row>
    <row r="441" customFormat="false" ht="15" hidden="false" customHeight="false" outlineLevel="0" collapsed="false">
      <c r="A441" s="0" t="str">
        <f aca="false">IF(TRIM('List 1'!A441&amp;'List 1'!C441&amp;'List 1'!D441)="","",LOWER(IF(OR(Comparison!$I$9="Item # + Part # + Description",Comparison!$I$9="Item # + Part #"),TRIM('List 1'!A441),"")&amp;"|"&amp;TRIM('List 1'!C441)&amp;"|"&amp;IF(OR(Comparison!$I$9="Item # + Part # + Description",Comparison!$I$9="Part # + Description"),TRIM('List 1'!D441),"")))</f>
        <v/>
      </c>
      <c r="B441" s="0" t="str">
        <f aca="false">IF(A441="","",SUMPRODUCT(--($A$2:A441=A441)))</f>
        <v/>
      </c>
      <c r="C441" s="0" t="str">
        <f aca="false">IF(A441="","",A441&amp;"#"&amp;B441)</f>
        <v/>
      </c>
      <c r="D441" s="0" t="str">
        <f aca="false">IF(A441="","",IFERROR(--'List 1'!B441,0))</f>
        <v/>
      </c>
      <c r="F441" s="0" t="str">
        <f aca="false">IF(TRIM('List 2'!A441&amp;'List 2'!C441&amp;'List 2'!D441)="","",LOWER(IF(OR(Comparison!$I$9="Item # + Part # + Description",Comparison!$I$9="Item # + Part #"),TRIM('List 2'!A441),"")&amp;"|"&amp;TRIM('List 2'!C441)&amp;"|"&amp;IF(OR(Comparison!$I$9="Item # + Part # + Description",Comparison!$I$9="Part # + Description"),TRIM('List 2'!D441),"")))</f>
        <v/>
      </c>
      <c r="G441" s="0" t="str">
        <f aca="false">IF(F441="","",SUMPRODUCT(--($F$2:F441=F441)))</f>
        <v/>
      </c>
      <c r="H441" s="0" t="str">
        <f aca="false">IF(F441="","",F441&amp;"#"&amp;G441)</f>
        <v/>
      </c>
      <c r="I441" s="0" t="str">
        <f aca="false">IF(F441="","",IFERROR(--'List 2'!B441,0))</f>
        <v/>
      </c>
      <c r="K441" s="0" t="str">
        <f aca="false">C441</f>
        <v/>
      </c>
      <c r="L441" s="0" t="str">
        <f aca="false">IF(K441="","",IF(ISNUMBER('List 1'!A441),'List 1'!A441,TRIM('List 1'!A441)))</f>
        <v/>
      </c>
      <c r="M441" s="0" t="str">
        <f aca="false">IF(K441="","",IF(ISNUMBER('List 1'!C441),'List 1'!C441,TRIM('List 1'!C441)))</f>
        <v/>
      </c>
      <c r="N441" s="0" t="str">
        <f aca="false">IF(K441="","",IF(ISNUMBER('List 1'!D441),'List 1'!D441,TRIM('List 1'!D441)))</f>
        <v/>
      </c>
      <c r="O441" s="0" t="str">
        <f aca="false">IF(K441="","",D441)</f>
        <v/>
      </c>
      <c r="P441" s="0" t="str">
        <f aca="false">IF(K441="","",IF(R441,SUMPRODUCT(--($H$2:$H$501=K441),$I$2:$I$501),0))</f>
        <v/>
      </c>
      <c r="Q441" s="0" t="str">
        <f aca="false">IF(K441="","",TRUE())</f>
        <v/>
      </c>
      <c r="R441" s="0" t="str">
        <f aca="false">IF(K441="","",SUMPRODUCT(--($H$2:$H$501=K441))&gt;0)</f>
        <v/>
      </c>
      <c r="S441" s="0" t="str">
        <f aca="false">IF(K441="","",IF(AND(Q441,R441),IF(O441=P441,"Match","Qty Different"),IF(Q441,"Only in List 1","Only in List 2")))</f>
        <v/>
      </c>
      <c r="T441" s="0" t="str">
        <f aca="false">IF(K441="","",IF(ISNUMBER(--L441),TEXT(--L441,"000000000000.000"),LOWER(L441)))</f>
        <v/>
      </c>
      <c r="U441" s="0" t="str">
        <f aca="false">IF(K441="","",IF(ISNUMBER(--M441),TEXT(--M441,"000000000000.000"),LOWER(M441)))</f>
        <v/>
      </c>
      <c r="V441" s="0" t="str">
        <f aca="false">IF(K441="","",LOWER(N441))</f>
        <v/>
      </c>
      <c r="W441" s="0" t="str">
        <f aca="false">IF(K441="","",B441)</f>
        <v/>
      </c>
      <c r="X441" s="0" t="str">
        <f aca="false">IF(K441="","",1+SUMPRODUCT(($K$2:$K$1001&lt;&gt;"")*(($T$2:$T$1001&lt;T441)+($T$2:$T$1001=T441)*(($U$2:$U$1001&lt;U441)+($U$2:$U$1001=U441)*(($V$2:$V$1001&lt;V441)+($V$2:$V$1001=V441)*(($W$2:$W$1001&lt;W441)+($W$2:$W$1001=W441)*(ROW($K$2:$K$1001)&lt;ROW(K441))))))))</f>
        <v/>
      </c>
    </row>
    <row r="442" customFormat="false" ht="15" hidden="false" customHeight="false" outlineLevel="0" collapsed="false">
      <c r="A442" s="0" t="str">
        <f aca="false">IF(TRIM('List 1'!A442&amp;'List 1'!C442&amp;'List 1'!D442)="","",LOWER(IF(OR(Comparison!$I$9="Item # + Part # + Description",Comparison!$I$9="Item # + Part #"),TRIM('List 1'!A442),"")&amp;"|"&amp;TRIM('List 1'!C442)&amp;"|"&amp;IF(OR(Comparison!$I$9="Item # + Part # + Description",Comparison!$I$9="Part # + Description"),TRIM('List 1'!D442),"")))</f>
        <v/>
      </c>
      <c r="B442" s="0" t="str">
        <f aca="false">IF(A442="","",SUMPRODUCT(--($A$2:A442=A442)))</f>
        <v/>
      </c>
      <c r="C442" s="0" t="str">
        <f aca="false">IF(A442="","",A442&amp;"#"&amp;B442)</f>
        <v/>
      </c>
      <c r="D442" s="0" t="str">
        <f aca="false">IF(A442="","",IFERROR(--'List 1'!B442,0))</f>
        <v/>
      </c>
      <c r="F442" s="0" t="str">
        <f aca="false">IF(TRIM('List 2'!A442&amp;'List 2'!C442&amp;'List 2'!D442)="","",LOWER(IF(OR(Comparison!$I$9="Item # + Part # + Description",Comparison!$I$9="Item # + Part #"),TRIM('List 2'!A442),"")&amp;"|"&amp;TRIM('List 2'!C442)&amp;"|"&amp;IF(OR(Comparison!$I$9="Item # + Part # + Description",Comparison!$I$9="Part # + Description"),TRIM('List 2'!D442),"")))</f>
        <v/>
      </c>
      <c r="G442" s="0" t="str">
        <f aca="false">IF(F442="","",SUMPRODUCT(--($F$2:F442=F442)))</f>
        <v/>
      </c>
      <c r="H442" s="0" t="str">
        <f aca="false">IF(F442="","",F442&amp;"#"&amp;G442)</f>
        <v/>
      </c>
      <c r="I442" s="0" t="str">
        <f aca="false">IF(F442="","",IFERROR(--'List 2'!B442,0))</f>
        <v/>
      </c>
      <c r="K442" s="0" t="str">
        <f aca="false">C442</f>
        <v/>
      </c>
      <c r="L442" s="0" t="str">
        <f aca="false">IF(K442="","",IF(ISNUMBER('List 1'!A442),'List 1'!A442,TRIM('List 1'!A442)))</f>
        <v/>
      </c>
      <c r="M442" s="0" t="str">
        <f aca="false">IF(K442="","",IF(ISNUMBER('List 1'!C442),'List 1'!C442,TRIM('List 1'!C442)))</f>
        <v/>
      </c>
      <c r="N442" s="0" t="str">
        <f aca="false">IF(K442="","",IF(ISNUMBER('List 1'!D442),'List 1'!D442,TRIM('List 1'!D442)))</f>
        <v/>
      </c>
      <c r="O442" s="0" t="str">
        <f aca="false">IF(K442="","",D442)</f>
        <v/>
      </c>
      <c r="P442" s="0" t="str">
        <f aca="false">IF(K442="","",IF(R442,SUMPRODUCT(--($H$2:$H$501=K442),$I$2:$I$501),0))</f>
        <v/>
      </c>
      <c r="Q442" s="0" t="str">
        <f aca="false">IF(K442="","",TRUE())</f>
        <v/>
      </c>
      <c r="R442" s="0" t="str">
        <f aca="false">IF(K442="","",SUMPRODUCT(--($H$2:$H$501=K442))&gt;0)</f>
        <v/>
      </c>
      <c r="S442" s="0" t="str">
        <f aca="false">IF(K442="","",IF(AND(Q442,R442),IF(O442=P442,"Match","Qty Different"),IF(Q442,"Only in List 1","Only in List 2")))</f>
        <v/>
      </c>
      <c r="T442" s="0" t="str">
        <f aca="false">IF(K442="","",IF(ISNUMBER(--L442),TEXT(--L442,"000000000000.000"),LOWER(L442)))</f>
        <v/>
      </c>
      <c r="U442" s="0" t="str">
        <f aca="false">IF(K442="","",IF(ISNUMBER(--M442),TEXT(--M442,"000000000000.000"),LOWER(M442)))</f>
        <v/>
      </c>
      <c r="V442" s="0" t="str">
        <f aca="false">IF(K442="","",LOWER(N442))</f>
        <v/>
      </c>
      <c r="W442" s="0" t="str">
        <f aca="false">IF(K442="","",B442)</f>
        <v/>
      </c>
      <c r="X442" s="0" t="str">
        <f aca="false">IF(K442="","",1+SUMPRODUCT(($K$2:$K$1001&lt;&gt;"")*(($T$2:$T$1001&lt;T442)+($T$2:$T$1001=T442)*(($U$2:$U$1001&lt;U442)+($U$2:$U$1001=U442)*(($V$2:$V$1001&lt;V442)+($V$2:$V$1001=V442)*(($W$2:$W$1001&lt;W442)+($W$2:$W$1001=W442)*(ROW($K$2:$K$1001)&lt;ROW(K442))))))))</f>
        <v/>
      </c>
    </row>
    <row r="443" customFormat="false" ht="15" hidden="false" customHeight="false" outlineLevel="0" collapsed="false">
      <c r="A443" s="0" t="str">
        <f aca="false">IF(TRIM('List 1'!A443&amp;'List 1'!C443&amp;'List 1'!D443)="","",LOWER(IF(OR(Comparison!$I$9="Item # + Part # + Description",Comparison!$I$9="Item # + Part #"),TRIM('List 1'!A443),"")&amp;"|"&amp;TRIM('List 1'!C443)&amp;"|"&amp;IF(OR(Comparison!$I$9="Item # + Part # + Description",Comparison!$I$9="Part # + Description"),TRIM('List 1'!D443),"")))</f>
        <v/>
      </c>
      <c r="B443" s="0" t="str">
        <f aca="false">IF(A443="","",SUMPRODUCT(--($A$2:A443=A443)))</f>
        <v/>
      </c>
      <c r="C443" s="0" t="str">
        <f aca="false">IF(A443="","",A443&amp;"#"&amp;B443)</f>
        <v/>
      </c>
      <c r="D443" s="0" t="str">
        <f aca="false">IF(A443="","",IFERROR(--'List 1'!B443,0))</f>
        <v/>
      </c>
      <c r="F443" s="0" t="str">
        <f aca="false">IF(TRIM('List 2'!A443&amp;'List 2'!C443&amp;'List 2'!D443)="","",LOWER(IF(OR(Comparison!$I$9="Item # + Part # + Description",Comparison!$I$9="Item # + Part #"),TRIM('List 2'!A443),"")&amp;"|"&amp;TRIM('List 2'!C443)&amp;"|"&amp;IF(OR(Comparison!$I$9="Item # + Part # + Description",Comparison!$I$9="Part # + Description"),TRIM('List 2'!D443),"")))</f>
        <v/>
      </c>
      <c r="G443" s="0" t="str">
        <f aca="false">IF(F443="","",SUMPRODUCT(--($F$2:F443=F443)))</f>
        <v/>
      </c>
      <c r="H443" s="0" t="str">
        <f aca="false">IF(F443="","",F443&amp;"#"&amp;G443)</f>
        <v/>
      </c>
      <c r="I443" s="0" t="str">
        <f aca="false">IF(F443="","",IFERROR(--'List 2'!B443,0))</f>
        <v/>
      </c>
      <c r="K443" s="0" t="str">
        <f aca="false">C443</f>
        <v/>
      </c>
      <c r="L443" s="0" t="str">
        <f aca="false">IF(K443="","",IF(ISNUMBER('List 1'!A443),'List 1'!A443,TRIM('List 1'!A443)))</f>
        <v/>
      </c>
      <c r="M443" s="0" t="str">
        <f aca="false">IF(K443="","",IF(ISNUMBER('List 1'!C443),'List 1'!C443,TRIM('List 1'!C443)))</f>
        <v/>
      </c>
      <c r="N443" s="0" t="str">
        <f aca="false">IF(K443="","",IF(ISNUMBER('List 1'!D443),'List 1'!D443,TRIM('List 1'!D443)))</f>
        <v/>
      </c>
      <c r="O443" s="0" t="str">
        <f aca="false">IF(K443="","",D443)</f>
        <v/>
      </c>
      <c r="P443" s="0" t="str">
        <f aca="false">IF(K443="","",IF(R443,SUMPRODUCT(--($H$2:$H$501=K443),$I$2:$I$501),0))</f>
        <v/>
      </c>
      <c r="Q443" s="0" t="str">
        <f aca="false">IF(K443="","",TRUE())</f>
        <v/>
      </c>
      <c r="R443" s="0" t="str">
        <f aca="false">IF(K443="","",SUMPRODUCT(--($H$2:$H$501=K443))&gt;0)</f>
        <v/>
      </c>
      <c r="S443" s="0" t="str">
        <f aca="false">IF(K443="","",IF(AND(Q443,R443),IF(O443=P443,"Match","Qty Different"),IF(Q443,"Only in List 1","Only in List 2")))</f>
        <v/>
      </c>
      <c r="T443" s="0" t="str">
        <f aca="false">IF(K443="","",IF(ISNUMBER(--L443),TEXT(--L443,"000000000000.000"),LOWER(L443)))</f>
        <v/>
      </c>
      <c r="U443" s="0" t="str">
        <f aca="false">IF(K443="","",IF(ISNUMBER(--M443),TEXT(--M443,"000000000000.000"),LOWER(M443)))</f>
        <v/>
      </c>
      <c r="V443" s="0" t="str">
        <f aca="false">IF(K443="","",LOWER(N443))</f>
        <v/>
      </c>
      <c r="W443" s="0" t="str">
        <f aca="false">IF(K443="","",B443)</f>
        <v/>
      </c>
      <c r="X443" s="0" t="str">
        <f aca="false">IF(K443="","",1+SUMPRODUCT(($K$2:$K$1001&lt;&gt;"")*(($T$2:$T$1001&lt;T443)+($T$2:$T$1001=T443)*(($U$2:$U$1001&lt;U443)+($U$2:$U$1001=U443)*(($V$2:$V$1001&lt;V443)+($V$2:$V$1001=V443)*(($W$2:$W$1001&lt;W443)+($W$2:$W$1001=W443)*(ROW($K$2:$K$1001)&lt;ROW(K443))))))))</f>
        <v/>
      </c>
    </row>
    <row r="444" customFormat="false" ht="15" hidden="false" customHeight="false" outlineLevel="0" collapsed="false">
      <c r="A444" s="0" t="str">
        <f aca="false">IF(TRIM('List 1'!A444&amp;'List 1'!C444&amp;'List 1'!D444)="","",LOWER(IF(OR(Comparison!$I$9="Item # + Part # + Description",Comparison!$I$9="Item # + Part #"),TRIM('List 1'!A444),"")&amp;"|"&amp;TRIM('List 1'!C444)&amp;"|"&amp;IF(OR(Comparison!$I$9="Item # + Part # + Description",Comparison!$I$9="Part # + Description"),TRIM('List 1'!D444),"")))</f>
        <v/>
      </c>
      <c r="B444" s="0" t="str">
        <f aca="false">IF(A444="","",SUMPRODUCT(--($A$2:A444=A444)))</f>
        <v/>
      </c>
      <c r="C444" s="0" t="str">
        <f aca="false">IF(A444="","",A444&amp;"#"&amp;B444)</f>
        <v/>
      </c>
      <c r="D444" s="0" t="str">
        <f aca="false">IF(A444="","",IFERROR(--'List 1'!B444,0))</f>
        <v/>
      </c>
      <c r="F444" s="0" t="str">
        <f aca="false">IF(TRIM('List 2'!A444&amp;'List 2'!C444&amp;'List 2'!D444)="","",LOWER(IF(OR(Comparison!$I$9="Item # + Part # + Description",Comparison!$I$9="Item # + Part #"),TRIM('List 2'!A444),"")&amp;"|"&amp;TRIM('List 2'!C444)&amp;"|"&amp;IF(OR(Comparison!$I$9="Item # + Part # + Description",Comparison!$I$9="Part # + Description"),TRIM('List 2'!D444),"")))</f>
        <v/>
      </c>
      <c r="G444" s="0" t="str">
        <f aca="false">IF(F444="","",SUMPRODUCT(--($F$2:F444=F444)))</f>
        <v/>
      </c>
      <c r="H444" s="0" t="str">
        <f aca="false">IF(F444="","",F444&amp;"#"&amp;G444)</f>
        <v/>
      </c>
      <c r="I444" s="0" t="str">
        <f aca="false">IF(F444="","",IFERROR(--'List 2'!B444,0))</f>
        <v/>
      </c>
      <c r="K444" s="0" t="str">
        <f aca="false">C444</f>
        <v/>
      </c>
      <c r="L444" s="0" t="str">
        <f aca="false">IF(K444="","",IF(ISNUMBER('List 1'!A444),'List 1'!A444,TRIM('List 1'!A444)))</f>
        <v/>
      </c>
      <c r="M444" s="0" t="str">
        <f aca="false">IF(K444="","",IF(ISNUMBER('List 1'!C444),'List 1'!C444,TRIM('List 1'!C444)))</f>
        <v/>
      </c>
      <c r="N444" s="0" t="str">
        <f aca="false">IF(K444="","",IF(ISNUMBER('List 1'!D444),'List 1'!D444,TRIM('List 1'!D444)))</f>
        <v/>
      </c>
      <c r="O444" s="0" t="str">
        <f aca="false">IF(K444="","",D444)</f>
        <v/>
      </c>
      <c r="P444" s="0" t="str">
        <f aca="false">IF(K444="","",IF(R444,SUMPRODUCT(--($H$2:$H$501=K444),$I$2:$I$501),0))</f>
        <v/>
      </c>
      <c r="Q444" s="0" t="str">
        <f aca="false">IF(K444="","",TRUE())</f>
        <v/>
      </c>
      <c r="R444" s="0" t="str">
        <f aca="false">IF(K444="","",SUMPRODUCT(--($H$2:$H$501=K444))&gt;0)</f>
        <v/>
      </c>
      <c r="S444" s="0" t="str">
        <f aca="false">IF(K444="","",IF(AND(Q444,R444),IF(O444=P444,"Match","Qty Different"),IF(Q444,"Only in List 1","Only in List 2")))</f>
        <v/>
      </c>
      <c r="T444" s="0" t="str">
        <f aca="false">IF(K444="","",IF(ISNUMBER(--L444),TEXT(--L444,"000000000000.000"),LOWER(L444)))</f>
        <v/>
      </c>
      <c r="U444" s="0" t="str">
        <f aca="false">IF(K444="","",IF(ISNUMBER(--M444),TEXT(--M444,"000000000000.000"),LOWER(M444)))</f>
        <v/>
      </c>
      <c r="V444" s="0" t="str">
        <f aca="false">IF(K444="","",LOWER(N444))</f>
        <v/>
      </c>
      <c r="W444" s="0" t="str">
        <f aca="false">IF(K444="","",B444)</f>
        <v/>
      </c>
      <c r="X444" s="0" t="str">
        <f aca="false">IF(K444="","",1+SUMPRODUCT(($K$2:$K$1001&lt;&gt;"")*(($T$2:$T$1001&lt;T444)+($T$2:$T$1001=T444)*(($U$2:$U$1001&lt;U444)+($U$2:$U$1001=U444)*(($V$2:$V$1001&lt;V444)+($V$2:$V$1001=V444)*(($W$2:$W$1001&lt;W444)+($W$2:$W$1001=W444)*(ROW($K$2:$K$1001)&lt;ROW(K444))))))))</f>
        <v/>
      </c>
    </row>
    <row r="445" customFormat="false" ht="15" hidden="false" customHeight="false" outlineLevel="0" collapsed="false">
      <c r="A445" s="0" t="str">
        <f aca="false">IF(TRIM('List 1'!A445&amp;'List 1'!C445&amp;'List 1'!D445)="","",LOWER(IF(OR(Comparison!$I$9="Item # + Part # + Description",Comparison!$I$9="Item # + Part #"),TRIM('List 1'!A445),"")&amp;"|"&amp;TRIM('List 1'!C445)&amp;"|"&amp;IF(OR(Comparison!$I$9="Item # + Part # + Description",Comparison!$I$9="Part # + Description"),TRIM('List 1'!D445),"")))</f>
        <v/>
      </c>
      <c r="B445" s="0" t="str">
        <f aca="false">IF(A445="","",SUMPRODUCT(--($A$2:A445=A445)))</f>
        <v/>
      </c>
      <c r="C445" s="0" t="str">
        <f aca="false">IF(A445="","",A445&amp;"#"&amp;B445)</f>
        <v/>
      </c>
      <c r="D445" s="0" t="str">
        <f aca="false">IF(A445="","",IFERROR(--'List 1'!B445,0))</f>
        <v/>
      </c>
      <c r="F445" s="0" t="str">
        <f aca="false">IF(TRIM('List 2'!A445&amp;'List 2'!C445&amp;'List 2'!D445)="","",LOWER(IF(OR(Comparison!$I$9="Item # + Part # + Description",Comparison!$I$9="Item # + Part #"),TRIM('List 2'!A445),"")&amp;"|"&amp;TRIM('List 2'!C445)&amp;"|"&amp;IF(OR(Comparison!$I$9="Item # + Part # + Description",Comparison!$I$9="Part # + Description"),TRIM('List 2'!D445),"")))</f>
        <v/>
      </c>
      <c r="G445" s="0" t="str">
        <f aca="false">IF(F445="","",SUMPRODUCT(--($F$2:F445=F445)))</f>
        <v/>
      </c>
      <c r="H445" s="0" t="str">
        <f aca="false">IF(F445="","",F445&amp;"#"&amp;G445)</f>
        <v/>
      </c>
      <c r="I445" s="0" t="str">
        <f aca="false">IF(F445="","",IFERROR(--'List 2'!B445,0))</f>
        <v/>
      </c>
      <c r="K445" s="0" t="str">
        <f aca="false">C445</f>
        <v/>
      </c>
      <c r="L445" s="0" t="str">
        <f aca="false">IF(K445="","",IF(ISNUMBER('List 1'!A445),'List 1'!A445,TRIM('List 1'!A445)))</f>
        <v/>
      </c>
      <c r="M445" s="0" t="str">
        <f aca="false">IF(K445="","",IF(ISNUMBER('List 1'!C445),'List 1'!C445,TRIM('List 1'!C445)))</f>
        <v/>
      </c>
      <c r="N445" s="0" t="str">
        <f aca="false">IF(K445="","",IF(ISNUMBER('List 1'!D445),'List 1'!D445,TRIM('List 1'!D445)))</f>
        <v/>
      </c>
      <c r="O445" s="0" t="str">
        <f aca="false">IF(K445="","",D445)</f>
        <v/>
      </c>
      <c r="P445" s="0" t="str">
        <f aca="false">IF(K445="","",IF(R445,SUMPRODUCT(--($H$2:$H$501=K445),$I$2:$I$501),0))</f>
        <v/>
      </c>
      <c r="Q445" s="0" t="str">
        <f aca="false">IF(K445="","",TRUE())</f>
        <v/>
      </c>
      <c r="R445" s="0" t="str">
        <f aca="false">IF(K445="","",SUMPRODUCT(--($H$2:$H$501=K445))&gt;0)</f>
        <v/>
      </c>
      <c r="S445" s="0" t="str">
        <f aca="false">IF(K445="","",IF(AND(Q445,R445),IF(O445=P445,"Match","Qty Different"),IF(Q445,"Only in List 1","Only in List 2")))</f>
        <v/>
      </c>
      <c r="T445" s="0" t="str">
        <f aca="false">IF(K445="","",IF(ISNUMBER(--L445),TEXT(--L445,"000000000000.000"),LOWER(L445)))</f>
        <v/>
      </c>
      <c r="U445" s="0" t="str">
        <f aca="false">IF(K445="","",IF(ISNUMBER(--M445),TEXT(--M445,"000000000000.000"),LOWER(M445)))</f>
        <v/>
      </c>
      <c r="V445" s="0" t="str">
        <f aca="false">IF(K445="","",LOWER(N445))</f>
        <v/>
      </c>
      <c r="W445" s="0" t="str">
        <f aca="false">IF(K445="","",B445)</f>
        <v/>
      </c>
      <c r="X445" s="0" t="str">
        <f aca="false">IF(K445="","",1+SUMPRODUCT(($K$2:$K$1001&lt;&gt;"")*(($T$2:$T$1001&lt;T445)+($T$2:$T$1001=T445)*(($U$2:$U$1001&lt;U445)+($U$2:$U$1001=U445)*(($V$2:$V$1001&lt;V445)+($V$2:$V$1001=V445)*(($W$2:$W$1001&lt;W445)+($W$2:$W$1001=W445)*(ROW($K$2:$K$1001)&lt;ROW(K445))))))))</f>
        <v/>
      </c>
    </row>
    <row r="446" customFormat="false" ht="15" hidden="false" customHeight="false" outlineLevel="0" collapsed="false">
      <c r="A446" s="0" t="str">
        <f aca="false">IF(TRIM('List 1'!A446&amp;'List 1'!C446&amp;'List 1'!D446)="","",LOWER(IF(OR(Comparison!$I$9="Item # + Part # + Description",Comparison!$I$9="Item # + Part #"),TRIM('List 1'!A446),"")&amp;"|"&amp;TRIM('List 1'!C446)&amp;"|"&amp;IF(OR(Comparison!$I$9="Item # + Part # + Description",Comparison!$I$9="Part # + Description"),TRIM('List 1'!D446),"")))</f>
        <v/>
      </c>
      <c r="B446" s="0" t="str">
        <f aca="false">IF(A446="","",SUMPRODUCT(--($A$2:A446=A446)))</f>
        <v/>
      </c>
      <c r="C446" s="0" t="str">
        <f aca="false">IF(A446="","",A446&amp;"#"&amp;B446)</f>
        <v/>
      </c>
      <c r="D446" s="0" t="str">
        <f aca="false">IF(A446="","",IFERROR(--'List 1'!B446,0))</f>
        <v/>
      </c>
      <c r="F446" s="0" t="str">
        <f aca="false">IF(TRIM('List 2'!A446&amp;'List 2'!C446&amp;'List 2'!D446)="","",LOWER(IF(OR(Comparison!$I$9="Item # + Part # + Description",Comparison!$I$9="Item # + Part #"),TRIM('List 2'!A446),"")&amp;"|"&amp;TRIM('List 2'!C446)&amp;"|"&amp;IF(OR(Comparison!$I$9="Item # + Part # + Description",Comparison!$I$9="Part # + Description"),TRIM('List 2'!D446),"")))</f>
        <v/>
      </c>
      <c r="G446" s="0" t="str">
        <f aca="false">IF(F446="","",SUMPRODUCT(--($F$2:F446=F446)))</f>
        <v/>
      </c>
      <c r="H446" s="0" t="str">
        <f aca="false">IF(F446="","",F446&amp;"#"&amp;G446)</f>
        <v/>
      </c>
      <c r="I446" s="0" t="str">
        <f aca="false">IF(F446="","",IFERROR(--'List 2'!B446,0))</f>
        <v/>
      </c>
      <c r="K446" s="0" t="str">
        <f aca="false">C446</f>
        <v/>
      </c>
      <c r="L446" s="0" t="str">
        <f aca="false">IF(K446="","",IF(ISNUMBER('List 1'!A446),'List 1'!A446,TRIM('List 1'!A446)))</f>
        <v/>
      </c>
      <c r="M446" s="0" t="str">
        <f aca="false">IF(K446="","",IF(ISNUMBER('List 1'!C446),'List 1'!C446,TRIM('List 1'!C446)))</f>
        <v/>
      </c>
      <c r="N446" s="0" t="str">
        <f aca="false">IF(K446="","",IF(ISNUMBER('List 1'!D446),'List 1'!D446,TRIM('List 1'!D446)))</f>
        <v/>
      </c>
      <c r="O446" s="0" t="str">
        <f aca="false">IF(K446="","",D446)</f>
        <v/>
      </c>
      <c r="P446" s="0" t="str">
        <f aca="false">IF(K446="","",IF(R446,SUMPRODUCT(--($H$2:$H$501=K446),$I$2:$I$501),0))</f>
        <v/>
      </c>
      <c r="Q446" s="0" t="str">
        <f aca="false">IF(K446="","",TRUE())</f>
        <v/>
      </c>
      <c r="R446" s="0" t="str">
        <f aca="false">IF(K446="","",SUMPRODUCT(--($H$2:$H$501=K446))&gt;0)</f>
        <v/>
      </c>
      <c r="S446" s="0" t="str">
        <f aca="false">IF(K446="","",IF(AND(Q446,R446),IF(O446=P446,"Match","Qty Different"),IF(Q446,"Only in List 1","Only in List 2")))</f>
        <v/>
      </c>
      <c r="T446" s="0" t="str">
        <f aca="false">IF(K446="","",IF(ISNUMBER(--L446),TEXT(--L446,"000000000000.000"),LOWER(L446)))</f>
        <v/>
      </c>
      <c r="U446" s="0" t="str">
        <f aca="false">IF(K446="","",IF(ISNUMBER(--M446),TEXT(--M446,"000000000000.000"),LOWER(M446)))</f>
        <v/>
      </c>
      <c r="V446" s="0" t="str">
        <f aca="false">IF(K446="","",LOWER(N446))</f>
        <v/>
      </c>
      <c r="W446" s="0" t="str">
        <f aca="false">IF(K446="","",B446)</f>
        <v/>
      </c>
      <c r="X446" s="0" t="str">
        <f aca="false">IF(K446="","",1+SUMPRODUCT(($K$2:$K$1001&lt;&gt;"")*(($T$2:$T$1001&lt;T446)+($T$2:$T$1001=T446)*(($U$2:$U$1001&lt;U446)+($U$2:$U$1001=U446)*(($V$2:$V$1001&lt;V446)+($V$2:$V$1001=V446)*(($W$2:$W$1001&lt;W446)+($W$2:$W$1001=W446)*(ROW($K$2:$K$1001)&lt;ROW(K446))))))))</f>
        <v/>
      </c>
    </row>
    <row r="447" customFormat="false" ht="15" hidden="false" customHeight="false" outlineLevel="0" collapsed="false">
      <c r="A447" s="0" t="str">
        <f aca="false">IF(TRIM('List 1'!A447&amp;'List 1'!C447&amp;'List 1'!D447)="","",LOWER(IF(OR(Comparison!$I$9="Item # + Part # + Description",Comparison!$I$9="Item # + Part #"),TRIM('List 1'!A447),"")&amp;"|"&amp;TRIM('List 1'!C447)&amp;"|"&amp;IF(OR(Comparison!$I$9="Item # + Part # + Description",Comparison!$I$9="Part # + Description"),TRIM('List 1'!D447),"")))</f>
        <v/>
      </c>
      <c r="B447" s="0" t="str">
        <f aca="false">IF(A447="","",SUMPRODUCT(--($A$2:A447=A447)))</f>
        <v/>
      </c>
      <c r="C447" s="0" t="str">
        <f aca="false">IF(A447="","",A447&amp;"#"&amp;B447)</f>
        <v/>
      </c>
      <c r="D447" s="0" t="str">
        <f aca="false">IF(A447="","",IFERROR(--'List 1'!B447,0))</f>
        <v/>
      </c>
      <c r="F447" s="0" t="str">
        <f aca="false">IF(TRIM('List 2'!A447&amp;'List 2'!C447&amp;'List 2'!D447)="","",LOWER(IF(OR(Comparison!$I$9="Item # + Part # + Description",Comparison!$I$9="Item # + Part #"),TRIM('List 2'!A447),"")&amp;"|"&amp;TRIM('List 2'!C447)&amp;"|"&amp;IF(OR(Comparison!$I$9="Item # + Part # + Description",Comparison!$I$9="Part # + Description"),TRIM('List 2'!D447),"")))</f>
        <v/>
      </c>
      <c r="G447" s="0" t="str">
        <f aca="false">IF(F447="","",SUMPRODUCT(--($F$2:F447=F447)))</f>
        <v/>
      </c>
      <c r="H447" s="0" t="str">
        <f aca="false">IF(F447="","",F447&amp;"#"&amp;G447)</f>
        <v/>
      </c>
      <c r="I447" s="0" t="str">
        <f aca="false">IF(F447="","",IFERROR(--'List 2'!B447,0))</f>
        <v/>
      </c>
      <c r="K447" s="0" t="str">
        <f aca="false">C447</f>
        <v/>
      </c>
      <c r="L447" s="0" t="str">
        <f aca="false">IF(K447="","",IF(ISNUMBER('List 1'!A447),'List 1'!A447,TRIM('List 1'!A447)))</f>
        <v/>
      </c>
      <c r="M447" s="0" t="str">
        <f aca="false">IF(K447="","",IF(ISNUMBER('List 1'!C447),'List 1'!C447,TRIM('List 1'!C447)))</f>
        <v/>
      </c>
      <c r="N447" s="0" t="str">
        <f aca="false">IF(K447="","",IF(ISNUMBER('List 1'!D447),'List 1'!D447,TRIM('List 1'!D447)))</f>
        <v/>
      </c>
      <c r="O447" s="0" t="str">
        <f aca="false">IF(K447="","",D447)</f>
        <v/>
      </c>
      <c r="P447" s="0" t="str">
        <f aca="false">IF(K447="","",IF(R447,SUMPRODUCT(--($H$2:$H$501=K447),$I$2:$I$501),0))</f>
        <v/>
      </c>
      <c r="Q447" s="0" t="str">
        <f aca="false">IF(K447="","",TRUE())</f>
        <v/>
      </c>
      <c r="R447" s="0" t="str">
        <f aca="false">IF(K447="","",SUMPRODUCT(--($H$2:$H$501=K447))&gt;0)</f>
        <v/>
      </c>
      <c r="S447" s="0" t="str">
        <f aca="false">IF(K447="","",IF(AND(Q447,R447),IF(O447=P447,"Match","Qty Different"),IF(Q447,"Only in List 1","Only in List 2")))</f>
        <v/>
      </c>
      <c r="T447" s="0" t="str">
        <f aca="false">IF(K447="","",IF(ISNUMBER(--L447),TEXT(--L447,"000000000000.000"),LOWER(L447)))</f>
        <v/>
      </c>
      <c r="U447" s="0" t="str">
        <f aca="false">IF(K447="","",IF(ISNUMBER(--M447),TEXT(--M447,"000000000000.000"),LOWER(M447)))</f>
        <v/>
      </c>
      <c r="V447" s="0" t="str">
        <f aca="false">IF(K447="","",LOWER(N447))</f>
        <v/>
      </c>
      <c r="W447" s="0" t="str">
        <f aca="false">IF(K447="","",B447)</f>
        <v/>
      </c>
      <c r="X447" s="0" t="str">
        <f aca="false">IF(K447="","",1+SUMPRODUCT(($K$2:$K$1001&lt;&gt;"")*(($T$2:$T$1001&lt;T447)+($T$2:$T$1001=T447)*(($U$2:$U$1001&lt;U447)+($U$2:$U$1001=U447)*(($V$2:$V$1001&lt;V447)+($V$2:$V$1001=V447)*(($W$2:$W$1001&lt;W447)+($W$2:$W$1001=W447)*(ROW($K$2:$K$1001)&lt;ROW(K447))))))))</f>
        <v/>
      </c>
    </row>
    <row r="448" customFormat="false" ht="15" hidden="false" customHeight="false" outlineLevel="0" collapsed="false">
      <c r="A448" s="0" t="str">
        <f aca="false">IF(TRIM('List 1'!A448&amp;'List 1'!C448&amp;'List 1'!D448)="","",LOWER(IF(OR(Comparison!$I$9="Item # + Part # + Description",Comparison!$I$9="Item # + Part #"),TRIM('List 1'!A448),"")&amp;"|"&amp;TRIM('List 1'!C448)&amp;"|"&amp;IF(OR(Comparison!$I$9="Item # + Part # + Description",Comparison!$I$9="Part # + Description"),TRIM('List 1'!D448),"")))</f>
        <v/>
      </c>
      <c r="B448" s="0" t="str">
        <f aca="false">IF(A448="","",SUMPRODUCT(--($A$2:A448=A448)))</f>
        <v/>
      </c>
      <c r="C448" s="0" t="str">
        <f aca="false">IF(A448="","",A448&amp;"#"&amp;B448)</f>
        <v/>
      </c>
      <c r="D448" s="0" t="str">
        <f aca="false">IF(A448="","",IFERROR(--'List 1'!B448,0))</f>
        <v/>
      </c>
      <c r="F448" s="0" t="str">
        <f aca="false">IF(TRIM('List 2'!A448&amp;'List 2'!C448&amp;'List 2'!D448)="","",LOWER(IF(OR(Comparison!$I$9="Item # + Part # + Description",Comparison!$I$9="Item # + Part #"),TRIM('List 2'!A448),"")&amp;"|"&amp;TRIM('List 2'!C448)&amp;"|"&amp;IF(OR(Comparison!$I$9="Item # + Part # + Description",Comparison!$I$9="Part # + Description"),TRIM('List 2'!D448),"")))</f>
        <v/>
      </c>
      <c r="G448" s="0" t="str">
        <f aca="false">IF(F448="","",SUMPRODUCT(--($F$2:F448=F448)))</f>
        <v/>
      </c>
      <c r="H448" s="0" t="str">
        <f aca="false">IF(F448="","",F448&amp;"#"&amp;G448)</f>
        <v/>
      </c>
      <c r="I448" s="0" t="str">
        <f aca="false">IF(F448="","",IFERROR(--'List 2'!B448,0))</f>
        <v/>
      </c>
      <c r="K448" s="0" t="str">
        <f aca="false">C448</f>
        <v/>
      </c>
      <c r="L448" s="0" t="str">
        <f aca="false">IF(K448="","",IF(ISNUMBER('List 1'!A448),'List 1'!A448,TRIM('List 1'!A448)))</f>
        <v/>
      </c>
      <c r="M448" s="0" t="str">
        <f aca="false">IF(K448="","",IF(ISNUMBER('List 1'!C448),'List 1'!C448,TRIM('List 1'!C448)))</f>
        <v/>
      </c>
      <c r="N448" s="0" t="str">
        <f aca="false">IF(K448="","",IF(ISNUMBER('List 1'!D448),'List 1'!D448,TRIM('List 1'!D448)))</f>
        <v/>
      </c>
      <c r="O448" s="0" t="str">
        <f aca="false">IF(K448="","",D448)</f>
        <v/>
      </c>
      <c r="P448" s="0" t="str">
        <f aca="false">IF(K448="","",IF(R448,SUMPRODUCT(--($H$2:$H$501=K448),$I$2:$I$501),0))</f>
        <v/>
      </c>
      <c r="Q448" s="0" t="str">
        <f aca="false">IF(K448="","",TRUE())</f>
        <v/>
      </c>
      <c r="R448" s="0" t="str">
        <f aca="false">IF(K448="","",SUMPRODUCT(--($H$2:$H$501=K448))&gt;0)</f>
        <v/>
      </c>
      <c r="S448" s="0" t="str">
        <f aca="false">IF(K448="","",IF(AND(Q448,R448),IF(O448=P448,"Match","Qty Different"),IF(Q448,"Only in List 1","Only in List 2")))</f>
        <v/>
      </c>
      <c r="T448" s="0" t="str">
        <f aca="false">IF(K448="","",IF(ISNUMBER(--L448),TEXT(--L448,"000000000000.000"),LOWER(L448)))</f>
        <v/>
      </c>
      <c r="U448" s="0" t="str">
        <f aca="false">IF(K448="","",IF(ISNUMBER(--M448),TEXT(--M448,"000000000000.000"),LOWER(M448)))</f>
        <v/>
      </c>
      <c r="V448" s="0" t="str">
        <f aca="false">IF(K448="","",LOWER(N448))</f>
        <v/>
      </c>
      <c r="W448" s="0" t="str">
        <f aca="false">IF(K448="","",B448)</f>
        <v/>
      </c>
      <c r="X448" s="0" t="str">
        <f aca="false">IF(K448="","",1+SUMPRODUCT(($K$2:$K$1001&lt;&gt;"")*(($T$2:$T$1001&lt;T448)+($T$2:$T$1001=T448)*(($U$2:$U$1001&lt;U448)+($U$2:$U$1001=U448)*(($V$2:$V$1001&lt;V448)+($V$2:$V$1001=V448)*(($W$2:$W$1001&lt;W448)+($W$2:$W$1001=W448)*(ROW($K$2:$K$1001)&lt;ROW(K448))))))))</f>
        <v/>
      </c>
    </row>
    <row r="449" customFormat="false" ht="15" hidden="false" customHeight="false" outlineLevel="0" collapsed="false">
      <c r="A449" s="0" t="str">
        <f aca="false">IF(TRIM('List 1'!A449&amp;'List 1'!C449&amp;'List 1'!D449)="","",LOWER(IF(OR(Comparison!$I$9="Item # + Part # + Description",Comparison!$I$9="Item # + Part #"),TRIM('List 1'!A449),"")&amp;"|"&amp;TRIM('List 1'!C449)&amp;"|"&amp;IF(OR(Comparison!$I$9="Item # + Part # + Description",Comparison!$I$9="Part # + Description"),TRIM('List 1'!D449),"")))</f>
        <v/>
      </c>
      <c r="B449" s="0" t="str">
        <f aca="false">IF(A449="","",SUMPRODUCT(--($A$2:A449=A449)))</f>
        <v/>
      </c>
      <c r="C449" s="0" t="str">
        <f aca="false">IF(A449="","",A449&amp;"#"&amp;B449)</f>
        <v/>
      </c>
      <c r="D449" s="0" t="str">
        <f aca="false">IF(A449="","",IFERROR(--'List 1'!B449,0))</f>
        <v/>
      </c>
      <c r="F449" s="0" t="str">
        <f aca="false">IF(TRIM('List 2'!A449&amp;'List 2'!C449&amp;'List 2'!D449)="","",LOWER(IF(OR(Comparison!$I$9="Item # + Part # + Description",Comparison!$I$9="Item # + Part #"),TRIM('List 2'!A449),"")&amp;"|"&amp;TRIM('List 2'!C449)&amp;"|"&amp;IF(OR(Comparison!$I$9="Item # + Part # + Description",Comparison!$I$9="Part # + Description"),TRIM('List 2'!D449),"")))</f>
        <v/>
      </c>
      <c r="G449" s="0" t="str">
        <f aca="false">IF(F449="","",SUMPRODUCT(--($F$2:F449=F449)))</f>
        <v/>
      </c>
      <c r="H449" s="0" t="str">
        <f aca="false">IF(F449="","",F449&amp;"#"&amp;G449)</f>
        <v/>
      </c>
      <c r="I449" s="0" t="str">
        <f aca="false">IF(F449="","",IFERROR(--'List 2'!B449,0))</f>
        <v/>
      </c>
      <c r="K449" s="0" t="str">
        <f aca="false">C449</f>
        <v/>
      </c>
      <c r="L449" s="0" t="str">
        <f aca="false">IF(K449="","",IF(ISNUMBER('List 1'!A449),'List 1'!A449,TRIM('List 1'!A449)))</f>
        <v/>
      </c>
      <c r="M449" s="0" t="str">
        <f aca="false">IF(K449="","",IF(ISNUMBER('List 1'!C449),'List 1'!C449,TRIM('List 1'!C449)))</f>
        <v/>
      </c>
      <c r="N449" s="0" t="str">
        <f aca="false">IF(K449="","",IF(ISNUMBER('List 1'!D449),'List 1'!D449,TRIM('List 1'!D449)))</f>
        <v/>
      </c>
      <c r="O449" s="0" t="str">
        <f aca="false">IF(K449="","",D449)</f>
        <v/>
      </c>
      <c r="P449" s="0" t="str">
        <f aca="false">IF(K449="","",IF(R449,SUMPRODUCT(--($H$2:$H$501=K449),$I$2:$I$501),0))</f>
        <v/>
      </c>
      <c r="Q449" s="0" t="str">
        <f aca="false">IF(K449="","",TRUE())</f>
        <v/>
      </c>
      <c r="R449" s="0" t="str">
        <f aca="false">IF(K449="","",SUMPRODUCT(--($H$2:$H$501=K449))&gt;0)</f>
        <v/>
      </c>
      <c r="S449" s="0" t="str">
        <f aca="false">IF(K449="","",IF(AND(Q449,R449),IF(O449=P449,"Match","Qty Different"),IF(Q449,"Only in List 1","Only in List 2")))</f>
        <v/>
      </c>
      <c r="T449" s="0" t="str">
        <f aca="false">IF(K449="","",IF(ISNUMBER(--L449),TEXT(--L449,"000000000000.000"),LOWER(L449)))</f>
        <v/>
      </c>
      <c r="U449" s="0" t="str">
        <f aca="false">IF(K449="","",IF(ISNUMBER(--M449),TEXT(--M449,"000000000000.000"),LOWER(M449)))</f>
        <v/>
      </c>
      <c r="V449" s="0" t="str">
        <f aca="false">IF(K449="","",LOWER(N449))</f>
        <v/>
      </c>
      <c r="W449" s="0" t="str">
        <f aca="false">IF(K449="","",B449)</f>
        <v/>
      </c>
      <c r="X449" s="0" t="str">
        <f aca="false">IF(K449="","",1+SUMPRODUCT(($K$2:$K$1001&lt;&gt;"")*(($T$2:$T$1001&lt;T449)+($T$2:$T$1001=T449)*(($U$2:$U$1001&lt;U449)+($U$2:$U$1001=U449)*(($V$2:$V$1001&lt;V449)+($V$2:$V$1001=V449)*(($W$2:$W$1001&lt;W449)+($W$2:$W$1001=W449)*(ROW($K$2:$K$1001)&lt;ROW(K449))))))))</f>
        <v/>
      </c>
    </row>
    <row r="450" customFormat="false" ht="15" hidden="false" customHeight="false" outlineLevel="0" collapsed="false">
      <c r="A450" s="0" t="str">
        <f aca="false">IF(TRIM('List 1'!A450&amp;'List 1'!C450&amp;'List 1'!D450)="","",LOWER(IF(OR(Comparison!$I$9="Item # + Part # + Description",Comparison!$I$9="Item # + Part #"),TRIM('List 1'!A450),"")&amp;"|"&amp;TRIM('List 1'!C450)&amp;"|"&amp;IF(OR(Comparison!$I$9="Item # + Part # + Description",Comparison!$I$9="Part # + Description"),TRIM('List 1'!D450),"")))</f>
        <v/>
      </c>
      <c r="B450" s="0" t="str">
        <f aca="false">IF(A450="","",SUMPRODUCT(--($A$2:A450=A450)))</f>
        <v/>
      </c>
      <c r="C450" s="0" t="str">
        <f aca="false">IF(A450="","",A450&amp;"#"&amp;B450)</f>
        <v/>
      </c>
      <c r="D450" s="0" t="str">
        <f aca="false">IF(A450="","",IFERROR(--'List 1'!B450,0))</f>
        <v/>
      </c>
      <c r="F450" s="0" t="str">
        <f aca="false">IF(TRIM('List 2'!A450&amp;'List 2'!C450&amp;'List 2'!D450)="","",LOWER(IF(OR(Comparison!$I$9="Item # + Part # + Description",Comparison!$I$9="Item # + Part #"),TRIM('List 2'!A450),"")&amp;"|"&amp;TRIM('List 2'!C450)&amp;"|"&amp;IF(OR(Comparison!$I$9="Item # + Part # + Description",Comparison!$I$9="Part # + Description"),TRIM('List 2'!D450),"")))</f>
        <v/>
      </c>
      <c r="G450" s="0" t="str">
        <f aca="false">IF(F450="","",SUMPRODUCT(--($F$2:F450=F450)))</f>
        <v/>
      </c>
      <c r="H450" s="0" t="str">
        <f aca="false">IF(F450="","",F450&amp;"#"&amp;G450)</f>
        <v/>
      </c>
      <c r="I450" s="0" t="str">
        <f aca="false">IF(F450="","",IFERROR(--'List 2'!B450,0))</f>
        <v/>
      </c>
      <c r="K450" s="0" t="str">
        <f aca="false">C450</f>
        <v/>
      </c>
      <c r="L450" s="0" t="str">
        <f aca="false">IF(K450="","",IF(ISNUMBER('List 1'!A450),'List 1'!A450,TRIM('List 1'!A450)))</f>
        <v/>
      </c>
      <c r="M450" s="0" t="str">
        <f aca="false">IF(K450="","",IF(ISNUMBER('List 1'!C450),'List 1'!C450,TRIM('List 1'!C450)))</f>
        <v/>
      </c>
      <c r="N450" s="0" t="str">
        <f aca="false">IF(K450="","",IF(ISNUMBER('List 1'!D450),'List 1'!D450,TRIM('List 1'!D450)))</f>
        <v/>
      </c>
      <c r="O450" s="0" t="str">
        <f aca="false">IF(K450="","",D450)</f>
        <v/>
      </c>
      <c r="P450" s="0" t="str">
        <f aca="false">IF(K450="","",IF(R450,SUMPRODUCT(--($H$2:$H$501=K450),$I$2:$I$501),0))</f>
        <v/>
      </c>
      <c r="Q450" s="0" t="str">
        <f aca="false">IF(K450="","",TRUE())</f>
        <v/>
      </c>
      <c r="R450" s="0" t="str">
        <f aca="false">IF(K450="","",SUMPRODUCT(--($H$2:$H$501=K450))&gt;0)</f>
        <v/>
      </c>
      <c r="S450" s="0" t="str">
        <f aca="false">IF(K450="","",IF(AND(Q450,R450),IF(O450=P450,"Match","Qty Different"),IF(Q450,"Only in List 1","Only in List 2")))</f>
        <v/>
      </c>
      <c r="T450" s="0" t="str">
        <f aca="false">IF(K450="","",IF(ISNUMBER(--L450),TEXT(--L450,"000000000000.000"),LOWER(L450)))</f>
        <v/>
      </c>
      <c r="U450" s="0" t="str">
        <f aca="false">IF(K450="","",IF(ISNUMBER(--M450),TEXT(--M450,"000000000000.000"),LOWER(M450)))</f>
        <v/>
      </c>
      <c r="V450" s="0" t="str">
        <f aca="false">IF(K450="","",LOWER(N450))</f>
        <v/>
      </c>
      <c r="W450" s="0" t="str">
        <f aca="false">IF(K450="","",B450)</f>
        <v/>
      </c>
      <c r="X450" s="0" t="str">
        <f aca="false">IF(K450="","",1+SUMPRODUCT(($K$2:$K$1001&lt;&gt;"")*(($T$2:$T$1001&lt;T450)+($T$2:$T$1001=T450)*(($U$2:$U$1001&lt;U450)+($U$2:$U$1001=U450)*(($V$2:$V$1001&lt;V450)+($V$2:$V$1001=V450)*(($W$2:$W$1001&lt;W450)+($W$2:$W$1001=W450)*(ROW($K$2:$K$1001)&lt;ROW(K450))))))))</f>
        <v/>
      </c>
    </row>
    <row r="451" customFormat="false" ht="15" hidden="false" customHeight="false" outlineLevel="0" collapsed="false">
      <c r="A451" s="0" t="str">
        <f aca="false">IF(TRIM('List 1'!A451&amp;'List 1'!C451&amp;'List 1'!D451)="","",LOWER(IF(OR(Comparison!$I$9="Item # + Part # + Description",Comparison!$I$9="Item # + Part #"),TRIM('List 1'!A451),"")&amp;"|"&amp;TRIM('List 1'!C451)&amp;"|"&amp;IF(OR(Comparison!$I$9="Item # + Part # + Description",Comparison!$I$9="Part # + Description"),TRIM('List 1'!D451),"")))</f>
        <v/>
      </c>
      <c r="B451" s="0" t="str">
        <f aca="false">IF(A451="","",SUMPRODUCT(--($A$2:A451=A451)))</f>
        <v/>
      </c>
      <c r="C451" s="0" t="str">
        <f aca="false">IF(A451="","",A451&amp;"#"&amp;B451)</f>
        <v/>
      </c>
      <c r="D451" s="0" t="str">
        <f aca="false">IF(A451="","",IFERROR(--'List 1'!B451,0))</f>
        <v/>
      </c>
      <c r="F451" s="0" t="str">
        <f aca="false">IF(TRIM('List 2'!A451&amp;'List 2'!C451&amp;'List 2'!D451)="","",LOWER(IF(OR(Comparison!$I$9="Item # + Part # + Description",Comparison!$I$9="Item # + Part #"),TRIM('List 2'!A451),"")&amp;"|"&amp;TRIM('List 2'!C451)&amp;"|"&amp;IF(OR(Comparison!$I$9="Item # + Part # + Description",Comparison!$I$9="Part # + Description"),TRIM('List 2'!D451),"")))</f>
        <v/>
      </c>
      <c r="G451" s="0" t="str">
        <f aca="false">IF(F451="","",SUMPRODUCT(--($F$2:F451=F451)))</f>
        <v/>
      </c>
      <c r="H451" s="0" t="str">
        <f aca="false">IF(F451="","",F451&amp;"#"&amp;G451)</f>
        <v/>
      </c>
      <c r="I451" s="0" t="str">
        <f aca="false">IF(F451="","",IFERROR(--'List 2'!B451,0))</f>
        <v/>
      </c>
      <c r="K451" s="0" t="str">
        <f aca="false">C451</f>
        <v/>
      </c>
      <c r="L451" s="0" t="str">
        <f aca="false">IF(K451="","",IF(ISNUMBER('List 1'!A451),'List 1'!A451,TRIM('List 1'!A451)))</f>
        <v/>
      </c>
      <c r="M451" s="0" t="str">
        <f aca="false">IF(K451="","",IF(ISNUMBER('List 1'!C451),'List 1'!C451,TRIM('List 1'!C451)))</f>
        <v/>
      </c>
      <c r="N451" s="0" t="str">
        <f aca="false">IF(K451="","",IF(ISNUMBER('List 1'!D451),'List 1'!D451,TRIM('List 1'!D451)))</f>
        <v/>
      </c>
      <c r="O451" s="0" t="str">
        <f aca="false">IF(K451="","",D451)</f>
        <v/>
      </c>
      <c r="P451" s="0" t="str">
        <f aca="false">IF(K451="","",IF(R451,SUMPRODUCT(--($H$2:$H$501=K451),$I$2:$I$501),0))</f>
        <v/>
      </c>
      <c r="Q451" s="0" t="str">
        <f aca="false">IF(K451="","",TRUE())</f>
        <v/>
      </c>
      <c r="R451" s="0" t="str">
        <f aca="false">IF(K451="","",SUMPRODUCT(--($H$2:$H$501=K451))&gt;0)</f>
        <v/>
      </c>
      <c r="S451" s="0" t="str">
        <f aca="false">IF(K451="","",IF(AND(Q451,R451),IF(O451=P451,"Match","Qty Different"),IF(Q451,"Only in List 1","Only in List 2")))</f>
        <v/>
      </c>
      <c r="T451" s="0" t="str">
        <f aca="false">IF(K451="","",IF(ISNUMBER(--L451),TEXT(--L451,"000000000000.000"),LOWER(L451)))</f>
        <v/>
      </c>
      <c r="U451" s="0" t="str">
        <f aca="false">IF(K451="","",IF(ISNUMBER(--M451),TEXT(--M451,"000000000000.000"),LOWER(M451)))</f>
        <v/>
      </c>
      <c r="V451" s="0" t="str">
        <f aca="false">IF(K451="","",LOWER(N451))</f>
        <v/>
      </c>
      <c r="W451" s="0" t="str">
        <f aca="false">IF(K451="","",B451)</f>
        <v/>
      </c>
      <c r="X451" s="0" t="str">
        <f aca="false">IF(K451="","",1+SUMPRODUCT(($K$2:$K$1001&lt;&gt;"")*(($T$2:$T$1001&lt;T451)+($T$2:$T$1001=T451)*(($U$2:$U$1001&lt;U451)+($U$2:$U$1001=U451)*(($V$2:$V$1001&lt;V451)+($V$2:$V$1001=V451)*(($W$2:$W$1001&lt;W451)+($W$2:$W$1001=W451)*(ROW($K$2:$K$1001)&lt;ROW(K451))))))))</f>
        <v/>
      </c>
    </row>
    <row r="452" customFormat="false" ht="15" hidden="false" customHeight="false" outlineLevel="0" collapsed="false">
      <c r="A452" s="0" t="str">
        <f aca="false">IF(TRIM('List 1'!A452&amp;'List 1'!C452&amp;'List 1'!D452)="","",LOWER(IF(OR(Comparison!$I$9="Item # + Part # + Description",Comparison!$I$9="Item # + Part #"),TRIM('List 1'!A452),"")&amp;"|"&amp;TRIM('List 1'!C452)&amp;"|"&amp;IF(OR(Comparison!$I$9="Item # + Part # + Description",Comparison!$I$9="Part # + Description"),TRIM('List 1'!D452),"")))</f>
        <v/>
      </c>
      <c r="B452" s="0" t="str">
        <f aca="false">IF(A452="","",SUMPRODUCT(--($A$2:A452=A452)))</f>
        <v/>
      </c>
      <c r="C452" s="0" t="str">
        <f aca="false">IF(A452="","",A452&amp;"#"&amp;B452)</f>
        <v/>
      </c>
      <c r="D452" s="0" t="str">
        <f aca="false">IF(A452="","",IFERROR(--'List 1'!B452,0))</f>
        <v/>
      </c>
      <c r="F452" s="0" t="str">
        <f aca="false">IF(TRIM('List 2'!A452&amp;'List 2'!C452&amp;'List 2'!D452)="","",LOWER(IF(OR(Comparison!$I$9="Item # + Part # + Description",Comparison!$I$9="Item # + Part #"),TRIM('List 2'!A452),"")&amp;"|"&amp;TRIM('List 2'!C452)&amp;"|"&amp;IF(OR(Comparison!$I$9="Item # + Part # + Description",Comparison!$I$9="Part # + Description"),TRIM('List 2'!D452),"")))</f>
        <v/>
      </c>
      <c r="G452" s="0" t="str">
        <f aca="false">IF(F452="","",SUMPRODUCT(--($F$2:F452=F452)))</f>
        <v/>
      </c>
      <c r="H452" s="0" t="str">
        <f aca="false">IF(F452="","",F452&amp;"#"&amp;G452)</f>
        <v/>
      </c>
      <c r="I452" s="0" t="str">
        <f aca="false">IF(F452="","",IFERROR(--'List 2'!B452,0))</f>
        <v/>
      </c>
      <c r="K452" s="0" t="str">
        <f aca="false">C452</f>
        <v/>
      </c>
      <c r="L452" s="0" t="str">
        <f aca="false">IF(K452="","",IF(ISNUMBER('List 1'!A452),'List 1'!A452,TRIM('List 1'!A452)))</f>
        <v/>
      </c>
      <c r="M452" s="0" t="str">
        <f aca="false">IF(K452="","",IF(ISNUMBER('List 1'!C452),'List 1'!C452,TRIM('List 1'!C452)))</f>
        <v/>
      </c>
      <c r="N452" s="0" t="str">
        <f aca="false">IF(K452="","",IF(ISNUMBER('List 1'!D452),'List 1'!D452,TRIM('List 1'!D452)))</f>
        <v/>
      </c>
      <c r="O452" s="0" t="str">
        <f aca="false">IF(K452="","",D452)</f>
        <v/>
      </c>
      <c r="P452" s="0" t="str">
        <f aca="false">IF(K452="","",IF(R452,SUMPRODUCT(--($H$2:$H$501=K452),$I$2:$I$501),0))</f>
        <v/>
      </c>
      <c r="Q452" s="0" t="str">
        <f aca="false">IF(K452="","",TRUE())</f>
        <v/>
      </c>
      <c r="R452" s="0" t="str">
        <f aca="false">IF(K452="","",SUMPRODUCT(--($H$2:$H$501=K452))&gt;0)</f>
        <v/>
      </c>
      <c r="S452" s="0" t="str">
        <f aca="false">IF(K452="","",IF(AND(Q452,R452),IF(O452=P452,"Match","Qty Different"),IF(Q452,"Only in List 1","Only in List 2")))</f>
        <v/>
      </c>
      <c r="T452" s="0" t="str">
        <f aca="false">IF(K452="","",IF(ISNUMBER(--L452),TEXT(--L452,"000000000000.000"),LOWER(L452)))</f>
        <v/>
      </c>
      <c r="U452" s="0" t="str">
        <f aca="false">IF(K452="","",IF(ISNUMBER(--M452),TEXT(--M452,"000000000000.000"),LOWER(M452)))</f>
        <v/>
      </c>
      <c r="V452" s="0" t="str">
        <f aca="false">IF(K452="","",LOWER(N452))</f>
        <v/>
      </c>
      <c r="W452" s="0" t="str">
        <f aca="false">IF(K452="","",B452)</f>
        <v/>
      </c>
      <c r="X452" s="0" t="str">
        <f aca="false">IF(K452="","",1+SUMPRODUCT(($K$2:$K$1001&lt;&gt;"")*(($T$2:$T$1001&lt;T452)+($T$2:$T$1001=T452)*(($U$2:$U$1001&lt;U452)+($U$2:$U$1001=U452)*(($V$2:$V$1001&lt;V452)+($V$2:$V$1001=V452)*(($W$2:$W$1001&lt;W452)+($W$2:$W$1001=W452)*(ROW($K$2:$K$1001)&lt;ROW(K452))))))))</f>
        <v/>
      </c>
    </row>
    <row r="453" customFormat="false" ht="15" hidden="false" customHeight="false" outlineLevel="0" collapsed="false">
      <c r="A453" s="0" t="str">
        <f aca="false">IF(TRIM('List 1'!A453&amp;'List 1'!C453&amp;'List 1'!D453)="","",LOWER(IF(OR(Comparison!$I$9="Item # + Part # + Description",Comparison!$I$9="Item # + Part #"),TRIM('List 1'!A453),"")&amp;"|"&amp;TRIM('List 1'!C453)&amp;"|"&amp;IF(OR(Comparison!$I$9="Item # + Part # + Description",Comparison!$I$9="Part # + Description"),TRIM('List 1'!D453),"")))</f>
        <v/>
      </c>
      <c r="B453" s="0" t="str">
        <f aca="false">IF(A453="","",SUMPRODUCT(--($A$2:A453=A453)))</f>
        <v/>
      </c>
      <c r="C453" s="0" t="str">
        <f aca="false">IF(A453="","",A453&amp;"#"&amp;B453)</f>
        <v/>
      </c>
      <c r="D453" s="0" t="str">
        <f aca="false">IF(A453="","",IFERROR(--'List 1'!B453,0))</f>
        <v/>
      </c>
      <c r="F453" s="0" t="str">
        <f aca="false">IF(TRIM('List 2'!A453&amp;'List 2'!C453&amp;'List 2'!D453)="","",LOWER(IF(OR(Comparison!$I$9="Item # + Part # + Description",Comparison!$I$9="Item # + Part #"),TRIM('List 2'!A453),"")&amp;"|"&amp;TRIM('List 2'!C453)&amp;"|"&amp;IF(OR(Comparison!$I$9="Item # + Part # + Description",Comparison!$I$9="Part # + Description"),TRIM('List 2'!D453),"")))</f>
        <v/>
      </c>
      <c r="G453" s="0" t="str">
        <f aca="false">IF(F453="","",SUMPRODUCT(--($F$2:F453=F453)))</f>
        <v/>
      </c>
      <c r="H453" s="0" t="str">
        <f aca="false">IF(F453="","",F453&amp;"#"&amp;G453)</f>
        <v/>
      </c>
      <c r="I453" s="0" t="str">
        <f aca="false">IF(F453="","",IFERROR(--'List 2'!B453,0))</f>
        <v/>
      </c>
      <c r="K453" s="0" t="str">
        <f aca="false">C453</f>
        <v/>
      </c>
      <c r="L453" s="0" t="str">
        <f aca="false">IF(K453="","",IF(ISNUMBER('List 1'!A453),'List 1'!A453,TRIM('List 1'!A453)))</f>
        <v/>
      </c>
      <c r="M453" s="0" t="str">
        <f aca="false">IF(K453="","",IF(ISNUMBER('List 1'!C453),'List 1'!C453,TRIM('List 1'!C453)))</f>
        <v/>
      </c>
      <c r="N453" s="0" t="str">
        <f aca="false">IF(K453="","",IF(ISNUMBER('List 1'!D453),'List 1'!D453,TRIM('List 1'!D453)))</f>
        <v/>
      </c>
      <c r="O453" s="0" t="str">
        <f aca="false">IF(K453="","",D453)</f>
        <v/>
      </c>
      <c r="P453" s="0" t="str">
        <f aca="false">IF(K453="","",IF(R453,SUMPRODUCT(--($H$2:$H$501=K453),$I$2:$I$501),0))</f>
        <v/>
      </c>
      <c r="Q453" s="0" t="str">
        <f aca="false">IF(K453="","",TRUE())</f>
        <v/>
      </c>
      <c r="R453" s="0" t="str">
        <f aca="false">IF(K453="","",SUMPRODUCT(--($H$2:$H$501=K453))&gt;0)</f>
        <v/>
      </c>
      <c r="S453" s="0" t="str">
        <f aca="false">IF(K453="","",IF(AND(Q453,R453),IF(O453=P453,"Match","Qty Different"),IF(Q453,"Only in List 1","Only in List 2")))</f>
        <v/>
      </c>
      <c r="T453" s="0" t="str">
        <f aca="false">IF(K453="","",IF(ISNUMBER(--L453),TEXT(--L453,"000000000000.000"),LOWER(L453)))</f>
        <v/>
      </c>
      <c r="U453" s="0" t="str">
        <f aca="false">IF(K453="","",IF(ISNUMBER(--M453),TEXT(--M453,"000000000000.000"),LOWER(M453)))</f>
        <v/>
      </c>
      <c r="V453" s="0" t="str">
        <f aca="false">IF(K453="","",LOWER(N453))</f>
        <v/>
      </c>
      <c r="W453" s="0" t="str">
        <f aca="false">IF(K453="","",B453)</f>
        <v/>
      </c>
      <c r="X453" s="0" t="str">
        <f aca="false">IF(K453="","",1+SUMPRODUCT(($K$2:$K$1001&lt;&gt;"")*(($T$2:$T$1001&lt;T453)+($T$2:$T$1001=T453)*(($U$2:$U$1001&lt;U453)+($U$2:$U$1001=U453)*(($V$2:$V$1001&lt;V453)+($V$2:$V$1001=V453)*(($W$2:$W$1001&lt;W453)+($W$2:$W$1001=W453)*(ROW($K$2:$K$1001)&lt;ROW(K453))))))))</f>
        <v/>
      </c>
    </row>
    <row r="454" customFormat="false" ht="15" hidden="false" customHeight="false" outlineLevel="0" collapsed="false">
      <c r="A454" s="0" t="str">
        <f aca="false">IF(TRIM('List 1'!A454&amp;'List 1'!C454&amp;'List 1'!D454)="","",LOWER(IF(OR(Comparison!$I$9="Item # + Part # + Description",Comparison!$I$9="Item # + Part #"),TRIM('List 1'!A454),"")&amp;"|"&amp;TRIM('List 1'!C454)&amp;"|"&amp;IF(OR(Comparison!$I$9="Item # + Part # + Description",Comparison!$I$9="Part # + Description"),TRIM('List 1'!D454),"")))</f>
        <v/>
      </c>
      <c r="B454" s="0" t="str">
        <f aca="false">IF(A454="","",SUMPRODUCT(--($A$2:A454=A454)))</f>
        <v/>
      </c>
      <c r="C454" s="0" t="str">
        <f aca="false">IF(A454="","",A454&amp;"#"&amp;B454)</f>
        <v/>
      </c>
      <c r="D454" s="0" t="str">
        <f aca="false">IF(A454="","",IFERROR(--'List 1'!B454,0))</f>
        <v/>
      </c>
      <c r="F454" s="0" t="str">
        <f aca="false">IF(TRIM('List 2'!A454&amp;'List 2'!C454&amp;'List 2'!D454)="","",LOWER(IF(OR(Comparison!$I$9="Item # + Part # + Description",Comparison!$I$9="Item # + Part #"),TRIM('List 2'!A454),"")&amp;"|"&amp;TRIM('List 2'!C454)&amp;"|"&amp;IF(OR(Comparison!$I$9="Item # + Part # + Description",Comparison!$I$9="Part # + Description"),TRIM('List 2'!D454),"")))</f>
        <v/>
      </c>
      <c r="G454" s="0" t="str">
        <f aca="false">IF(F454="","",SUMPRODUCT(--($F$2:F454=F454)))</f>
        <v/>
      </c>
      <c r="H454" s="0" t="str">
        <f aca="false">IF(F454="","",F454&amp;"#"&amp;G454)</f>
        <v/>
      </c>
      <c r="I454" s="0" t="str">
        <f aca="false">IF(F454="","",IFERROR(--'List 2'!B454,0))</f>
        <v/>
      </c>
      <c r="K454" s="0" t="str">
        <f aca="false">C454</f>
        <v/>
      </c>
      <c r="L454" s="0" t="str">
        <f aca="false">IF(K454="","",IF(ISNUMBER('List 1'!A454),'List 1'!A454,TRIM('List 1'!A454)))</f>
        <v/>
      </c>
      <c r="M454" s="0" t="str">
        <f aca="false">IF(K454="","",IF(ISNUMBER('List 1'!C454),'List 1'!C454,TRIM('List 1'!C454)))</f>
        <v/>
      </c>
      <c r="N454" s="0" t="str">
        <f aca="false">IF(K454="","",IF(ISNUMBER('List 1'!D454),'List 1'!D454,TRIM('List 1'!D454)))</f>
        <v/>
      </c>
      <c r="O454" s="0" t="str">
        <f aca="false">IF(K454="","",D454)</f>
        <v/>
      </c>
      <c r="P454" s="0" t="str">
        <f aca="false">IF(K454="","",IF(R454,SUMPRODUCT(--($H$2:$H$501=K454),$I$2:$I$501),0))</f>
        <v/>
      </c>
      <c r="Q454" s="0" t="str">
        <f aca="false">IF(K454="","",TRUE())</f>
        <v/>
      </c>
      <c r="R454" s="0" t="str">
        <f aca="false">IF(K454="","",SUMPRODUCT(--($H$2:$H$501=K454))&gt;0)</f>
        <v/>
      </c>
      <c r="S454" s="0" t="str">
        <f aca="false">IF(K454="","",IF(AND(Q454,R454),IF(O454=P454,"Match","Qty Different"),IF(Q454,"Only in List 1","Only in List 2")))</f>
        <v/>
      </c>
      <c r="T454" s="0" t="str">
        <f aca="false">IF(K454="","",IF(ISNUMBER(--L454),TEXT(--L454,"000000000000.000"),LOWER(L454)))</f>
        <v/>
      </c>
      <c r="U454" s="0" t="str">
        <f aca="false">IF(K454="","",IF(ISNUMBER(--M454),TEXT(--M454,"000000000000.000"),LOWER(M454)))</f>
        <v/>
      </c>
      <c r="V454" s="0" t="str">
        <f aca="false">IF(K454="","",LOWER(N454))</f>
        <v/>
      </c>
      <c r="W454" s="0" t="str">
        <f aca="false">IF(K454="","",B454)</f>
        <v/>
      </c>
      <c r="X454" s="0" t="str">
        <f aca="false">IF(K454="","",1+SUMPRODUCT(($K$2:$K$1001&lt;&gt;"")*(($T$2:$T$1001&lt;T454)+($T$2:$T$1001=T454)*(($U$2:$U$1001&lt;U454)+($U$2:$U$1001=U454)*(($V$2:$V$1001&lt;V454)+($V$2:$V$1001=V454)*(($W$2:$W$1001&lt;W454)+($W$2:$W$1001=W454)*(ROW($K$2:$K$1001)&lt;ROW(K454))))))))</f>
        <v/>
      </c>
    </row>
    <row r="455" customFormat="false" ht="15" hidden="false" customHeight="false" outlineLevel="0" collapsed="false">
      <c r="A455" s="0" t="str">
        <f aca="false">IF(TRIM('List 1'!A455&amp;'List 1'!C455&amp;'List 1'!D455)="","",LOWER(IF(OR(Comparison!$I$9="Item # + Part # + Description",Comparison!$I$9="Item # + Part #"),TRIM('List 1'!A455),"")&amp;"|"&amp;TRIM('List 1'!C455)&amp;"|"&amp;IF(OR(Comparison!$I$9="Item # + Part # + Description",Comparison!$I$9="Part # + Description"),TRIM('List 1'!D455),"")))</f>
        <v/>
      </c>
      <c r="B455" s="0" t="str">
        <f aca="false">IF(A455="","",SUMPRODUCT(--($A$2:A455=A455)))</f>
        <v/>
      </c>
      <c r="C455" s="0" t="str">
        <f aca="false">IF(A455="","",A455&amp;"#"&amp;B455)</f>
        <v/>
      </c>
      <c r="D455" s="0" t="str">
        <f aca="false">IF(A455="","",IFERROR(--'List 1'!B455,0))</f>
        <v/>
      </c>
      <c r="F455" s="0" t="str">
        <f aca="false">IF(TRIM('List 2'!A455&amp;'List 2'!C455&amp;'List 2'!D455)="","",LOWER(IF(OR(Comparison!$I$9="Item # + Part # + Description",Comparison!$I$9="Item # + Part #"),TRIM('List 2'!A455),"")&amp;"|"&amp;TRIM('List 2'!C455)&amp;"|"&amp;IF(OR(Comparison!$I$9="Item # + Part # + Description",Comparison!$I$9="Part # + Description"),TRIM('List 2'!D455),"")))</f>
        <v/>
      </c>
      <c r="G455" s="0" t="str">
        <f aca="false">IF(F455="","",SUMPRODUCT(--($F$2:F455=F455)))</f>
        <v/>
      </c>
      <c r="H455" s="0" t="str">
        <f aca="false">IF(F455="","",F455&amp;"#"&amp;G455)</f>
        <v/>
      </c>
      <c r="I455" s="0" t="str">
        <f aca="false">IF(F455="","",IFERROR(--'List 2'!B455,0))</f>
        <v/>
      </c>
      <c r="K455" s="0" t="str">
        <f aca="false">C455</f>
        <v/>
      </c>
      <c r="L455" s="0" t="str">
        <f aca="false">IF(K455="","",IF(ISNUMBER('List 1'!A455),'List 1'!A455,TRIM('List 1'!A455)))</f>
        <v/>
      </c>
      <c r="M455" s="0" t="str">
        <f aca="false">IF(K455="","",IF(ISNUMBER('List 1'!C455),'List 1'!C455,TRIM('List 1'!C455)))</f>
        <v/>
      </c>
      <c r="N455" s="0" t="str">
        <f aca="false">IF(K455="","",IF(ISNUMBER('List 1'!D455),'List 1'!D455,TRIM('List 1'!D455)))</f>
        <v/>
      </c>
      <c r="O455" s="0" t="str">
        <f aca="false">IF(K455="","",D455)</f>
        <v/>
      </c>
      <c r="P455" s="0" t="str">
        <f aca="false">IF(K455="","",IF(R455,SUMPRODUCT(--($H$2:$H$501=K455),$I$2:$I$501),0))</f>
        <v/>
      </c>
      <c r="Q455" s="0" t="str">
        <f aca="false">IF(K455="","",TRUE())</f>
        <v/>
      </c>
      <c r="R455" s="0" t="str">
        <f aca="false">IF(K455="","",SUMPRODUCT(--($H$2:$H$501=K455))&gt;0)</f>
        <v/>
      </c>
      <c r="S455" s="0" t="str">
        <f aca="false">IF(K455="","",IF(AND(Q455,R455),IF(O455=P455,"Match","Qty Different"),IF(Q455,"Only in List 1","Only in List 2")))</f>
        <v/>
      </c>
      <c r="T455" s="0" t="str">
        <f aca="false">IF(K455="","",IF(ISNUMBER(--L455),TEXT(--L455,"000000000000.000"),LOWER(L455)))</f>
        <v/>
      </c>
      <c r="U455" s="0" t="str">
        <f aca="false">IF(K455="","",IF(ISNUMBER(--M455),TEXT(--M455,"000000000000.000"),LOWER(M455)))</f>
        <v/>
      </c>
      <c r="V455" s="0" t="str">
        <f aca="false">IF(K455="","",LOWER(N455))</f>
        <v/>
      </c>
      <c r="W455" s="0" t="str">
        <f aca="false">IF(K455="","",B455)</f>
        <v/>
      </c>
      <c r="X455" s="0" t="str">
        <f aca="false">IF(K455="","",1+SUMPRODUCT(($K$2:$K$1001&lt;&gt;"")*(($T$2:$T$1001&lt;T455)+($T$2:$T$1001=T455)*(($U$2:$U$1001&lt;U455)+($U$2:$U$1001=U455)*(($V$2:$V$1001&lt;V455)+($V$2:$V$1001=V455)*(($W$2:$W$1001&lt;W455)+($W$2:$W$1001=W455)*(ROW($K$2:$K$1001)&lt;ROW(K455))))))))</f>
        <v/>
      </c>
    </row>
    <row r="456" customFormat="false" ht="15" hidden="false" customHeight="false" outlineLevel="0" collapsed="false">
      <c r="A456" s="0" t="str">
        <f aca="false">IF(TRIM('List 1'!A456&amp;'List 1'!C456&amp;'List 1'!D456)="","",LOWER(IF(OR(Comparison!$I$9="Item # + Part # + Description",Comparison!$I$9="Item # + Part #"),TRIM('List 1'!A456),"")&amp;"|"&amp;TRIM('List 1'!C456)&amp;"|"&amp;IF(OR(Comparison!$I$9="Item # + Part # + Description",Comparison!$I$9="Part # + Description"),TRIM('List 1'!D456),"")))</f>
        <v/>
      </c>
      <c r="B456" s="0" t="str">
        <f aca="false">IF(A456="","",SUMPRODUCT(--($A$2:A456=A456)))</f>
        <v/>
      </c>
      <c r="C456" s="0" t="str">
        <f aca="false">IF(A456="","",A456&amp;"#"&amp;B456)</f>
        <v/>
      </c>
      <c r="D456" s="0" t="str">
        <f aca="false">IF(A456="","",IFERROR(--'List 1'!B456,0))</f>
        <v/>
      </c>
      <c r="F456" s="0" t="str">
        <f aca="false">IF(TRIM('List 2'!A456&amp;'List 2'!C456&amp;'List 2'!D456)="","",LOWER(IF(OR(Comparison!$I$9="Item # + Part # + Description",Comparison!$I$9="Item # + Part #"),TRIM('List 2'!A456),"")&amp;"|"&amp;TRIM('List 2'!C456)&amp;"|"&amp;IF(OR(Comparison!$I$9="Item # + Part # + Description",Comparison!$I$9="Part # + Description"),TRIM('List 2'!D456),"")))</f>
        <v/>
      </c>
      <c r="G456" s="0" t="str">
        <f aca="false">IF(F456="","",SUMPRODUCT(--($F$2:F456=F456)))</f>
        <v/>
      </c>
      <c r="H456" s="0" t="str">
        <f aca="false">IF(F456="","",F456&amp;"#"&amp;G456)</f>
        <v/>
      </c>
      <c r="I456" s="0" t="str">
        <f aca="false">IF(F456="","",IFERROR(--'List 2'!B456,0))</f>
        <v/>
      </c>
      <c r="K456" s="0" t="str">
        <f aca="false">C456</f>
        <v/>
      </c>
      <c r="L456" s="0" t="str">
        <f aca="false">IF(K456="","",IF(ISNUMBER('List 1'!A456),'List 1'!A456,TRIM('List 1'!A456)))</f>
        <v/>
      </c>
      <c r="M456" s="0" t="str">
        <f aca="false">IF(K456="","",IF(ISNUMBER('List 1'!C456),'List 1'!C456,TRIM('List 1'!C456)))</f>
        <v/>
      </c>
      <c r="N456" s="0" t="str">
        <f aca="false">IF(K456="","",IF(ISNUMBER('List 1'!D456),'List 1'!D456,TRIM('List 1'!D456)))</f>
        <v/>
      </c>
      <c r="O456" s="0" t="str">
        <f aca="false">IF(K456="","",D456)</f>
        <v/>
      </c>
      <c r="P456" s="0" t="str">
        <f aca="false">IF(K456="","",IF(R456,SUMPRODUCT(--($H$2:$H$501=K456),$I$2:$I$501),0))</f>
        <v/>
      </c>
      <c r="Q456" s="0" t="str">
        <f aca="false">IF(K456="","",TRUE())</f>
        <v/>
      </c>
      <c r="R456" s="0" t="str">
        <f aca="false">IF(K456="","",SUMPRODUCT(--($H$2:$H$501=K456))&gt;0)</f>
        <v/>
      </c>
      <c r="S456" s="0" t="str">
        <f aca="false">IF(K456="","",IF(AND(Q456,R456),IF(O456=P456,"Match","Qty Different"),IF(Q456,"Only in List 1","Only in List 2")))</f>
        <v/>
      </c>
      <c r="T456" s="0" t="str">
        <f aca="false">IF(K456="","",IF(ISNUMBER(--L456),TEXT(--L456,"000000000000.000"),LOWER(L456)))</f>
        <v/>
      </c>
      <c r="U456" s="0" t="str">
        <f aca="false">IF(K456="","",IF(ISNUMBER(--M456),TEXT(--M456,"000000000000.000"),LOWER(M456)))</f>
        <v/>
      </c>
      <c r="V456" s="0" t="str">
        <f aca="false">IF(K456="","",LOWER(N456))</f>
        <v/>
      </c>
      <c r="W456" s="0" t="str">
        <f aca="false">IF(K456="","",B456)</f>
        <v/>
      </c>
      <c r="X456" s="0" t="str">
        <f aca="false">IF(K456="","",1+SUMPRODUCT(($K$2:$K$1001&lt;&gt;"")*(($T$2:$T$1001&lt;T456)+($T$2:$T$1001=T456)*(($U$2:$U$1001&lt;U456)+($U$2:$U$1001=U456)*(($V$2:$V$1001&lt;V456)+($V$2:$V$1001=V456)*(($W$2:$W$1001&lt;W456)+($W$2:$W$1001=W456)*(ROW($K$2:$K$1001)&lt;ROW(K456))))))))</f>
        <v/>
      </c>
    </row>
    <row r="457" customFormat="false" ht="15" hidden="false" customHeight="false" outlineLevel="0" collapsed="false">
      <c r="A457" s="0" t="str">
        <f aca="false">IF(TRIM('List 1'!A457&amp;'List 1'!C457&amp;'List 1'!D457)="","",LOWER(IF(OR(Comparison!$I$9="Item # + Part # + Description",Comparison!$I$9="Item # + Part #"),TRIM('List 1'!A457),"")&amp;"|"&amp;TRIM('List 1'!C457)&amp;"|"&amp;IF(OR(Comparison!$I$9="Item # + Part # + Description",Comparison!$I$9="Part # + Description"),TRIM('List 1'!D457),"")))</f>
        <v/>
      </c>
      <c r="B457" s="0" t="str">
        <f aca="false">IF(A457="","",SUMPRODUCT(--($A$2:A457=A457)))</f>
        <v/>
      </c>
      <c r="C457" s="0" t="str">
        <f aca="false">IF(A457="","",A457&amp;"#"&amp;B457)</f>
        <v/>
      </c>
      <c r="D457" s="0" t="str">
        <f aca="false">IF(A457="","",IFERROR(--'List 1'!B457,0))</f>
        <v/>
      </c>
      <c r="F457" s="0" t="str">
        <f aca="false">IF(TRIM('List 2'!A457&amp;'List 2'!C457&amp;'List 2'!D457)="","",LOWER(IF(OR(Comparison!$I$9="Item # + Part # + Description",Comparison!$I$9="Item # + Part #"),TRIM('List 2'!A457),"")&amp;"|"&amp;TRIM('List 2'!C457)&amp;"|"&amp;IF(OR(Comparison!$I$9="Item # + Part # + Description",Comparison!$I$9="Part # + Description"),TRIM('List 2'!D457),"")))</f>
        <v/>
      </c>
      <c r="G457" s="0" t="str">
        <f aca="false">IF(F457="","",SUMPRODUCT(--($F$2:F457=F457)))</f>
        <v/>
      </c>
      <c r="H457" s="0" t="str">
        <f aca="false">IF(F457="","",F457&amp;"#"&amp;G457)</f>
        <v/>
      </c>
      <c r="I457" s="0" t="str">
        <f aca="false">IF(F457="","",IFERROR(--'List 2'!B457,0))</f>
        <v/>
      </c>
      <c r="K457" s="0" t="str">
        <f aca="false">C457</f>
        <v/>
      </c>
      <c r="L457" s="0" t="str">
        <f aca="false">IF(K457="","",IF(ISNUMBER('List 1'!A457),'List 1'!A457,TRIM('List 1'!A457)))</f>
        <v/>
      </c>
      <c r="M457" s="0" t="str">
        <f aca="false">IF(K457="","",IF(ISNUMBER('List 1'!C457),'List 1'!C457,TRIM('List 1'!C457)))</f>
        <v/>
      </c>
      <c r="N457" s="0" t="str">
        <f aca="false">IF(K457="","",IF(ISNUMBER('List 1'!D457),'List 1'!D457,TRIM('List 1'!D457)))</f>
        <v/>
      </c>
      <c r="O457" s="0" t="str">
        <f aca="false">IF(K457="","",D457)</f>
        <v/>
      </c>
      <c r="P457" s="0" t="str">
        <f aca="false">IF(K457="","",IF(R457,SUMPRODUCT(--($H$2:$H$501=K457),$I$2:$I$501),0))</f>
        <v/>
      </c>
      <c r="Q457" s="0" t="str">
        <f aca="false">IF(K457="","",TRUE())</f>
        <v/>
      </c>
      <c r="R457" s="0" t="str">
        <f aca="false">IF(K457="","",SUMPRODUCT(--($H$2:$H$501=K457))&gt;0)</f>
        <v/>
      </c>
      <c r="S457" s="0" t="str">
        <f aca="false">IF(K457="","",IF(AND(Q457,R457),IF(O457=P457,"Match","Qty Different"),IF(Q457,"Only in List 1","Only in List 2")))</f>
        <v/>
      </c>
      <c r="T457" s="0" t="str">
        <f aca="false">IF(K457="","",IF(ISNUMBER(--L457),TEXT(--L457,"000000000000.000"),LOWER(L457)))</f>
        <v/>
      </c>
      <c r="U457" s="0" t="str">
        <f aca="false">IF(K457="","",IF(ISNUMBER(--M457),TEXT(--M457,"000000000000.000"),LOWER(M457)))</f>
        <v/>
      </c>
      <c r="V457" s="0" t="str">
        <f aca="false">IF(K457="","",LOWER(N457))</f>
        <v/>
      </c>
      <c r="W457" s="0" t="str">
        <f aca="false">IF(K457="","",B457)</f>
        <v/>
      </c>
      <c r="X457" s="0" t="str">
        <f aca="false">IF(K457="","",1+SUMPRODUCT(($K$2:$K$1001&lt;&gt;"")*(($T$2:$T$1001&lt;T457)+($T$2:$T$1001=T457)*(($U$2:$U$1001&lt;U457)+($U$2:$U$1001=U457)*(($V$2:$V$1001&lt;V457)+($V$2:$V$1001=V457)*(($W$2:$W$1001&lt;W457)+($W$2:$W$1001=W457)*(ROW($K$2:$K$1001)&lt;ROW(K457))))))))</f>
        <v/>
      </c>
    </row>
    <row r="458" customFormat="false" ht="15" hidden="false" customHeight="false" outlineLevel="0" collapsed="false">
      <c r="A458" s="0" t="str">
        <f aca="false">IF(TRIM('List 1'!A458&amp;'List 1'!C458&amp;'List 1'!D458)="","",LOWER(IF(OR(Comparison!$I$9="Item # + Part # + Description",Comparison!$I$9="Item # + Part #"),TRIM('List 1'!A458),"")&amp;"|"&amp;TRIM('List 1'!C458)&amp;"|"&amp;IF(OR(Comparison!$I$9="Item # + Part # + Description",Comparison!$I$9="Part # + Description"),TRIM('List 1'!D458),"")))</f>
        <v/>
      </c>
      <c r="B458" s="0" t="str">
        <f aca="false">IF(A458="","",SUMPRODUCT(--($A$2:A458=A458)))</f>
        <v/>
      </c>
      <c r="C458" s="0" t="str">
        <f aca="false">IF(A458="","",A458&amp;"#"&amp;B458)</f>
        <v/>
      </c>
      <c r="D458" s="0" t="str">
        <f aca="false">IF(A458="","",IFERROR(--'List 1'!B458,0))</f>
        <v/>
      </c>
      <c r="F458" s="0" t="str">
        <f aca="false">IF(TRIM('List 2'!A458&amp;'List 2'!C458&amp;'List 2'!D458)="","",LOWER(IF(OR(Comparison!$I$9="Item # + Part # + Description",Comparison!$I$9="Item # + Part #"),TRIM('List 2'!A458),"")&amp;"|"&amp;TRIM('List 2'!C458)&amp;"|"&amp;IF(OR(Comparison!$I$9="Item # + Part # + Description",Comparison!$I$9="Part # + Description"),TRIM('List 2'!D458),"")))</f>
        <v/>
      </c>
      <c r="G458" s="0" t="str">
        <f aca="false">IF(F458="","",SUMPRODUCT(--($F$2:F458=F458)))</f>
        <v/>
      </c>
      <c r="H458" s="0" t="str">
        <f aca="false">IF(F458="","",F458&amp;"#"&amp;G458)</f>
        <v/>
      </c>
      <c r="I458" s="0" t="str">
        <f aca="false">IF(F458="","",IFERROR(--'List 2'!B458,0))</f>
        <v/>
      </c>
      <c r="K458" s="0" t="str">
        <f aca="false">C458</f>
        <v/>
      </c>
      <c r="L458" s="0" t="str">
        <f aca="false">IF(K458="","",IF(ISNUMBER('List 1'!A458),'List 1'!A458,TRIM('List 1'!A458)))</f>
        <v/>
      </c>
      <c r="M458" s="0" t="str">
        <f aca="false">IF(K458="","",IF(ISNUMBER('List 1'!C458),'List 1'!C458,TRIM('List 1'!C458)))</f>
        <v/>
      </c>
      <c r="N458" s="0" t="str">
        <f aca="false">IF(K458="","",IF(ISNUMBER('List 1'!D458),'List 1'!D458,TRIM('List 1'!D458)))</f>
        <v/>
      </c>
      <c r="O458" s="0" t="str">
        <f aca="false">IF(K458="","",D458)</f>
        <v/>
      </c>
      <c r="P458" s="0" t="str">
        <f aca="false">IF(K458="","",IF(R458,SUMPRODUCT(--($H$2:$H$501=K458),$I$2:$I$501),0))</f>
        <v/>
      </c>
      <c r="Q458" s="0" t="str">
        <f aca="false">IF(K458="","",TRUE())</f>
        <v/>
      </c>
      <c r="R458" s="0" t="str">
        <f aca="false">IF(K458="","",SUMPRODUCT(--($H$2:$H$501=K458))&gt;0)</f>
        <v/>
      </c>
      <c r="S458" s="0" t="str">
        <f aca="false">IF(K458="","",IF(AND(Q458,R458),IF(O458=P458,"Match","Qty Different"),IF(Q458,"Only in List 1","Only in List 2")))</f>
        <v/>
      </c>
      <c r="T458" s="0" t="str">
        <f aca="false">IF(K458="","",IF(ISNUMBER(--L458),TEXT(--L458,"000000000000.000"),LOWER(L458)))</f>
        <v/>
      </c>
      <c r="U458" s="0" t="str">
        <f aca="false">IF(K458="","",IF(ISNUMBER(--M458),TEXT(--M458,"000000000000.000"),LOWER(M458)))</f>
        <v/>
      </c>
      <c r="V458" s="0" t="str">
        <f aca="false">IF(K458="","",LOWER(N458))</f>
        <v/>
      </c>
      <c r="W458" s="0" t="str">
        <f aca="false">IF(K458="","",B458)</f>
        <v/>
      </c>
      <c r="X458" s="0" t="str">
        <f aca="false">IF(K458="","",1+SUMPRODUCT(($K$2:$K$1001&lt;&gt;"")*(($T$2:$T$1001&lt;T458)+($T$2:$T$1001=T458)*(($U$2:$U$1001&lt;U458)+($U$2:$U$1001=U458)*(($V$2:$V$1001&lt;V458)+($V$2:$V$1001=V458)*(($W$2:$W$1001&lt;W458)+($W$2:$W$1001=W458)*(ROW($K$2:$K$1001)&lt;ROW(K458))))))))</f>
        <v/>
      </c>
    </row>
    <row r="459" customFormat="false" ht="15" hidden="false" customHeight="false" outlineLevel="0" collapsed="false">
      <c r="A459" s="0" t="str">
        <f aca="false">IF(TRIM('List 1'!A459&amp;'List 1'!C459&amp;'List 1'!D459)="","",LOWER(IF(OR(Comparison!$I$9="Item # + Part # + Description",Comparison!$I$9="Item # + Part #"),TRIM('List 1'!A459),"")&amp;"|"&amp;TRIM('List 1'!C459)&amp;"|"&amp;IF(OR(Comparison!$I$9="Item # + Part # + Description",Comparison!$I$9="Part # + Description"),TRIM('List 1'!D459),"")))</f>
        <v/>
      </c>
      <c r="B459" s="0" t="str">
        <f aca="false">IF(A459="","",SUMPRODUCT(--($A$2:A459=A459)))</f>
        <v/>
      </c>
      <c r="C459" s="0" t="str">
        <f aca="false">IF(A459="","",A459&amp;"#"&amp;B459)</f>
        <v/>
      </c>
      <c r="D459" s="0" t="str">
        <f aca="false">IF(A459="","",IFERROR(--'List 1'!B459,0))</f>
        <v/>
      </c>
      <c r="F459" s="0" t="str">
        <f aca="false">IF(TRIM('List 2'!A459&amp;'List 2'!C459&amp;'List 2'!D459)="","",LOWER(IF(OR(Comparison!$I$9="Item # + Part # + Description",Comparison!$I$9="Item # + Part #"),TRIM('List 2'!A459),"")&amp;"|"&amp;TRIM('List 2'!C459)&amp;"|"&amp;IF(OR(Comparison!$I$9="Item # + Part # + Description",Comparison!$I$9="Part # + Description"),TRIM('List 2'!D459),"")))</f>
        <v/>
      </c>
      <c r="G459" s="0" t="str">
        <f aca="false">IF(F459="","",SUMPRODUCT(--($F$2:F459=F459)))</f>
        <v/>
      </c>
      <c r="H459" s="0" t="str">
        <f aca="false">IF(F459="","",F459&amp;"#"&amp;G459)</f>
        <v/>
      </c>
      <c r="I459" s="0" t="str">
        <f aca="false">IF(F459="","",IFERROR(--'List 2'!B459,0))</f>
        <v/>
      </c>
      <c r="K459" s="0" t="str">
        <f aca="false">C459</f>
        <v/>
      </c>
      <c r="L459" s="0" t="str">
        <f aca="false">IF(K459="","",IF(ISNUMBER('List 1'!A459),'List 1'!A459,TRIM('List 1'!A459)))</f>
        <v/>
      </c>
      <c r="M459" s="0" t="str">
        <f aca="false">IF(K459="","",IF(ISNUMBER('List 1'!C459),'List 1'!C459,TRIM('List 1'!C459)))</f>
        <v/>
      </c>
      <c r="N459" s="0" t="str">
        <f aca="false">IF(K459="","",IF(ISNUMBER('List 1'!D459),'List 1'!D459,TRIM('List 1'!D459)))</f>
        <v/>
      </c>
      <c r="O459" s="0" t="str">
        <f aca="false">IF(K459="","",D459)</f>
        <v/>
      </c>
      <c r="P459" s="0" t="str">
        <f aca="false">IF(K459="","",IF(R459,SUMPRODUCT(--($H$2:$H$501=K459),$I$2:$I$501),0))</f>
        <v/>
      </c>
      <c r="Q459" s="0" t="str">
        <f aca="false">IF(K459="","",TRUE())</f>
        <v/>
      </c>
      <c r="R459" s="0" t="str">
        <f aca="false">IF(K459="","",SUMPRODUCT(--($H$2:$H$501=K459))&gt;0)</f>
        <v/>
      </c>
      <c r="S459" s="0" t="str">
        <f aca="false">IF(K459="","",IF(AND(Q459,R459),IF(O459=P459,"Match","Qty Different"),IF(Q459,"Only in List 1","Only in List 2")))</f>
        <v/>
      </c>
      <c r="T459" s="0" t="str">
        <f aca="false">IF(K459="","",IF(ISNUMBER(--L459),TEXT(--L459,"000000000000.000"),LOWER(L459)))</f>
        <v/>
      </c>
      <c r="U459" s="0" t="str">
        <f aca="false">IF(K459="","",IF(ISNUMBER(--M459),TEXT(--M459,"000000000000.000"),LOWER(M459)))</f>
        <v/>
      </c>
      <c r="V459" s="0" t="str">
        <f aca="false">IF(K459="","",LOWER(N459))</f>
        <v/>
      </c>
      <c r="W459" s="0" t="str">
        <f aca="false">IF(K459="","",B459)</f>
        <v/>
      </c>
      <c r="X459" s="0" t="str">
        <f aca="false">IF(K459="","",1+SUMPRODUCT(($K$2:$K$1001&lt;&gt;"")*(($T$2:$T$1001&lt;T459)+($T$2:$T$1001=T459)*(($U$2:$U$1001&lt;U459)+($U$2:$U$1001=U459)*(($V$2:$V$1001&lt;V459)+($V$2:$V$1001=V459)*(($W$2:$W$1001&lt;W459)+($W$2:$W$1001=W459)*(ROW($K$2:$K$1001)&lt;ROW(K459))))))))</f>
        <v/>
      </c>
    </row>
    <row r="460" customFormat="false" ht="15" hidden="false" customHeight="false" outlineLevel="0" collapsed="false">
      <c r="A460" s="0" t="str">
        <f aca="false">IF(TRIM('List 1'!A460&amp;'List 1'!C460&amp;'List 1'!D460)="","",LOWER(IF(OR(Comparison!$I$9="Item # + Part # + Description",Comparison!$I$9="Item # + Part #"),TRIM('List 1'!A460),"")&amp;"|"&amp;TRIM('List 1'!C460)&amp;"|"&amp;IF(OR(Comparison!$I$9="Item # + Part # + Description",Comparison!$I$9="Part # + Description"),TRIM('List 1'!D460),"")))</f>
        <v/>
      </c>
      <c r="B460" s="0" t="str">
        <f aca="false">IF(A460="","",SUMPRODUCT(--($A$2:A460=A460)))</f>
        <v/>
      </c>
      <c r="C460" s="0" t="str">
        <f aca="false">IF(A460="","",A460&amp;"#"&amp;B460)</f>
        <v/>
      </c>
      <c r="D460" s="0" t="str">
        <f aca="false">IF(A460="","",IFERROR(--'List 1'!B460,0))</f>
        <v/>
      </c>
      <c r="F460" s="0" t="str">
        <f aca="false">IF(TRIM('List 2'!A460&amp;'List 2'!C460&amp;'List 2'!D460)="","",LOWER(IF(OR(Comparison!$I$9="Item # + Part # + Description",Comparison!$I$9="Item # + Part #"),TRIM('List 2'!A460),"")&amp;"|"&amp;TRIM('List 2'!C460)&amp;"|"&amp;IF(OR(Comparison!$I$9="Item # + Part # + Description",Comparison!$I$9="Part # + Description"),TRIM('List 2'!D460),"")))</f>
        <v/>
      </c>
      <c r="G460" s="0" t="str">
        <f aca="false">IF(F460="","",SUMPRODUCT(--($F$2:F460=F460)))</f>
        <v/>
      </c>
      <c r="H460" s="0" t="str">
        <f aca="false">IF(F460="","",F460&amp;"#"&amp;G460)</f>
        <v/>
      </c>
      <c r="I460" s="0" t="str">
        <f aca="false">IF(F460="","",IFERROR(--'List 2'!B460,0))</f>
        <v/>
      </c>
      <c r="K460" s="0" t="str">
        <f aca="false">C460</f>
        <v/>
      </c>
      <c r="L460" s="0" t="str">
        <f aca="false">IF(K460="","",IF(ISNUMBER('List 1'!A460),'List 1'!A460,TRIM('List 1'!A460)))</f>
        <v/>
      </c>
      <c r="M460" s="0" t="str">
        <f aca="false">IF(K460="","",IF(ISNUMBER('List 1'!C460),'List 1'!C460,TRIM('List 1'!C460)))</f>
        <v/>
      </c>
      <c r="N460" s="0" t="str">
        <f aca="false">IF(K460="","",IF(ISNUMBER('List 1'!D460),'List 1'!D460,TRIM('List 1'!D460)))</f>
        <v/>
      </c>
      <c r="O460" s="0" t="str">
        <f aca="false">IF(K460="","",D460)</f>
        <v/>
      </c>
      <c r="P460" s="0" t="str">
        <f aca="false">IF(K460="","",IF(R460,SUMPRODUCT(--($H$2:$H$501=K460),$I$2:$I$501),0))</f>
        <v/>
      </c>
      <c r="Q460" s="0" t="str">
        <f aca="false">IF(K460="","",TRUE())</f>
        <v/>
      </c>
      <c r="R460" s="0" t="str">
        <f aca="false">IF(K460="","",SUMPRODUCT(--($H$2:$H$501=K460))&gt;0)</f>
        <v/>
      </c>
      <c r="S460" s="0" t="str">
        <f aca="false">IF(K460="","",IF(AND(Q460,R460),IF(O460=P460,"Match","Qty Different"),IF(Q460,"Only in List 1","Only in List 2")))</f>
        <v/>
      </c>
      <c r="T460" s="0" t="str">
        <f aca="false">IF(K460="","",IF(ISNUMBER(--L460),TEXT(--L460,"000000000000.000"),LOWER(L460)))</f>
        <v/>
      </c>
      <c r="U460" s="0" t="str">
        <f aca="false">IF(K460="","",IF(ISNUMBER(--M460),TEXT(--M460,"000000000000.000"),LOWER(M460)))</f>
        <v/>
      </c>
      <c r="V460" s="0" t="str">
        <f aca="false">IF(K460="","",LOWER(N460))</f>
        <v/>
      </c>
      <c r="W460" s="0" t="str">
        <f aca="false">IF(K460="","",B460)</f>
        <v/>
      </c>
      <c r="X460" s="0" t="str">
        <f aca="false">IF(K460="","",1+SUMPRODUCT(($K$2:$K$1001&lt;&gt;"")*(($T$2:$T$1001&lt;T460)+($T$2:$T$1001=T460)*(($U$2:$U$1001&lt;U460)+($U$2:$U$1001=U460)*(($V$2:$V$1001&lt;V460)+($V$2:$V$1001=V460)*(($W$2:$W$1001&lt;W460)+($W$2:$W$1001=W460)*(ROW($K$2:$K$1001)&lt;ROW(K460))))))))</f>
        <v/>
      </c>
    </row>
    <row r="461" customFormat="false" ht="15" hidden="false" customHeight="false" outlineLevel="0" collapsed="false">
      <c r="A461" s="0" t="str">
        <f aca="false">IF(TRIM('List 1'!A461&amp;'List 1'!C461&amp;'List 1'!D461)="","",LOWER(IF(OR(Comparison!$I$9="Item # + Part # + Description",Comparison!$I$9="Item # + Part #"),TRIM('List 1'!A461),"")&amp;"|"&amp;TRIM('List 1'!C461)&amp;"|"&amp;IF(OR(Comparison!$I$9="Item # + Part # + Description",Comparison!$I$9="Part # + Description"),TRIM('List 1'!D461),"")))</f>
        <v/>
      </c>
      <c r="B461" s="0" t="str">
        <f aca="false">IF(A461="","",SUMPRODUCT(--($A$2:A461=A461)))</f>
        <v/>
      </c>
      <c r="C461" s="0" t="str">
        <f aca="false">IF(A461="","",A461&amp;"#"&amp;B461)</f>
        <v/>
      </c>
      <c r="D461" s="0" t="str">
        <f aca="false">IF(A461="","",IFERROR(--'List 1'!B461,0))</f>
        <v/>
      </c>
      <c r="F461" s="0" t="str">
        <f aca="false">IF(TRIM('List 2'!A461&amp;'List 2'!C461&amp;'List 2'!D461)="","",LOWER(IF(OR(Comparison!$I$9="Item # + Part # + Description",Comparison!$I$9="Item # + Part #"),TRIM('List 2'!A461),"")&amp;"|"&amp;TRIM('List 2'!C461)&amp;"|"&amp;IF(OR(Comparison!$I$9="Item # + Part # + Description",Comparison!$I$9="Part # + Description"),TRIM('List 2'!D461),"")))</f>
        <v/>
      </c>
      <c r="G461" s="0" t="str">
        <f aca="false">IF(F461="","",SUMPRODUCT(--($F$2:F461=F461)))</f>
        <v/>
      </c>
      <c r="H461" s="0" t="str">
        <f aca="false">IF(F461="","",F461&amp;"#"&amp;G461)</f>
        <v/>
      </c>
      <c r="I461" s="0" t="str">
        <f aca="false">IF(F461="","",IFERROR(--'List 2'!B461,0))</f>
        <v/>
      </c>
      <c r="K461" s="0" t="str">
        <f aca="false">C461</f>
        <v/>
      </c>
      <c r="L461" s="0" t="str">
        <f aca="false">IF(K461="","",IF(ISNUMBER('List 1'!A461),'List 1'!A461,TRIM('List 1'!A461)))</f>
        <v/>
      </c>
      <c r="M461" s="0" t="str">
        <f aca="false">IF(K461="","",IF(ISNUMBER('List 1'!C461),'List 1'!C461,TRIM('List 1'!C461)))</f>
        <v/>
      </c>
      <c r="N461" s="0" t="str">
        <f aca="false">IF(K461="","",IF(ISNUMBER('List 1'!D461),'List 1'!D461,TRIM('List 1'!D461)))</f>
        <v/>
      </c>
      <c r="O461" s="0" t="str">
        <f aca="false">IF(K461="","",D461)</f>
        <v/>
      </c>
      <c r="P461" s="0" t="str">
        <f aca="false">IF(K461="","",IF(R461,SUMPRODUCT(--($H$2:$H$501=K461),$I$2:$I$501),0))</f>
        <v/>
      </c>
      <c r="Q461" s="0" t="str">
        <f aca="false">IF(K461="","",TRUE())</f>
        <v/>
      </c>
      <c r="R461" s="0" t="str">
        <f aca="false">IF(K461="","",SUMPRODUCT(--($H$2:$H$501=K461))&gt;0)</f>
        <v/>
      </c>
      <c r="S461" s="0" t="str">
        <f aca="false">IF(K461="","",IF(AND(Q461,R461),IF(O461=P461,"Match","Qty Different"),IF(Q461,"Only in List 1","Only in List 2")))</f>
        <v/>
      </c>
      <c r="T461" s="0" t="str">
        <f aca="false">IF(K461="","",IF(ISNUMBER(--L461),TEXT(--L461,"000000000000.000"),LOWER(L461)))</f>
        <v/>
      </c>
      <c r="U461" s="0" t="str">
        <f aca="false">IF(K461="","",IF(ISNUMBER(--M461),TEXT(--M461,"000000000000.000"),LOWER(M461)))</f>
        <v/>
      </c>
      <c r="V461" s="0" t="str">
        <f aca="false">IF(K461="","",LOWER(N461))</f>
        <v/>
      </c>
      <c r="W461" s="0" t="str">
        <f aca="false">IF(K461="","",B461)</f>
        <v/>
      </c>
      <c r="X461" s="0" t="str">
        <f aca="false">IF(K461="","",1+SUMPRODUCT(($K$2:$K$1001&lt;&gt;"")*(($T$2:$T$1001&lt;T461)+($T$2:$T$1001=T461)*(($U$2:$U$1001&lt;U461)+($U$2:$U$1001=U461)*(($V$2:$V$1001&lt;V461)+($V$2:$V$1001=V461)*(($W$2:$W$1001&lt;W461)+($W$2:$W$1001=W461)*(ROW($K$2:$K$1001)&lt;ROW(K461))))))))</f>
        <v/>
      </c>
    </row>
    <row r="462" customFormat="false" ht="15" hidden="false" customHeight="false" outlineLevel="0" collapsed="false">
      <c r="A462" s="0" t="str">
        <f aca="false">IF(TRIM('List 1'!A462&amp;'List 1'!C462&amp;'List 1'!D462)="","",LOWER(IF(OR(Comparison!$I$9="Item # + Part # + Description",Comparison!$I$9="Item # + Part #"),TRIM('List 1'!A462),"")&amp;"|"&amp;TRIM('List 1'!C462)&amp;"|"&amp;IF(OR(Comparison!$I$9="Item # + Part # + Description",Comparison!$I$9="Part # + Description"),TRIM('List 1'!D462),"")))</f>
        <v/>
      </c>
      <c r="B462" s="0" t="str">
        <f aca="false">IF(A462="","",SUMPRODUCT(--($A$2:A462=A462)))</f>
        <v/>
      </c>
      <c r="C462" s="0" t="str">
        <f aca="false">IF(A462="","",A462&amp;"#"&amp;B462)</f>
        <v/>
      </c>
      <c r="D462" s="0" t="str">
        <f aca="false">IF(A462="","",IFERROR(--'List 1'!B462,0))</f>
        <v/>
      </c>
      <c r="F462" s="0" t="str">
        <f aca="false">IF(TRIM('List 2'!A462&amp;'List 2'!C462&amp;'List 2'!D462)="","",LOWER(IF(OR(Comparison!$I$9="Item # + Part # + Description",Comparison!$I$9="Item # + Part #"),TRIM('List 2'!A462),"")&amp;"|"&amp;TRIM('List 2'!C462)&amp;"|"&amp;IF(OR(Comparison!$I$9="Item # + Part # + Description",Comparison!$I$9="Part # + Description"),TRIM('List 2'!D462),"")))</f>
        <v/>
      </c>
      <c r="G462" s="0" t="str">
        <f aca="false">IF(F462="","",SUMPRODUCT(--($F$2:F462=F462)))</f>
        <v/>
      </c>
      <c r="H462" s="0" t="str">
        <f aca="false">IF(F462="","",F462&amp;"#"&amp;G462)</f>
        <v/>
      </c>
      <c r="I462" s="0" t="str">
        <f aca="false">IF(F462="","",IFERROR(--'List 2'!B462,0))</f>
        <v/>
      </c>
      <c r="K462" s="0" t="str">
        <f aca="false">C462</f>
        <v/>
      </c>
      <c r="L462" s="0" t="str">
        <f aca="false">IF(K462="","",IF(ISNUMBER('List 1'!A462),'List 1'!A462,TRIM('List 1'!A462)))</f>
        <v/>
      </c>
      <c r="M462" s="0" t="str">
        <f aca="false">IF(K462="","",IF(ISNUMBER('List 1'!C462),'List 1'!C462,TRIM('List 1'!C462)))</f>
        <v/>
      </c>
      <c r="N462" s="0" t="str">
        <f aca="false">IF(K462="","",IF(ISNUMBER('List 1'!D462),'List 1'!D462,TRIM('List 1'!D462)))</f>
        <v/>
      </c>
      <c r="O462" s="0" t="str">
        <f aca="false">IF(K462="","",D462)</f>
        <v/>
      </c>
      <c r="P462" s="0" t="str">
        <f aca="false">IF(K462="","",IF(R462,SUMPRODUCT(--($H$2:$H$501=K462),$I$2:$I$501),0))</f>
        <v/>
      </c>
      <c r="Q462" s="0" t="str">
        <f aca="false">IF(K462="","",TRUE())</f>
        <v/>
      </c>
      <c r="R462" s="0" t="str">
        <f aca="false">IF(K462="","",SUMPRODUCT(--($H$2:$H$501=K462))&gt;0)</f>
        <v/>
      </c>
      <c r="S462" s="0" t="str">
        <f aca="false">IF(K462="","",IF(AND(Q462,R462),IF(O462=P462,"Match","Qty Different"),IF(Q462,"Only in List 1","Only in List 2")))</f>
        <v/>
      </c>
      <c r="T462" s="0" t="str">
        <f aca="false">IF(K462="","",IF(ISNUMBER(--L462),TEXT(--L462,"000000000000.000"),LOWER(L462)))</f>
        <v/>
      </c>
      <c r="U462" s="0" t="str">
        <f aca="false">IF(K462="","",IF(ISNUMBER(--M462),TEXT(--M462,"000000000000.000"),LOWER(M462)))</f>
        <v/>
      </c>
      <c r="V462" s="0" t="str">
        <f aca="false">IF(K462="","",LOWER(N462))</f>
        <v/>
      </c>
      <c r="W462" s="0" t="str">
        <f aca="false">IF(K462="","",B462)</f>
        <v/>
      </c>
      <c r="X462" s="0" t="str">
        <f aca="false">IF(K462="","",1+SUMPRODUCT(($K$2:$K$1001&lt;&gt;"")*(($T$2:$T$1001&lt;T462)+($T$2:$T$1001=T462)*(($U$2:$U$1001&lt;U462)+($U$2:$U$1001=U462)*(($V$2:$V$1001&lt;V462)+($V$2:$V$1001=V462)*(($W$2:$W$1001&lt;W462)+($W$2:$W$1001=W462)*(ROW($K$2:$K$1001)&lt;ROW(K462))))))))</f>
        <v/>
      </c>
    </row>
    <row r="463" customFormat="false" ht="15" hidden="false" customHeight="false" outlineLevel="0" collapsed="false">
      <c r="A463" s="0" t="str">
        <f aca="false">IF(TRIM('List 1'!A463&amp;'List 1'!C463&amp;'List 1'!D463)="","",LOWER(IF(OR(Comparison!$I$9="Item # + Part # + Description",Comparison!$I$9="Item # + Part #"),TRIM('List 1'!A463),"")&amp;"|"&amp;TRIM('List 1'!C463)&amp;"|"&amp;IF(OR(Comparison!$I$9="Item # + Part # + Description",Comparison!$I$9="Part # + Description"),TRIM('List 1'!D463),"")))</f>
        <v/>
      </c>
      <c r="B463" s="0" t="str">
        <f aca="false">IF(A463="","",SUMPRODUCT(--($A$2:A463=A463)))</f>
        <v/>
      </c>
      <c r="C463" s="0" t="str">
        <f aca="false">IF(A463="","",A463&amp;"#"&amp;B463)</f>
        <v/>
      </c>
      <c r="D463" s="0" t="str">
        <f aca="false">IF(A463="","",IFERROR(--'List 1'!B463,0))</f>
        <v/>
      </c>
      <c r="F463" s="0" t="str">
        <f aca="false">IF(TRIM('List 2'!A463&amp;'List 2'!C463&amp;'List 2'!D463)="","",LOWER(IF(OR(Comparison!$I$9="Item # + Part # + Description",Comparison!$I$9="Item # + Part #"),TRIM('List 2'!A463),"")&amp;"|"&amp;TRIM('List 2'!C463)&amp;"|"&amp;IF(OR(Comparison!$I$9="Item # + Part # + Description",Comparison!$I$9="Part # + Description"),TRIM('List 2'!D463),"")))</f>
        <v/>
      </c>
      <c r="G463" s="0" t="str">
        <f aca="false">IF(F463="","",SUMPRODUCT(--($F$2:F463=F463)))</f>
        <v/>
      </c>
      <c r="H463" s="0" t="str">
        <f aca="false">IF(F463="","",F463&amp;"#"&amp;G463)</f>
        <v/>
      </c>
      <c r="I463" s="0" t="str">
        <f aca="false">IF(F463="","",IFERROR(--'List 2'!B463,0))</f>
        <v/>
      </c>
      <c r="K463" s="0" t="str">
        <f aca="false">C463</f>
        <v/>
      </c>
      <c r="L463" s="0" t="str">
        <f aca="false">IF(K463="","",IF(ISNUMBER('List 1'!A463),'List 1'!A463,TRIM('List 1'!A463)))</f>
        <v/>
      </c>
      <c r="M463" s="0" t="str">
        <f aca="false">IF(K463="","",IF(ISNUMBER('List 1'!C463),'List 1'!C463,TRIM('List 1'!C463)))</f>
        <v/>
      </c>
      <c r="N463" s="0" t="str">
        <f aca="false">IF(K463="","",IF(ISNUMBER('List 1'!D463),'List 1'!D463,TRIM('List 1'!D463)))</f>
        <v/>
      </c>
      <c r="O463" s="0" t="str">
        <f aca="false">IF(K463="","",D463)</f>
        <v/>
      </c>
      <c r="P463" s="0" t="str">
        <f aca="false">IF(K463="","",IF(R463,SUMPRODUCT(--($H$2:$H$501=K463),$I$2:$I$501),0))</f>
        <v/>
      </c>
      <c r="Q463" s="0" t="str">
        <f aca="false">IF(K463="","",TRUE())</f>
        <v/>
      </c>
      <c r="R463" s="0" t="str">
        <f aca="false">IF(K463="","",SUMPRODUCT(--($H$2:$H$501=K463))&gt;0)</f>
        <v/>
      </c>
      <c r="S463" s="0" t="str">
        <f aca="false">IF(K463="","",IF(AND(Q463,R463),IF(O463=P463,"Match","Qty Different"),IF(Q463,"Only in List 1","Only in List 2")))</f>
        <v/>
      </c>
      <c r="T463" s="0" t="str">
        <f aca="false">IF(K463="","",IF(ISNUMBER(--L463),TEXT(--L463,"000000000000.000"),LOWER(L463)))</f>
        <v/>
      </c>
      <c r="U463" s="0" t="str">
        <f aca="false">IF(K463="","",IF(ISNUMBER(--M463),TEXT(--M463,"000000000000.000"),LOWER(M463)))</f>
        <v/>
      </c>
      <c r="V463" s="0" t="str">
        <f aca="false">IF(K463="","",LOWER(N463))</f>
        <v/>
      </c>
      <c r="W463" s="0" t="str">
        <f aca="false">IF(K463="","",B463)</f>
        <v/>
      </c>
      <c r="X463" s="0" t="str">
        <f aca="false">IF(K463="","",1+SUMPRODUCT(($K$2:$K$1001&lt;&gt;"")*(($T$2:$T$1001&lt;T463)+($T$2:$T$1001=T463)*(($U$2:$U$1001&lt;U463)+($U$2:$U$1001=U463)*(($V$2:$V$1001&lt;V463)+($V$2:$V$1001=V463)*(($W$2:$W$1001&lt;W463)+($W$2:$W$1001=W463)*(ROW($K$2:$K$1001)&lt;ROW(K463))))))))</f>
        <v/>
      </c>
    </row>
    <row r="464" customFormat="false" ht="15" hidden="false" customHeight="false" outlineLevel="0" collapsed="false">
      <c r="A464" s="0" t="str">
        <f aca="false">IF(TRIM('List 1'!A464&amp;'List 1'!C464&amp;'List 1'!D464)="","",LOWER(IF(OR(Comparison!$I$9="Item # + Part # + Description",Comparison!$I$9="Item # + Part #"),TRIM('List 1'!A464),"")&amp;"|"&amp;TRIM('List 1'!C464)&amp;"|"&amp;IF(OR(Comparison!$I$9="Item # + Part # + Description",Comparison!$I$9="Part # + Description"),TRIM('List 1'!D464),"")))</f>
        <v/>
      </c>
      <c r="B464" s="0" t="str">
        <f aca="false">IF(A464="","",SUMPRODUCT(--($A$2:A464=A464)))</f>
        <v/>
      </c>
      <c r="C464" s="0" t="str">
        <f aca="false">IF(A464="","",A464&amp;"#"&amp;B464)</f>
        <v/>
      </c>
      <c r="D464" s="0" t="str">
        <f aca="false">IF(A464="","",IFERROR(--'List 1'!B464,0))</f>
        <v/>
      </c>
      <c r="F464" s="0" t="str">
        <f aca="false">IF(TRIM('List 2'!A464&amp;'List 2'!C464&amp;'List 2'!D464)="","",LOWER(IF(OR(Comparison!$I$9="Item # + Part # + Description",Comparison!$I$9="Item # + Part #"),TRIM('List 2'!A464),"")&amp;"|"&amp;TRIM('List 2'!C464)&amp;"|"&amp;IF(OR(Comparison!$I$9="Item # + Part # + Description",Comparison!$I$9="Part # + Description"),TRIM('List 2'!D464),"")))</f>
        <v/>
      </c>
      <c r="G464" s="0" t="str">
        <f aca="false">IF(F464="","",SUMPRODUCT(--($F$2:F464=F464)))</f>
        <v/>
      </c>
      <c r="H464" s="0" t="str">
        <f aca="false">IF(F464="","",F464&amp;"#"&amp;G464)</f>
        <v/>
      </c>
      <c r="I464" s="0" t="str">
        <f aca="false">IF(F464="","",IFERROR(--'List 2'!B464,0))</f>
        <v/>
      </c>
      <c r="K464" s="0" t="str">
        <f aca="false">C464</f>
        <v/>
      </c>
      <c r="L464" s="0" t="str">
        <f aca="false">IF(K464="","",IF(ISNUMBER('List 1'!A464),'List 1'!A464,TRIM('List 1'!A464)))</f>
        <v/>
      </c>
      <c r="M464" s="0" t="str">
        <f aca="false">IF(K464="","",IF(ISNUMBER('List 1'!C464),'List 1'!C464,TRIM('List 1'!C464)))</f>
        <v/>
      </c>
      <c r="N464" s="0" t="str">
        <f aca="false">IF(K464="","",IF(ISNUMBER('List 1'!D464),'List 1'!D464,TRIM('List 1'!D464)))</f>
        <v/>
      </c>
      <c r="O464" s="0" t="str">
        <f aca="false">IF(K464="","",D464)</f>
        <v/>
      </c>
      <c r="P464" s="0" t="str">
        <f aca="false">IF(K464="","",IF(R464,SUMPRODUCT(--($H$2:$H$501=K464),$I$2:$I$501),0))</f>
        <v/>
      </c>
      <c r="Q464" s="0" t="str">
        <f aca="false">IF(K464="","",TRUE())</f>
        <v/>
      </c>
      <c r="R464" s="0" t="str">
        <f aca="false">IF(K464="","",SUMPRODUCT(--($H$2:$H$501=K464))&gt;0)</f>
        <v/>
      </c>
      <c r="S464" s="0" t="str">
        <f aca="false">IF(K464="","",IF(AND(Q464,R464),IF(O464=P464,"Match","Qty Different"),IF(Q464,"Only in List 1","Only in List 2")))</f>
        <v/>
      </c>
      <c r="T464" s="0" t="str">
        <f aca="false">IF(K464="","",IF(ISNUMBER(--L464),TEXT(--L464,"000000000000.000"),LOWER(L464)))</f>
        <v/>
      </c>
      <c r="U464" s="0" t="str">
        <f aca="false">IF(K464="","",IF(ISNUMBER(--M464),TEXT(--M464,"000000000000.000"),LOWER(M464)))</f>
        <v/>
      </c>
      <c r="V464" s="0" t="str">
        <f aca="false">IF(K464="","",LOWER(N464))</f>
        <v/>
      </c>
      <c r="W464" s="0" t="str">
        <f aca="false">IF(K464="","",B464)</f>
        <v/>
      </c>
      <c r="X464" s="0" t="str">
        <f aca="false">IF(K464="","",1+SUMPRODUCT(($K$2:$K$1001&lt;&gt;"")*(($T$2:$T$1001&lt;T464)+($T$2:$T$1001=T464)*(($U$2:$U$1001&lt;U464)+($U$2:$U$1001=U464)*(($V$2:$V$1001&lt;V464)+($V$2:$V$1001=V464)*(($W$2:$W$1001&lt;W464)+($W$2:$W$1001=W464)*(ROW($K$2:$K$1001)&lt;ROW(K464))))))))</f>
        <v/>
      </c>
    </row>
    <row r="465" customFormat="false" ht="15" hidden="false" customHeight="false" outlineLevel="0" collapsed="false">
      <c r="A465" s="0" t="str">
        <f aca="false">IF(TRIM('List 1'!A465&amp;'List 1'!C465&amp;'List 1'!D465)="","",LOWER(IF(OR(Comparison!$I$9="Item # + Part # + Description",Comparison!$I$9="Item # + Part #"),TRIM('List 1'!A465),"")&amp;"|"&amp;TRIM('List 1'!C465)&amp;"|"&amp;IF(OR(Comparison!$I$9="Item # + Part # + Description",Comparison!$I$9="Part # + Description"),TRIM('List 1'!D465),"")))</f>
        <v/>
      </c>
      <c r="B465" s="0" t="str">
        <f aca="false">IF(A465="","",SUMPRODUCT(--($A$2:A465=A465)))</f>
        <v/>
      </c>
      <c r="C465" s="0" t="str">
        <f aca="false">IF(A465="","",A465&amp;"#"&amp;B465)</f>
        <v/>
      </c>
      <c r="D465" s="0" t="str">
        <f aca="false">IF(A465="","",IFERROR(--'List 1'!B465,0))</f>
        <v/>
      </c>
      <c r="F465" s="0" t="str">
        <f aca="false">IF(TRIM('List 2'!A465&amp;'List 2'!C465&amp;'List 2'!D465)="","",LOWER(IF(OR(Comparison!$I$9="Item # + Part # + Description",Comparison!$I$9="Item # + Part #"),TRIM('List 2'!A465),"")&amp;"|"&amp;TRIM('List 2'!C465)&amp;"|"&amp;IF(OR(Comparison!$I$9="Item # + Part # + Description",Comparison!$I$9="Part # + Description"),TRIM('List 2'!D465),"")))</f>
        <v/>
      </c>
      <c r="G465" s="0" t="str">
        <f aca="false">IF(F465="","",SUMPRODUCT(--($F$2:F465=F465)))</f>
        <v/>
      </c>
      <c r="H465" s="0" t="str">
        <f aca="false">IF(F465="","",F465&amp;"#"&amp;G465)</f>
        <v/>
      </c>
      <c r="I465" s="0" t="str">
        <f aca="false">IF(F465="","",IFERROR(--'List 2'!B465,0))</f>
        <v/>
      </c>
      <c r="K465" s="0" t="str">
        <f aca="false">C465</f>
        <v/>
      </c>
      <c r="L465" s="0" t="str">
        <f aca="false">IF(K465="","",IF(ISNUMBER('List 1'!A465),'List 1'!A465,TRIM('List 1'!A465)))</f>
        <v/>
      </c>
      <c r="M465" s="0" t="str">
        <f aca="false">IF(K465="","",IF(ISNUMBER('List 1'!C465),'List 1'!C465,TRIM('List 1'!C465)))</f>
        <v/>
      </c>
      <c r="N465" s="0" t="str">
        <f aca="false">IF(K465="","",IF(ISNUMBER('List 1'!D465),'List 1'!D465,TRIM('List 1'!D465)))</f>
        <v/>
      </c>
      <c r="O465" s="0" t="str">
        <f aca="false">IF(K465="","",D465)</f>
        <v/>
      </c>
      <c r="P465" s="0" t="str">
        <f aca="false">IF(K465="","",IF(R465,SUMPRODUCT(--($H$2:$H$501=K465),$I$2:$I$501),0))</f>
        <v/>
      </c>
      <c r="Q465" s="0" t="str">
        <f aca="false">IF(K465="","",TRUE())</f>
        <v/>
      </c>
      <c r="R465" s="0" t="str">
        <f aca="false">IF(K465="","",SUMPRODUCT(--($H$2:$H$501=K465))&gt;0)</f>
        <v/>
      </c>
      <c r="S465" s="0" t="str">
        <f aca="false">IF(K465="","",IF(AND(Q465,R465),IF(O465=P465,"Match","Qty Different"),IF(Q465,"Only in List 1","Only in List 2")))</f>
        <v/>
      </c>
      <c r="T465" s="0" t="str">
        <f aca="false">IF(K465="","",IF(ISNUMBER(--L465),TEXT(--L465,"000000000000.000"),LOWER(L465)))</f>
        <v/>
      </c>
      <c r="U465" s="0" t="str">
        <f aca="false">IF(K465="","",IF(ISNUMBER(--M465),TEXT(--M465,"000000000000.000"),LOWER(M465)))</f>
        <v/>
      </c>
      <c r="V465" s="0" t="str">
        <f aca="false">IF(K465="","",LOWER(N465))</f>
        <v/>
      </c>
      <c r="W465" s="0" t="str">
        <f aca="false">IF(K465="","",B465)</f>
        <v/>
      </c>
      <c r="X465" s="0" t="str">
        <f aca="false">IF(K465="","",1+SUMPRODUCT(($K$2:$K$1001&lt;&gt;"")*(($T$2:$T$1001&lt;T465)+($T$2:$T$1001=T465)*(($U$2:$U$1001&lt;U465)+($U$2:$U$1001=U465)*(($V$2:$V$1001&lt;V465)+($V$2:$V$1001=V465)*(($W$2:$W$1001&lt;W465)+($W$2:$W$1001=W465)*(ROW($K$2:$K$1001)&lt;ROW(K465))))))))</f>
        <v/>
      </c>
    </row>
    <row r="466" customFormat="false" ht="15" hidden="false" customHeight="false" outlineLevel="0" collapsed="false">
      <c r="A466" s="0" t="str">
        <f aca="false">IF(TRIM('List 1'!A466&amp;'List 1'!C466&amp;'List 1'!D466)="","",LOWER(IF(OR(Comparison!$I$9="Item # + Part # + Description",Comparison!$I$9="Item # + Part #"),TRIM('List 1'!A466),"")&amp;"|"&amp;TRIM('List 1'!C466)&amp;"|"&amp;IF(OR(Comparison!$I$9="Item # + Part # + Description",Comparison!$I$9="Part # + Description"),TRIM('List 1'!D466),"")))</f>
        <v/>
      </c>
      <c r="B466" s="0" t="str">
        <f aca="false">IF(A466="","",SUMPRODUCT(--($A$2:A466=A466)))</f>
        <v/>
      </c>
      <c r="C466" s="0" t="str">
        <f aca="false">IF(A466="","",A466&amp;"#"&amp;B466)</f>
        <v/>
      </c>
      <c r="D466" s="0" t="str">
        <f aca="false">IF(A466="","",IFERROR(--'List 1'!B466,0))</f>
        <v/>
      </c>
      <c r="F466" s="0" t="str">
        <f aca="false">IF(TRIM('List 2'!A466&amp;'List 2'!C466&amp;'List 2'!D466)="","",LOWER(IF(OR(Comparison!$I$9="Item # + Part # + Description",Comparison!$I$9="Item # + Part #"),TRIM('List 2'!A466),"")&amp;"|"&amp;TRIM('List 2'!C466)&amp;"|"&amp;IF(OR(Comparison!$I$9="Item # + Part # + Description",Comparison!$I$9="Part # + Description"),TRIM('List 2'!D466),"")))</f>
        <v/>
      </c>
      <c r="G466" s="0" t="str">
        <f aca="false">IF(F466="","",SUMPRODUCT(--($F$2:F466=F466)))</f>
        <v/>
      </c>
      <c r="H466" s="0" t="str">
        <f aca="false">IF(F466="","",F466&amp;"#"&amp;G466)</f>
        <v/>
      </c>
      <c r="I466" s="0" t="str">
        <f aca="false">IF(F466="","",IFERROR(--'List 2'!B466,0))</f>
        <v/>
      </c>
      <c r="K466" s="0" t="str">
        <f aca="false">C466</f>
        <v/>
      </c>
      <c r="L466" s="0" t="str">
        <f aca="false">IF(K466="","",IF(ISNUMBER('List 1'!A466),'List 1'!A466,TRIM('List 1'!A466)))</f>
        <v/>
      </c>
      <c r="M466" s="0" t="str">
        <f aca="false">IF(K466="","",IF(ISNUMBER('List 1'!C466),'List 1'!C466,TRIM('List 1'!C466)))</f>
        <v/>
      </c>
      <c r="N466" s="0" t="str">
        <f aca="false">IF(K466="","",IF(ISNUMBER('List 1'!D466),'List 1'!D466,TRIM('List 1'!D466)))</f>
        <v/>
      </c>
      <c r="O466" s="0" t="str">
        <f aca="false">IF(K466="","",D466)</f>
        <v/>
      </c>
      <c r="P466" s="0" t="str">
        <f aca="false">IF(K466="","",IF(R466,SUMPRODUCT(--($H$2:$H$501=K466),$I$2:$I$501),0))</f>
        <v/>
      </c>
      <c r="Q466" s="0" t="str">
        <f aca="false">IF(K466="","",TRUE())</f>
        <v/>
      </c>
      <c r="R466" s="0" t="str">
        <f aca="false">IF(K466="","",SUMPRODUCT(--($H$2:$H$501=K466))&gt;0)</f>
        <v/>
      </c>
      <c r="S466" s="0" t="str">
        <f aca="false">IF(K466="","",IF(AND(Q466,R466),IF(O466=P466,"Match","Qty Different"),IF(Q466,"Only in List 1","Only in List 2")))</f>
        <v/>
      </c>
      <c r="T466" s="0" t="str">
        <f aca="false">IF(K466="","",IF(ISNUMBER(--L466),TEXT(--L466,"000000000000.000"),LOWER(L466)))</f>
        <v/>
      </c>
      <c r="U466" s="0" t="str">
        <f aca="false">IF(K466="","",IF(ISNUMBER(--M466),TEXT(--M466,"000000000000.000"),LOWER(M466)))</f>
        <v/>
      </c>
      <c r="V466" s="0" t="str">
        <f aca="false">IF(K466="","",LOWER(N466))</f>
        <v/>
      </c>
      <c r="W466" s="0" t="str">
        <f aca="false">IF(K466="","",B466)</f>
        <v/>
      </c>
      <c r="X466" s="0" t="str">
        <f aca="false">IF(K466="","",1+SUMPRODUCT(($K$2:$K$1001&lt;&gt;"")*(($T$2:$T$1001&lt;T466)+($T$2:$T$1001=T466)*(($U$2:$U$1001&lt;U466)+($U$2:$U$1001=U466)*(($V$2:$V$1001&lt;V466)+($V$2:$V$1001=V466)*(($W$2:$W$1001&lt;W466)+($W$2:$W$1001=W466)*(ROW($K$2:$K$1001)&lt;ROW(K466))))))))</f>
        <v/>
      </c>
    </row>
    <row r="467" customFormat="false" ht="15" hidden="false" customHeight="false" outlineLevel="0" collapsed="false">
      <c r="A467" s="0" t="str">
        <f aca="false">IF(TRIM('List 1'!A467&amp;'List 1'!C467&amp;'List 1'!D467)="","",LOWER(IF(OR(Comparison!$I$9="Item # + Part # + Description",Comparison!$I$9="Item # + Part #"),TRIM('List 1'!A467),"")&amp;"|"&amp;TRIM('List 1'!C467)&amp;"|"&amp;IF(OR(Comparison!$I$9="Item # + Part # + Description",Comparison!$I$9="Part # + Description"),TRIM('List 1'!D467),"")))</f>
        <v/>
      </c>
      <c r="B467" s="0" t="str">
        <f aca="false">IF(A467="","",SUMPRODUCT(--($A$2:A467=A467)))</f>
        <v/>
      </c>
      <c r="C467" s="0" t="str">
        <f aca="false">IF(A467="","",A467&amp;"#"&amp;B467)</f>
        <v/>
      </c>
      <c r="D467" s="0" t="str">
        <f aca="false">IF(A467="","",IFERROR(--'List 1'!B467,0))</f>
        <v/>
      </c>
      <c r="F467" s="0" t="str">
        <f aca="false">IF(TRIM('List 2'!A467&amp;'List 2'!C467&amp;'List 2'!D467)="","",LOWER(IF(OR(Comparison!$I$9="Item # + Part # + Description",Comparison!$I$9="Item # + Part #"),TRIM('List 2'!A467),"")&amp;"|"&amp;TRIM('List 2'!C467)&amp;"|"&amp;IF(OR(Comparison!$I$9="Item # + Part # + Description",Comparison!$I$9="Part # + Description"),TRIM('List 2'!D467),"")))</f>
        <v/>
      </c>
      <c r="G467" s="0" t="str">
        <f aca="false">IF(F467="","",SUMPRODUCT(--($F$2:F467=F467)))</f>
        <v/>
      </c>
      <c r="H467" s="0" t="str">
        <f aca="false">IF(F467="","",F467&amp;"#"&amp;G467)</f>
        <v/>
      </c>
      <c r="I467" s="0" t="str">
        <f aca="false">IF(F467="","",IFERROR(--'List 2'!B467,0))</f>
        <v/>
      </c>
      <c r="K467" s="0" t="str">
        <f aca="false">C467</f>
        <v/>
      </c>
      <c r="L467" s="0" t="str">
        <f aca="false">IF(K467="","",IF(ISNUMBER('List 1'!A467),'List 1'!A467,TRIM('List 1'!A467)))</f>
        <v/>
      </c>
      <c r="M467" s="0" t="str">
        <f aca="false">IF(K467="","",IF(ISNUMBER('List 1'!C467),'List 1'!C467,TRIM('List 1'!C467)))</f>
        <v/>
      </c>
      <c r="N467" s="0" t="str">
        <f aca="false">IF(K467="","",IF(ISNUMBER('List 1'!D467),'List 1'!D467,TRIM('List 1'!D467)))</f>
        <v/>
      </c>
      <c r="O467" s="0" t="str">
        <f aca="false">IF(K467="","",D467)</f>
        <v/>
      </c>
      <c r="P467" s="0" t="str">
        <f aca="false">IF(K467="","",IF(R467,SUMPRODUCT(--($H$2:$H$501=K467),$I$2:$I$501),0))</f>
        <v/>
      </c>
      <c r="Q467" s="0" t="str">
        <f aca="false">IF(K467="","",TRUE())</f>
        <v/>
      </c>
      <c r="R467" s="0" t="str">
        <f aca="false">IF(K467="","",SUMPRODUCT(--($H$2:$H$501=K467))&gt;0)</f>
        <v/>
      </c>
      <c r="S467" s="0" t="str">
        <f aca="false">IF(K467="","",IF(AND(Q467,R467),IF(O467=P467,"Match","Qty Different"),IF(Q467,"Only in List 1","Only in List 2")))</f>
        <v/>
      </c>
      <c r="T467" s="0" t="str">
        <f aca="false">IF(K467="","",IF(ISNUMBER(--L467),TEXT(--L467,"000000000000.000"),LOWER(L467)))</f>
        <v/>
      </c>
      <c r="U467" s="0" t="str">
        <f aca="false">IF(K467="","",IF(ISNUMBER(--M467),TEXT(--M467,"000000000000.000"),LOWER(M467)))</f>
        <v/>
      </c>
      <c r="V467" s="0" t="str">
        <f aca="false">IF(K467="","",LOWER(N467))</f>
        <v/>
      </c>
      <c r="W467" s="0" t="str">
        <f aca="false">IF(K467="","",B467)</f>
        <v/>
      </c>
      <c r="X467" s="0" t="str">
        <f aca="false">IF(K467="","",1+SUMPRODUCT(($K$2:$K$1001&lt;&gt;"")*(($T$2:$T$1001&lt;T467)+($T$2:$T$1001=T467)*(($U$2:$U$1001&lt;U467)+($U$2:$U$1001=U467)*(($V$2:$V$1001&lt;V467)+($V$2:$V$1001=V467)*(($W$2:$W$1001&lt;W467)+($W$2:$W$1001=W467)*(ROW($K$2:$K$1001)&lt;ROW(K467))))))))</f>
        <v/>
      </c>
    </row>
    <row r="468" customFormat="false" ht="15" hidden="false" customHeight="false" outlineLevel="0" collapsed="false">
      <c r="A468" s="0" t="str">
        <f aca="false">IF(TRIM('List 1'!A468&amp;'List 1'!C468&amp;'List 1'!D468)="","",LOWER(IF(OR(Comparison!$I$9="Item # + Part # + Description",Comparison!$I$9="Item # + Part #"),TRIM('List 1'!A468),"")&amp;"|"&amp;TRIM('List 1'!C468)&amp;"|"&amp;IF(OR(Comparison!$I$9="Item # + Part # + Description",Comparison!$I$9="Part # + Description"),TRIM('List 1'!D468),"")))</f>
        <v/>
      </c>
      <c r="B468" s="0" t="str">
        <f aca="false">IF(A468="","",SUMPRODUCT(--($A$2:A468=A468)))</f>
        <v/>
      </c>
      <c r="C468" s="0" t="str">
        <f aca="false">IF(A468="","",A468&amp;"#"&amp;B468)</f>
        <v/>
      </c>
      <c r="D468" s="0" t="str">
        <f aca="false">IF(A468="","",IFERROR(--'List 1'!B468,0))</f>
        <v/>
      </c>
      <c r="F468" s="0" t="str">
        <f aca="false">IF(TRIM('List 2'!A468&amp;'List 2'!C468&amp;'List 2'!D468)="","",LOWER(IF(OR(Comparison!$I$9="Item # + Part # + Description",Comparison!$I$9="Item # + Part #"),TRIM('List 2'!A468),"")&amp;"|"&amp;TRIM('List 2'!C468)&amp;"|"&amp;IF(OR(Comparison!$I$9="Item # + Part # + Description",Comparison!$I$9="Part # + Description"),TRIM('List 2'!D468),"")))</f>
        <v/>
      </c>
      <c r="G468" s="0" t="str">
        <f aca="false">IF(F468="","",SUMPRODUCT(--($F$2:F468=F468)))</f>
        <v/>
      </c>
      <c r="H468" s="0" t="str">
        <f aca="false">IF(F468="","",F468&amp;"#"&amp;G468)</f>
        <v/>
      </c>
      <c r="I468" s="0" t="str">
        <f aca="false">IF(F468="","",IFERROR(--'List 2'!B468,0))</f>
        <v/>
      </c>
      <c r="K468" s="0" t="str">
        <f aca="false">C468</f>
        <v/>
      </c>
      <c r="L468" s="0" t="str">
        <f aca="false">IF(K468="","",IF(ISNUMBER('List 1'!A468),'List 1'!A468,TRIM('List 1'!A468)))</f>
        <v/>
      </c>
      <c r="M468" s="0" t="str">
        <f aca="false">IF(K468="","",IF(ISNUMBER('List 1'!C468),'List 1'!C468,TRIM('List 1'!C468)))</f>
        <v/>
      </c>
      <c r="N468" s="0" t="str">
        <f aca="false">IF(K468="","",IF(ISNUMBER('List 1'!D468),'List 1'!D468,TRIM('List 1'!D468)))</f>
        <v/>
      </c>
      <c r="O468" s="0" t="str">
        <f aca="false">IF(K468="","",D468)</f>
        <v/>
      </c>
      <c r="P468" s="0" t="str">
        <f aca="false">IF(K468="","",IF(R468,SUMPRODUCT(--($H$2:$H$501=K468),$I$2:$I$501),0))</f>
        <v/>
      </c>
      <c r="Q468" s="0" t="str">
        <f aca="false">IF(K468="","",TRUE())</f>
        <v/>
      </c>
      <c r="R468" s="0" t="str">
        <f aca="false">IF(K468="","",SUMPRODUCT(--($H$2:$H$501=K468))&gt;0)</f>
        <v/>
      </c>
      <c r="S468" s="0" t="str">
        <f aca="false">IF(K468="","",IF(AND(Q468,R468),IF(O468=P468,"Match","Qty Different"),IF(Q468,"Only in List 1","Only in List 2")))</f>
        <v/>
      </c>
      <c r="T468" s="0" t="str">
        <f aca="false">IF(K468="","",IF(ISNUMBER(--L468),TEXT(--L468,"000000000000.000"),LOWER(L468)))</f>
        <v/>
      </c>
      <c r="U468" s="0" t="str">
        <f aca="false">IF(K468="","",IF(ISNUMBER(--M468),TEXT(--M468,"000000000000.000"),LOWER(M468)))</f>
        <v/>
      </c>
      <c r="V468" s="0" t="str">
        <f aca="false">IF(K468="","",LOWER(N468))</f>
        <v/>
      </c>
      <c r="W468" s="0" t="str">
        <f aca="false">IF(K468="","",B468)</f>
        <v/>
      </c>
      <c r="X468" s="0" t="str">
        <f aca="false">IF(K468="","",1+SUMPRODUCT(($K$2:$K$1001&lt;&gt;"")*(($T$2:$T$1001&lt;T468)+($T$2:$T$1001=T468)*(($U$2:$U$1001&lt;U468)+($U$2:$U$1001=U468)*(($V$2:$V$1001&lt;V468)+($V$2:$V$1001=V468)*(($W$2:$W$1001&lt;W468)+($W$2:$W$1001=W468)*(ROW($K$2:$K$1001)&lt;ROW(K468))))))))</f>
        <v/>
      </c>
    </row>
    <row r="469" customFormat="false" ht="15" hidden="false" customHeight="false" outlineLevel="0" collapsed="false">
      <c r="A469" s="0" t="str">
        <f aca="false">IF(TRIM('List 1'!A469&amp;'List 1'!C469&amp;'List 1'!D469)="","",LOWER(IF(OR(Comparison!$I$9="Item # + Part # + Description",Comparison!$I$9="Item # + Part #"),TRIM('List 1'!A469),"")&amp;"|"&amp;TRIM('List 1'!C469)&amp;"|"&amp;IF(OR(Comparison!$I$9="Item # + Part # + Description",Comparison!$I$9="Part # + Description"),TRIM('List 1'!D469),"")))</f>
        <v/>
      </c>
      <c r="B469" s="0" t="str">
        <f aca="false">IF(A469="","",SUMPRODUCT(--($A$2:A469=A469)))</f>
        <v/>
      </c>
      <c r="C469" s="0" t="str">
        <f aca="false">IF(A469="","",A469&amp;"#"&amp;B469)</f>
        <v/>
      </c>
      <c r="D469" s="0" t="str">
        <f aca="false">IF(A469="","",IFERROR(--'List 1'!B469,0))</f>
        <v/>
      </c>
      <c r="F469" s="0" t="str">
        <f aca="false">IF(TRIM('List 2'!A469&amp;'List 2'!C469&amp;'List 2'!D469)="","",LOWER(IF(OR(Comparison!$I$9="Item # + Part # + Description",Comparison!$I$9="Item # + Part #"),TRIM('List 2'!A469),"")&amp;"|"&amp;TRIM('List 2'!C469)&amp;"|"&amp;IF(OR(Comparison!$I$9="Item # + Part # + Description",Comparison!$I$9="Part # + Description"),TRIM('List 2'!D469),"")))</f>
        <v/>
      </c>
      <c r="G469" s="0" t="str">
        <f aca="false">IF(F469="","",SUMPRODUCT(--($F$2:F469=F469)))</f>
        <v/>
      </c>
      <c r="H469" s="0" t="str">
        <f aca="false">IF(F469="","",F469&amp;"#"&amp;G469)</f>
        <v/>
      </c>
      <c r="I469" s="0" t="str">
        <f aca="false">IF(F469="","",IFERROR(--'List 2'!B469,0))</f>
        <v/>
      </c>
      <c r="K469" s="0" t="str">
        <f aca="false">C469</f>
        <v/>
      </c>
      <c r="L469" s="0" t="str">
        <f aca="false">IF(K469="","",IF(ISNUMBER('List 1'!A469),'List 1'!A469,TRIM('List 1'!A469)))</f>
        <v/>
      </c>
      <c r="M469" s="0" t="str">
        <f aca="false">IF(K469="","",IF(ISNUMBER('List 1'!C469),'List 1'!C469,TRIM('List 1'!C469)))</f>
        <v/>
      </c>
      <c r="N469" s="0" t="str">
        <f aca="false">IF(K469="","",IF(ISNUMBER('List 1'!D469),'List 1'!D469,TRIM('List 1'!D469)))</f>
        <v/>
      </c>
      <c r="O469" s="0" t="str">
        <f aca="false">IF(K469="","",D469)</f>
        <v/>
      </c>
      <c r="P469" s="0" t="str">
        <f aca="false">IF(K469="","",IF(R469,SUMPRODUCT(--($H$2:$H$501=K469),$I$2:$I$501),0))</f>
        <v/>
      </c>
      <c r="Q469" s="0" t="str">
        <f aca="false">IF(K469="","",TRUE())</f>
        <v/>
      </c>
      <c r="R469" s="0" t="str">
        <f aca="false">IF(K469="","",SUMPRODUCT(--($H$2:$H$501=K469))&gt;0)</f>
        <v/>
      </c>
      <c r="S469" s="0" t="str">
        <f aca="false">IF(K469="","",IF(AND(Q469,R469),IF(O469=P469,"Match","Qty Different"),IF(Q469,"Only in List 1","Only in List 2")))</f>
        <v/>
      </c>
      <c r="T469" s="0" t="str">
        <f aca="false">IF(K469="","",IF(ISNUMBER(--L469),TEXT(--L469,"000000000000.000"),LOWER(L469)))</f>
        <v/>
      </c>
      <c r="U469" s="0" t="str">
        <f aca="false">IF(K469="","",IF(ISNUMBER(--M469),TEXT(--M469,"000000000000.000"),LOWER(M469)))</f>
        <v/>
      </c>
      <c r="V469" s="0" t="str">
        <f aca="false">IF(K469="","",LOWER(N469))</f>
        <v/>
      </c>
      <c r="W469" s="0" t="str">
        <f aca="false">IF(K469="","",B469)</f>
        <v/>
      </c>
      <c r="X469" s="0" t="str">
        <f aca="false">IF(K469="","",1+SUMPRODUCT(($K$2:$K$1001&lt;&gt;"")*(($T$2:$T$1001&lt;T469)+($T$2:$T$1001=T469)*(($U$2:$U$1001&lt;U469)+($U$2:$U$1001=U469)*(($V$2:$V$1001&lt;V469)+($V$2:$V$1001=V469)*(($W$2:$W$1001&lt;W469)+($W$2:$W$1001=W469)*(ROW($K$2:$K$1001)&lt;ROW(K469))))))))</f>
        <v/>
      </c>
    </row>
    <row r="470" customFormat="false" ht="15" hidden="false" customHeight="false" outlineLevel="0" collapsed="false">
      <c r="A470" s="0" t="str">
        <f aca="false">IF(TRIM('List 1'!A470&amp;'List 1'!C470&amp;'List 1'!D470)="","",LOWER(IF(OR(Comparison!$I$9="Item # + Part # + Description",Comparison!$I$9="Item # + Part #"),TRIM('List 1'!A470),"")&amp;"|"&amp;TRIM('List 1'!C470)&amp;"|"&amp;IF(OR(Comparison!$I$9="Item # + Part # + Description",Comparison!$I$9="Part # + Description"),TRIM('List 1'!D470),"")))</f>
        <v/>
      </c>
      <c r="B470" s="0" t="str">
        <f aca="false">IF(A470="","",SUMPRODUCT(--($A$2:A470=A470)))</f>
        <v/>
      </c>
      <c r="C470" s="0" t="str">
        <f aca="false">IF(A470="","",A470&amp;"#"&amp;B470)</f>
        <v/>
      </c>
      <c r="D470" s="0" t="str">
        <f aca="false">IF(A470="","",IFERROR(--'List 1'!B470,0))</f>
        <v/>
      </c>
      <c r="F470" s="0" t="str">
        <f aca="false">IF(TRIM('List 2'!A470&amp;'List 2'!C470&amp;'List 2'!D470)="","",LOWER(IF(OR(Comparison!$I$9="Item # + Part # + Description",Comparison!$I$9="Item # + Part #"),TRIM('List 2'!A470),"")&amp;"|"&amp;TRIM('List 2'!C470)&amp;"|"&amp;IF(OR(Comparison!$I$9="Item # + Part # + Description",Comparison!$I$9="Part # + Description"),TRIM('List 2'!D470),"")))</f>
        <v/>
      </c>
      <c r="G470" s="0" t="str">
        <f aca="false">IF(F470="","",SUMPRODUCT(--($F$2:F470=F470)))</f>
        <v/>
      </c>
      <c r="H470" s="0" t="str">
        <f aca="false">IF(F470="","",F470&amp;"#"&amp;G470)</f>
        <v/>
      </c>
      <c r="I470" s="0" t="str">
        <f aca="false">IF(F470="","",IFERROR(--'List 2'!B470,0))</f>
        <v/>
      </c>
      <c r="K470" s="0" t="str">
        <f aca="false">C470</f>
        <v/>
      </c>
      <c r="L470" s="0" t="str">
        <f aca="false">IF(K470="","",IF(ISNUMBER('List 1'!A470),'List 1'!A470,TRIM('List 1'!A470)))</f>
        <v/>
      </c>
      <c r="M470" s="0" t="str">
        <f aca="false">IF(K470="","",IF(ISNUMBER('List 1'!C470),'List 1'!C470,TRIM('List 1'!C470)))</f>
        <v/>
      </c>
      <c r="N470" s="0" t="str">
        <f aca="false">IF(K470="","",IF(ISNUMBER('List 1'!D470),'List 1'!D470,TRIM('List 1'!D470)))</f>
        <v/>
      </c>
      <c r="O470" s="0" t="str">
        <f aca="false">IF(K470="","",D470)</f>
        <v/>
      </c>
      <c r="P470" s="0" t="str">
        <f aca="false">IF(K470="","",IF(R470,SUMPRODUCT(--($H$2:$H$501=K470),$I$2:$I$501),0))</f>
        <v/>
      </c>
      <c r="Q470" s="0" t="str">
        <f aca="false">IF(K470="","",TRUE())</f>
        <v/>
      </c>
      <c r="R470" s="0" t="str">
        <f aca="false">IF(K470="","",SUMPRODUCT(--($H$2:$H$501=K470))&gt;0)</f>
        <v/>
      </c>
      <c r="S470" s="0" t="str">
        <f aca="false">IF(K470="","",IF(AND(Q470,R470),IF(O470=P470,"Match","Qty Different"),IF(Q470,"Only in List 1","Only in List 2")))</f>
        <v/>
      </c>
      <c r="T470" s="0" t="str">
        <f aca="false">IF(K470="","",IF(ISNUMBER(--L470),TEXT(--L470,"000000000000.000"),LOWER(L470)))</f>
        <v/>
      </c>
      <c r="U470" s="0" t="str">
        <f aca="false">IF(K470="","",IF(ISNUMBER(--M470),TEXT(--M470,"000000000000.000"),LOWER(M470)))</f>
        <v/>
      </c>
      <c r="V470" s="0" t="str">
        <f aca="false">IF(K470="","",LOWER(N470))</f>
        <v/>
      </c>
      <c r="W470" s="0" t="str">
        <f aca="false">IF(K470="","",B470)</f>
        <v/>
      </c>
      <c r="X470" s="0" t="str">
        <f aca="false">IF(K470="","",1+SUMPRODUCT(($K$2:$K$1001&lt;&gt;"")*(($T$2:$T$1001&lt;T470)+($T$2:$T$1001=T470)*(($U$2:$U$1001&lt;U470)+($U$2:$U$1001=U470)*(($V$2:$V$1001&lt;V470)+($V$2:$V$1001=V470)*(($W$2:$W$1001&lt;W470)+($W$2:$W$1001=W470)*(ROW($K$2:$K$1001)&lt;ROW(K470))))))))</f>
        <v/>
      </c>
    </row>
    <row r="471" customFormat="false" ht="15" hidden="false" customHeight="false" outlineLevel="0" collapsed="false">
      <c r="A471" s="0" t="str">
        <f aca="false">IF(TRIM('List 1'!A471&amp;'List 1'!C471&amp;'List 1'!D471)="","",LOWER(IF(OR(Comparison!$I$9="Item # + Part # + Description",Comparison!$I$9="Item # + Part #"),TRIM('List 1'!A471),"")&amp;"|"&amp;TRIM('List 1'!C471)&amp;"|"&amp;IF(OR(Comparison!$I$9="Item # + Part # + Description",Comparison!$I$9="Part # + Description"),TRIM('List 1'!D471),"")))</f>
        <v/>
      </c>
      <c r="B471" s="0" t="str">
        <f aca="false">IF(A471="","",SUMPRODUCT(--($A$2:A471=A471)))</f>
        <v/>
      </c>
      <c r="C471" s="0" t="str">
        <f aca="false">IF(A471="","",A471&amp;"#"&amp;B471)</f>
        <v/>
      </c>
      <c r="D471" s="0" t="str">
        <f aca="false">IF(A471="","",IFERROR(--'List 1'!B471,0))</f>
        <v/>
      </c>
      <c r="F471" s="0" t="str">
        <f aca="false">IF(TRIM('List 2'!A471&amp;'List 2'!C471&amp;'List 2'!D471)="","",LOWER(IF(OR(Comparison!$I$9="Item # + Part # + Description",Comparison!$I$9="Item # + Part #"),TRIM('List 2'!A471),"")&amp;"|"&amp;TRIM('List 2'!C471)&amp;"|"&amp;IF(OR(Comparison!$I$9="Item # + Part # + Description",Comparison!$I$9="Part # + Description"),TRIM('List 2'!D471),"")))</f>
        <v/>
      </c>
      <c r="G471" s="0" t="str">
        <f aca="false">IF(F471="","",SUMPRODUCT(--($F$2:F471=F471)))</f>
        <v/>
      </c>
      <c r="H471" s="0" t="str">
        <f aca="false">IF(F471="","",F471&amp;"#"&amp;G471)</f>
        <v/>
      </c>
      <c r="I471" s="0" t="str">
        <f aca="false">IF(F471="","",IFERROR(--'List 2'!B471,0))</f>
        <v/>
      </c>
      <c r="K471" s="0" t="str">
        <f aca="false">C471</f>
        <v/>
      </c>
      <c r="L471" s="0" t="str">
        <f aca="false">IF(K471="","",IF(ISNUMBER('List 1'!A471),'List 1'!A471,TRIM('List 1'!A471)))</f>
        <v/>
      </c>
      <c r="M471" s="0" t="str">
        <f aca="false">IF(K471="","",IF(ISNUMBER('List 1'!C471),'List 1'!C471,TRIM('List 1'!C471)))</f>
        <v/>
      </c>
      <c r="N471" s="0" t="str">
        <f aca="false">IF(K471="","",IF(ISNUMBER('List 1'!D471),'List 1'!D471,TRIM('List 1'!D471)))</f>
        <v/>
      </c>
      <c r="O471" s="0" t="str">
        <f aca="false">IF(K471="","",D471)</f>
        <v/>
      </c>
      <c r="P471" s="0" t="str">
        <f aca="false">IF(K471="","",IF(R471,SUMPRODUCT(--($H$2:$H$501=K471),$I$2:$I$501),0))</f>
        <v/>
      </c>
      <c r="Q471" s="0" t="str">
        <f aca="false">IF(K471="","",TRUE())</f>
        <v/>
      </c>
      <c r="R471" s="0" t="str">
        <f aca="false">IF(K471="","",SUMPRODUCT(--($H$2:$H$501=K471))&gt;0)</f>
        <v/>
      </c>
      <c r="S471" s="0" t="str">
        <f aca="false">IF(K471="","",IF(AND(Q471,R471),IF(O471=P471,"Match","Qty Different"),IF(Q471,"Only in List 1","Only in List 2")))</f>
        <v/>
      </c>
      <c r="T471" s="0" t="str">
        <f aca="false">IF(K471="","",IF(ISNUMBER(--L471),TEXT(--L471,"000000000000.000"),LOWER(L471)))</f>
        <v/>
      </c>
      <c r="U471" s="0" t="str">
        <f aca="false">IF(K471="","",IF(ISNUMBER(--M471),TEXT(--M471,"000000000000.000"),LOWER(M471)))</f>
        <v/>
      </c>
      <c r="V471" s="0" t="str">
        <f aca="false">IF(K471="","",LOWER(N471))</f>
        <v/>
      </c>
      <c r="W471" s="0" t="str">
        <f aca="false">IF(K471="","",B471)</f>
        <v/>
      </c>
      <c r="X471" s="0" t="str">
        <f aca="false">IF(K471="","",1+SUMPRODUCT(($K$2:$K$1001&lt;&gt;"")*(($T$2:$T$1001&lt;T471)+($T$2:$T$1001=T471)*(($U$2:$U$1001&lt;U471)+($U$2:$U$1001=U471)*(($V$2:$V$1001&lt;V471)+($V$2:$V$1001=V471)*(($W$2:$W$1001&lt;W471)+($W$2:$W$1001=W471)*(ROW($K$2:$K$1001)&lt;ROW(K471))))))))</f>
        <v/>
      </c>
    </row>
    <row r="472" customFormat="false" ht="15" hidden="false" customHeight="false" outlineLevel="0" collapsed="false">
      <c r="A472" s="0" t="str">
        <f aca="false">IF(TRIM('List 1'!A472&amp;'List 1'!C472&amp;'List 1'!D472)="","",LOWER(IF(OR(Comparison!$I$9="Item # + Part # + Description",Comparison!$I$9="Item # + Part #"),TRIM('List 1'!A472),"")&amp;"|"&amp;TRIM('List 1'!C472)&amp;"|"&amp;IF(OR(Comparison!$I$9="Item # + Part # + Description",Comparison!$I$9="Part # + Description"),TRIM('List 1'!D472),"")))</f>
        <v/>
      </c>
      <c r="B472" s="0" t="str">
        <f aca="false">IF(A472="","",SUMPRODUCT(--($A$2:A472=A472)))</f>
        <v/>
      </c>
      <c r="C472" s="0" t="str">
        <f aca="false">IF(A472="","",A472&amp;"#"&amp;B472)</f>
        <v/>
      </c>
      <c r="D472" s="0" t="str">
        <f aca="false">IF(A472="","",IFERROR(--'List 1'!B472,0))</f>
        <v/>
      </c>
      <c r="F472" s="0" t="str">
        <f aca="false">IF(TRIM('List 2'!A472&amp;'List 2'!C472&amp;'List 2'!D472)="","",LOWER(IF(OR(Comparison!$I$9="Item # + Part # + Description",Comparison!$I$9="Item # + Part #"),TRIM('List 2'!A472),"")&amp;"|"&amp;TRIM('List 2'!C472)&amp;"|"&amp;IF(OR(Comparison!$I$9="Item # + Part # + Description",Comparison!$I$9="Part # + Description"),TRIM('List 2'!D472),"")))</f>
        <v/>
      </c>
      <c r="G472" s="0" t="str">
        <f aca="false">IF(F472="","",SUMPRODUCT(--($F$2:F472=F472)))</f>
        <v/>
      </c>
      <c r="H472" s="0" t="str">
        <f aca="false">IF(F472="","",F472&amp;"#"&amp;G472)</f>
        <v/>
      </c>
      <c r="I472" s="0" t="str">
        <f aca="false">IF(F472="","",IFERROR(--'List 2'!B472,0))</f>
        <v/>
      </c>
      <c r="K472" s="0" t="str">
        <f aca="false">C472</f>
        <v/>
      </c>
      <c r="L472" s="0" t="str">
        <f aca="false">IF(K472="","",IF(ISNUMBER('List 1'!A472),'List 1'!A472,TRIM('List 1'!A472)))</f>
        <v/>
      </c>
      <c r="M472" s="0" t="str">
        <f aca="false">IF(K472="","",IF(ISNUMBER('List 1'!C472),'List 1'!C472,TRIM('List 1'!C472)))</f>
        <v/>
      </c>
      <c r="N472" s="0" t="str">
        <f aca="false">IF(K472="","",IF(ISNUMBER('List 1'!D472),'List 1'!D472,TRIM('List 1'!D472)))</f>
        <v/>
      </c>
      <c r="O472" s="0" t="str">
        <f aca="false">IF(K472="","",D472)</f>
        <v/>
      </c>
      <c r="P472" s="0" t="str">
        <f aca="false">IF(K472="","",IF(R472,SUMPRODUCT(--($H$2:$H$501=K472),$I$2:$I$501),0))</f>
        <v/>
      </c>
      <c r="Q472" s="0" t="str">
        <f aca="false">IF(K472="","",TRUE())</f>
        <v/>
      </c>
      <c r="R472" s="0" t="str">
        <f aca="false">IF(K472="","",SUMPRODUCT(--($H$2:$H$501=K472))&gt;0)</f>
        <v/>
      </c>
      <c r="S472" s="0" t="str">
        <f aca="false">IF(K472="","",IF(AND(Q472,R472),IF(O472=P472,"Match","Qty Different"),IF(Q472,"Only in List 1","Only in List 2")))</f>
        <v/>
      </c>
      <c r="T472" s="0" t="str">
        <f aca="false">IF(K472="","",IF(ISNUMBER(--L472),TEXT(--L472,"000000000000.000"),LOWER(L472)))</f>
        <v/>
      </c>
      <c r="U472" s="0" t="str">
        <f aca="false">IF(K472="","",IF(ISNUMBER(--M472),TEXT(--M472,"000000000000.000"),LOWER(M472)))</f>
        <v/>
      </c>
      <c r="V472" s="0" t="str">
        <f aca="false">IF(K472="","",LOWER(N472))</f>
        <v/>
      </c>
      <c r="W472" s="0" t="str">
        <f aca="false">IF(K472="","",B472)</f>
        <v/>
      </c>
      <c r="X472" s="0" t="str">
        <f aca="false">IF(K472="","",1+SUMPRODUCT(($K$2:$K$1001&lt;&gt;"")*(($T$2:$T$1001&lt;T472)+($T$2:$T$1001=T472)*(($U$2:$U$1001&lt;U472)+($U$2:$U$1001=U472)*(($V$2:$V$1001&lt;V472)+($V$2:$V$1001=V472)*(($W$2:$W$1001&lt;W472)+($W$2:$W$1001=W472)*(ROW($K$2:$K$1001)&lt;ROW(K472))))))))</f>
        <v/>
      </c>
    </row>
    <row r="473" customFormat="false" ht="15" hidden="false" customHeight="false" outlineLevel="0" collapsed="false">
      <c r="A473" s="0" t="str">
        <f aca="false">IF(TRIM('List 1'!A473&amp;'List 1'!C473&amp;'List 1'!D473)="","",LOWER(IF(OR(Comparison!$I$9="Item # + Part # + Description",Comparison!$I$9="Item # + Part #"),TRIM('List 1'!A473),"")&amp;"|"&amp;TRIM('List 1'!C473)&amp;"|"&amp;IF(OR(Comparison!$I$9="Item # + Part # + Description",Comparison!$I$9="Part # + Description"),TRIM('List 1'!D473),"")))</f>
        <v/>
      </c>
      <c r="B473" s="0" t="str">
        <f aca="false">IF(A473="","",SUMPRODUCT(--($A$2:A473=A473)))</f>
        <v/>
      </c>
      <c r="C473" s="0" t="str">
        <f aca="false">IF(A473="","",A473&amp;"#"&amp;B473)</f>
        <v/>
      </c>
      <c r="D473" s="0" t="str">
        <f aca="false">IF(A473="","",IFERROR(--'List 1'!B473,0))</f>
        <v/>
      </c>
      <c r="F473" s="0" t="str">
        <f aca="false">IF(TRIM('List 2'!A473&amp;'List 2'!C473&amp;'List 2'!D473)="","",LOWER(IF(OR(Comparison!$I$9="Item # + Part # + Description",Comparison!$I$9="Item # + Part #"),TRIM('List 2'!A473),"")&amp;"|"&amp;TRIM('List 2'!C473)&amp;"|"&amp;IF(OR(Comparison!$I$9="Item # + Part # + Description",Comparison!$I$9="Part # + Description"),TRIM('List 2'!D473),"")))</f>
        <v/>
      </c>
      <c r="G473" s="0" t="str">
        <f aca="false">IF(F473="","",SUMPRODUCT(--($F$2:F473=F473)))</f>
        <v/>
      </c>
      <c r="H473" s="0" t="str">
        <f aca="false">IF(F473="","",F473&amp;"#"&amp;G473)</f>
        <v/>
      </c>
      <c r="I473" s="0" t="str">
        <f aca="false">IF(F473="","",IFERROR(--'List 2'!B473,0))</f>
        <v/>
      </c>
      <c r="K473" s="0" t="str">
        <f aca="false">C473</f>
        <v/>
      </c>
      <c r="L473" s="0" t="str">
        <f aca="false">IF(K473="","",IF(ISNUMBER('List 1'!A473),'List 1'!A473,TRIM('List 1'!A473)))</f>
        <v/>
      </c>
      <c r="M473" s="0" t="str">
        <f aca="false">IF(K473="","",IF(ISNUMBER('List 1'!C473),'List 1'!C473,TRIM('List 1'!C473)))</f>
        <v/>
      </c>
      <c r="N473" s="0" t="str">
        <f aca="false">IF(K473="","",IF(ISNUMBER('List 1'!D473),'List 1'!D473,TRIM('List 1'!D473)))</f>
        <v/>
      </c>
      <c r="O473" s="0" t="str">
        <f aca="false">IF(K473="","",D473)</f>
        <v/>
      </c>
      <c r="P473" s="0" t="str">
        <f aca="false">IF(K473="","",IF(R473,SUMPRODUCT(--($H$2:$H$501=K473),$I$2:$I$501),0))</f>
        <v/>
      </c>
      <c r="Q473" s="0" t="str">
        <f aca="false">IF(K473="","",TRUE())</f>
        <v/>
      </c>
      <c r="R473" s="0" t="str">
        <f aca="false">IF(K473="","",SUMPRODUCT(--($H$2:$H$501=K473))&gt;0)</f>
        <v/>
      </c>
      <c r="S473" s="0" t="str">
        <f aca="false">IF(K473="","",IF(AND(Q473,R473),IF(O473=P473,"Match","Qty Different"),IF(Q473,"Only in List 1","Only in List 2")))</f>
        <v/>
      </c>
      <c r="T473" s="0" t="str">
        <f aca="false">IF(K473="","",IF(ISNUMBER(--L473),TEXT(--L473,"000000000000.000"),LOWER(L473)))</f>
        <v/>
      </c>
      <c r="U473" s="0" t="str">
        <f aca="false">IF(K473="","",IF(ISNUMBER(--M473),TEXT(--M473,"000000000000.000"),LOWER(M473)))</f>
        <v/>
      </c>
      <c r="V473" s="0" t="str">
        <f aca="false">IF(K473="","",LOWER(N473))</f>
        <v/>
      </c>
      <c r="W473" s="0" t="str">
        <f aca="false">IF(K473="","",B473)</f>
        <v/>
      </c>
      <c r="X473" s="0" t="str">
        <f aca="false">IF(K473="","",1+SUMPRODUCT(($K$2:$K$1001&lt;&gt;"")*(($T$2:$T$1001&lt;T473)+($T$2:$T$1001=T473)*(($U$2:$U$1001&lt;U473)+($U$2:$U$1001=U473)*(($V$2:$V$1001&lt;V473)+($V$2:$V$1001=V473)*(($W$2:$W$1001&lt;W473)+($W$2:$W$1001=W473)*(ROW($K$2:$K$1001)&lt;ROW(K473))))))))</f>
        <v/>
      </c>
    </row>
    <row r="474" customFormat="false" ht="15" hidden="false" customHeight="false" outlineLevel="0" collapsed="false">
      <c r="A474" s="0" t="str">
        <f aca="false">IF(TRIM('List 1'!A474&amp;'List 1'!C474&amp;'List 1'!D474)="","",LOWER(IF(OR(Comparison!$I$9="Item # + Part # + Description",Comparison!$I$9="Item # + Part #"),TRIM('List 1'!A474),"")&amp;"|"&amp;TRIM('List 1'!C474)&amp;"|"&amp;IF(OR(Comparison!$I$9="Item # + Part # + Description",Comparison!$I$9="Part # + Description"),TRIM('List 1'!D474),"")))</f>
        <v/>
      </c>
      <c r="B474" s="0" t="str">
        <f aca="false">IF(A474="","",SUMPRODUCT(--($A$2:A474=A474)))</f>
        <v/>
      </c>
      <c r="C474" s="0" t="str">
        <f aca="false">IF(A474="","",A474&amp;"#"&amp;B474)</f>
        <v/>
      </c>
      <c r="D474" s="0" t="str">
        <f aca="false">IF(A474="","",IFERROR(--'List 1'!B474,0))</f>
        <v/>
      </c>
      <c r="F474" s="0" t="str">
        <f aca="false">IF(TRIM('List 2'!A474&amp;'List 2'!C474&amp;'List 2'!D474)="","",LOWER(IF(OR(Comparison!$I$9="Item # + Part # + Description",Comparison!$I$9="Item # + Part #"),TRIM('List 2'!A474),"")&amp;"|"&amp;TRIM('List 2'!C474)&amp;"|"&amp;IF(OR(Comparison!$I$9="Item # + Part # + Description",Comparison!$I$9="Part # + Description"),TRIM('List 2'!D474),"")))</f>
        <v/>
      </c>
      <c r="G474" s="0" t="str">
        <f aca="false">IF(F474="","",SUMPRODUCT(--($F$2:F474=F474)))</f>
        <v/>
      </c>
      <c r="H474" s="0" t="str">
        <f aca="false">IF(F474="","",F474&amp;"#"&amp;G474)</f>
        <v/>
      </c>
      <c r="I474" s="0" t="str">
        <f aca="false">IF(F474="","",IFERROR(--'List 2'!B474,0))</f>
        <v/>
      </c>
      <c r="K474" s="0" t="str">
        <f aca="false">C474</f>
        <v/>
      </c>
      <c r="L474" s="0" t="str">
        <f aca="false">IF(K474="","",IF(ISNUMBER('List 1'!A474),'List 1'!A474,TRIM('List 1'!A474)))</f>
        <v/>
      </c>
      <c r="M474" s="0" t="str">
        <f aca="false">IF(K474="","",IF(ISNUMBER('List 1'!C474),'List 1'!C474,TRIM('List 1'!C474)))</f>
        <v/>
      </c>
      <c r="N474" s="0" t="str">
        <f aca="false">IF(K474="","",IF(ISNUMBER('List 1'!D474),'List 1'!D474,TRIM('List 1'!D474)))</f>
        <v/>
      </c>
      <c r="O474" s="0" t="str">
        <f aca="false">IF(K474="","",D474)</f>
        <v/>
      </c>
      <c r="P474" s="0" t="str">
        <f aca="false">IF(K474="","",IF(R474,SUMPRODUCT(--($H$2:$H$501=K474),$I$2:$I$501),0))</f>
        <v/>
      </c>
      <c r="Q474" s="0" t="str">
        <f aca="false">IF(K474="","",TRUE())</f>
        <v/>
      </c>
      <c r="R474" s="0" t="str">
        <f aca="false">IF(K474="","",SUMPRODUCT(--($H$2:$H$501=K474))&gt;0)</f>
        <v/>
      </c>
      <c r="S474" s="0" t="str">
        <f aca="false">IF(K474="","",IF(AND(Q474,R474),IF(O474=P474,"Match","Qty Different"),IF(Q474,"Only in List 1","Only in List 2")))</f>
        <v/>
      </c>
      <c r="T474" s="0" t="str">
        <f aca="false">IF(K474="","",IF(ISNUMBER(--L474),TEXT(--L474,"000000000000.000"),LOWER(L474)))</f>
        <v/>
      </c>
      <c r="U474" s="0" t="str">
        <f aca="false">IF(K474="","",IF(ISNUMBER(--M474),TEXT(--M474,"000000000000.000"),LOWER(M474)))</f>
        <v/>
      </c>
      <c r="V474" s="0" t="str">
        <f aca="false">IF(K474="","",LOWER(N474))</f>
        <v/>
      </c>
      <c r="W474" s="0" t="str">
        <f aca="false">IF(K474="","",B474)</f>
        <v/>
      </c>
      <c r="X474" s="0" t="str">
        <f aca="false">IF(K474="","",1+SUMPRODUCT(($K$2:$K$1001&lt;&gt;"")*(($T$2:$T$1001&lt;T474)+($T$2:$T$1001=T474)*(($U$2:$U$1001&lt;U474)+($U$2:$U$1001=U474)*(($V$2:$V$1001&lt;V474)+($V$2:$V$1001=V474)*(($W$2:$W$1001&lt;W474)+($W$2:$W$1001=W474)*(ROW($K$2:$K$1001)&lt;ROW(K474))))))))</f>
        <v/>
      </c>
    </row>
    <row r="475" customFormat="false" ht="15" hidden="false" customHeight="false" outlineLevel="0" collapsed="false">
      <c r="A475" s="0" t="str">
        <f aca="false">IF(TRIM('List 1'!A475&amp;'List 1'!C475&amp;'List 1'!D475)="","",LOWER(IF(OR(Comparison!$I$9="Item # + Part # + Description",Comparison!$I$9="Item # + Part #"),TRIM('List 1'!A475),"")&amp;"|"&amp;TRIM('List 1'!C475)&amp;"|"&amp;IF(OR(Comparison!$I$9="Item # + Part # + Description",Comparison!$I$9="Part # + Description"),TRIM('List 1'!D475),"")))</f>
        <v/>
      </c>
      <c r="B475" s="0" t="str">
        <f aca="false">IF(A475="","",SUMPRODUCT(--($A$2:A475=A475)))</f>
        <v/>
      </c>
      <c r="C475" s="0" t="str">
        <f aca="false">IF(A475="","",A475&amp;"#"&amp;B475)</f>
        <v/>
      </c>
      <c r="D475" s="0" t="str">
        <f aca="false">IF(A475="","",IFERROR(--'List 1'!B475,0))</f>
        <v/>
      </c>
      <c r="F475" s="0" t="str">
        <f aca="false">IF(TRIM('List 2'!A475&amp;'List 2'!C475&amp;'List 2'!D475)="","",LOWER(IF(OR(Comparison!$I$9="Item # + Part # + Description",Comparison!$I$9="Item # + Part #"),TRIM('List 2'!A475),"")&amp;"|"&amp;TRIM('List 2'!C475)&amp;"|"&amp;IF(OR(Comparison!$I$9="Item # + Part # + Description",Comparison!$I$9="Part # + Description"),TRIM('List 2'!D475),"")))</f>
        <v/>
      </c>
      <c r="G475" s="0" t="str">
        <f aca="false">IF(F475="","",SUMPRODUCT(--($F$2:F475=F475)))</f>
        <v/>
      </c>
      <c r="H475" s="0" t="str">
        <f aca="false">IF(F475="","",F475&amp;"#"&amp;G475)</f>
        <v/>
      </c>
      <c r="I475" s="0" t="str">
        <f aca="false">IF(F475="","",IFERROR(--'List 2'!B475,0))</f>
        <v/>
      </c>
      <c r="K475" s="0" t="str">
        <f aca="false">C475</f>
        <v/>
      </c>
      <c r="L475" s="0" t="str">
        <f aca="false">IF(K475="","",IF(ISNUMBER('List 1'!A475),'List 1'!A475,TRIM('List 1'!A475)))</f>
        <v/>
      </c>
      <c r="M475" s="0" t="str">
        <f aca="false">IF(K475="","",IF(ISNUMBER('List 1'!C475),'List 1'!C475,TRIM('List 1'!C475)))</f>
        <v/>
      </c>
      <c r="N475" s="0" t="str">
        <f aca="false">IF(K475="","",IF(ISNUMBER('List 1'!D475),'List 1'!D475,TRIM('List 1'!D475)))</f>
        <v/>
      </c>
      <c r="O475" s="0" t="str">
        <f aca="false">IF(K475="","",D475)</f>
        <v/>
      </c>
      <c r="P475" s="0" t="str">
        <f aca="false">IF(K475="","",IF(R475,SUMPRODUCT(--($H$2:$H$501=K475),$I$2:$I$501),0))</f>
        <v/>
      </c>
      <c r="Q475" s="0" t="str">
        <f aca="false">IF(K475="","",TRUE())</f>
        <v/>
      </c>
      <c r="R475" s="0" t="str">
        <f aca="false">IF(K475="","",SUMPRODUCT(--($H$2:$H$501=K475))&gt;0)</f>
        <v/>
      </c>
      <c r="S475" s="0" t="str">
        <f aca="false">IF(K475="","",IF(AND(Q475,R475),IF(O475=P475,"Match","Qty Different"),IF(Q475,"Only in List 1","Only in List 2")))</f>
        <v/>
      </c>
      <c r="T475" s="0" t="str">
        <f aca="false">IF(K475="","",IF(ISNUMBER(--L475),TEXT(--L475,"000000000000.000"),LOWER(L475)))</f>
        <v/>
      </c>
      <c r="U475" s="0" t="str">
        <f aca="false">IF(K475="","",IF(ISNUMBER(--M475),TEXT(--M475,"000000000000.000"),LOWER(M475)))</f>
        <v/>
      </c>
      <c r="V475" s="0" t="str">
        <f aca="false">IF(K475="","",LOWER(N475))</f>
        <v/>
      </c>
      <c r="W475" s="0" t="str">
        <f aca="false">IF(K475="","",B475)</f>
        <v/>
      </c>
      <c r="X475" s="0" t="str">
        <f aca="false">IF(K475="","",1+SUMPRODUCT(($K$2:$K$1001&lt;&gt;"")*(($T$2:$T$1001&lt;T475)+($T$2:$T$1001=T475)*(($U$2:$U$1001&lt;U475)+($U$2:$U$1001=U475)*(($V$2:$V$1001&lt;V475)+($V$2:$V$1001=V475)*(($W$2:$W$1001&lt;W475)+($W$2:$W$1001=W475)*(ROW($K$2:$K$1001)&lt;ROW(K475))))))))</f>
        <v/>
      </c>
    </row>
    <row r="476" customFormat="false" ht="15" hidden="false" customHeight="false" outlineLevel="0" collapsed="false">
      <c r="A476" s="0" t="str">
        <f aca="false">IF(TRIM('List 1'!A476&amp;'List 1'!C476&amp;'List 1'!D476)="","",LOWER(IF(OR(Comparison!$I$9="Item # + Part # + Description",Comparison!$I$9="Item # + Part #"),TRIM('List 1'!A476),"")&amp;"|"&amp;TRIM('List 1'!C476)&amp;"|"&amp;IF(OR(Comparison!$I$9="Item # + Part # + Description",Comparison!$I$9="Part # + Description"),TRIM('List 1'!D476),"")))</f>
        <v/>
      </c>
      <c r="B476" s="0" t="str">
        <f aca="false">IF(A476="","",SUMPRODUCT(--($A$2:A476=A476)))</f>
        <v/>
      </c>
      <c r="C476" s="0" t="str">
        <f aca="false">IF(A476="","",A476&amp;"#"&amp;B476)</f>
        <v/>
      </c>
      <c r="D476" s="0" t="str">
        <f aca="false">IF(A476="","",IFERROR(--'List 1'!B476,0))</f>
        <v/>
      </c>
      <c r="F476" s="0" t="str">
        <f aca="false">IF(TRIM('List 2'!A476&amp;'List 2'!C476&amp;'List 2'!D476)="","",LOWER(IF(OR(Comparison!$I$9="Item # + Part # + Description",Comparison!$I$9="Item # + Part #"),TRIM('List 2'!A476),"")&amp;"|"&amp;TRIM('List 2'!C476)&amp;"|"&amp;IF(OR(Comparison!$I$9="Item # + Part # + Description",Comparison!$I$9="Part # + Description"),TRIM('List 2'!D476),"")))</f>
        <v/>
      </c>
      <c r="G476" s="0" t="str">
        <f aca="false">IF(F476="","",SUMPRODUCT(--($F$2:F476=F476)))</f>
        <v/>
      </c>
      <c r="H476" s="0" t="str">
        <f aca="false">IF(F476="","",F476&amp;"#"&amp;G476)</f>
        <v/>
      </c>
      <c r="I476" s="0" t="str">
        <f aca="false">IF(F476="","",IFERROR(--'List 2'!B476,0))</f>
        <v/>
      </c>
      <c r="K476" s="0" t="str">
        <f aca="false">C476</f>
        <v/>
      </c>
      <c r="L476" s="0" t="str">
        <f aca="false">IF(K476="","",IF(ISNUMBER('List 1'!A476),'List 1'!A476,TRIM('List 1'!A476)))</f>
        <v/>
      </c>
      <c r="M476" s="0" t="str">
        <f aca="false">IF(K476="","",IF(ISNUMBER('List 1'!C476),'List 1'!C476,TRIM('List 1'!C476)))</f>
        <v/>
      </c>
      <c r="N476" s="0" t="str">
        <f aca="false">IF(K476="","",IF(ISNUMBER('List 1'!D476),'List 1'!D476,TRIM('List 1'!D476)))</f>
        <v/>
      </c>
      <c r="O476" s="0" t="str">
        <f aca="false">IF(K476="","",D476)</f>
        <v/>
      </c>
      <c r="P476" s="0" t="str">
        <f aca="false">IF(K476="","",IF(R476,SUMPRODUCT(--($H$2:$H$501=K476),$I$2:$I$501),0))</f>
        <v/>
      </c>
      <c r="Q476" s="0" t="str">
        <f aca="false">IF(K476="","",TRUE())</f>
        <v/>
      </c>
      <c r="R476" s="0" t="str">
        <f aca="false">IF(K476="","",SUMPRODUCT(--($H$2:$H$501=K476))&gt;0)</f>
        <v/>
      </c>
      <c r="S476" s="0" t="str">
        <f aca="false">IF(K476="","",IF(AND(Q476,R476),IF(O476=P476,"Match","Qty Different"),IF(Q476,"Only in List 1","Only in List 2")))</f>
        <v/>
      </c>
      <c r="T476" s="0" t="str">
        <f aca="false">IF(K476="","",IF(ISNUMBER(--L476),TEXT(--L476,"000000000000.000"),LOWER(L476)))</f>
        <v/>
      </c>
      <c r="U476" s="0" t="str">
        <f aca="false">IF(K476="","",IF(ISNUMBER(--M476),TEXT(--M476,"000000000000.000"),LOWER(M476)))</f>
        <v/>
      </c>
      <c r="V476" s="0" t="str">
        <f aca="false">IF(K476="","",LOWER(N476))</f>
        <v/>
      </c>
      <c r="W476" s="0" t="str">
        <f aca="false">IF(K476="","",B476)</f>
        <v/>
      </c>
      <c r="X476" s="0" t="str">
        <f aca="false">IF(K476="","",1+SUMPRODUCT(($K$2:$K$1001&lt;&gt;"")*(($T$2:$T$1001&lt;T476)+($T$2:$T$1001=T476)*(($U$2:$U$1001&lt;U476)+($U$2:$U$1001=U476)*(($V$2:$V$1001&lt;V476)+($V$2:$V$1001=V476)*(($W$2:$W$1001&lt;W476)+($W$2:$W$1001=W476)*(ROW($K$2:$K$1001)&lt;ROW(K476))))))))</f>
        <v/>
      </c>
    </row>
    <row r="477" customFormat="false" ht="15" hidden="false" customHeight="false" outlineLevel="0" collapsed="false">
      <c r="A477" s="0" t="str">
        <f aca="false">IF(TRIM('List 1'!A477&amp;'List 1'!C477&amp;'List 1'!D477)="","",LOWER(IF(OR(Comparison!$I$9="Item # + Part # + Description",Comparison!$I$9="Item # + Part #"),TRIM('List 1'!A477),"")&amp;"|"&amp;TRIM('List 1'!C477)&amp;"|"&amp;IF(OR(Comparison!$I$9="Item # + Part # + Description",Comparison!$I$9="Part # + Description"),TRIM('List 1'!D477),"")))</f>
        <v/>
      </c>
      <c r="B477" s="0" t="str">
        <f aca="false">IF(A477="","",SUMPRODUCT(--($A$2:A477=A477)))</f>
        <v/>
      </c>
      <c r="C477" s="0" t="str">
        <f aca="false">IF(A477="","",A477&amp;"#"&amp;B477)</f>
        <v/>
      </c>
      <c r="D477" s="0" t="str">
        <f aca="false">IF(A477="","",IFERROR(--'List 1'!B477,0))</f>
        <v/>
      </c>
      <c r="F477" s="0" t="str">
        <f aca="false">IF(TRIM('List 2'!A477&amp;'List 2'!C477&amp;'List 2'!D477)="","",LOWER(IF(OR(Comparison!$I$9="Item # + Part # + Description",Comparison!$I$9="Item # + Part #"),TRIM('List 2'!A477),"")&amp;"|"&amp;TRIM('List 2'!C477)&amp;"|"&amp;IF(OR(Comparison!$I$9="Item # + Part # + Description",Comparison!$I$9="Part # + Description"),TRIM('List 2'!D477),"")))</f>
        <v/>
      </c>
      <c r="G477" s="0" t="str">
        <f aca="false">IF(F477="","",SUMPRODUCT(--($F$2:F477=F477)))</f>
        <v/>
      </c>
      <c r="H477" s="0" t="str">
        <f aca="false">IF(F477="","",F477&amp;"#"&amp;G477)</f>
        <v/>
      </c>
      <c r="I477" s="0" t="str">
        <f aca="false">IF(F477="","",IFERROR(--'List 2'!B477,0))</f>
        <v/>
      </c>
      <c r="K477" s="0" t="str">
        <f aca="false">C477</f>
        <v/>
      </c>
      <c r="L477" s="0" t="str">
        <f aca="false">IF(K477="","",IF(ISNUMBER('List 1'!A477),'List 1'!A477,TRIM('List 1'!A477)))</f>
        <v/>
      </c>
      <c r="M477" s="0" t="str">
        <f aca="false">IF(K477="","",IF(ISNUMBER('List 1'!C477),'List 1'!C477,TRIM('List 1'!C477)))</f>
        <v/>
      </c>
      <c r="N477" s="0" t="str">
        <f aca="false">IF(K477="","",IF(ISNUMBER('List 1'!D477),'List 1'!D477,TRIM('List 1'!D477)))</f>
        <v/>
      </c>
      <c r="O477" s="0" t="str">
        <f aca="false">IF(K477="","",D477)</f>
        <v/>
      </c>
      <c r="P477" s="0" t="str">
        <f aca="false">IF(K477="","",IF(R477,SUMPRODUCT(--($H$2:$H$501=K477),$I$2:$I$501),0))</f>
        <v/>
      </c>
      <c r="Q477" s="0" t="str">
        <f aca="false">IF(K477="","",TRUE())</f>
        <v/>
      </c>
      <c r="R477" s="0" t="str">
        <f aca="false">IF(K477="","",SUMPRODUCT(--($H$2:$H$501=K477))&gt;0)</f>
        <v/>
      </c>
      <c r="S477" s="0" t="str">
        <f aca="false">IF(K477="","",IF(AND(Q477,R477),IF(O477=P477,"Match","Qty Different"),IF(Q477,"Only in List 1","Only in List 2")))</f>
        <v/>
      </c>
      <c r="T477" s="0" t="str">
        <f aca="false">IF(K477="","",IF(ISNUMBER(--L477),TEXT(--L477,"000000000000.000"),LOWER(L477)))</f>
        <v/>
      </c>
      <c r="U477" s="0" t="str">
        <f aca="false">IF(K477="","",IF(ISNUMBER(--M477),TEXT(--M477,"000000000000.000"),LOWER(M477)))</f>
        <v/>
      </c>
      <c r="V477" s="0" t="str">
        <f aca="false">IF(K477="","",LOWER(N477))</f>
        <v/>
      </c>
      <c r="W477" s="0" t="str">
        <f aca="false">IF(K477="","",B477)</f>
        <v/>
      </c>
      <c r="X477" s="0" t="str">
        <f aca="false">IF(K477="","",1+SUMPRODUCT(($K$2:$K$1001&lt;&gt;"")*(($T$2:$T$1001&lt;T477)+($T$2:$T$1001=T477)*(($U$2:$U$1001&lt;U477)+($U$2:$U$1001=U477)*(($V$2:$V$1001&lt;V477)+($V$2:$V$1001=V477)*(($W$2:$W$1001&lt;W477)+($W$2:$W$1001=W477)*(ROW($K$2:$K$1001)&lt;ROW(K477))))))))</f>
        <v/>
      </c>
    </row>
    <row r="478" customFormat="false" ht="15" hidden="false" customHeight="false" outlineLevel="0" collapsed="false">
      <c r="A478" s="0" t="str">
        <f aca="false">IF(TRIM('List 1'!A478&amp;'List 1'!C478&amp;'List 1'!D478)="","",LOWER(IF(OR(Comparison!$I$9="Item # + Part # + Description",Comparison!$I$9="Item # + Part #"),TRIM('List 1'!A478),"")&amp;"|"&amp;TRIM('List 1'!C478)&amp;"|"&amp;IF(OR(Comparison!$I$9="Item # + Part # + Description",Comparison!$I$9="Part # + Description"),TRIM('List 1'!D478),"")))</f>
        <v/>
      </c>
      <c r="B478" s="0" t="str">
        <f aca="false">IF(A478="","",SUMPRODUCT(--($A$2:A478=A478)))</f>
        <v/>
      </c>
      <c r="C478" s="0" t="str">
        <f aca="false">IF(A478="","",A478&amp;"#"&amp;B478)</f>
        <v/>
      </c>
      <c r="D478" s="0" t="str">
        <f aca="false">IF(A478="","",IFERROR(--'List 1'!B478,0))</f>
        <v/>
      </c>
      <c r="F478" s="0" t="str">
        <f aca="false">IF(TRIM('List 2'!A478&amp;'List 2'!C478&amp;'List 2'!D478)="","",LOWER(IF(OR(Comparison!$I$9="Item # + Part # + Description",Comparison!$I$9="Item # + Part #"),TRIM('List 2'!A478),"")&amp;"|"&amp;TRIM('List 2'!C478)&amp;"|"&amp;IF(OR(Comparison!$I$9="Item # + Part # + Description",Comparison!$I$9="Part # + Description"),TRIM('List 2'!D478),"")))</f>
        <v/>
      </c>
      <c r="G478" s="0" t="str">
        <f aca="false">IF(F478="","",SUMPRODUCT(--($F$2:F478=F478)))</f>
        <v/>
      </c>
      <c r="H478" s="0" t="str">
        <f aca="false">IF(F478="","",F478&amp;"#"&amp;G478)</f>
        <v/>
      </c>
      <c r="I478" s="0" t="str">
        <f aca="false">IF(F478="","",IFERROR(--'List 2'!B478,0))</f>
        <v/>
      </c>
      <c r="K478" s="0" t="str">
        <f aca="false">C478</f>
        <v/>
      </c>
      <c r="L478" s="0" t="str">
        <f aca="false">IF(K478="","",IF(ISNUMBER('List 1'!A478),'List 1'!A478,TRIM('List 1'!A478)))</f>
        <v/>
      </c>
      <c r="M478" s="0" t="str">
        <f aca="false">IF(K478="","",IF(ISNUMBER('List 1'!C478),'List 1'!C478,TRIM('List 1'!C478)))</f>
        <v/>
      </c>
      <c r="N478" s="0" t="str">
        <f aca="false">IF(K478="","",IF(ISNUMBER('List 1'!D478),'List 1'!D478,TRIM('List 1'!D478)))</f>
        <v/>
      </c>
      <c r="O478" s="0" t="str">
        <f aca="false">IF(K478="","",D478)</f>
        <v/>
      </c>
      <c r="P478" s="0" t="str">
        <f aca="false">IF(K478="","",IF(R478,SUMPRODUCT(--($H$2:$H$501=K478),$I$2:$I$501),0))</f>
        <v/>
      </c>
      <c r="Q478" s="0" t="str">
        <f aca="false">IF(K478="","",TRUE())</f>
        <v/>
      </c>
      <c r="R478" s="0" t="str">
        <f aca="false">IF(K478="","",SUMPRODUCT(--($H$2:$H$501=K478))&gt;0)</f>
        <v/>
      </c>
      <c r="S478" s="0" t="str">
        <f aca="false">IF(K478="","",IF(AND(Q478,R478),IF(O478=P478,"Match","Qty Different"),IF(Q478,"Only in List 1","Only in List 2")))</f>
        <v/>
      </c>
      <c r="T478" s="0" t="str">
        <f aca="false">IF(K478="","",IF(ISNUMBER(--L478),TEXT(--L478,"000000000000.000"),LOWER(L478)))</f>
        <v/>
      </c>
      <c r="U478" s="0" t="str">
        <f aca="false">IF(K478="","",IF(ISNUMBER(--M478),TEXT(--M478,"000000000000.000"),LOWER(M478)))</f>
        <v/>
      </c>
      <c r="V478" s="0" t="str">
        <f aca="false">IF(K478="","",LOWER(N478))</f>
        <v/>
      </c>
      <c r="W478" s="0" t="str">
        <f aca="false">IF(K478="","",B478)</f>
        <v/>
      </c>
      <c r="X478" s="0" t="str">
        <f aca="false">IF(K478="","",1+SUMPRODUCT(($K$2:$K$1001&lt;&gt;"")*(($T$2:$T$1001&lt;T478)+($T$2:$T$1001=T478)*(($U$2:$U$1001&lt;U478)+($U$2:$U$1001=U478)*(($V$2:$V$1001&lt;V478)+($V$2:$V$1001=V478)*(($W$2:$W$1001&lt;W478)+($W$2:$W$1001=W478)*(ROW($K$2:$K$1001)&lt;ROW(K478))))))))</f>
        <v/>
      </c>
    </row>
    <row r="479" customFormat="false" ht="15" hidden="false" customHeight="false" outlineLevel="0" collapsed="false">
      <c r="A479" s="0" t="str">
        <f aca="false">IF(TRIM('List 1'!A479&amp;'List 1'!C479&amp;'List 1'!D479)="","",LOWER(IF(OR(Comparison!$I$9="Item # + Part # + Description",Comparison!$I$9="Item # + Part #"),TRIM('List 1'!A479),"")&amp;"|"&amp;TRIM('List 1'!C479)&amp;"|"&amp;IF(OR(Comparison!$I$9="Item # + Part # + Description",Comparison!$I$9="Part # + Description"),TRIM('List 1'!D479),"")))</f>
        <v/>
      </c>
      <c r="B479" s="0" t="str">
        <f aca="false">IF(A479="","",SUMPRODUCT(--($A$2:A479=A479)))</f>
        <v/>
      </c>
      <c r="C479" s="0" t="str">
        <f aca="false">IF(A479="","",A479&amp;"#"&amp;B479)</f>
        <v/>
      </c>
      <c r="D479" s="0" t="str">
        <f aca="false">IF(A479="","",IFERROR(--'List 1'!B479,0))</f>
        <v/>
      </c>
      <c r="F479" s="0" t="str">
        <f aca="false">IF(TRIM('List 2'!A479&amp;'List 2'!C479&amp;'List 2'!D479)="","",LOWER(IF(OR(Comparison!$I$9="Item # + Part # + Description",Comparison!$I$9="Item # + Part #"),TRIM('List 2'!A479),"")&amp;"|"&amp;TRIM('List 2'!C479)&amp;"|"&amp;IF(OR(Comparison!$I$9="Item # + Part # + Description",Comparison!$I$9="Part # + Description"),TRIM('List 2'!D479),"")))</f>
        <v/>
      </c>
      <c r="G479" s="0" t="str">
        <f aca="false">IF(F479="","",SUMPRODUCT(--($F$2:F479=F479)))</f>
        <v/>
      </c>
      <c r="H479" s="0" t="str">
        <f aca="false">IF(F479="","",F479&amp;"#"&amp;G479)</f>
        <v/>
      </c>
      <c r="I479" s="0" t="str">
        <f aca="false">IF(F479="","",IFERROR(--'List 2'!B479,0))</f>
        <v/>
      </c>
      <c r="K479" s="0" t="str">
        <f aca="false">C479</f>
        <v/>
      </c>
      <c r="L479" s="0" t="str">
        <f aca="false">IF(K479="","",IF(ISNUMBER('List 1'!A479),'List 1'!A479,TRIM('List 1'!A479)))</f>
        <v/>
      </c>
      <c r="M479" s="0" t="str">
        <f aca="false">IF(K479="","",IF(ISNUMBER('List 1'!C479),'List 1'!C479,TRIM('List 1'!C479)))</f>
        <v/>
      </c>
      <c r="N479" s="0" t="str">
        <f aca="false">IF(K479="","",IF(ISNUMBER('List 1'!D479),'List 1'!D479,TRIM('List 1'!D479)))</f>
        <v/>
      </c>
      <c r="O479" s="0" t="str">
        <f aca="false">IF(K479="","",D479)</f>
        <v/>
      </c>
      <c r="P479" s="0" t="str">
        <f aca="false">IF(K479="","",IF(R479,SUMPRODUCT(--($H$2:$H$501=K479),$I$2:$I$501),0))</f>
        <v/>
      </c>
      <c r="Q479" s="0" t="str">
        <f aca="false">IF(K479="","",TRUE())</f>
        <v/>
      </c>
      <c r="R479" s="0" t="str">
        <f aca="false">IF(K479="","",SUMPRODUCT(--($H$2:$H$501=K479))&gt;0)</f>
        <v/>
      </c>
      <c r="S479" s="0" t="str">
        <f aca="false">IF(K479="","",IF(AND(Q479,R479),IF(O479=P479,"Match","Qty Different"),IF(Q479,"Only in List 1","Only in List 2")))</f>
        <v/>
      </c>
      <c r="T479" s="0" t="str">
        <f aca="false">IF(K479="","",IF(ISNUMBER(--L479),TEXT(--L479,"000000000000.000"),LOWER(L479)))</f>
        <v/>
      </c>
      <c r="U479" s="0" t="str">
        <f aca="false">IF(K479="","",IF(ISNUMBER(--M479),TEXT(--M479,"000000000000.000"),LOWER(M479)))</f>
        <v/>
      </c>
      <c r="V479" s="0" t="str">
        <f aca="false">IF(K479="","",LOWER(N479))</f>
        <v/>
      </c>
      <c r="W479" s="0" t="str">
        <f aca="false">IF(K479="","",B479)</f>
        <v/>
      </c>
      <c r="X479" s="0" t="str">
        <f aca="false">IF(K479="","",1+SUMPRODUCT(($K$2:$K$1001&lt;&gt;"")*(($T$2:$T$1001&lt;T479)+($T$2:$T$1001=T479)*(($U$2:$U$1001&lt;U479)+($U$2:$U$1001=U479)*(($V$2:$V$1001&lt;V479)+($V$2:$V$1001=V479)*(($W$2:$W$1001&lt;W479)+($W$2:$W$1001=W479)*(ROW($K$2:$K$1001)&lt;ROW(K479))))))))</f>
        <v/>
      </c>
    </row>
    <row r="480" customFormat="false" ht="15" hidden="false" customHeight="false" outlineLevel="0" collapsed="false">
      <c r="A480" s="0" t="str">
        <f aca="false">IF(TRIM('List 1'!A480&amp;'List 1'!C480&amp;'List 1'!D480)="","",LOWER(IF(OR(Comparison!$I$9="Item # + Part # + Description",Comparison!$I$9="Item # + Part #"),TRIM('List 1'!A480),"")&amp;"|"&amp;TRIM('List 1'!C480)&amp;"|"&amp;IF(OR(Comparison!$I$9="Item # + Part # + Description",Comparison!$I$9="Part # + Description"),TRIM('List 1'!D480),"")))</f>
        <v/>
      </c>
      <c r="B480" s="0" t="str">
        <f aca="false">IF(A480="","",SUMPRODUCT(--($A$2:A480=A480)))</f>
        <v/>
      </c>
      <c r="C480" s="0" t="str">
        <f aca="false">IF(A480="","",A480&amp;"#"&amp;B480)</f>
        <v/>
      </c>
      <c r="D480" s="0" t="str">
        <f aca="false">IF(A480="","",IFERROR(--'List 1'!B480,0))</f>
        <v/>
      </c>
      <c r="F480" s="0" t="str">
        <f aca="false">IF(TRIM('List 2'!A480&amp;'List 2'!C480&amp;'List 2'!D480)="","",LOWER(IF(OR(Comparison!$I$9="Item # + Part # + Description",Comparison!$I$9="Item # + Part #"),TRIM('List 2'!A480),"")&amp;"|"&amp;TRIM('List 2'!C480)&amp;"|"&amp;IF(OR(Comparison!$I$9="Item # + Part # + Description",Comparison!$I$9="Part # + Description"),TRIM('List 2'!D480),"")))</f>
        <v/>
      </c>
      <c r="G480" s="0" t="str">
        <f aca="false">IF(F480="","",SUMPRODUCT(--($F$2:F480=F480)))</f>
        <v/>
      </c>
      <c r="H480" s="0" t="str">
        <f aca="false">IF(F480="","",F480&amp;"#"&amp;G480)</f>
        <v/>
      </c>
      <c r="I480" s="0" t="str">
        <f aca="false">IF(F480="","",IFERROR(--'List 2'!B480,0))</f>
        <v/>
      </c>
      <c r="K480" s="0" t="str">
        <f aca="false">C480</f>
        <v/>
      </c>
      <c r="L480" s="0" t="str">
        <f aca="false">IF(K480="","",IF(ISNUMBER('List 1'!A480),'List 1'!A480,TRIM('List 1'!A480)))</f>
        <v/>
      </c>
      <c r="M480" s="0" t="str">
        <f aca="false">IF(K480="","",IF(ISNUMBER('List 1'!C480),'List 1'!C480,TRIM('List 1'!C480)))</f>
        <v/>
      </c>
      <c r="N480" s="0" t="str">
        <f aca="false">IF(K480="","",IF(ISNUMBER('List 1'!D480),'List 1'!D480,TRIM('List 1'!D480)))</f>
        <v/>
      </c>
      <c r="O480" s="0" t="str">
        <f aca="false">IF(K480="","",D480)</f>
        <v/>
      </c>
      <c r="P480" s="0" t="str">
        <f aca="false">IF(K480="","",IF(R480,SUMPRODUCT(--($H$2:$H$501=K480),$I$2:$I$501),0))</f>
        <v/>
      </c>
      <c r="Q480" s="0" t="str">
        <f aca="false">IF(K480="","",TRUE())</f>
        <v/>
      </c>
      <c r="R480" s="0" t="str">
        <f aca="false">IF(K480="","",SUMPRODUCT(--($H$2:$H$501=K480))&gt;0)</f>
        <v/>
      </c>
      <c r="S480" s="0" t="str">
        <f aca="false">IF(K480="","",IF(AND(Q480,R480),IF(O480=P480,"Match","Qty Different"),IF(Q480,"Only in List 1","Only in List 2")))</f>
        <v/>
      </c>
      <c r="T480" s="0" t="str">
        <f aca="false">IF(K480="","",IF(ISNUMBER(--L480),TEXT(--L480,"000000000000.000"),LOWER(L480)))</f>
        <v/>
      </c>
      <c r="U480" s="0" t="str">
        <f aca="false">IF(K480="","",IF(ISNUMBER(--M480),TEXT(--M480,"000000000000.000"),LOWER(M480)))</f>
        <v/>
      </c>
      <c r="V480" s="0" t="str">
        <f aca="false">IF(K480="","",LOWER(N480))</f>
        <v/>
      </c>
      <c r="W480" s="0" t="str">
        <f aca="false">IF(K480="","",B480)</f>
        <v/>
      </c>
      <c r="X480" s="0" t="str">
        <f aca="false">IF(K480="","",1+SUMPRODUCT(($K$2:$K$1001&lt;&gt;"")*(($T$2:$T$1001&lt;T480)+($T$2:$T$1001=T480)*(($U$2:$U$1001&lt;U480)+($U$2:$U$1001=U480)*(($V$2:$V$1001&lt;V480)+($V$2:$V$1001=V480)*(($W$2:$W$1001&lt;W480)+($W$2:$W$1001=W480)*(ROW($K$2:$K$1001)&lt;ROW(K480))))))))</f>
        <v/>
      </c>
    </row>
    <row r="481" customFormat="false" ht="15" hidden="false" customHeight="false" outlineLevel="0" collapsed="false">
      <c r="A481" s="0" t="str">
        <f aca="false">IF(TRIM('List 1'!A481&amp;'List 1'!C481&amp;'List 1'!D481)="","",LOWER(IF(OR(Comparison!$I$9="Item # + Part # + Description",Comparison!$I$9="Item # + Part #"),TRIM('List 1'!A481),"")&amp;"|"&amp;TRIM('List 1'!C481)&amp;"|"&amp;IF(OR(Comparison!$I$9="Item # + Part # + Description",Comparison!$I$9="Part # + Description"),TRIM('List 1'!D481),"")))</f>
        <v/>
      </c>
      <c r="B481" s="0" t="str">
        <f aca="false">IF(A481="","",SUMPRODUCT(--($A$2:A481=A481)))</f>
        <v/>
      </c>
      <c r="C481" s="0" t="str">
        <f aca="false">IF(A481="","",A481&amp;"#"&amp;B481)</f>
        <v/>
      </c>
      <c r="D481" s="0" t="str">
        <f aca="false">IF(A481="","",IFERROR(--'List 1'!B481,0))</f>
        <v/>
      </c>
      <c r="F481" s="0" t="str">
        <f aca="false">IF(TRIM('List 2'!A481&amp;'List 2'!C481&amp;'List 2'!D481)="","",LOWER(IF(OR(Comparison!$I$9="Item # + Part # + Description",Comparison!$I$9="Item # + Part #"),TRIM('List 2'!A481),"")&amp;"|"&amp;TRIM('List 2'!C481)&amp;"|"&amp;IF(OR(Comparison!$I$9="Item # + Part # + Description",Comparison!$I$9="Part # + Description"),TRIM('List 2'!D481),"")))</f>
        <v/>
      </c>
      <c r="G481" s="0" t="str">
        <f aca="false">IF(F481="","",SUMPRODUCT(--($F$2:F481=F481)))</f>
        <v/>
      </c>
      <c r="H481" s="0" t="str">
        <f aca="false">IF(F481="","",F481&amp;"#"&amp;G481)</f>
        <v/>
      </c>
      <c r="I481" s="0" t="str">
        <f aca="false">IF(F481="","",IFERROR(--'List 2'!B481,0))</f>
        <v/>
      </c>
      <c r="K481" s="0" t="str">
        <f aca="false">C481</f>
        <v/>
      </c>
      <c r="L481" s="0" t="str">
        <f aca="false">IF(K481="","",IF(ISNUMBER('List 1'!A481),'List 1'!A481,TRIM('List 1'!A481)))</f>
        <v/>
      </c>
      <c r="M481" s="0" t="str">
        <f aca="false">IF(K481="","",IF(ISNUMBER('List 1'!C481),'List 1'!C481,TRIM('List 1'!C481)))</f>
        <v/>
      </c>
      <c r="N481" s="0" t="str">
        <f aca="false">IF(K481="","",IF(ISNUMBER('List 1'!D481),'List 1'!D481,TRIM('List 1'!D481)))</f>
        <v/>
      </c>
      <c r="O481" s="0" t="str">
        <f aca="false">IF(K481="","",D481)</f>
        <v/>
      </c>
      <c r="P481" s="0" t="str">
        <f aca="false">IF(K481="","",IF(R481,SUMPRODUCT(--($H$2:$H$501=K481),$I$2:$I$501),0))</f>
        <v/>
      </c>
      <c r="Q481" s="0" t="str">
        <f aca="false">IF(K481="","",TRUE())</f>
        <v/>
      </c>
      <c r="R481" s="0" t="str">
        <f aca="false">IF(K481="","",SUMPRODUCT(--($H$2:$H$501=K481))&gt;0)</f>
        <v/>
      </c>
      <c r="S481" s="0" t="str">
        <f aca="false">IF(K481="","",IF(AND(Q481,R481),IF(O481=P481,"Match","Qty Different"),IF(Q481,"Only in List 1","Only in List 2")))</f>
        <v/>
      </c>
      <c r="T481" s="0" t="str">
        <f aca="false">IF(K481="","",IF(ISNUMBER(--L481),TEXT(--L481,"000000000000.000"),LOWER(L481)))</f>
        <v/>
      </c>
      <c r="U481" s="0" t="str">
        <f aca="false">IF(K481="","",IF(ISNUMBER(--M481),TEXT(--M481,"000000000000.000"),LOWER(M481)))</f>
        <v/>
      </c>
      <c r="V481" s="0" t="str">
        <f aca="false">IF(K481="","",LOWER(N481))</f>
        <v/>
      </c>
      <c r="W481" s="0" t="str">
        <f aca="false">IF(K481="","",B481)</f>
        <v/>
      </c>
      <c r="X481" s="0" t="str">
        <f aca="false">IF(K481="","",1+SUMPRODUCT(($K$2:$K$1001&lt;&gt;"")*(($T$2:$T$1001&lt;T481)+($T$2:$T$1001=T481)*(($U$2:$U$1001&lt;U481)+($U$2:$U$1001=U481)*(($V$2:$V$1001&lt;V481)+($V$2:$V$1001=V481)*(($W$2:$W$1001&lt;W481)+($W$2:$W$1001=W481)*(ROW($K$2:$K$1001)&lt;ROW(K481))))))))</f>
        <v/>
      </c>
    </row>
    <row r="482" customFormat="false" ht="15" hidden="false" customHeight="false" outlineLevel="0" collapsed="false">
      <c r="A482" s="0" t="str">
        <f aca="false">IF(TRIM('List 1'!A482&amp;'List 1'!C482&amp;'List 1'!D482)="","",LOWER(IF(OR(Comparison!$I$9="Item # + Part # + Description",Comparison!$I$9="Item # + Part #"),TRIM('List 1'!A482),"")&amp;"|"&amp;TRIM('List 1'!C482)&amp;"|"&amp;IF(OR(Comparison!$I$9="Item # + Part # + Description",Comparison!$I$9="Part # + Description"),TRIM('List 1'!D482),"")))</f>
        <v/>
      </c>
      <c r="B482" s="0" t="str">
        <f aca="false">IF(A482="","",SUMPRODUCT(--($A$2:A482=A482)))</f>
        <v/>
      </c>
      <c r="C482" s="0" t="str">
        <f aca="false">IF(A482="","",A482&amp;"#"&amp;B482)</f>
        <v/>
      </c>
      <c r="D482" s="0" t="str">
        <f aca="false">IF(A482="","",IFERROR(--'List 1'!B482,0))</f>
        <v/>
      </c>
      <c r="F482" s="0" t="str">
        <f aca="false">IF(TRIM('List 2'!A482&amp;'List 2'!C482&amp;'List 2'!D482)="","",LOWER(IF(OR(Comparison!$I$9="Item # + Part # + Description",Comparison!$I$9="Item # + Part #"),TRIM('List 2'!A482),"")&amp;"|"&amp;TRIM('List 2'!C482)&amp;"|"&amp;IF(OR(Comparison!$I$9="Item # + Part # + Description",Comparison!$I$9="Part # + Description"),TRIM('List 2'!D482),"")))</f>
        <v/>
      </c>
      <c r="G482" s="0" t="str">
        <f aca="false">IF(F482="","",SUMPRODUCT(--($F$2:F482=F482)))</f>
        <v/>
      </c>
      <c r="H482" s="0" t="str">
        <f aca="false">IF(F482="","",F482&amp;"#"&amp;G482)</f>
        <v/>
      </c>
      <c r="I482" s="0" t="str">
        <f aca="false">IF(F482="","",IFERROR(--'List 2'!B482,0))</f>
        <v/>
      </c>
      <c r="K482" s="0" t="str">
        <f aca="false">C482</f>
        <v/>
      </c>
      <c r="L482" s="0" t="str">
        <f aca="false">IF(K482="","",IF(ISNUMBER('List 1'!A482),'List 1'!A482,TRIM('List 1'!A482)))</f>
        <v/>
      </c>
      <c r="M482" s="0" t="str">
        <f aca="false">IF(K482="","",IF(ISNUMBER('List 1'!C482),'List 1'!C482,TRIM('List 1'!C482)))</f>
        <v/>
      </c>
      <c r="N482" s="0" t="str">
        <f aca="false">IF(K482="","",IF(ISNUMBER('List 1'!D482),'List 1'!D482,TRIM('List 1'!D482)))</f>
        <v/>
      </c>
      <c r="O482" s="0" t="str">
        <f aca="false">IF(K482="","",D482)</f>
        <v/>
      </c>
      <c r="P482" s="0" t="str">
        <f aca="false">IF(K482="","",IF(R482,SUMPRODUCT(--($H$2:$H$501=K482),$I$2:$I$501),0))</f>
        <v/>
      </c>
      <c r="Q482" s="0" t="str">
        <f aca="false">IF(K482="","",TRUE())</f>
        <v/>
      </c>
      <c r="R482" s="0" t="str">
        <f aca="false">IF(K482="","",SUMPRODUCT(--($H$2:$H$501=K482))&gt;0)</f>
        <v/>
      </c>
      <c r="S482" s="0" t="str">
        <f aca="false">IF(K482="","",IF(AND(Q482,R482),IF(O482=P482,"Match","Qty Different"),IF(Q482,"Only in List 1","Only in List 2")))</f>
        <v/>
      </c>
      <c r="T482" s="0" t="str">
        <f aca="false">IF(K482="","",IF(ISNUMBER(--L482),TEXT(--L482,"000000000000.000"),LOWER(L482)))</f>
        <v/>
      </c>
      <c r="U482" s="0" t="str">
        <f aca="false">IF(K482="","",IF(ISNUMBER(--M482),TEXT(--M482,"000000000000.000"),LOWER(M482)))</f>
        <v/>
      </c>
      <c r="V482" s="0" t="str">
        <f aca="false">IF(K482="","",LOWER(N482))</f>
        <v/>
      </c>
      <c r="W482" s="0" t="str">
        <f aca="false">IF(K482="","",B482)</f>
        <v/>
      </c>
      <c r="X482" s="0" t="str">
        <f aca="false">IF(K482="","",1+SUMPRODUCT(($K$2:$K$1001&lt;&gt;"")*(($T$2:$T$1001&lt;T482)+($T$2:$T$1001=T482)*(($U$2:$U$1001&lt;U482)+($U$2:$U$1001=U482)*(($V$2:$V$1001&lt;V482)+($V$2:$V$1001=V482)*(($W$2:$W$1001&lt;W482)+($W$2:$W$1001=W482)*(ROW($K$2:$K$1001)&lt;ROW(K482))))))))</f>
        <v/>
      </c>
    </row>
    <row r="483" customFormat="false" ht="15" hidden="false" customHeight="false" outlineLevel="0" collapsed="false">
      <c r="A483" s="0" t="str">
        <f aca="false">IF(TRIM('List 1'!A483&amp;'List 1'!C483&amp;'List 1'!D483)="","",LOWER(IF(OR(Comparison!$I$9="Item # + Part # + Description",Comparison!$I$9="Item # + Part #"),TRIM('List 1'!A483),"")&amp;"|"&amp;TRIM('List 1'!C483)&amp;"|"&amp;IF(OR(Comparison!$I$9="Item # + Part # + Description",Comparison!$I$9="Part # + Description"),TRIM('List 1'!D483),"")))</f>
        <v/>
      </c>
      <c r="B483" s="0" t="str">
        <f aca="false">IF(A483="","",SUMPRODUCT(--($A$2:A483=A483)))</f>
        <v/>
      </c>
      <c r="C483" s="0" t="str">
        <f aca="false">IF(A483="","",A483&amp;"#"&amp;B483)</f>
        <v/>
      </c>
      <c r="D483" s="0" t="str">
        <f aca="false">IF(A483="","",IFERROR(--'List 1'!B483,0))</f>
        <v/>
      </c>
      <c r="F483" s="0" t="str">
        <f aca="false">IF(TRIM('List 2'!A483&amp;'List 2'!C483&amp;'List 2'!D483)="","",LOWER(IF(OR(Comparison!$I$9="Item # + Part # + Description",Comparison!$I$9="Item # + Part #"),TRIM('List 2'!A483),"")&amp;"|"&amp;TRIM('List 2'!C483)&amp;"|"&amp;IF(OR(Comparison!$I$9="Item # + Part # + Description",Comparison!$I$9="Part # + Description"),TRIM('List 2'!D483),"")))</f>
        <v/>
      </c>
      <c r="G483" s="0" t="str">
        <f aca="false">IF(F483="","",SUMPRODUCT(--($F$2:F483=F483)))</f>
        <v/>
      </c>
      <c r="H483" s="0" t="str">
        <f aca="false">IF(F483="","",F483&amp;"#"&amp;G483)</f>
        <v/>
      </c>
      <c r="I483" s="0" t="str">
        <f aca="false">IF(F483="","",IFERROR(--'List 2'!B483,0))</f>
        <v/>
      </c>
      <c r="K483" s="0" t="str">
        <f aca="false">C483</f>
        <v/>
      </c>
      <c r="L483" s="0" t="str">
        <f aca="false">IF(K483="","",IF(ISNUMBER('List 1'!A483),'List 1'!A483,TRIM('List 1'!A483)))</f>
        <v/>
      </c>
      <c r="M483" s="0" t="str">
        <f aca="false">IF(K483="","",IF(ISNUMBER('List 1'!C483),'List 1'!C483,TRIM('List 1'!C483)))</f>
        <v/>
      </c>
      <c r="N483" s="0" t="str">
        <f aca="false">IF(K483="","",IF(ISNUMBER('List 1'!D483),'List 1'!D483,TRIM('List 1'!D483)))</f>
        <v/>
      </c>
      <c r="O483" s="0" t="str">
        <f aca="false">IF(K483="","",D483)</f>
        <v/>
      </c>
      <c r="P483" s="0" t="str">
        <f aca="false">IF(K483="","",IF(R483,SUMPRODUCT(--($H$2:$H$501=K483),$I$2:$I$501),0))</f>
        <v/>
      </c>
      <c r="Q483" s="0" t="str">
        <f aca="false">IF(K483="","",TRUE())</f>
        <v/>
      </c>
      <c r="R483" s="0" t="str">
        <f aca="false">IF(K483="","",SUMPRODUCT(--($H$2:$H$501=K483))&gt;0)</f>
        <v/>
      </c>
      <c r="S483" s="0" t="str">
        <f aca="false">IF(K483="","",IF(AND(Q483,R483),IF(O483=P483,"Match","Qty Different"),IF(Q483,"Only in List 1","Only in List 2")))</f>
        <v/>
      </c>
      <c r="T483" s="0" t="str">
        <f aca="false">IF(K483="","",IF(ISNUMBER(--L483),TEXT(--L483,"000000000000.000"),LOWER(L483)))</f>
        <v/>
      </c>
      <c r="U483" s="0" t="str">
        <f aca="false">IF(K483="","",IF(ISNUMBER(--M483),TEXT(--M483,"000000000000.000"),LOWER(M483)))</f>
        <v/>
      </c>
      <c r="V483" s="0" t="str">
        <f aca="false">IF(K483="","",LOWER(N483))</f>
        <v/>
      </c>
      <c r="W483" s="0" t="str">
        <f aca="false">IF(K483="","",B483)</f>
        <v/>
      </c>
      <c r="X483" s="0" t="str">
        <f aca="false">IF(K483="","",1+SUMPRODUCT(($K$2:$K$1001&lt;&gt;"")*(($T$2:$T$1001&lt;T483)+($T$2:$T$1001=T483)*(($U$2:$U$1001&lt;U483)+($U$2:$U$1001=U483)*(($V$2:$V$1001&lt;V483)+($V$2:$V$1001=V483)*(($W$2:$W$1001&lt;W483)+($W$2:$W$1001=W483)*(ROW($K$2:$K$1001)&lt;ROW(K483))))))))</f>
        <v/>
      </c>
    </row>
    <row r="484" customFormat="false" ht="15" hidden="false" customHeight="false" outlineLevel="0" collapsed="false">
      <c r="A484" s="0" t="str">
        <f aca="false">IF(TRIM('List 1'!A484&amp;'List 1'!C484&amp;'List 1'!D484)="","",LOWER(IF(OR(Comparison!$I$9="Item # + Part # + Description",Comparison!$I$9="Item # + Part #"),TRIM('List 1'!A484),"")&amp;"|"&amp;TRIM('List 1'!C484)&amp;"|"&amp;IF(OR(Comparison!$I$9="Item # + Part # + Description",Comparison!$I$9="Part # + Description"),TRIM('List 1'!D484),"")))</f>
        <v/>
      </c>
      <c r="B484" s="0" t="str">
        <f aca="false">IF(A484="","",SUMPRODUCT(--($A$2:A484=A484)))</f>
        <v/>
      </c>
      <c r="C484" s="0" t="str">
        <f aca="false">IF(A484="","",A484&amp;"#"&amp;B484)</f>
        <v/>
      </c>
      <c r="D484" s="0" t="str">
        <f aca="false">IF(A484="","",IFERROR(--'List 1'!B484,0))</f>
        <v/>
      </c>
      <c r="F484" s="0" t="str">
        <f aca="false">IF(TRIM('List 2'!A484&amp;'List 2'!C484&amp;'List 2'!D484)="","",LOWER(IF(OR(Comparison!$I$9="Item # + Part # + Description",Comparison!$I$9="Item # + Part #"),TRIM('List 2'!A484),"")&amp;"|"&amp;TRIM('List 2'!C484)&amp;"|"&amp;IF(OR(Comparison!$I$9="Item # + Part # + Description",Comparison!$I$9="Part # + Description"),TRIM('List 2'!D484),"")))</f>
        <v/>
      </c>
      <c r="G484" s="0" t="str">
        <f aca="false">IF(F484="","",SUMPRODUCT(--($F$2:F484=F484)))</f>
        <v/>
      </c>
      <c r="H484" s="0" t="str">
        <f aca="false">IF(F484="","",F484&amp;"#"&amp;G484)</f>
        <v/>
      </c>
      <c r="I484" s="0" t="str">
        <f aca="false">IF(F484="","",IFERROR(--'List 2'!B484,0))</f>
        <v/>
      </c>
      <c r="K484" s="0" t="str">
        <f aca="false">C484</f>
        <v/>
      </c>
      <c r="L484" s="0" t="str">
        <f aca="false">IF(K484="","",IF(ISNUMBER('List 1'!A484),'List 1'!A484,TRIM('List 1'!A484)))</f>
        <v/>
      </c>
      <c r="M484" s="0" t="str">
        <f aca="false">IF(K484="","",IF(ISNUMBER('List 1'!C484),'List 1'!C484,TRIM('List 1'!C484)))</f>
        <v/>
      </c>
      <c r="N484" s="0" t="str">
        <f aca="false">IF(K484="","",IF(ISNUMBER('List 1'!D484),'List 1'!D484,TRIM('List 1'!D484)))</f>
        <v/>
      </c>
      <c r="O484" s="0" t="str">
        <f aca="false">IF(K484="","",D484)</f>
        <v/>
      </c>
      <c r="P484" s="0" t="str">
        <f aca="false">IF(K484="","",IF(R484,SUMPRODUCT(--($H$2:$H$501=K484),$I$2:$I$501),0))</f>
        <v/>
      </c>
      <c r="Q484" s="0" t="str">
        <f aca="false">IF(K484="","",TRUE())</f>
        <v/>
      </c>
      <c r="R484" s="0" t="str">
        <f aca="false">IF(K484="","",SUMPRODUCT(--($H$2:$H$501=K484))&gt;0)</f>
        <v/>
      </c>
      <c r="S484" s="0" t="str">
        <f aca="false">IF(K484="","",IF(AND(Q484,R484),IF(O484=P484,"Match","Qty Different"),IF(Q484,"Only in List 1","Only in List 2")))</f>
        <v/>
      </c>
      <c r="T484" s="0" t="str">
        <f aca="false">IF(K484="","",IF(ISNUMBER(--L484),TEXT(--L484,"000000000000.000"),LOWER(L484)))</f>
        <v/>
      </c>
      <c r="U484" s="0" t="str">
        <f aca="false">IF(K484="","",IF(ISNUMBER(--M484),TEXT(--M484,"000000000000.000"),LOWER(M484)))</f>
        <v/>
      </c>
      <c r="V484" s="0" t="str">
        <f aca="false">IF(K484="","",LOWER(N484))</f>
        <v/>
      </c>
      <c r="W484" s="0" t="str">
        <f aca="false">IF(K484="","",B484)</f>
        <v/>
      </c>
      <c r="X484" s="0" t="str">
        <f aca="false">IF(K484="","",1+SUMPRODUCT(($K$2:$K$1001&lt;&gt;"")*(($T$2:$T$1001&lt;T484)+($T$2:$T$1001=T484)*(($U$2:$U$1001&lt;U484)+($U$2:$U$1001=U484)*(($V$2:$V$1001&lt;V484)+($V$2:$V$1001=V484)*(($W$2:$W$1001&lt;W484)+($W$2:$W$1001=W484)*(ROW($K$2:$K$1001)&lt;ROW(K484))))))))</f>
        <v/>
      </c>
    </row>
    <row r="485" customFormat="false" ht="15" hidden="false" customHeight="false" outlineLevel="0" collapsed="false">
      <c r="A485" s="0" t="str">
        <f aca="false">IF(TRIM('List 1'!A485&amp;'List 1'!C485&amp;'List 1'!D485)="","",LOWER(IF(OR(Comparison!$I$9="Item # + Part # + Description",Comparison!$I$9="Item # + Part #"),TRIM('List 1'!A485),"")&amp;"|"&amp;TRIM('List 1'!C485)&amp;"|"&amp;IF(OR(Comparison!$I$9="Item # + Part # + Description",Comparison!$I$9="Part # + Description"),TRIM('List 1'!D485),"")))</f>
        <v/>
      </c>
      <c r="B485" s="0" t="str">
        <f aca="false">IF(A485="","",SUMPRODUCT(--($A$2:A485=A485)))</f>
        <v/>
      </c>
      <c r="C485" s="0" t="str">
        <f aca="false">IF(A485="","",A485&amp;"#"&amp;B485)</f>
        <v/>
      </c>
      <c r="D485" s="0" t="str">
        <f aca="false">IF(A485="","",IFERROR(--'List 1'!B485,0))</f>
        <v/>
      </c>
      <c r="F485" s="0" t="str">
        <f aca="false">IF(TRIM('List 2'!A485&amp;'List 2'!C485&amp;'List 2'!D485)="","",LOWER(IF(OR(Comparison!$I$9="Item # + Part # + Description",Comparison!$I$9="Item # + Part #"),TRIM('List 2'!A485),"")&amp;"|"&amp;TRIM('List 2'!C485)&amp;"|"&amp;IF(OR(Comparison!$I$9="Item # + Part # + Description",Comparison!$I$9="Part # + Description"),TRIM('List 2'!D485),"")))</f>
        <v/>
      </c>
      <c r="G485" s="0" t="str">
        <f aca="false">IF(F485="","",SUMPRODUCT(--($F$2:F485=F485)))</f>
        <v/>
      </c>
      <c r="H485" s="0" t="str">
        <f aca="false">IF(F485="","",F485&amp;"#"&amp;G485)</f>
        <v/>
      </c>
      <c r="I485" s="0" t="str">
        <f aca="false">IF(F485="","",IFERROR(--'List 2'!B485,0))</f>
        <v/>
      </c>
      <c r="K485" s="0" t="str">
        <f aca="false">C485</f>
        <v/>
      </c>
      <c r="L485" s="0" t="str">
        <f aca="false">IF(K485="","",IF(ISNUMBER('List 1'!A485),'List 1'!A485,TRIM('List 1'!A485)))</f>
        <v/>
      </c>
      <c r="M485" s="0" t="str">
        <f aca="false">IF(K485="","",IF(ISNUMBER('List 1'!C485),'List 1'!C485,TRIM('List 1'!C485)))</f>
        <v/>
      </c>
      <c r="N485" s="0" t="str">
        <f aca="false">IF(K485="","",IF(ISNUMBER('List 1'!D485),'List 1'!D485,TRIM('List 1'!D485)))</f>
        <v/>
      </c>
      <c r="O485" s="0" t="str">
        <f aca="false">IF(K485="","",D485)</f>
        <v/>
      </c>
      <c r="P485" s="0" t="str">
        <f aca="false">IF(K485="","",IF(R485,SUMPRODUCT(--($H$2:$H$501=K485),$I$2:$I$501),0))</f>
        <v/>
      </c>
      <c r="Q485" s="0" t="str">
        <f aca="false">IF(K485="","",TRUE())</f>
        <v/>
      </c>
      <c r="R485" s="0" t="str">
        <f aca="false">IF(K485="","",SUMPRODUCT(--($H$2:$H$501=K485))&gt;0)</f>
        <v/>
      </c>
      <c r="S485" s="0" t="str">
        <f aca="false">IF(K485="","",IF(AND(Q485,R485),IF(O485=P485,"Match","Qty Different"),IF(Q485,"Only in List 1","Only in List 2")))</f>
        <v/>
      </c>
      <c r="T485" s="0" t="str">
        <f aca="false">IF(K485="","",IF(ISNUMBER(--L485),TEXT(--L485,"000000000000.000"),LOWER(L485)))</f>
        <v/>
      </c>
      <c r="U485" s="0" t="str">
        <f aca="false">IF(K485="","",IF(ISNUMBER(--M485),TEXT(--M485,"000000000000.000"),LOWER(M485)))</f>
        <v/>
      </c>
      <c r="V485" s="0" t="str">
        <f aca="false">IF(K485="","",LOWER(N485))</f>
        <v/>
      </c>
      <c r="W485" s="0" t="str">
        <f aca="false">IF(K485="","",B485)</f>
        <v/>
      </c>
      <c r="X485" s="0" t="str">
        <f aca="false">IF(K485="","",1+SUMPRODUCT(($K$2:$K$1001&lt;&gt;"")*(($T$2:$T$1001&lt;T485)+($T$2:$T$1001=T485)*(($U$2:$U$1001&lt;U485)+($U$2:$U$1001=U485)*(($V$2:$V$1001&lt;V485)+($V$2:$V$1001=V485)*(($W$2:$W$1001&lt;W485)+($W$2:$W$1001=W485)*(ROW($K$2:$K$1001)&lt;ROW(K485))))))))</f>
        <v/>
      </c>
    </row>
    <row r="486" customFormat="false" ht="15" hidden="false" customHeight="false" outlineLevel="0" collapsed="false">
      <c r="A486" s="0" t="str">
        <f aca="false">IF(TRIM('List 1'!A486&amp;'List 1'!C486&amp;'List 1'!D486)="","",LOWER(IF(OR(Comparison!$I$9="Item # + Part # + Description",Comparison!$I$9="Item # + Part #"),TRIM('List 1'!A486),"")&amp;"|"&amp;TRIM('List 1'!C486)&amp;"|"&amp;IF(OR(Comparison!$I$9="Item # + Part # + Description",Comparison!$I$9="Part # + Description"),TRIM('List 1'!D486),"")))</f>
        <v/>
      </c>
      <c r="B486" s="0" t="str">
        <f aca="false">IF(A486="","",SUMPRODUCT(--($A$2:A486=A486)))</f>
        <v/>
      </c>
      <c r="C486" s="0" t="str">
        <f aca="false">IF(A486="","",A486&amp;"#"&amp;B486)</f>
        <v/>
      </c>
      <c r="D486" s="0" t="str">
        <f aca="false">IF(A486="","",IFERROR(--'List 1'!B486,0))</f>
        <v/>
      </c>
      <c r="F486" s="0" t="str">
        <f aca="false">IF(TRIM('List 2'!A486&amp;'List 2'!C486&amp;'List 2'!D486)="","",LOWER(IF(OR(Comparison!$I$9="Item # + Part # + Description",Comparison!$I$9="Item # + Part #"),TRIM('List 2'!A486),"")&amp;"|"&amp;TRIM('List 2'!C486)&amp;"|"&amp;IF(OR(Comparison!$I$9="Item # + Part # + Description",Comparison!$I$9="Part # + Description"),TRIM('List 2'!D486),"")))</f>
        <v/>
      </c>
      <c r="G486" s="0" t="str">
        <f aca="false">IF(F486="","",SUMPRODUCT(--($F$2:F486=F486)))</f>
        <v/>
      </c>
      <c r="H486" s="0" t="str">
        <f aca="false">IF(F486="","",F486&amp;"#"&amp;G486)</f>
        <v/>
      </c>
      <c r="I486" s="0" t="str">
        <f aca="false">IF(F486="","",IFERROR(--'List 2'!B486,0))</f>
        <v/>
      </c>
      <c r="K486" s="0" t="str">
        <f aca="false">C486</f>
        <v/>
      </c>
      <c r="L486" s="0" t="str">
        <f aca="false">IF(K486="","",IF(ISNUMBER('List 1'!A486),'List 1'!A486,TRIM('List 1'!A486)))</f>
        <v/>
      </c>
      <c r="M486" s="0" t="str">
        <f aca="false">IF(K486="","",IF(ISNUMBER('List 1'!C486),'List 1'!C486,TRIM('List 1'!C486)))</f>
        <v/>
      </c>
      <c r="N486" s="0" t="str">
        <f aca="false">IF(K486="","",IF(ISNUMBER('List 1'!D486),'List 1'!D486,TRIM('List 1'!D486)))</f>
        <v/>
      </c>
      <c r="O486" s="0" t="str">
        <f aca="false">IF(K486="","",D486)</f>
        <v/>
      </c>
      <c r="P486" s="0" t="str">
        <f aca="false">IF(K486="","",IF(R486,SUMPRODUCT(--($H$2:$H$501=K486),$I$2:$I$501),0))</f>
        <v/>
      </c>
      <c r="Q486" s="0" t="str">
        <f aca="false">IF(K486="","",TRUE())</f>
        <v/>
      </c>
      <c r="R486" s="0" t="str">
        <f aca="false">IF(K486="","",SUMPRODUCT(--($H$2:$H$501=K486))&gt;0)</f>
        <v/>
      </c>
      <c r="S486" s="0" t="str">
        <f aca="false">IF(K486="","",IF(AND(Q486,R486),IF(O486=P486,"Match","Qty Different"),IF(Q486,"Only in List 1","Only in List 2")))</f>
        <v/>
      </c>
      <c r="T486" s="0" t="str">
        <f aca="false">IF(K486="","",IF(ISNUMBER(--L486),TEXT(--L486,"000000000000.000"),LOWER(L486)))</f>
        <v/>
      </c>
      <c r="U486" s="0" t="str">
        <f aca="false">IF(K486="","",IF(ISNUMBER(--M486),TEXT(--M486,"000000000000.000"),LOWER(M486)))</f>
        <v/>
      </c>
      <c r="V486" s="0" t="str">
        <f aca="false">IF(K486="","",LOWER(N486))</f>
        <v/>
      </c>
      <c r="W486" s="0" t="str">
        <f aca="false">IF(K486="","",B486)</f>
        <v/>
      </c>
      <c r="X486" s="0" t="str">
        <f aca="false">IF(K486="","",1+SUMPRODUCT(($K$2:$K$1001&lt;&gt;"")*(($T$2:$T$1001&lt;T486)+($T$2:$T$1001=T486)*(($U$2:$U$1001&lt;U486)+($U$2:$U$1001=U486)*(($V$2:$V$1001&lt;V486)+($V$2:$V$1001=V486)*(($W$2:$W$1001&lt;W486)+($W$2:$W$1001=W486)*(ROW($K$2:$K$1001)&lt;ROW(K486))))))))</f>
        <v/>
      </c>
    </row>
    <row r="487" customFormat="false" ht="15" hidden="false" customHeight="false" outlineLevel="0" collapsed="false">
      <c r="A487" s="0" t="str">
        <f aca="false">IF(TRIM('List 1'!A487&amp;'List 1'!C487&amp;'List 1'!D487)="","",LOWER(IF(OR(Comparison!$I$9="Item # + Part # + Description",Comparison!$I$9="Item # + Part #"),TRIM('List 1'!A487),"")&amp;"|"&amp;TRIM('List 1'!C487)&amp;"|"&amp;IF(OR(Comparison!$I$9="Item # + Part # + Description",Comparison!$I$9="Part # + Description"),TRIM('List 1'!D487),"")))</f>
        <v/>
      </c>
      <c r="B487" s="0" t="str">
        <f aca="false">IF(A487="","",SUMPRODUCT(--($A$2:A487=A487)))</f>
        <v/>
      </c>
      <c r="C487" s="0" t="str">
        <f aca="false">IF(A487="","",A487&amp;"#"&amp;B487)</f>
        <v/>
      </c>
      <c r="D487" s="0" t="str">
        <f aca="false">IF(A487="","",IFERROR(--'List 1'!B487,0))</f>
        <v/>
      </c>
      <c r="F487" s="0" t="str">
        <f aca="false">IF(TRIM('List 2'!A487&amp;'List 2'!C487&amp;'List 2'!D487)="","",LOWER(IF(OR(Comparison!$I$9="Item # + Part # + Description",Comparison!$I$9="Item # + Part #"),TRIM('List 2'!A487),"")&amp;"|"&amp;TRIM('List 2'!C487)&amp;"|"&amp;IF(OR(Comparison!$I$9="Item # + Part # + Description",Comparison!$I$9="Part # + Description"),TRIM('List 2'!D487),"")))</f>
        <v/>
      </c>
      <c r="G487" s="0" t="str">
        <f aca="false">IF(F487="","",SUMPRODUCT(--($F$2:F487=F487)))</f>
        <v/>
      </c>
      <c r="H487" s="0" t="str">
        <f aca="false">IF(F487="","",F487&amp;"#"&amp;G487)</f>
        <v/>
      </c>
      <c r="I487" s="0" t="str">
        <f aca="false">IF(F487="","",IFERROR(--'List 2'!B487,0))</f>
        <v/>
      </c>
      <c r="K487" s="0" t="str">
        <f aca="false">C487</f>
        <v/>
      </c>
      <c r="L487" s="0" t="str">
        <f aca="false">IF(K487="","",IF(ISNUMBER('List 1'!A487),'List 1'!A487,TRIM('List 1'!A487)))</f>
        <v/>
      </c>
      <c r="M487" s="0" t="str">
        <f aca="false">IF(K487="","",IF(ISNUMBER('List 1'!C487),'List 1'!C487,TRIM('List 1'!C487)))</f>
        <v/>
      </c>
      <c r="N487" s="0" t="str">
        <f aca="false">IF(K487="","",IF(ISNUMBER('List 1'!D487),'List 1'!D487,TRIM('List 1'!D487)))</f>
        <v/>
      </c>
      <c r="O487" s="0" t="str">
        <f aca="false">IF(K487="","",D487)</f>
        <v/>
      </c>
      <c r="P487" s="0" t="str">
        <f aca="false">IF(K487="","",IF(R487,SUMPRODUCT(--($H$2:$H$501=K487),$I$2:$I$501),0))</f>
        <v/>
      </c>
      <c r="Q487" s="0" t="str">
        <f aca="false">IF(K487="","",TRUE())</f>
        <v/>
      </c>
      <c r="R487" s="0" t="str">
        <f aca="false">IF(K487="","",SUMPRODUCT(--($H$2:$H$501=K487))&gt;0)</f>
        <v/>
      </c>
      <c r="S487" s="0" t="str">
        <f aca="false">IF(K487="","",IF(AND(Q487,R487),IF(O487=P487,"Match","Qty Different"),IF(Q487,"Only in List 1","Only in List 2")))</f>
        <v/>
      </c>
      <c r="T487" s="0" t="str">
        <f aca="false">IF(K487="","",IF(ISNUMBER(--L487),TEXT(--L487,"000000000000.000"),LOWER(L487)))</f>
        <v/>
      </c>
      <c r="U487" s="0" t="str">
        <f aca="false">IF(K487="","",IF(ISNUMBER(--M487),TEXT(--M487,"000000000000.000"),LOWER(M487)))</f>
        <v/>
      </c>
      <c r="V487" s="0" t="str">
        <f aca="false">IF(K487="","",LOWER(N487))</f>
        <v/>
      </c>
      <c r="W487" s="0" t="str">
        <f aca="false">IF(K487="","",B487)</f>
        <v/>
      </c>
      <c r="X487" s="0" t="str">
        <f aca="false">IF(K487="","",1+SUMPRODUCT(($K$2:$K$1001&lt;&gt;"")*(($T$2:$T$1001&lt;T487)+($T$2:$T$1001=T487)*(($U$2:$U$1001&lt;U487)+($U$2:$U$1001=U487)*(($V$2:$V$1001&lt;V487)+($V$2:$V$1001=V487)*(($W$2:$W$1001&lt;W487)+($W$2:$W$1001=W487)*(ROW($K$2:$K$1001)&lt;ROW(K487))))))))</f>
        <v/>
      </c>
    </row>
    <row r="488" customFormat="false" ht="15" hidden="false" customHeight="false" outlineLevel="0" collapsed="false">
      <c r="A488" s="0" t="str">
        <f aca="false">IF(TRIM('List 1'!A488&amp;'List 1'!C488&amp;'List 1'!D488)="","",LOWER(IF(OR(Comparison!$I$9="Item # + Part # + Description",Comparison!$I$9="Item # + Part #"),TRIM('List 1'!A488),"")&amp;"|"&amp;TRIM('List 1'!C488)&amp;"|"&amp;IF(OR(Comparison!$I$9="Item # + Part # + Description",Comparison!$I$9="Part # + Description"),TRIM('List 1'!D488),"")))</f>
        <v/>
      </c>
      <c r="B488" s="0" t="str">
        <f aca="false">IF(A488="","",SUMPRODUCT(--($A$2:A488=A488)))</f>
        <v/>
      </c>
      <c r="C488" s="0" t="str">
        <f aca="false">IF(A488="","",A488&amp;"#"&amp;B488)</f>
        <v/>
      </c>
      <c r="D488" s="0" t="str">
        <f aca="false">IF(A488="","",IFERROR(--'List 1'!B488,0))</f>
        <v/>
      </c>
      <c r="F488" s="0" t="str">
        <f aca="false">IF(TRIM('List 2'!A488&amp;'List 2'!C488&amp;'List 2'!D488)="","",LOWER(IF(OR(Comparison!$I$9="Item # + Part # + Description",Comparison!$I$9="Item # + Part #"),TRIM('List 2'!A488),"")&amp;"|"&amp;TRIM('List 2'!C488)&amp;"|"&amp;IF(OR(Comparison!$I$9="Item # + Part # + Description",Comparison!$I$9="Part # + Description"),TRIM('List 2'!D488),"")))</f>
        <v/>
      </c>
      <c r="G488" s="0" t="str">
        <f aca="false">IF(F488="","",SUMPRODUCT(--($F$2:F488=F488)))</f>
        <v/>
      </c>
      <c r="H488" s="0" t="str">
        <f aca="false">IF(F488="","",F488&amp;"#"&amp;G488)</f>
        <v/>
      </c>
      <c r="I488" s="0" t="str">
        <f aca="false">IF(F488="","",IFERROR(--'List 2'!B488,0))</f>
        <v/>
      </c>
      <c r="K488" s="0" t="str">
        <f aca="false">C488</f>
        <v/>
      </c>
      <c r="L488" s="0" t="str">
        <f aca="false">IF(K488="","",IF(ISNUMBER('List 1'!A488),'List 1'!A488,TRIM('List 1'!A488)))</f>
        <v/>
      </c>
      <c r="M488" s="0" t="str">
        <f aca="false">IF(K488="","",IF(ISNUMBER('List 1'!C488),'List 1'!C488,TRIM('List 1'!C488)))</f>
        <v/>
      </c>
      <c r="N488" s="0" t="str">
        <f aca="false">IF(K488="","",IF(ISNUMBER('List 1'!D488),'List 1'!D488,TRIM('List 1'!D488)))</f>
        <v/>
      </c>
      <c r="O488" s="0" t="str">
        <f aca="false">IF(K488="","",D488)</f>
        <v/>
      </c>
      <c r="P488" s="0" t="str">
        <f aca="false">IF(K488="","",IF(R488,SUMPRODUCT(--($H$2:$H$501=K488),$I$2:$I$501),0))</f>
        <v/>
      </c>
      <c r="Q488" s="0" t="str">
        <f aca="false">IF(K488="","",TRUE())</f>
        <v/>
      </c>
      <c r="R488" s="0" t="str">
        <f aca="false">IF(K488="","",SUMPRODUCT(--($H$2:$H$501=K488))&gt;0)</f>
        <v/>
      </c>
      <c r="S488" s="0" t="str">
        <f aca="false">IF(K488="","",IF(AND(Q488,R488),IF(O488=P488,"Match","Qty Different"),IF(Q488,"Only in List 1","Only in List 2")))</f>
        <v/>
      </c>
      <c r="T488" s="0" t="str">
        <f aca="false">IF(K488="","",IF(ISNUMBER(--L488),TEXT(--L488,"000000000000.000"),LOWER(L488)))</f>
        <v/>
      </c>
      <c r="U488" s="0" t="str">
        <f aca="false">IF(K488="","",IF(ISNUMBER(--M488),TEXT(--M488,"000000000000.000"),LOWER(M488)))</f>
        <v/>
      </c>
      <c r="V488" s="0" t="str">
        <f aca="false">IF(K488="","",LOWER(N488))</f>
        <v/>
      </c>
      <c r="W488" s="0" t="str">
        <f aca="false">IF(K488="","",B488)</f>
        <v/>
      </c>
      <c r="X488" s="0" t="str">
        <f aca="false">IF(K488="","",1+SUMPRODUCT(($K$2:$K$1001&lt;&gt;"")*(($T$2:$T$1001&lt;T488)+($T$2:$T$1001=T488)*(($U$2:$U$1001&lt;U488)+($U$2:$U$1001=U488)*(($V$2:$V$1001&lt;V488)+($V$2:$V$1001=V488)*(($W$2:$W$1001&lt;W488)+($W$2:$W$1001=W488)*(ROW($K$2:$K$1001)&lt;ROW(K488))))))))</f>
        <v/>
      </c>
    </row>
    <row r="489" customFormat="false" ht="15" hidden="false" customHeight="false" outlineLevel="0" collapsed="false">
      <c r="A489" s="0" t="str">
        <f aca="false">IF(TRIM('List 1'!A489&amp;'List 1'!C489&amp;'List 1'!D489)="","",LOWER(IF(OR(Comparison!$I$9="Item # + Part # + Description",Comparison!$I$9="Item # + Part #"),TRIM('List 1'!A489),"")&amp;"|"&amp;TRIM('List 1'!C489)&amp;"|"&amp;IF(OR(Comparison!$I$9="Item # + Part # + Description",Comparison!$I$9="Part # + Description"),TRIM('List 1'!D489),"")))</f>
        <v/>
      </c>
      <c r="B489" s="0" t="str">
        <f aca="false">IF(A489="","",SUMPRODUCT(--($A$2:A489=A489)))</f>
        <v/>
      </c>
      <c r="C489" s="0" t="str">
        <f aca="false">IF(A489="","",A489&amp;"#"&amp;B489)</f>
        <v/>
      </c>
      <c r="D489" s="0" t="str">
        <f aca="false">IF(A489="","",IFERROR(--'List 1'!B489,0))</f>
        <v/>
      </c>
      <c r="F489" s="0" t="str">
        <f aca="false">IF(TRIM('List 2'!A489&amp;'List 2'!C489&amp;'List 2'!D489)="","",LOWER(IF(OR(Comparison!$I$9="Item # + Part # + Description",Comparison!$I$9="Item # + Part #"),TRIM('List 2'!A489),"")&amp;"|"&amp;TRIM('List 2'!C489)&amp;"|"&amp;IF(OR(Comparison!$I$9="Item # + Part # + Description",Comparison!$I$9="Part # + Description"),TRIM('List 2'!D489),"")))</f>
        <v/>
      </c>
      <c r="G489" s="0" t="str">
        <f aca="false">IF(F489="","",SUMPRODUCT(--($F$2:F489=F489)))</f>
        <v/>
      </c>
      <c r="H489" s="0" t="str">
        <f aca="false">IF(F489="","",F489&amp;"#"&amp;G489)</f>
        <v/>
      </c>
      <c r="I489" s="0" t="str">
        <f aca="false">IF(F489="","",IFERROR(--'List 2'!B489,0))</f>
        <v/>
      </c>
      <c r="K489" s="0" t="str">
        <f aca="false">C489</f>
        <v/>
      </c>
      <c r="L489" s="0" t="str">
        <f aca="false">IF(K489="","",IF(ISNUMBER('List 1'!A489),'List 1'!A489,TRIM('List 1'!A489)))</f>
        <v/>
      </c>
      <c r="M489" s="0" t="str">
        <f aca="false">IF(K489="","",IF(ISNUMBER('List 1'!C489),'List 1'!C489,TRIM('List 1'!C489)))</f>
        <v/>
      </c>
      <c r="N489" s="0" t="str">
        <f aca="false">IF(K489="","",IF(ISNUMBER('List 1'!D489),'List 1'!D489,TRIM('List 1'!D489)))</f>
        <v/>
      </c>
      <c r="O489" s="0" t="str">
        <f aca="false">IF(K489="","",D489)</f>
        <v/>
      </c>
      <c r="P489" s="0" t="str">
        <f aca="false">IF(K489="","",IF(R489,SUMPRODUCT(--($H$2:$H$501=K489),$I$2:$I$501),0))</f>
        <v/>
      </c>
      <c r="Q489" s="0" t="str">
        <f aca="false">IF(K489="","",TRUE())</f>
        <v/>
      </c>
      <c r="R489" s="0" t="str">
        <f aca="false">IF(K489="","",SUMPRODUCT(--($H$2:$H$501=K489))&gt;0)</f>
        <v/>
      </c>
      <c r="S489" s="0" t="str">
        <f aca="false">IF(K489="","",IF(AND(Q489,R489),IF(O489=P489,"Match","Qty Different"),IF(Q489,"Only in List 1","Only in List 2")))</f>
        <v/>
      </c>
      <c r="T489" s="0" t="str">
        <f aca="false">IF(K489="","",IF(ISNUMBER(--L489),TEXT(--L489,"000000000000.000"),LOWER(L489)))</f>
        <v/>
      </c>
      <c r="U489" s="0" t="str">
        <f aca="false">IF(K489="","",IF(ISNUMBER(--M489),TEXT(--M489,"000000000000.000"),LOWER(M489)))</f>
        <v/>
      </c>
      <c r="V489" s="0" t="str">
        <f aca="false">IF(K489="","",LOWER(N489))</f>
        <v/>
      </c>
      <c r="W489" s="0" t="str">
        <f aca="false">IF(K489="","",B489)</f>
        <v/>
      </c>
      <c r="X489" s="0" t="str">
        <f aca="false">IF(K489="","",1+SUMPRODUCT(($K$2:$K$1001&lt;&gt;"")*(($T$2:$T$1001&lt;T489)+($T$2:$T$1001=T489)*(($U$2:$U$1001&lt;U489)+($U$2:$U$1001=U489)*(($V$2:$V$1001&lt;V489)+($V$2:$V$1001=V489)*(($W$2:$W$1001&lt;W489)+($W$2:$W$1001=W489)*(ROW($K$2:$K$1001)&lt;ROW(K489))))))))</f>
        <v/>
      </c>
    </row>
    <row r="490" customFormat="false" ht="15" hidden="false" customHeight="false" outlineLevel="0" collapsed="false">
      <c r="A490" s="0" t="str">
        <f aca="false">IF(TRIM('List 1'!A490&amp;'List 1'!C490&amp;'List 1'!D490)="","",LOWER(IF(OR(Comparison!$I$9="Item # + Part # + Description",Comparison!$I$9="Item # + Part #"),TRIM('List 1'!A490),"")&amp;"|"&amp;TRIM('List 1'!C490)&amp;"|"&amp;IF(OR(Comparison!$I$9="Item # + Part # + Description",Comparison!$I$9="Part # + Description"),TRIM('List 1'!D490),"")))</f>
        <v/>
      </c>
      <c r="B490" s="0" t="str">
        <f aca="false">IF(A490="","",SUMPRODUCT(--($A$2:A490=A490)))</f>
        <v/>
      </c>
      <c r="C490" s="0" t="str">
        <f aca="false">IF(A490="","",A490&amp;"#"&amp;B490)</f>
        <v/>
      </c>
      <c r="D490" s="0" t="str">
        <f aca="false">IF(A490="","",IFERROR(--'List 1'!B490,0))</f>
        <v/>
      </c>
      <c r="F490" s="0" t="str">
        <f aca="false">IF(TRIM('List 2'!A490&amp;'List 2'!C490&amp;'List 2'!D490)="","",LOWER(IF(OR(Comparison!$I$9="Item # + Part # + Description",Comparison!$I$9="Item # + Part #"),TRIM('List 2'!A490),"")&amp;"|"&amp;TRIM('List 2'!C490)&amp;"|"&amp;IF(OR(Comparison!$I$9="Item # + Part # + Description",Comparison!$I$9="Part # + Description"),TRIM('List 2'!D490),"")))</f>
        <v/>
      </c>
      <c r="G490" s="0" t="str">
        <f aca="false">IF(F490="","",SUMPRODUCT(--($F$2:F490=F490)))</f>
        <v/>
      </c>
      <c r="H490" s="0" t="str">
        <f aca="false">IF(F490="","",F490&amp;"#"&amp;G490)</f>
        <v/>
      </c>
      <c r="I490" s="0" t="str">
        <f aca="false">IF(F490="","",IFERROR(--'List 2'!B490,0))</f>
        <v/>
      </c>
      <c r="K490" s="0" t="str">
        <f aca="false">C490</f>
        <v/>
      </c>
      <c r="L490" s="0" t="str">
        <f aca="false">IF(K490="","",IF(ISNUMBER('List 1'!A490),'List 1'!A490,TRIM('List 1'!A490)))</f>
        <v/>
      </c>
      <c r="M490" s="0" t="str">
        <f aca="false">IF(K490="","",IF(ISNUMBER('List 1'!C490),'List 1'!C490,TRIM('List 1'!C490)))</f>
        <v/>
      </c>
      <c r="N490" s="0" t="str">
        <f aca="false">IF(K490="","",IF(ISNUMBER('List 1'!D490),'List 1'!D490,TRIM('List 1'!D490)))</f>
        <v/>
      </c>
      <c r="O490" s="0" t="str">
        <f aca="false">IF(K490="","",D490)</f>
        <v/>
      </c>
      <c r="P490" s="0" t="str">
        <f aca="false">IF(K490="","",IF(R490,SUMPRODUCT(--($H$2:$H$501=K490),$I$2:$I$501),0))</f>
        <v/>
      </c>
      <c r="Q490" s="0" t="str">
        <f aca="false">IF(K490="","",TRUE())</f>
        <v/>
      </c>
      <c r="R490" s="0" t="str">
        <f aca="false">IF(K490="","",SUMPRODUCT(--($H$2:$H$501=K490))&gt;0)</f>
        <v/>
      </c>
      <c r="S490" s="0" t="str">
        <f aca="false">IF(K490="","",IF(AND(Q490,R490),IF(O490=P490,"Match","Qty Different"),IF(Q490,"Only in List 1","Only in List 2")))</f>
        <v/>
      </c>
      <c r="T490" s="0" t="str">
        <f aca="false">IF(K490="","",IF(ISNUMBER(--L490),TEXT(--L490,"000000000000.000"),LOWER(L490)))</f>
        <v/>
      </c>
      <c r="U490" s="0" t="str">
        <f aca="false">IF(K490="","",IF(ISNUMBER(--M490),TEXT(--M490,"000000000000.000"),LOWER(M490)))</f>
        <v/>
      </c>
      <c r="V490" s="0" t="str">
        <f aca="false">IF(K490="","",LOWER(N490))</f>
        <v/>
      </c>
      <c r="W490" s="0" t="str">
        <f aca="false">IF(K490="","",B490)</f>
        <v/>
      </c>
      <c r="X490" s="0" t="str">
        <f aca="false">IF(K490="","",1+SUMPRODUCT(($K$2:$K$1001&lt;&gt;"")*(($T$2:$T$1001&lt;T490)+($T$2:$T$1001=T490)*(($U$2:$U$1001&lt;U490)+($U$2:$U$1001=U490)*(($V$2:$V$1001&lt;V490)+($V$2:$V$1001=V490)*(($W$2:$W$1001&lt;W490)+($W$2:$W$1001=W490)*(ROW($K$2:$K$1001)&lt;ROW(K490))))))))</f>
        <v/>
      </c>
    </row>
    <row r="491" customFormat="false" ht="15" hidden="false" customHeight="false" outlineLevel="0" collapsed="false">
      <c r="A491" s="0" t="str">
        <f aca="false">IF(TRIM('List 1'!A491&amp;'List 1'!C491&amp;'List 1'!D491)="","",LOWER(IF(OR(Comparison!$I$9="Item # + Part # + Description",Comparison!$I$9="Item # + Part #"),TRIM('List 1'!A491),"")&amp;"|"&amp;TRIM('List 1'!C491)&amp;"|"&amp;IF(OR(Comparison!$I$9="Item # + Part # + Description",Comparison!$I$9="Part # + Description"),TRIM('List 1'!D491),"")))</f>
        <v/>
      </c>
      <c r="B491" s="0" t="str">
        <f aca="false">IF(A491="","",SUMPRODUCT(--($A$2:A491=A491)))</f>
        <v/>
      </c>
      <c r="C491" s="0" t="str">
        <f aca="false">IF(A491="","",A491&amp;"#"&amp;B491)</f>
        <v/>
      </c>
      <c r="D491" s="0" t="str">
        <f aca="false">IF(A491="","",IFERROR(--'List 1'!B491,0))</f>
        <v/>
      </c>
      <c r="F491" s="0" t="str">
        <f aca="false">IF(TRIM('List 2'!A491&amp;'List 2'!C491&amp;'List 2'!D491)="","",LOWER(IF(OR(Comparison!$I$9="Item # + Part # + Description",Comparison!$I$9="Item # + Part #"),TRIM('List 2'!A491),"")&amp;"|"&amp;TRIM('List 2'!C491)&amp;"|"&amp;IF(OR(Comparison!$I$9="Item # + Part # + Description",Comparison!$I$9="Part # + Description"),TRIM('List 2'!D491),"")))</f>
        <v/>
      </c>
      <c r="G491" s="0" t="str">
        <f aca="false">IF(F491="","",SUMPRODUCT(--($F$2:F491=F491)))</f>
        <v/>
      </c>
      <c r="H491" s="0" t="str">
        <f aca="false">IF(F491="","",F491&amp;"#"&amp;G491)</f>
        <v/>
      </c>
      <c r="I491" s="0" t="str">
        <f aca="false">IF(F491="","",IFERROR(--'List 2'!B491,0))</f>
        <v/>
      </c>
      <c r="K491" s="0" t="str">
        <f aca="false">C491</f>
        <v/>
      </c>
      <c r="L491" s="0" t="str">
        <f aca="false">IF(K491="","",IF(ISNUMBER('List 1'!A491),'List 1'!A491,TRIM('List 1'!A491)))</f>
        <v/>
      </c>
      <c r="M491" s="0" t="str">
        <f aca="false">IF(K491="","",IF(ISNUMBER('List 1'!C491),'List 1'!C491,TRIM('List 1'!C491)))</f>
        <v/>
      </c>
      <c r="N491" s="0" t="str">
        <f aca="false">IF(K491="","",IF(ISNUMBER('List 1'!D491),'List 1'!D491,TRIM('List 1'!D491)))</f>
        <v/>
      </c>
      <c r="O491" s="0" t="str">
        <f aca="false">IF(K491="","",D491)</f>
        <v/>
      </c>
      <c r="P491" s="0" t="str">
        <f aca="false">IF(K491="","",IF(R491,SUMPRODUCT(--($H$2:$H$501=K491),$I$2:$I$501),0))</f>
        <v/>
      </c>
      <c r="Q491" s="0" t="str">
        <f aca="false">IF(K491="","",TRUE())</f>
        <v/>
      </c>
      <c r="R491" s="0" t="str">
        <f aca="false">IF(K491="","",SUMPRODUCT(--($H$2:$H$501=K491))&gt;0)</f>
        <v/>
      </c>
      <c r="S491" s="0" t="str">
        <f aca="false">IF(K491="","",IF(AND(Q491,R491),IF(O491=P491,"Match","Qty Different"),IF(Q491,"Only in List 1","Only in List 2")))</f>
        <v/>
      </c>
      <c r="T491" s="0" t="str">
        <f aca="false">IF(K491="","",IF(ISNUMBER(--L491),TEXT(--L491,"000000000000.000"),LOWER(L491)))</f>
        <v/>
      </c>
      <c r="U491" s="0" t="str">
        <f aca="false">IF(K491="","",IF(ISNUMBER(--M491),TEXT(--M491,"000000000000.000"),LOWER(M491)))</f>
        <v/>
      </c>
      <c r="V491" s="0" t="str">
        <f aca="false">IF(K491="","",LOWER(N491))</f>
        <v/>
      </c>
      <c r="W491" s="0" t="str">
        <f aca="false">IF(K491="","",B491)</f>
        <v/>
      </c>
      <c r="X491" s="0" t="str">
        <f aca="false">IF(K491="","",1+SUMPRODUCT(($K$2:$K$1001&lt;&gt;"")*(($T$2:$T$1001&lt;T491)+($T$2:$T$1001=T491)*(($U$2:$U$1001&lt;U491)+($U$2:$U$1001=U491)*(($V$2:$V$1001&lt;V491)+($V$2:$V$1001=V491)*(($W$2:$W$1001&lt;W491)+($W$2:$W$1001=W491)*(ROW($K$2:$K$1001)&lt;ROW(K491))))))))</f>
        <v/>
      </c>
    </row>
    <row r="492" customFormat="false" ht="15" hidden="false" customHeight="false" outlineLevel="0" collapsed="false">
      <c r="A492" s="0" t="str">
        <f aca="false">IF(TRIM('List 1'!A492&amp;'List 1'!C492&amp;'List 1'!D492)="","",LOWER(IF(OR(Comparison!$I$9="Item # + Part # + Description",Comparison!$I$9="Item # + Part #"),TRIM('List 1'!A492),"")&amp;"|"&amp;TRIM('List 1'!C492)&amp;"|"&amp;IF(OR(Comparison!$I$9="Item # + Part # + Description",Comparison!$I$9="Part # + Description"),TRIM('List 1'!D492),"")))</f>
        <v/>
      </c>
      <c r="B492" s="0" t="str">
        <f aca="false">IF(A492="","",SUMPRODUCT(--($A$2:A492=A492)))</f>
        <v/>
      </c>
      <c r="C492" s="0" t="str">
        <f aca="false">IF(A492="","",A492&amp;"#"&amp;B492)</f>
        <v/>
      </c>
      <c r="D492" s="0" t="str">
        <f aca="false">IF(A492="","",IFERROR(--'List 1'!B492,0))</f>
        <v/>
      </c>
      <c r="F492" s="0" t="str">
        <f aca="false">IF(TRIM('List 2'!A492&amp;'List 2'!C492&amp;'List 2'!D492)="","",LOWER(IF(OR(Comparison!$I$9="Item # + Part # + Description",Comparison!$I$9="Item # + Part #"),TRIM('List 2'!A492),"")&amp;"|"&amp;TRIM('List 2'!C492)&amp;"|"&amp;IF(OR(Comparison!$I$9="Item # + Part # + Description",Comparison!$I$9="Part # + Description"),TRIM('List 2'!D492),"")))</f>
        <v/>
      </c>
      <c r="G492" s="0" t="str">
        <f aca="false">IF(F492="","",SUMPRODUCT(--($F$2:F492=F492)))</f>
        <v/>
      </c>
      <c r="H492" s="0" t="str">
        <f aca="false">IF(F492="","",F492&amp;"#"&amp;G492)</f>
        <v/>
      </c>
      <c r="I492" s="0" t="str">
        <f aca="false">IF(F492="","",IFERROR(--'List 2'!B492,0))</f>
        <v/>
      </c>
      <c r="K492" s="0" t="str">
        <f aca="false">C492</f>
        <v/>
      </c>
      <c r="L492" s="0" t="str">
        <f aca="false">IF(K492="","",IF(ISNUMBER('List 1'!A492),'List 1'!A492,TRIM('List 1'!A492)))</f>
        <v/>
      </c>
      <c r="M492" s="0" t="str">
        <f aca="false">IF(K492="","",IF(ISNUMBER('List 1'!C492),'List 1'!C492,TRIM('List 1'!C492)))</f>
        <v/>
      </c>
      <c r="N492" s="0" t="str">
        <f aca="false">IF(K492="","",IF(ISNUMBER('List 1'!D492),'List 1'!D492,TRIM('List 1'!D492)))</f>
        <v/>
      </c>
      <c r="O492" s="0" t="str">
        <f aca="false">IF(K492="","",D492)</f>
        <v/>
      </c>
      <c r="P492" s="0" t="str">
        <f aca="false">IF(K492="","",IF(R492,SUMPRODUCT(--($H$2:$H$501=K492),$I$2:$I$501),0))</f>
        <v/>
      </c>
      <c r="Q492" s="0" t="str">
        <f aca="false">IF(K492="","",TRUE())</f>
        <v/>
      </c>
      <c r="R492" s="0" t="str">
        <f aca="false">IF(K492="","",SUMPRODUCT(--($H$2:$H$501=K492))&gt;0)</f>
        <v/>
      </c>
      <c r="S492" s="0" t="str">
        <f aca="false">IF(K492="","",IF(AND(Q492,R492),IF(O492=P492,"Match","Qty Different"),IF(Q492,"Only in List 1","Only in List 2")))</f>
        <v/>
      </c>
      <c r="T492" s="0" t="str">
        <f aca="false">IF(K492="","",IF(ISNUMBER(--L492),TEXT(--L492,"000000000000.000"),LOWER(L492)))</f>
        <v/>
      </c>
      <c r="U492" s="0" t="str">
        <f aca="false">IF(K492="","",IF(ISNUMBER(--M492),TEXT(--M492,"000000000000.000"),LOWER(M492)))</f>
        <v/>
      </c>
      <c r="V492" s="0" t="str">
        <f aca="false">IF(K492="","",LOWER(N492))</f>
        <v/>
      </c>
      <c r="W492" s="0" t="str">
        <f aca="false">IF(K492="","",B492)</f>
        <v/>
      </c>
      <c r="X492" s="0" t="str">
        <f aca="false">IF(K492="","",1+SUMPRODUCT(($K$2:$K$1001&lt;&gt;"")*(($T$2:$T$1001&lt;T492)+($T$2:$T$1001=T492)*(($U$2:$U$1001&lt;U492)+($U$2:$U$1001=U492)*(($V$2:$V$1001&lt;V492)+($V$2:$V$1001=V492)*(($W$2:$W$1001&lt;W492)+($W$2:$W$1001=W492)*(ROW($K$2:$K$1001)&lt;ROW(K492))))))))</f>
        <v/>
      </c>
    </row>
    <row r="493" customFormat="false" ht="15" hidden="false" customHeight="false" outlineLevel="0" collapsed="false">
      <c r="A493" s="0" t="str">
        <f aca="false">IF(TRIM('List 1'!A493&amp;'List 1'!C493&amp;'List 1'!D493)="","",LOWER(IF(OR(Comparison!$I$9="Item # + Part # + Description",Comparison!$I$9="Item # + Part #"),TRIM('List 1'!A493),"")&amp;"|"&amp;TRIM('List 1'!C493)&amp;"|"&amp;IF(OR(Comparison!$I$9="Item # + Part # + Description",Comparison!$I$9="Part # + Description"),TRIM('List 1'!D493),"")))</f>
        <v/>
      </c>
      <c r="B493" s="0" t="str">
        <f aca="false">IF(A493="","",SUMPRODUCT(--($A$2:A493=A493)))</f>
        <v/>
      </c>
      <c r="C493" s="0" t="str">
        <f aca="false">IF(A493="","",A493&amp;"#"&amp;B493)</f>
        <v/>
      </c>
      <c r="D493" s="0" t="str">
        <f aca="false">IF(A493="","",IFERROR(--'List 1'!B493,0))</f>
        <v/>
      </c>
      <c r="F493" s="0" t="str">
        <f aca="false">IF(TRIM('List 2'!A493&amp;'List 2'!C493&amp;'List 2'!D493)="","",LOWER(IF(OR(Comparison!$I$9="Item # + Part # + Description",Comparison!$I$9="Item # + Part #"),TRIM('List 2'!A493),"")&amp;"|"&amp;TRIM('List 2'!C493)&amp;"|"&amp;IF(OR(Comparison!$I$9="Item # + Part # + Description",Comparison!$I$9="Part # + Description"),TRIM('List 2'!D493),"")))</f>
        <v/>
      </c>
      <c r="G493" s="0" t="str">
        <f aca="false">IF(F493="","",SUMPRODUCT(--($F$2:F493=F493)))</f>
        <v/>
      </c>
      <c r="H493" s="0" t="str">
        <f aca="false">IF(F493="","",F493&amp;"#"&amp;G493)</f>
        <v/>
      </c>
      <c r="I493" s="0" t="str">
        <f aca="false">IF(F493="","",IFERROR(--'List 2'!B493,0))</f>
        <v/>
      </c>
      <c r="K493" s="0" t="str">
        <f aca="false">C493</f>
        <v/>
      </c>
      <c r="L493" s="0" t="str">
        <f aca="false">IF(K493="","",IF(ISNUMBER('List 1'!A493),'List 1'!A493,TRIM('List 1'!A493)))</f>
        <v/>
      </c>
      <c r="M493" s="0" t="str">
        <f aca="false">IF(K493="","",IF(ISNUMBER('List 1'!C493),'List 1'!C493,TRIM('List 1'!C493)))</f>
        <v/>
      </c>
      <c r="N493" s="0" t="str">
        <f aca="false">IF(K493="","",IF(ISNUMBER('List 1'!D493),'List 1'!D493,TRIM('List 1'!D493)))</f>
        <v/>
      </c>
      <c r="O493" s="0" t="str">
        <f aca="false">IF(K493="","",D493)</f>
        <v/>
      </c>
      <c r="P493" s="0" t="str">
        <f aca="false">IF(K493="","",IF(R493,SUMPRODUCT(--($H$2:$H$501=K493),$I$2:$I$501),0))</f>
        <v/>
      </c>
      <c r="Q493" s="0" t="str">
        <f aca="false">IF(K493="","",TRUE())</f>
        <v/>
      </c>
      <c r="R493" s="0" t="str">
        <f aca="false">IF(K493="","",SUMPRODUCT(--($H$2:$H$501=K493))&gt;0)</f>
        <v/>
      </c>
      <c r="S493" s="0" t="str">
        <f aca="false">IF(K493="","",IF(AND(Q493,R493),IF(O493=P493,"Match","Qty Different"),IF(Q493,"Only in List 1","Only in List 2")))</f>
        <v/>
      </c>
      <c r="T493" s="0" t="str">
        <f aca="false">IF(K493="","",IF(ISNUMBER(--L493),TEXT(--L493,"000000000000.000"),LOWER(L493)))</f>
        <v/>
      </c>
      <c r="U493" s="0" t="str">
        <f aca="false">IF(K493="","",IF(ISNUMBER(--M493),TEXT(--M493,"000000000000.000"),LOWER(M493)))</f>
        <v/>
      </c>
      <c r="V493" s="0" t="str">
        <f aca="false">IF(K493="","",LOWER(N493))</f>
        <v/>
      </c>
      <c r="W493" s="0" t="str">
        <f aca="false">IF(K493="","",B493)</f>
        <v/>
      </c>
      <c r="X493" s="0" t="str">
        <f aca="false">IF(K493="","",1+SUMPRODUCT(($K$2:$K$1001&lt;&gt;"")*(($T$2:$T$1001&lt;T493)+($T$2:$T$1001=T493)*(($U$2:$U$1001&lt;U493)+($U$2:$U$1001=U493)*(($V$2:$V$1001&lt;V493)+($V$2:$V$1001=V493)*(($W$2:$W$1001&lt;W493)+($W$2:$W$1001=W493)*(ROW($K$2:$K$1001)&lt;ROW(K493))))))))</f>
        <v/>
      </c>
    </row>
    <row r="494" customFormat="false" ht="15" hidden="false" customHeight="false" outlineLevel="0" collapsed="false">
      <c r="A494" s="0" t="str">
        <f aca="false">IF(TRIM('List 1'!A494&amp;'List 1'!C494&amp;'List 1'!D494)="","",LOWER(IF(OR(Comparison!$I$9="Item # + Part # + Description",Comparison!$I$9="Item # + Part #"),TRIM('List 1'!A494),"")&amp;"|"&amp;TRIM('List 1'!C494)&amp;"|"&amp;IF(OR(Comparison!$I$9="Item # + Part # + Description",Comparison!$I$9="Part # + Description"),TRIM('List 1'!D494),"")))</f>
        <v/>
      </c>
      <c r="B494" s="0" t="str">
        <f aca="false">IF(A494="","",SUMPRODUCT(--($A$2:A494=A494)))</f>
        <v/>
      </c>
      <c r="C494" s="0" t="str">
        <f aca="false">IF(A494="","",A494&amp;"#"&amp;B494)</f>
        <v/>
      </c>
      <c r="D494" s="0" t="str">
        <f aca="false">IF(A494="","",IFERROR(--'List 1'!B494,0))</f>
        <v/>
      </c>
      <c r="F494" s="0" t="str">
        <f aca="false">IF(TRIM('List 2'!A494&amp;'List 2'!C494&amp;'List 2'!D494)="","",LOWER(IF(OR(Comparison!$I$9="Item # + Part # + Description",Comparison!$I$9="Item # + Part #"),TRIM('List 2'!A494),"")&amp;"|"&amp;TRIM('List 2'!C494)&amp;"|"&amp;IF(OR(Comparison!$I$9="Item # + Part # + Description",Comparison!$I$9="Part # + Description"),TRIM('List 2'!D494),"")))</f>
        <v/>
      </c>
      <c r="G494" s="0" t="str">
        <f aca="false">IF(F494="","",SUMPRODUCT(--($F$2:F494=F494)))</f>
        <v/>
      </c>
      <c r="H494" s="0" t="str">
        <f aca="false">IF(F494="","",F494&amp;"#"&amp;G494)</f>
        <v/>
      </c>
      <c r="I494" s="0" t="str">
        <f aca="false">IF(F494="","",IFERROR(--'List 2'!B494,0))</f>
        <v/>
      </c>
      <c r="K494" s="0" t="str">
        <f aca="false">C494</f>
        <v/>
      </c>
      <c r="L494" s="0" t="str">
        <f aca="false">IF(K494="","",IF(ISNUMBER('List 1'!A494),'List 1'!A494,TRIM('List 1'!A494)))</f>
        <v/>
      </c>
      <c r="M494" s="0" t="str">
        <f aca="false">IF(K494="","",IF(ISNUMBER('List 1'!C494),'List 1'!C494,TRIM('List 1'!C494)))</f>
        <v/>
      </c>
      <c r="N494" s="0" t="str">
        <f aca="false">IF(K494="","",IF(ISNUMBER('List 1'!D494),'List 1'!D494,TRIM('List 1'!D494)))</f>
        <v/>
      </c>
      <c r="O494" s="0" t="str">
        <f aca="false">IF(K494="","",D494)</f>
        <v/>
      </c>
      <c r="P494" s="0" t="str">
        <f aca="false">IF(K494="","",IF(R494,SUMPRODUCT(--($H$2:$H$501=K494),$I$2:$I$501),0))</f>
        <v/>
      </c>
      <c r="Q494" s="0" t="str">
        <f aca="false">IF(K494="","",TRUE())</f>
        <v/>
      </c>
      <c r="R494" s="0" t="str">
        <f aca="false">IF(K494="","",SUMPRODUCT(--($H$2:$H$501=K494))&gt;0)</f>
        <v/>
      </c>
      <c r="S494" s="0" t="str">
        <f aca="false">IF(K494="","",IF(AND(Q494,R494),IF(O494=P494,"Match","Qty Different"),IF(Q494,"Only in List 1","Only in List 2")))</f>
        <v/>
      </c>
      <c r="T494" s="0" t="str">
        <f aca="false">IF(K494="","",IF(ISNUMBER(--L494),TEXT(--L494,"000000000000.000"),LOWER(L494)))</f>
        <v/>
      </c>
      <c r="U494" s="0" t="str">
        <f aca="false">IF(K494="","",IF(ISNUMBER(--M494),TEXT(--M494,"000000000000.000"),LOWER(M494)))</f>
        <v/>
      </c>
      <c r="V494" s="0" t="str">
        <f aca="false">IF(K494="","",LOWER(N494))</f>
        <v/>
      </c>
      <c r="W494" s="0" t="str">
        <f aca="false">IF(K494="","",B494)</f>
        <v/>
      </c>
      <c r="X494" s="0" t="str">
        <f aca="false">IF(K494="","",1+SUMPRODUCT(($K$2:$K$1001&lt;&gt;"")*(($T$2:$T$1001&lt;T494)+($T$2:$T$1001=T494)*(($U$2:$U$1001&lt;U494)+($U$2:$U$1001=U494)*(($V$2:$V$1001&lt;V494)+($V$2:$V$1001=V494)*(($W$2:$W$1001&lt;W494)+($W$2:$W$1001=W494)*(ROW($K$2:$K$1001)&lt;ROW(K494))))))))</f>
        <v/>
      </c>
    </row>
    <row r="495" customFormat="false" ht="15" hidden="false" customHeight="false" outlineLevel="0" collapsed="false">
      <c r="A495" s="0" t="str">
        <f aca="false">IF(TRIM('List 1'!A495&amp;'List 1'!C495&amp;'List 1'!D495)="","",LOWER(IF(OR(Comparison!$I$9="Item # + Part # + Description",Comparison!$I$9="Item # + Part #"),TRIM('List 1'!A495),"")&amp;"|"&amp;TRIM('List 1'!C495)&amp;"|"&amp;IF(OR(Comparison!$I$9="Item # + Part # + Description",Comparison!$I$9="Part # + Description"),TRIM('List 1'!D495),"")))</f>
        <v/>
      </c>
      <c r="B495" s="0" t="str">
        <f aca="false">IF(A495="","",SUMPRODUCT(--($A$2:A495=A495)))</f>
        <v/>
      </c>
      <c r="C495" s="0" t="str">
        <f aca="false">IF(A495="","",A495&amp;"#"&amp;B495)</f>
        <v/>
      </c>
      <c r="D495" s="0" t="str">
        <f aca="false">IF(A495="","",IFERROR(--'List 1'!B495,0))</f>
        <v/>
      </c>
      <c r="F495" s="0" t="str">
        <f aca="false">IF(TRIM('List 2'!A495&amp;'List 2'!C495&amp;'List 2'!D495)="","",LOWER(IF(OR(Comparison!$I$9="Item # + Part # + Description",Comparison!$I$9="Item # + Part #"),TRIM('List 2'!A495),"")&amp;"|"&amp;TRIM('List 2'!C495)&amp;"|"&amp;IF(OR(Comparison!$I$9="Item # + Part # + Description",Comparison!$I$9="Part # + Description"),TRIM('List 2'!D495),"")))</f>
        <v/>
      </c>
      <c r="G495" s="0" t="str">
        <f aca="false">IF(F495="","",SUMPRODUCT(--($F$2:F495=F495)))</f>
        <v/>
      </c>
      <c r="H495" s="0" t="str">
        <f aca="false">IF(F495="","",F495&amp;"#"&amp;G495)</f>
        <v/>
      </c>
      <c r="I495" s="0" t="str">
        <f aca="false">IF(F495="","",IFERROR(--'List 2'!B495,0))</f>
        <v/>
      </c>
      <c r="K495" s="0" t="str">
        <f aca="false">C495</f>
        <v/>
      </c>
      <c r="L495" s="0" t="str">
        <f aca="false">IF(K495="","",IF(ISNUMBER('List 1'!A495),'List 1'!A495,TRIM('List 1'!A495)))</f>
        <v/>
      </c>
      <c r="M495" s="0" t="str">
        <f aca="false">IF(K495="","",IF(ISNUMBER('List 1'!C495),'List 1'!C495,TRIM('List 1'!C495)))</f>
        <v/>
      </c>
      <c r="N495" s="0" t="str">
        <f aca="false">IF(K495="","",IF(ISNUMBER('List 1'!D495),'List 1'!D495,TRIM('List 1'!D495)))</f>
        <v/>
      </c>
      <c r="O495" s="0" t="str">
        <f aca="false">IF(K495="","",D495)</f>
        <v/>
      </c>
      <c r="P495" s="0" t="str">
        <f aca="false">IF(K495="","",IF(R495,SUMPRODUCT(--($H$2:$H$501=K495),$I$2:$I$501),0))</f>
        <v/>
      </c>
      <c r="Q495" s="0" t="str">
        <f aca="false">IF(K495="","",TRUE())</f>
        <v/>
      </c>
      <c r="R495" s="0" t="str">
        <f aca="false">IF(K495="","",SUMPRODUCT(--($H$2:$H$501=K495))&gt;0)</f>
        <v/>
      </c>
      <c r="S495" s="0" t="str">
        <f aca="false">IF(K495="","",IF(AND(Q495,R495),IF(O495=P495,"Match","Qty Different"),IF(Q495,"Only in List 1","Only in List 2")))</f>
        <v/>
      </c>
      <c r="T495" s="0" t="str">
        <f aca="false">IF(K495="","",IF(ISNUMBER(--L495),TEXT(--L495,"000000000000.000"),LOWER(L495)))</f>
        <v/>
      </c>
      <c r="U495" s="0" t="str">
        <f aca="false">IF(K495="","",IF(ISNUMBER(--M495),TEXT(--M495,"000000000000.000"),LOWER(M495)))</f>
        <v/>
      </c>
      <c r="V495" s="0" t="str">
        <f aca="false">IF(K495="","",LOWER(N495))</f>
        <v/>
      </c>
      <c r="W495" s="0" t="str">
        <f aca="false">IF(K495="","",B495)</f>
        <v/>
      </c>
      <c r="X495" s="0" t="str">
        <f aca="false">IF(K495="","",1+SUMPRODUCT(($K$2:$K$1001&lt;&gt;"")*(($T$2:$T$1001&lt;T495)+($T$2:$T$1001=T495)*(($U$2:$U$1001&lt;U495)+($U$2:$U$1001=U495)*(($V$2:$V$1001&lt;V495)+($V$2:$V$1001=V495)*(($W$2:$W$1001&lt;W495)+($W$2:$W$1001=W495)*(ROW($K$2:$K$1001)&lt;ROW(K495))))))))</f>
        <v/>
      </c>
    </row>
    <row r="496" customFormat="false" ht="15" hidden="false" customHeight="false" outlineLevel="0" collapsed="false">
      <c r="A496" s="0" t="str">
        <f aca="false">IF(TRIM('List 1'!A496&amp;'List 1'!C496&amp;'List 1'!D496)="","",LOWER(IF(OR(Comparison!$I$9="Item # + Part # + Description",Comparison!$I$9="Item # + Part #"),TRIM('List 1'!A496),"")&amp;"|"&amp;TRIM('List 1'!C496)&amp;"|"&amp;IF(OR(Comparison!$I$9="Item # + Part # + Description",Comparison!$I$9="Part # + Description"),TRIM('List 1'!D496),"")))</f>
        <v/>
      </c>
      <c r="B496" s="0" t="str">
        <f aca="false">IF(A496="","",SUMPRODUCT(--($A$2:A496=A496)))</f>
        <v/>
      </c>
      <c r="C496" s="0" t="str">
        <f aca="false">IF(A496="","",A496&amp;"#"&amp;B496)</f>
        <v/>
      </c>
      <c r="D496" s="0" t="str">
        <f aca="false">IF(A496="","",IFERROR(--'List 1'!B496,0))</f>
        <v/>
      </c>
      <c r="F496" s="0" t="str">
        <f aca="false">IF(TRIM('List 2'!A496&amp;'List 2'!C496&amp;'List 2'!D496)="","",LOWER(IF(OR(Comparison!$I$9="Item # + Part # + Description",Comparison!$I$9="Item # + Part #"),TRIM('List 2'!A496),"")&amp;"|"&amp;TRIM('List 2'!C496)&amp;"|"&amp;IF(OR(Comparison!$I$9="Item # + Part # + Description",Comparison!$I$9="Part # + Description"),TRIM('List 2'!D496),"")))</f>
        <v/>
      </c>
      <c r="G496" s="0" t="str">
        <f aca="false">IF(F496="","",SUMPRODUCT(--($F$2:F496=F496)))</f>
        <v/>
      </c>
      <c r="H496" s="0" t="str">
        <f aca="false">IF(F496="","",F496&amp;"#"&amp;G496)</f>
        <v/>
      </c>
      <c r="I496" s="0" t="str">
        <f aca="false">IF(F496="","",IFERROR(--'List 2'!B496,0))</f>
        <v/>
      </c>
      <c r="K496" s="0" t="str">
        <f aca="false">C496</f>
        <v/>
      </c>
      <c r="L496" s="0" t="str">
        <f aca="false">IF(K496="","",IF(ISNUMBER('List 1'!A496),'List 1'!A496,TRIM('List 1'!A496)))</f>
        <v/>
      </c>
      <c r="M496" s="0" t="str">
        <f aca="false">IF(K496="","",IF(ISNUMBER('List 1'!C496),'List 1'!C496,TRIM('List 1'!C496)))</f>
        <v/>
      </c>
      <c r="N496" s="0" t="str">
        <f aca="false">IF(K496="","",IF(ISNUMBER('List 1'!D496),'List 1'!D496,TRIM('List 1'!D496)))</f>
        <v/>
      </c>
      <c r="O496" s="0" t="str">
        <f aca="false">IF(K496="","",D496)</f>
        <v/>
      </c>
      <c r="P496" s="0" t="str">
        <f aca="false">IF(K496="","",IF(R496,SUMPRODUCT(--($H$2:$H$501=K496),$I$2:$I$501),0))</f>
        <v/>
      </c>
      <c r="Q496" s="0" t="str">
        <f aca="false">IF(K496="","",TRUE())</f>
        <v/>
      </c>
      <c r="R496" s="0" t="str">
        <f aca="false">IF(K496="","",SUMPRODUCT(--($H$2:$H$501=K496))&gt;0)</f>
        <v/>
      </c>
      <c r="S496" s="0" t="str">
        <f aca="false">IF(K496="","",IF(AND(Q496,R496),IF(O496=P496,"Match","Qty Different"),IF(Q496,"Only in List 1","Only in List 2")))</f>
        <v/>
      </c>
      <c r="T496" s="0" t="str">
        <f aca="false">IF(K496="","",IF(ISNUMBER(--L496),TEXT(--L496,"000000000000.000"),LOWER(L496)))</f>
        <v/>
      </c>
      <c r="U496" s="0" t="str">
        <f aca="false">IF(K496="","",IF(ISNUMBER(--M496),TEXT(--M496,"000000000000.000"),LOWER(M496)))</f>
        <v/>
      </c>
      <c r="V496" s="0" t="str">
        <f aca="false">IF(K496="","",LOWER(N496))</f>
        <v/>
      </c>
      <c r="W496" s="0" t="str">
        <f aca="false">IF(K496="","",B496)</f>
        <v/>
      </c>
      <c r="X496" s="0" t="str">
        <f aca="false">IF(K496="","",1+SUMPRODUCT(($K$2:$K$1001&lt;&gt;"")*(($T$2:$T$1001&lt;T496)+($T$2:$T$1001=T496)*(($U$2:$U$1001&lt;U496)+($U$2:$U$1001=U496)*(($V$2:$V$1001&lt;V496)+($V$2:$V$1001=V496)*(($W$2:$W$1001&lt;W496)+($W$2:$W$1001=W496)*(ROW($K$2:$K$1001)&lt;ROW(K496))))))))</f>
        <v/>
      </c>
    </row>
    <row r="497" customFormat="false" ht="15" hidden="false" customHeight="false" outlineLevel="0" collapsed="false">
      <c r="A497" s="0" t="str">
        <f aca="false">IF(TRIM('List 1'!A497&amp;'List 1'!C497&amp;'List 1'!D497)="","",LOWER(IF(OR(Comparison!$I$9="Item # + Part # + Description",Comparison!$I$9="Item # + Part #"),TRIM('List 1'!A497),"")&amp;"|"&amp;TRIM('List 1'!C497)&amp;"|"&amp;IF(OR(Comparison!$I$9="Item # + Part # + Description",Comparison!$I$9="Part # + Description"),TRIM('List 1'!D497),"")))</f>
        <v/>
      </c>
      <c r="B497" s="0" t="str">
        <f aca="false">IF(A497="","",SUMPRODUCT(--($A$2:A497=A497)))</f>
        <v/>
      </c>
      <c r="C497" s="0" t="str">
        <f aca="false">IF(A497="","",A497&amp;"#"&amp;B497)</f>
        <v/>
      </c>
      <c r="D497" s="0" t="str">
        <f aca="false">IF(A497="","",IFERROR(--'List 1'!B497,0))</f>
        <v/>
      </c>
      <c r="F497" s="0" t="str">
        <f aca="false">IF(TRIM('List 2'!A497&amp;'List 2'!C497&amp;'List 2'!D497)="","",LOWER(IF(OR(Comparison!$I$9="Item # + Part # + Description",Comparison!$I$9="Item # + Part #"),TRIM('List 2'!A497),"")&amp;"|"&amp;TRIM('List 2'!C497)&amp;"|"&amp;IF(OR(Comparison!$I$9="Item # + Part # + Description",Comparison!$I$9="Part # + Description"),TRIM('List 2'!D497),"")))</f>
        <v/>
      </c>
      <c r="G497" s="0" t="str">
        <f aca="false">IF(F497="","",SUMPRODUCT(--($F$2:F497=F497)))</f>
        <v/>
      </c>
      <c r="H497" s="0" t="str">
        <f aca="false">IF(F497="","",F497&amp;"#"&amp;G497)</f>
        <v/>
      </c>
      <c r="I497" s="0" t="str">
        <f aca="false">IF(F497="","",IFERROR(--'List 2'!B497,0))</f>
        <v/>
      </c>
      <c r="K497" s="0" t="str">
        <f aca="false">C497</f>
        <v/>
      </c>
      <c r="L497" s="0" t="str">
        <f aca="false">IF(K497="","",IF(ISNUMBER('List 1'!A497),'List 1'!A497,TRIM('List 1'!A497)))</f>
        <v/>
      </c>
      <c r="M497" s="0" t="str">
        <f aca="false">IF(K497="","",IF(ISNUMBER('List 1'!C497),'List 1'!C497,TRIM('List 1'!C497)))</f>
        <v/>
      </c>
      <c r="N497" s="0" t="str">
        <f aca="false">IF(K497="","",IF(ISNUMBER('List 1'!D497),'List 1'!D497,TRIM('List 1'!D497)))</f>
        <v/>
      </c>
      <c r="O497" s="0" t="str">
        <f aca="false">IF(K497="","",D497)</f>
        <v/>
      </c>
      <c r="P497" s="0" t="str">
        <f aca="false">IF(K497="","",IF(R497,SUMPRODUCT(--($H$2:$H$501=K497),$I$2:$I$501),0))</f>
        <v/>
      </c>
      <c r="Q497" s="0" t="str">
        <f aca="false">IF(K497="","",TRUE())</f>
        <v/>
      </c>
      <c r="R497" s="0" t="str">
        <f aca="false">IF(K497="","",SUMPRODUCT(--($H$2:$H$501=K497))&gt;0)</f>
        <v/>
      </c>
      <c r="S497" s="0" t="str">
        <f aca="false">IF(K497="","",IF(AND(Q497,R497),IF(O497=P497,"Match","Qty Different"),IF(Q497,"Only in List 1","Only in List 2")))</f>
        <v/>
      </c>
      <c r="T497" s="0" t="str">
        <f aca="false">IF(K497="","",IF(ISNUMBER(--L497),TEXT(--L497,"000000000000.000"),LOWER(L497)))</f>
        <v/>
      </c>
      <c r="U497" s="0" t="str">
        <f aca="false">IF(K497="","",IF(ISNUMBER(--M497),TEXT(--M497,"000000000000.000"),LOWER(M497)))</f>
        <v/>
      </c>
      <c r="V497" s="0" t="str">
        <f aca="false">IF(K497="","",LOWER(N497))</f>
        <v/>
      </c>
      <c r="W497" s="0" t="str">
        <f aca="false">IF(K497="","",B497)</f>
        <v/>
      </c>
      <c r="X497" s="0" t="str">
        <f aca="false">IF(K497="","",1+SUMPRODUCT(($K$2:$K$1001&lt;&gt;"")*(($T$2:$T$1001&lt;T497)+($T$2:$T$1001=T497)*(($U$2:$U$1001&lt;U497)+($U$2:$U$1001=U497)*(($V$2:$V$1001&lt;V497)+($V$2:$V$1001=V497)*(($W$2:$W$1001&lt;W497)+($W$2:$W$1001=W497)*(ROW($K$2:$K$1001)&lt;ROW(K497))))))))</f>
        <v/>
      </c>
    </row>
    <row r="498" customFormat="false" ht="15" hidden="false" customHeight="false" outlineLevel="0" collapsed="false">
      <c r="A498" s="0" t="str">
        <f aca="false">IF(TRIM('List 1'!A498&amp;'List 1'!C498&amp;'List 1'!D498)="","",LOWER(IF(OR(Comparison!$I$9="Item # + Part # + Description",Comparison!$I$9="Item # + Part #"),TRIM('List 1'!A498),"")&amp;"|"&amp;TRIM('List 1'!C498)&amp;"|"&amp;IF(OR(Comparison!$I$9="Item # + Part # + Description",Comparison!$I$9="Part # + Description"),TRIM('List 1'!D498),"")))</f>
        <v/>
      </c>
      <c r="B498" s="0" t="str">
        <f aca="false">IF(A498="","",SUMPRODUCT(--($A$2:A498=A498)))</f>
        <v/>
      </c>
      <c r="C498" s="0" t="str">
        <f aca="false">IF(A498="","",A498&amp;"#"&amp;B498)</f>
        <v/>
      </c>
      <c r="D498" s="0" t="str">
        <f aca="false">IF(A498="","",IFERROR(--'List 1'!B498,0))</f>
        <v/>
      </c>
      <c r="F498" s="0" t="str">
        <f aca="false">IF(TRIM('List 2'!A498&amp;'List 2'!C498&amp;'List 2'!D498)="","",LOWER(IF(OR(Comparison!$I$9="Item # + Part # + Description",Comparison!$I$9="Item # + Part #"),TRIM('List 2'!A498),"")&amp;"|"&amp;TRIM('List 2'!C498)&amp;"|"&amp;IF(OR(Comparison!$I$9="Item # + Part # + Description",Comparison!$I$9="Part # + Description"),TRIM('List 2'!D498),"")))</f>
        <v/>
      </c>
      <c r="G498" s="0" t="str">
        <f aca="false">IF(F498="","",SUMPRODUCT(--($F$2:F498=F498)))</f>
        <v/>
      </c>
      <c r="H498" s="0" t="str">
        <f aca="false">IF(F498="","",F498&amp;"#"&amp;G498)</f>
        <v/>
      </c>
      <c r="I498" s="0" t="str">
        <f aca="false">IF(F498="","",IFERROR(--'List 2'!B498,0))</f>
        <v/>
      </c>
      <c r="K498" s="0" t="str">
        <f aca="false">C498</f>
        <v/>
      </c>
      <c r="L498" s="0" t="str">
        <f aca="false">IF(K498="","",IF(ISNUMBER('List 1'!A498),'List 1'!A498,TRIM('List 1'!A498)))</f>
        <v/>
      </c>
      <c r="M498" s="0" t="str">
        <f aca="false">IF(K498="","",IF(ISNUMBER('List 1'!C498),'List 1'!C498,TRIM('List 1'!C498)))</f>
        <v/>
      </c>
      <c r="N498" s="0" t="str">
        <f aca="false">IF(K498="","",IF(ISNUMBER('List 1'!D498),'List 1'!D498,TRIM('List 1'!D498)))</f>
        <v/>
      </c>
      <c r="O498" s="0" t="str">
        <f aca="false">IF(K498="","",D498)</f>
        <v/>
      </c>
      <c r="P498" s="0" t="str">
        <f aca="false">IF(K498="","",IF(R498,SUMPRODUCT(--($H$2:$H$501=K498),$I$2:$I$501),0))</f>
        <v/>
      </c>
      <c r="Q498" s="0" t="str">
        <f aca="false">IF(K498="","",TRUE())</f>
        <v/>
      </c>
      <c r="R498" s="0" t="str">
        <f aca="false">IF(K498="","",SUMPRODUCT(--($H$2:$H$501=K498))&gt;0)</f>
        <v/>
      </c>
      <c r="S498" s="0" t="str">
        <f aca="false">IF(K498="","",IF(AND(Q498,R498),IF(O498=P498,"Match","Qty Different"),IF(Q498,"Only in List 1","Only in List 2")))</f>
        <v/>
      </c>
      <c r="T498" s="0" t="str">
        <f aca="false">IF(K498="","",IF(ISNUMBER(--L498),TEXT(--L498,"000000000000.000"),LOWER(L498)))</f>
        <v/>
      </c>
      <c r="U498" s="0" t="str">
        <f aca="false">IF(K498="","",IF(ISNUMBER(--M498),TEXT(--M498,"000000000000.000"),LOWER(M498)))</f>
        <v/>
      </c>
      <c r="V498" s="0" t="str">
        <f aca="false">IF(K498="","",LOWER(N498))</f>
        <v/>
      </c>
      <c r="W498" s="0" t="str">
        <f aca="false">IF(K498="","",B498)</f>
        <v/>
      </c>
      <c r="X498" s="0" t="str">
        <f aca="false">IF(K498="","",1+SUMPRODUCT(($K$2:$K$1001&lt;&gt;"")*(($T$2:$T$1001&lt;T498)+($T$2:$T$1001=T498)*(($U$2:$U$1001&lt;U498)+($U$2:$U$1001=U498)*(($V$2:$V$1001&lt;V498)+($V$2:$V$1001=V498)*(($W$2:$W$1001&lt;W498)+($W$2:$W$1001=W498)*(ROW($K$2:$K$1001)&lt;ROW(K498))))))))</f>
        <v/>
      </c>
    </row>
    <row r="499" customFormat="false" ht="15" hidden="false" customHeight="false" outlineLevel="0" collapsed="false">
      <c r="A499" s="0" t="str">
        <f aca="false">IF(TRIM('List 1'!A499&amp;'List 1'!C499&amp;'List 1'!D499)="","",LOWER(IF(OR(Comparison!$I$9="Item # + Part # + Description",Comparison!$I$9="Item # + Part #"),TRIM('List 1'!A499),"")&amp;"|"&amp;TRIM('List 1'!C499)&amp;"|"&amp;IF(OR(Comparison!$I$9="Item # + Part # + Description",Comparison!$I$9="Part # + Description"),TRIM('List 1'!D499),"")))</f>
        <v/>
      </c>
      <c r="B499" s="0" t="str">
        <f aca="false">IF(A499="","",SUMPRODUCT(--($A$2:A499=A499)))</f>
        <v/>
      </c>
      <c r="C499" s="0" t="str">
        <f aca="false">IF(A499="","",A499&amp;"#"&amp;B499)</f>
        <v/>
      </c>
      <c r="D499" s="0" t="str">
        <f aca="false">IF(A499="","",IFERROR(--'List 1'!B499,0))</f>
        <v/>
      </c>
      <c r="F499" s="0" t="str">
        <f aca="false">IF(TRIM('List 2'!A499&amp;'List 2'!C499&amp;'List 2'!D499)="","",LOWER(IF(OR(Comparison!$I$9="Item # + Part # + Description",Comparison!$I$9="Item # + Part #"),TRIM('List 2'!A499),"")&amp;"|"&amp;TRIM('List 2'!C499)&amp;"|"&amp;IF(OR(Comparison!$I$9="Item # + Part # + Description",Comparison!$I$9="Part # + Description"),TRIM('List 2'!D499),"")))</f>
        <v/>
      </c>
      <c r="G499" s="0" t="str">
        <f aca="false">IF(F499="","",SUMPRODUCT(--($F$2:F499=F499)))</f>
        <v/>
      </c>
      <c r="H499" s="0" t="str">
        <f aca="false">IF(F499="","",F499&amp;"#"&amp;G499)</f>
        <v/>
      </c>
      <c r="I499" s="0" t="str">
        <f aca="false">IF(F499="","",IFERROR(--'List 2'!B499,0))</f>
        <v/>
      </c>
      <c r="K499" s="0" t="str">
        <f aca="false">C499</f>
        <v/>
      </c>
      <c r="L499" s="0" t="str">
        <f aca="false">IF(K499="","",IF(ISNUMBER('List 1'!A499),'List 1'!A499,TRIM('List 1'!A499)))</f>
        <v/>
      </c>
      <c r="M499" s="0" t="str">
        <f aca="false">IF(K499="","",IF(ISNUMBER('List 1'!C499),'List 1'!C499,TRIM('List 1'!C499)))</f>
        <v/>
      </c>
      <c r="N499" s="0" t="str">
        <f aca="false">IF(K499="","",IF(ISNUMBER('List 1'!D499),'List 1'!D499,TRIM('List 1'!D499)))</f>
        <v/>
      </c>
      <c r="O499" s="0" t="str">
        <f aca="false">IF(K499="","",D499)</f>
        <v/>
      </c>
      <c r="P499" s="0" t="str">
        <f aca="false">IF(K499="","",IF(R499,SUMPRODUCT(--($H$2:$H$501=K499),$I$2:$I$501),0))</f>
        <v/>
      </c>
      <c r="Q499" s="0" t="str">
        <f aca="false">IF(K499="","",TRUE())</f>
        <v/>
      </c>
      <c r="R499" s="0" t="str">
        <f aca="false">IF(K499="","",SUMPRODUCT(--($H$2:$H$501=K499))&gt;0)</f>
        <v/>
      </c>
      <c r="S499" s="0" t="str">
        <f aca="false">IF(K499="","",IF(AND(Q499,R499),IF(O499=P499,"Match","Qty Different"),IF(Q499,"Only in List 1","Only in List 2")))</f>
        <v/>
      </c>
      <c r="T499" s="0" t="str">
        <f aca="false">IF(K499="","",IF(ISNUMBER(--L499),TEXT(--L499,"000000000000.000"),LOWER(L499)))</f>
        <v/>
      </c>
      <c r="U499" s="0" t="str">
        <f aca="false">IF(K499="","",IF(ISNUMBER(--M499),TEXT(--M499,"000000000000.000"),LOWER(M499)))</f>
        <v/>
      </c>
      <c r="V499" s="0" t="str">
        <f aca="false">IF(K499="","",LOWER(N499))</f>
        <v/>
      </c>
      <c r="W499" s="0" t="str">
        <f aca="false">IF(K499="","",B499)</f>
        <v/>
      </c>
      <c r="X499" s="0" t="str">
        <f aca="false">IF(K499="","",1+SUMPRODUCT(($K$2:$K$1001&lt;&gt;"")*(($T$2:$T$1001&lt;T499)+($T$2:$T$1001=T499)*(($U$2:$U$1001&lt;U499)+($U$2:$U$1001=U499)*(($V$2:$V$1001&lt;V499)+($V$2:$V$1001=V499)*(($W$2:$W$1001&lt;W499)+($W$2:$W$1001=W499)*(ROW($K$2:$K$1001)&lt;ROW(K499))))))))</f>
        <v/>
      </c>
    </row>
    <row r="500" customFormat="false" ht="15" hidden="false" customHeight="false" outlineLevel="0" collapsed="false">
      <c r="A500" s="0" t="str">
        <f aca="false">IF(TRIM('List 1'!A500&amp;'List 1'!C500&amp;'List 1'!D500)="","",LOWER(IF(OR(Comparison!$I$9="Item # + Part # + Description",Comparison!$I$9="Item # + Part #"),TRIM('List 1'!A500),"")&amp;"|"&amp;TRIM('List 1'!C500)&amp;"|"&amp;IF(OR(Comparison!$I$9="Item # + Part # + Description",Comparison!$I$9="Part # + Description"),TRIM('List 1'!D500),"")))</f>
        <v/>
      </c>
      <c r="B500" s="0" t="str">
        <f aca="false">IF(A500="","",SUMPRODUCT(--($A$2:A500=A500)))</f>
        <v/>
      </c>
      <c r="C500" s="0" t="str">
        <f aca="false">IF(A500="","",A500&amp;"#"&amp;B500)</f>
        <v/>
      </c>
      <c r="D500" s="0" t="str">
        <f aca="false">IF(A500="","",IFERROR(--'List 1'!B500,0))</f>
        <v/>
      </c>
      <c r="F500" s="0" t="str">
        <f aca="false">IF(TRIM('List 2'!A500&amp;'List 2'!C500&amp;'List 2'!D500)="","",LOWER(IF(OR(Comparison!$I$9="Item # + Part # + Description",Comparison!$I$9="Item # + Part #"),TRIM('List 2'!A500),"")&amp;"|"&amp;TRIM('List 2'!C500)&amp;"|"&amp;IF(OR(Comparison!$I$9="Item # + Part # + Description",Comparison!$I$9="Part # + Description"),TRIM('List 2'!D500),"")))</f>
        <v/>
      </c>
      <c r="G500" s="0" t="str">
        <f aca="false">IF(F500="","",SUMPRODUCT(--($F$2:F500=F500)))</f>
        <v/>
      </c>
      <c r="H500" s="0" t="str">
        <f aca="false">IF(F500="","",F500&amp;"#"&amp;G500)</f>
        <v/>
      </c>
      <c r="I500" s="0" t="str">
        <f aca="false">IF(F500="","",IFERROR(--'List 2'!B500,0))</f>
        <v/>
      </c>
      <c r="K500" s="0" t="str">
        <f aca="false">C500</f>
        <v/>
      </c>
      <c r="L500" s="0" t="str">
        <f aca="false">IF(K500="","",IF(ISNUMBER('List 1'!A500),'List 1'!A500,TRIM('List 1'!A500)))</f>
        <v/>
      </c>
      <c r="M500" s="0" t="str">
        <f aca="false">IF(K500="","",IF(ISNUMBER('List 1'!C500),'List 1'!C500,TRIM('List 1'!C500)))</f>
        <v/>
      </c>
      <c r="N500" s="0" t="str">
        <f aca="false">IF(K500="","",IF(ISNUMBER('List 1'!D500),'List 1'!D500,TRIM('List 1'!D500)))</f>
        <v/>
      </c>
      <c r="O500" s="0" t="str">
        <f aca="false">IF(K500="","",D500)</f>
        <v/>
      </c>
      <c r="P500" s="0" t="str">
        <f aca="false">IF(K500="","",IF(R500,SUMPRODUCT(--($H$2:$H$501=K500),$I$2:$I$501),0))</f>
        <v/>
      </c>
      <c r="Q500" s="0" t="str">
        <f aca="false">IF(K500="","",TRUE())</f>
        <v/>
      </c>
      <c r="R500" s="0" t="str">
        <f aca="false">IF(K500="","",SUMPRODUCT(--($H$2:$H$501=K500))&gt;0)</f>
        <v/>
      </c>
      <c r="S500" s="0" t="str">
        <f aca="false">IF(K500="","",IF(AND(Q500,R500),IF(O500=P500,"Match","Qty Different"),IF(Q500,"Only in List 1","Only in List 2")))</f>
        <v/>
      </c>
      <c r="T500" s="0" t="str">
        <f aca="false">IF(K500="","",IF(ISNUMBER(--L500),TEXT(--L500,"000000000000.000"),LOWER(L500)))</f>
        <v/>
      </c>
      <c r="U500" s="0" t="str">
        <f aca="false">IF(K500="","",IF(ISNUMBER(--M500),TEXT(--M500,"000000000000.000"),LOWER(M500)))</f>
        <v/>
      </c>
      <c r="V500" s="0" t="str">
        <f aca="false">IF(K500="","",LOWER(N500))</f>
        <v/>
      </c>
      <c r="W500" s="0" t="str">
        <f aca="false">IF(K500="","",B500)</f>
        <v/>
      </c>
      <c r="X500" s="0" t="str">
        <f aca="false">IF(K500="","",1+SUMPRODUCT(($K$2:$K$1001&lt;&gt;"")*(($T$2:$T$1001&lt;T500)+($T$2:$T$1001=T500)*(($U$2:$U$1001&lt;U500)+($U$2:$U$1001=U500)*(($V$2:$V$1001&lt;V500)+($V$2:$V$1001=V500)*(($W$2:$W$1001&lt;W500)+($W$2:$W$1001=W500)*(ROW($K$2:$K$1001)&lt;ROW(K500))))))))</f>
        <v/>
      </c>
    </row>
    <row r="501" customFormat="false" ht="15" hidden="false" customHeight="false" outlineLevel="0" collapsed="false">
      <c r="A501" s="0" t="str">
        <f aca="false">IF(TRIM('List 1'!A501&amp;'List 1'!C501&amp;'List 1'!D501)="","",LOWER(IF(OR(Comparison!$I$9="Item # + Part # + Description",Comparison!$I$9="Item # + Part #"),TRIM('List 1'!A501),"")&amp;"|"&amp;TRIM('List 1'!C501)&amp;"|"&amp;IF(OR(Comparison!$I$9="Item # + Part # + Description",Comparison!$I$9="Part # + Description"),TRIM('List 1'!D501),"")))</f>
        <v/>
      </c>
      <c r="B501" s="0" t="str">
        <f aca="false">IF(A501="","",SUMPRODUCT(--($A$2:A501=A501)))</f>
        <v/>
      </c>
      <c r="C501" s="0" t="str">
        <f aca="false">IF(A501="","",A501&amp;"#"&amp;B501)</f>
        <v/>
      </c>
      <c r="D501" s="0" t="str">
        <f aca="false">IF(A501="","",IFERROR(--'List 1'!B501,0))</f>
        <v/>
      </c>
      <c r="F501" s="0" t="str">
        <f aca="false">IF(TRIM('List 2'!A501&amp;'List 2'!C501&amp;'List 2'!D501)="","",LOWER(IF(OR(Comparison!$I$9="Item # + Part # + Description",Comparison!$I$9="Item # + Part #"),TRIM('List 2'!A501),"")&amp;"|"&amp;TRIM('List 2'!C501)&amp;"|"&amp;IF(OR(Comparison!$I$9="Item # + Part # + Description",Comparison!$I$9="Part # + Description"),TRIM('List 2'!D501),"")))</f>
        <v/>
      </c>
      <c r="G501" s="0" t="str">
        <f aca="false">IF(F501="","",SUMPRODUCT(--($F$2:F501=F501)))</f>
        <v/>
      </c>
      <c r="H501" s="0" t="str">
        <f aca="false">IF(F501="","",F501&amp;"#"&amp;G501)</f>
        <v/>
      </c>
      <c r="I501" s="0" t="str">
        <f aca="false">IF(F501="","",IFERROR(--'List 2'!B501,0))</f>
        <v/>
      </c>
      <c r="K501" s="0" t="str">
        <f aca="false">C501</f>
        <v/>
      </c>
      <c r="L501" s="0" t="str">
        <f aca="false">IF(K501="","",IF(ISNUMBER('List 1'!A501),'List 1'!A501,TRIM('List 1'!A501)))</f>
        <v/>
      </c>
      <c r="M501" s="0" t="str">
        <f aca="false">IF(K501="","",IF(ISNUMBER('List 1'!C501),'List 1'!C501,TRIM('List 1'!C501)))</f>
        <v/>
      </c>
      <c r="N501" s="0" t="str">
        <f aca="false">IF(K501="","",IF(ISNUMBER('List 1'!D501),'List 1'!D501,TRIM('List 1'!D501)))</f>
        <v/>
      </c>
      <c r="O501" s="0" t="str">
        <f aca="false">IF(K501="","",D501)</f>
        <v/>
      </c>
      <c r="P501" s="0" t="str">
        <f aca="false">IF(K501="","",IF(R501,SUMPRODUCT(--($H$2:$H$501=K501),$I$2:$I$501),0))</f>
        <v/>
      </c>
      <c r="Q501" s="0" t="str">
        <f aca="false">IF(K501="","",TRUE())</f>
        <v/>
      </c>
      <c r="R501" s="0" t="str">
        <f aca="false">IF(K501="","",SUMPRODUCT(--($H$2:$H$501=K501))&gt;0)</f>
        <v/>
      </c>
      <c r="S501" s="0" t="str">
        <f aca="false">IF(K501="","",IF(AND(Q501,R501),IF(O501=P501,"Match","Qty Different"),IF(Q501,"Only in List 1","Only in List 2")))</f>
        <v/>
      </c>
      <c r="T501" s="0" t="str">
        <f aca="false">IF(K501="","",IF(ISNUMBER(--L501),TEXT(--L501,"000000000000.000"),LOWER(L501)))</f>
        <v/>
      </c>
      <c r="U501" s="0" t="str">
        <f aca="false">IF(K501="","",IF(ISNUMBER(--M501),TEXT(--M501,"000000000000.000"),LOWER(M501)))</f>
        <v/>
      </c>
      <c r="V501" s="0" t="str">
        <f aca="false">IF(K501="","",LOWER(N501))</f>
        <v/>
      </c>
      <c r="W501" s="0" t="str">
        <f aca="false">IF(K501="","",B501)</f>
        <v/>
      </c>
      <c r="X501" s="0" t="str">
        <f aca="false">IF(K501="","",1+SUMPRODUCT(($K$2:$K$1001&lt;&gt;"")*(($T$2:$T$1001&lt;T501)+($T$2:$T$1001=T501)*(($U$2:$U$1001&lt;U501)+($U$2:$U$1001=U501)*(($V$2:$V$1001&lt;V501)+($V$2:$V$1001=V501)*(($W$2:$W$1001&lt;W501)+($W$2:$W$1001=W501)*(ROW($K$2:$K$1001)&lt;ROW(K501))))))))</f>
        <v/>
      </c>
    </row>
    <row r="502" customFormat="false" ht="15" hidden="false" customHeight="false" outlineLevel="0" collapsed="false">
      <c r="K502" s="0" t="str">
        <f aca="false">IF(H2="","",IF(SUMPRODUCT(--($C$2:$C$501=H2))&gt;0,"",H2))</f>
        <v/>
      </c>
      <c r="L502" s="0" t="str">
        <f aca="false">IF(K502="","",IF(ISNUMBER('List 2'!A2),'List 2'!A2,TRIM('List 2'!A2)))</f>
        <v/>
      </c>
      <c r="M502" s="0" t="str">
        <f aca="false">IF(K502="","",IF(ISNUMBER('List 2'!C2),'List 2'!C2,TRIM('List 2'!C2)))</f>
        <v/>
      </c>
      <c r="N502" s="0" t="str">
        <f aca="false">IF(K502="","",IF(ISNUMBER('List 2'!D2),'List 2'!D2,TRIM('List 2'!D2)))</f>
        <v/>
      </c>
      <c r="O502" s="0" t="str">
        <f aca="false">IF(K502="","",0)</f>
        <v/>
      </c>
      <c r="P502" s="0" t="str">
        <f aca="false">IF(K502="","",I2)</f>
        <v/>
      </c>
      <c r="Q502" s="0" t="str">
        <f aca="false">IF(K502="","",FALSE())</f>
        <v/>
      </c>
      <c r="R502" s="0" t="str">
        <f aca="false">IF(K502="","",TRUE())</f>
        <v/>
      </c>
      <c r="S502" s="0" t="str">
        <f aca="false">IF(K502="","",IF(AND(Q502,R502),IF(O502=P502,"Match","Qty Different"),IF(Q502,"Only in List 1","Only in List 2")))</f>
        <v/>
      </c>
      <c r="T502" s="0" t="str">
        <f aca="false">IF(K502="","",IF(ISNUMBER(--L502),TEXT(--L502,"000000000000.000"),LOWER(L502)))</f>
        <v/>
      </c>
      <c r="U502" s="0" t="str">
        <f aca="false">IF(K502="","",IF(ISNUMBER(--M502),TEXT(--M502,"000000000000.000"),LOWER(M502)))</f>
        <v/>
      </c>
      <c r="V502" s="0" t="str">
        <f aca="false">IF(K502="","",LOWER(N502))</f>
        <v/>
      </c>
      <c r="W502" s="0" t="str">
        <f aca="false">IF(K502="","",G2)</f>
        <v/>
      </c>
      <c r="X502" s="0" t="str">
        <f aca="false">IF(K502="","",1+SUMPRODUCT(($K$2:$K$1001&lt;&gt;"")*(($T$2:$T$1001&lt;T502)+($T$2:$T$1001=T502)*(($U$2:$U$1001&lt;U502)+($U$2:$U$1001=U502)*(($V$2:$V$1001&lt;V502)+($V$2:$V$1001=V502)*(($W$2:$W$1001&lt;W502)+($W$2:$W$1001=W502)*(ROW($K$2:$K$1001)&lt;ROW(K502))))))))</f>
        <v/>
      </c>
    </row>
    <row r="503" customFormat="false" ht="15" hidden="false" customHeight="false" outlineLevel="0" collapsed="false">
      <c r="K503" s="0" t="str">
        <f aca="false">IF(H3="","",IF(SUMPRODUCT(--($C$2:$C$501=H3))&gt;0,"",H3))</f>
        <v/>
      </c>
      <c r="L503" s="0" t="str">
        <f aca="false">IF(K503="","",IF(ISNUMBER('List 2'!A3),'List 2'!A3,TRIM('List 2'!A3)))</f>
        <v/>
      </c>
      <c r="M503" s="0" t="str">
        <f aca="false">IF(K503="","",IF(ISNUMBER('List 2'!C3),'List 2'!C3,TRIM('List 2'!C3)))</f>
        <v/>
      </c>
      <c r="N503" s="0" t="str">
        <f aca="false">IF(K503="","",IF(ISNUMBER('List 2'!D3),'List 2'!D3,TRIM('List 2'!D3)))</f>
        <v/>
      </c>
      <c r="O503" s="0" t="str">
        <f aca="false">IF(K503="","",0)</f>
        <v/>
      </c>
      <c r="P503" s="0" t="str">
        <f aca="false">IF(K503="","",I3)</f>
        <v/>
      </c>
      <c r="Q503" s="0" t="str">
        <f aca="false">IF(K503="","",FALSE())</f>
        <v/>
      </c>
      <c r="R503" s="0" t="str">
        <f aca="false">IF(K503="","",TRUE())</f>
        <v/>
      </c>
      <c r="S503" s="0" t="str">
        <f aca="false">IF(K503="","",IF(AND(Q503,R503),IF(O503=P503,"Match","Qty Different"),IF(Q503,"Only in List 1","Only in List 2")))</f>
        <v/>
      </c>
      <c r="T503" s="0" t="str">
        <f aca="false">IF(K503="","",IF(ISNUMBER(--L503),TEXT(--L503,"000000000000.000"),LOWER(L503)))</f>
        <v/>
      </c>
      <c r="U503" s="0" t="str">
        <f aca="false">IF(K503="","",IF(ISNUMBER(--M503),TEXT(--M503,"000000000000.000"),LOWER(M503)))</f>
        <v/>
      </c>
      <c r="V503" s="0" t="str">
        <f aca="false">IF(K503="","",LOWER(N503))</f>
        <v/>
      </c>
      <c r="W503" s="0" t="str">
        <f aca="false">IF(K503="","",G3)</f>
        <v/>
      </c>
      <c r="X503" s="0" t="str">
        <f aca="false">IF(K503="","",1+SUMPRODUCT(($K$2:$K$1001&lt;&gt;"")*(($T$2:$T$1001&lt;T503)+($T$2:$T$1001=T503)*(($U$2:$U$1001&lt;U503)+($U$2:$U$1001=U503)*(($V$2:$V$1001&lt;V503)+($V$2:$V$1001=V503)*(($W$2:$W$1001&lt;W503)+($W$2:$W$1001=W503)*(ROW($K$2:$K$1001)&lt;ROW(K503))))))))</f>
        <v/>
      </c>
    </row>
    <row r="504" customFormat="false" ht="15" hidden="false" customHeight="false" outlineLevel="0" collapsed="false">
      <c r="K504" s="0" t="str">
        <f aca="false">IF(H4="","",IF(SUMPRODUCT(--($C$2:$C$501=H4))&gt;0,"",H4))</f>
        <v/>
      </c>
      <c r="L504" s="0" t="str">
        <f aca="false">IF(K504="","",IF(ISNUMBER('List 2'!A4),'List 2'!A4,TRIM('List 2'!A4)))</f>
        <v/>
      </c>
      <c r="M504" s="0" t="str">
        <f aca="false">IF(K504="","",IF(ISNUMBER('List 2'!C4),'List 2'!C4,TRIM('List 2'!C4)))</f>
        <v/>
      </c>
      <c r="N504" s="0" t="str">
        <f aca="false">IF(K504="","",IF(ISNUMBER('List 2'!D4),'List 2'!D4,TRIM('List 2'!D4)))</f>
        <v/>
      </c>
      <c r="O504" s="0" t="str">
        <f aca="false">IF(K504="","",0)</f>
        <v/>
      </c>
      <c r="P504" s="0" t="str">
        <f aca="false">IF(K504="","",I4)</f>
        <v/>
      </c>
      <c r="Q504" s="0" t="str">
        <f aca="false">IF(K504="","",FALSE())</f>
        <v/>
      </c>
      <c r="R504" s="0" t="str">
        <f aca="false">IF(K504="","",TRUE())</f>
        <v/>
      </c>
      <c r="S504" s="0" t="str">
        <f aca="false">IF(K504="","",IF(AND(Q504,R504),IF(O504=P504,"Match","Qty Different"),IF(Q504,"Only in List 1","Only in List 2")))</f>
        <v/>
      </c>
      <c r="T504" s="0" t="str">
        <f aca="false">IF(K504="","",IF(ISNUMBER(--L504),TEXT(--L504,"000000000000.000"),LOWER(L504)))</f>
        <v/>
      </c>
      <c r="U504" s="0" t="str">
        <f aca="false">IF(K504="","",IF(ISNUMBER(--M504),TEXT(--M504,"000000000000.000"),LOWER(M504)))</f>
        <v/>
      </c>
      <c r="V504" s="0" t="str">
        <f aca="false">IF(K504="","",LOWER(N504))</f>
        <v/>
      </c>
      <c r="W504" s="0" t="str">
        <f aca="false">IF(K504="","",G4)</f>
        <v/>
      </c>
      <c r="X504" s="0" t="str">
        <f aca="false">IF(K504="","",1+SUMPRODUCT(($K$2:$K$1001&lt;&gt;"")*(($T$2:$T$1001&lt;T504)+($T$2:$T$1001=T504)*(($U$2:$U$1001&lt;U504)+($U$2:$U$1001=U504)*(($V$2:$V$1001&lt;V504)+($V$2:$V$1001=V504)*(($W$2:$W$1001&lt;W504)+($W$2:$W$1001=W504)*(ROW($K$2:$K$1001)&lt;ROW(K504))))))))</f>
        <v/>
      </c>
    </row>
    <row r="505" customFormat="false" ht="15" hidden="false" customHeight="false" outlineLevel="0" collapsed="false">
      <c r="K505" s="0" t="str">
        <f aca="false">IF(H5="","",IF(SUMPRODUCT(--($C$2:$C$501=H5))&gt;0,"",H5))</f>
        <v/>
      </c>
      <c r="L505" s="0" t="str">
        <f aca="false">IF(K505="","",IF(ISNUMBER('List 2'!A5),'List 2'!A5,TRIM('List 2'!A5)))</f>
        <v/>
      </c>
      <c r="M505" s="0" t="str">
        <f aca="false">IF(K505="","",IF(ISNUMBER('List 2'!C5),'List 2'!C5,TRIM('List 2'!C5)))</f>
        <v/>
      </c>
      <c r="N505" s="0" t="str">
        <f aca="false">IF(K505="","",IF(ISNUMBER('List 2'!D5),'List 2'!D5,TRIM('List 2'!D5)))</f>
        <v/>
      </c>
      <c r="O505" s="0" t="str">
        <f aca="false">IF(K505="","",0)</f>
        <v/>
      </c>
      <c r="P505" s="0" t="str">
        <f aca="false">IF(K505="","",I5)</f>
        <v/>
      </c>
      <c r="Q505" s="0" t="str">
        <f aca="false">IF(K505="","",FALSE())</f>
        <v/>
      </c>
      <c r="R505" s="0" t="str">
        <f aca="false">IF(K505="","",TRUE())</f>
        <v/>
      </c>
      <c r="S505" s="0" t="str">
        <f aca="false">IF(K505="","",IF(AND(Q505,R505),IF(O505=P505,"Match","Qty Different"),IF(Q505,"Only in List 1","Only in List 2")))</f>
        <v/>
      </c>
      <c r="T505" s="0" t="str">
        <f aca="false">IF(K505="","",IF(ISNUMBER(--L505),TEXT(--L505,"000000000000.000"),LOWER(L505)))</f>
        <v/>
      </c>
      <c r="U505" s="0" t="str">
        <f aca="false">IF(K505="","",IF(ISNUMBER(--M505),TEXT(--M505,"000000000000.000"),LOWER(M505)))</f>
        <v/>
      </c>
      <c r="V505" s="0" t="str">
        <f aca="false">IF(K505="","",LOWER(N505))</f>
        <v/>
      </c>
      <c r="W505" s="0" t="str">
        <f aca="false">IF(K505="","",G5)</f>
        <v/>
      </c>
      <c r="X505" s="0" t="str">
        <f aca="false">IF(K505="","",1+SUMPRODUCT(($K$2:$K$1001&lt;&gt;"")*(($T$2:$T$1001&lt;T505)+($T$2:$T$1001=T505)*(($U$2:$U$1001&lt;U505)+($U$2:$U$1001=U505)*(($V$2:$V$1001&lt;V505)+($V$2:$V$1001=V505)*(($W$2:$W$1001&lt;W505)+($W$2:$W$1001=W505)*(ROW($K$2:$K$1001)&lt;ROW(K505))))))))</f>
        <v/>
      </c>
    </row>
    <row r="506" customFormat="false" ht="15" hidden="false" customHeight="false" outlineLevel="0" collapsed="false">
      <c r="K506" s="0" t="str">
        <f aca="false">IF(H6="","",IF(SUMPRODUCT(--($C$2:$C$501=H6))&gt;0,"",H6))</f>
        <v/>
      </c>
      <c r="L506" s="0" t="str">
        <f aca="false">IF(K506="","",IF(ISNUMBER('List 2'!A6),'List 2'!A6,TRIM('List 2'!A6)))</f>
        <v/>
      </c>
      <c r="M506" s="0" t="str">
        <f aca="false">IF(K506="","",IF(ISNUMBER('List 2'!C6),'List 2'!C6,TRIM('List 2'!C6)))</f>
        <v/>
      </c>
      <c r="N506" s="0" t="str">
        <f aca="false">IF(K506="","",IF(ISNUMBER('List 2'!D6),'List 2'!D6,TRIM('List 2'!D6)))</f>
        <v/>
      </c>
      <c r="O506" s="0" t="str">
        <f aca="false">IF(K506="","",0)</f>
        <v/>
      </c>
      <c r="P506" s="0" t="str">
        <f aca="false">IF(K506="","",I6)</f>
        <v/>
      </c>
      <c r="Q506" s="0" t="str">
        <f aca="false">IF(K506="","",FALSE())</f>
        <v/>
      </c>
      <c r="R506" s="0" t="str">
        <f aca="false">IF(K506="","",TRUE())</f>
        <v/>
      </c>
      <c r="S506" s="0" t="str">
        <f aca="false">IF(K506="","",IF(AND(Q506,R506),IF(O506=P506,"Match","Qty Different"),IF(Q506,"Only in List 1","Only in List 2")))</f>
        <v/>
      </c>
      <c r="T506" s="0" t="str">
        <f aca="false">IF(K506="","",IF(ISNUMBER(--L506),TEXT(--L506,"000000000000.000"),LOWER(L506)))</f>
        <v/>
      </c>
      <c r="U506" s="0" t="str">
        <f aca="false">IF(K506="","",IF(ISNUMBER(--M506),TEXT(--M506,"000000000000.000"),LOWER(M506)))</f>
        <v/>
      </c>
      <c r="V506" s="0" t="str">
        <f aca="false">IF(K506="","",LOWER(N506))</f>
        <v/>
      </c>
      <c r="W506" s="0" t="str">
        <f aca="false">IF(K506="","",G6)</f>
        <v/>
      </c>
      <c r="X506" s="0" t="str">
        <f aca="false">IF(K506="","",1+SUMPRODUCT(($K$2:$K$1001&lt;&gt;"")*(($T$2:$T$1001&lt;T506)+($T$2:$T$1001=T506)*(($U$2:$U$1001&lt;U506)+($U$2:$U$1001=U506)*(($V$2:$V$1001&lt;V506)+($V$2:$V$1001=V506)*(($W$2:$W$1001&lt;W506)+($W$2:$W$1001=W506)*(ROW($K$2:$K$1001)&lt;ROW(K506))))))))</f>
        <v/>
      </c>
    </row>
    <row r="507" customFormat="false" ht="15" hidden="false" customHeight="false" outlineLevel="0" collapsed="false">
      <c r="K507" s="0" t="str">
        <f aca="false">IF(H7="","",IF(SUMPRODUCT(--($C$2:$C$501=H7))&gt;0,"",H7))</f>
        <v>105|pn-006|hinge#2</v>
      </c>
      <c r="L507" s="0" t="str">
        <f aca="false">IF(K507="","",IF(ISNUMBER('List 2'!A7),'List 2'!A7,TRIM('List 2'!A7)))</f>
        <v>105</v>
      </c>
      <c r="M507" s="0" t="str">
        <f aca="false">IF(K507="","",IF(ISNUMBER('List 2'!C7),'List 2'!C7,TRIM('List 2'!C7)))</f>
        <v>PN-006</v>
      </c>
      <c r="N507" s="0" t="str">
        <f aca="false">IF(K507="","",IF(ISNUMBER('List 2'!D7),'List 2'!D7,TRIM('List 2'!D7)))</f>
        <v>Hinge</v>
      </c>
      <c r="O507" s="0" t="n">
        <f aca="false">IF(K507="","",0)</f>
        <v>0</v>
      </c>
      <c r="P507" s="0" t="n">
        <f aca="false">IF(K507="","",I7)</f>
        <v>7</v>
      </c>
      <c r="Q507" s="10" t="b">
        <f aca="false">IF(K507="","",FALSE())</f>
        <v>0</v>
      </c>
      <c r="R507" s="10" t="b">
        <f aca="false">IF(K507="","",TRUE())</f>
        <v>1</v>
      </c>
      <c r="S507" s="0" t="str">
        <f aca="false">IF(K507="","",IF(AND(Q507,R507),IF(O507=P507,"Match","Qty Different"),IF(Q507,"Only in List 1","Only in List 2")))</f>
        <v>Only in List 2</v>
      </c>
      <c r="T507" s="0" t="str">
        <f aca="false">IF(K507="","",IF(ISNUMBER(--L507),TEXT(--L507,"000000000000.000"),LOWER(L507)))</f>
        <v>000000000105.000</v>
      </c>
      <c r="U507" s="0" t="str">
        <f aca="false">IF(K507="","",IF(ISNUMBER(--M507),TEXT(--M507,"000000000000.000"),LOWER(M507)))</f>
        <v>pn-006</v>
      </c>
      <c r="V507" s="0" t="str">
        <f aca="false">IF(K507="","",LOWER(N507))</f>
        <v>hinge</v>
      </c>
      <c r="W507" s="0" t="n">
        <f aca="false">IF(K507="","",G7)</f>
        <v>2</v>
      </c>
      <c r="X507" s="0" t="n">
        <f aca="false">IF(K507="","",1+SUMPRODUCT(($K$2:$K$1001&lt;&gt;"")*(($T$2:$T$1001&lt;T507)+($T$2:$T$1001=T507)*(($U$2:$U$1001&lt;U507)+($U$2:$U$1001=U507)*(($V$2:$V$1001&lt;V507)+($V$2:$V$1001=V507)*(($W$2:$W$1001&lt;W507)+($W$2:$W$1001=W507)*(ROW($K$2:$K$1001)&lt;ROW(K507))))))))</f>
        <v>8</v>
      </c>
    </row>
    <row r="508" customFormat="false" ht="15" hidden="false" customHeight="false" outlineLevel="0" collapsed="false">
      <c r="K508" s="0" t="str">
        <f aca="false">IF(H8="","",IF(SUMPRODUCT(--($C$2:$C$501=H8))&gt;0,"",H8))</f>
        <v/>
      </c>
      <c r="L508" s="0" t="str">
        <f aca="false">IF(K508="","",IF(ISNUMBER('List 2'!A8),'List 2'!A8,TRIM('List 2'!A8)))</f>
        <v/>
      </c>
      <c r="M508" s="0" t="str">
        <f aca="false">IF(K508="","",IF(ISNUMBER('List 2'!C8),'List 2'!C8,TRIM('List 2'!C8)))</f>
        <v/>
      </c>
      <c r="N508" s="0" t="str">
        <f aca="false">IF(K508="","",IF(ISNUMBER('List 2'!D8),'List 2'!D8,TRIM('List 2'!D8)))</f>
        <v/>
      </c>
      <c r="O508" s="0" t="str">
        <f aca="false">IF(K508="","",0)</f>
        <v/>
      </c>
      <c r="P508" s="0" t="str">
        <f aca="false">IF(K508="","",I8)</f>
        <v/>
      </c>
      <c r="Q508" s="0" t="str">
        <f aca="false">IF(K508="","",FALSE())</f>
        <v/>
      </c>
      <c r="R508" s="0" t="str">
        <f aca="false">IF(K508="","",TRUE())</f>
        <v/>
      </c>
      <c r="S508" s="0" t="str">
        <f aca="false">IF(K508="","",IF(AND(Q508,R508),IF(O508=P508,"Match","Qty Different"),IF(Q508,"Only in List 1","Only in List 2")))</f>
        <v/>
      </c>
      <c r="T508" s="0" t="str">
        <f aca="false">IF(K508="","",IF(ISNUMBER(--L508),TEXT(--L508,"000000000000.000"),LOWER(L508)))</f>
        <v/>
      </c>
      <c r="U508" s="0" t="str">
        <f aca="false">IF(K508="","",IF(ISNUMBER(--M508),TEXT(--M508,"000000000000.000"),LOWER(M508)))</f>
        <v/>
      </c>
      <c r="V508" s="0" t="str">
        <f aca="false">IF(K508="","",LOWER(N508))</f>
        <v/>
      </c>
      <c r="W508" s="0" t="str">
        <f aca="false">IF(K508="","",G8)</f>
        <v/>
      </c>
      <c r="X508" s="0" t="str">
        <f aca="false">IF(K508="","",1+SUMPRODUCT(($K$2:$K$1001&lt;&gt;"")*(($T$2:$T$1001&lt;T508)+($T$2:$T$1001=T508)*(($U$2:$U$1001&lt;U508)+($U$2:$U$1001=U508)*(($V$2:$V$1001&lt;V508)+($V$2:$V$1001=V508)*(($W$2:$W$1001&lt;W508)+($W$2:$W$1001=W508)*(ROW($K$2:$K$1001)&lt;ROW(K508))))))))</f>
        <v/>
      </c>
    </row>
    <row r="509" customFormat="false" ht="15" hidden="false" customHeight="false" outlineLevel="0" collapsed="false">
      <c r="K509" s="0" t="str">
        <f aca="false">IF(H9="","",IF(SUMPRODUCT(--($C$2:$C$501=H9))&gt;0,"",H9))</f>
        <v/>
      </c>
      <c r="L509" s="0" t="str">
        <f aca="false">IF(K509="","",IF(ISNUMBER('List 2'!A9),'List 2'!A9,TRIM('List 2'!A9)))</f>
        <v/>
      </c>
      <c r="M509" s="0" t="str">
        <f aca="false">IF(K509="","",IF(ISNUMBER('List 2'!C9),'List 2'!C9,TRIM('List 2'!C9)))</f>
        <v/>
      </c>
      <c r="N509" s="0" t="str">
        <f aca="false">IF(K509="","",IF(ISNUMBER('List 2'!D9),'List 2'!D9,TRIM('List 2'!D9)))</f>
        <v/>
      </c>
      <c r="O509" s="0" t="str">
        <f aca="false">IF(K509="","",0)</f>
        <v/>
      </c>
      <c r="P509" s="0" t="str">
        <f aca="false">IF(K509="","",I9)</f>
        <v/>
      </c>
      <c r="Q509" s="0" t="str">
        <f aca="false">IF(K509="","",FALSE())</f>
        <v/>
      </c>
      <c r="R509" s="0" t="str">
        <f aca="false">IF(K509="","",TRUE())</f>
        <v/>
      </c>
      <c r="S509" s="0" t="str">
        <f aca="false">IF(K509="","",IF(AND(Q509,R509),IF(O509=P509,"Match","Qty Different"),IF(Q509,"Only in List 1","Only in List 2")))</f>
        <v/>
      </c>
      <c r="T509" s="0" t="str">
        <f aca="false">IF(K509="","",IF(ISNUMBER(--L509),TEXT(--L509,"000000000000.000"),LOWER(L509)))</f>
        <v/>
      </c>
      <c r="U509" s="0" t="str">
        <f aca="false">IF(K509="","",IF(ISNUMBER(--M509),TEXT(--M509,"000000000000.000"),LOWER(M509)))</f>
        <v/>
      </c>
      <c r="V509" s="0" t="str">
        <f aca="false">IF(K509="","",LOWER(N509))</f>
        <v/>
      </c>
      <c r="W509" s="0" t="str">
        <f aca="false">IF(K509="","",G9)</f>
        <v/>
      </c>
      <c r="X509" s="0" t="str">
        <f aca="false">IF(K509="","",1+SUMPRODUCT(($K$2:$K$1001&lt;&gt;"")*(($T$2:$T$1001&lt;T509)+($T$2:$T$1001=T509)*(($U$2:$U$1001&lt;U509)+($U$2:$U$1001=U509)*(($V$2:$V$1001&lt;V509)+($V$2:$V$1001=V509)*(($W$2:$W$1001&lt;W509)+($W$2:$W$1001=W509)*(ROW($K$2:$K$1001)&lt;ROW(K509))))))))</f>
        <v/>
      </c>
    </row>
    <row r="510" customFormat="false" ht="15" hidden="false" customHeight="false" outlineLevel="0" collapsed="false">
      <c r="K510" s="0" t="str">
        <f aca="false">IF(H10="","",IF(SUMPRODUCT(--($C$2:$C$501=H10))&gt;0,"",H10))</f>
        <v/>
      </c>
      <c r="L510" s="0" t="str">
        <f aca="false">IF(K510="","",IF(ISNUMBER('List 2'!A10),'List 2'!A10,TRIM('List 2'!A10)))</f>
        <v/>
      </c>
      <c r="M510" s="0" t="str">
        <f aca="false">IF(K510="","",IF(ISNUMBER('List 2'!C10),'List 2'!C10,TRIM('List 2'!C10)))</f>
        <v/>
      </c>
      <c r="N510" s="0" t="str">
        <f aca="false">IF(K510="","",IF(ISNUMBER('List 2'!D10),'List 2'!D10,TRIM('List 2'!D10)))</f>
        <v/>
      </c>
      <c r="O510" s="0" t="str">
        <f aca="false">IF(K510="","",0)</f>
        <v/>
      </c>
      <c r="P510" s="0" t="str">
        <f aca="false">IF(K510="","",I10)</f>
        <v/>
      </c>
      <c r="Q510" s="0" t="str">
        <f aca="false">IF(K510="","",FALSE())</f>
        <v/>
      </c>
      <c r="R510" s="0" t="str">
        <f aca="false">IF(K510="","",TRUE())</f>
        <v/>
      </c>
      <c r="S510" s="0" t="str">
        <f aca="false">IF(K510="","",IF(AND(Q510,R510),IF(O510=P510,"Match","Qty Different"),IF(Q510,"Only in List 1","Only in List 2")))</f>
        <v/>
      </c>
      <c r="T510" s="0" t="str">
        <f aca="false">IF(K510="","",IF(ISNUMBER(--L510),TEXT(--L510,"000000000000.000"),LOWER(L510)))</f>
        <v/>
      </c>
      <c r="U510" s="0" t="str">
        <f aca="false">IF(K510="","",IF(ISNUMBER(--M510),TEXT(--M510,"000000000000.000"),LOWER(M510)))</f>
        <v/>
      </c>
      <c r="V510" s="0" t="str">
        <f aca="false">IF(K510="","",LOWER(N510))</f>
        <v/>
      </c>
      <c r="W510" s="0" t="str">
        <f aca="false">IF(K510="","",G10)</f>
        <v/>
      </c>
      <c r="X510" s="0" t="str">
        <f aca="false">IF(K510="","",1+SUMPRODUCT(($K$2:$K$1001&lt;&gt;"")*(($T$2:$T$1001&lt;T510)+($T$2:$T$1001=T510)*(($U$2:$U$1001&lt;U510)+($U$2:$U$1001=U510)*(($V$2:$V$1001&lt;V510)+($V$2:$V$1001=V510)*(($W$2:$W$1001&lt;W510)+($W$2:$W$1001=W510)*(ROW($K$2:$K$1001)&lt;ROW(K510))))))))</f>
        <v/>
      </c>
    </row>
    <row r="511" customFormat="false" ht="15" hidden="false" customHeight="false" outlineLevel="0" collapsed="false">
      <c r="K511" s="0" t="str">
        <f aca="false">IF(H11="","",IF(SUMPRODUCT(--($C$2:$C$501=H11))&gt;0,"",H11))</f>
        <v>110|pn-011|sensor#1</v>
      </c>
      <c r="L511" s="0" t="str">
        <f aca="false">IF(K511="","",IF(ISNUMBER('List 2'!A11),'List 2'!A11,TRIM('List 2'!A11)))</f>
        <v>110</v>
      </c>
      <c r="M511" s="0" t="str">
        <f aca="false">IF(K511="","",IF(ISNUMBER('List 2'!C11),'List 2'!C11,TRIM('List 2'!C11)))</f>
        <v>PN-011</v>
      </c>
      <c r="N511" s="0" t="str">
        <f aca="false">IF(K511="","",IF(ISNUMBER('List 2'!D11),'List 2'!D11,TRIM('List 2'!D11)))</f>
        <v>Sensor</v>
      </c>
      <c r="O511" s="0" t="n">
        <f aca="false">IF(K511="","",0)</f>
        <v>0</v>
      </c>
      <c r="P511" s="0" t="n">
        <f aca="false">IF(K511="","",I11)</f>
        <v>3</v>
      </c>
      <c r="Q511" s="10" t="b">
        <f aca="false">IF(K511="","",FALSE())</f>
        <v>0</v>
      </c>
      <c r="R511" s="10" t="b">
        <f aca="false">IF(K511="","",TRUE())</f>
        <v>1</v>
      </c>
      <c r="S511" s="0" t="str">
        <f aca="false">IF(K511="","",IF(AND(Q511,R511),IF(O511=P511,"Match","Qty Different"),IF(Q511,"Only in List 1","Only in List 2")))</f>
        <v>Only in List 2</v>
      </c>
      <c r="T511" s="0" t="str">
        <f aca="false">IF(K511="","",IF(ISNUMBER(--L511),TEXT(--L511,"000000000000.000"),LOWER(L511)))</f>
        <v>000000000110.000</v>
      </c>
      <c r="U511" s="0" t="str">
        <f aca="false">IF(K511="","",IF(ISNUMBER(--M511),TEXT(--M511,"000000000000.000"),LOWER(M511)))</f>
        <v>pn-011</v>
      </c>
      <c r="V511" s="0" t="str">
        <f aca="false">IF(K511="","",LOWER(N511))</f>
        <v>sensor</v>
      </c>
      <c r="W511" s="0" t="n">
        <f aca="false">IF(K511="","",G11)</f>
        <v>1</v>
      </c>
      <c r="X511" s="0" t="n">
        <f aca="false">IF(K511="","",1+SUMPRODUCT(($K$2:$K$1001&lt;&gt;"")*(($T$2:$T$1001&lt;T511)+($T$2:$T$1001=T511)*(($U$2:$U$1001&lt;U511)+($U$2:$U$1001=U511)*(($V$2:$V$1001&lt;V511)+($V$2:$V$1001=V511)*(($W$2:$W$1001&lt;W511)+($W$2:$W$1001=W511)*(ROW($K$2:$K$1001)&lt;ROW(K511))))))))</f>
        <v>13</v>
      </c>
    </row>
    <row r="512" customFormat="false" ht="15" hidden="false" customHeight="false" outlineLevel="0" collapsed="false">
      <c r="K512" s="0" t="str">
        <f aca="false">IF(H12="","",IF(SUMPRODUCT(--($C$2:$C$501=H12))&gt;0,"",H12))</f>
        <v>112|pn-013|pump b#1</v>
      </c>
      <c r="L512" s="0" t="str">
        <f aca="false">IF(K512="","",IF(ISNUMBER('List 2'!A12),'List 2'!A12,TRIM('List 2'!A12)))</f>
        <v>112</v>
      </c>
      <c r="M512" s="0" t="str">
        <f aca="false">IF(K512="","",IF(ISNUMBER('List 2'!C12),'List 2'!C12,TRIM('List 2'!C12)))</f>
        <v>PN-013</v>
      </c>
      <c r="N512" s="0" t="str">
        <f aca="false">IF(K512="","",IF(ISNUMBER('List 2'!D12),'List 2'!D12,TRIM('List 2'!D12)))</f>
        <v>Pump B</v>
      </c>
      <c r="O512" s="0" t="n">
        <f aca="false">IF(K512="","",0)</f>
        <v>0</v>
      </c>
      <c r="P512" s="0" t="n">
        <f aca="false">IF(K512="","",I12)</f>
        <v>1</v>
      </c>
      <c r="Q512" s="10" t="b">
        <f aca="false">IF(K512="","",FALSE())</f>
        <v>0</v>
      </c>
      <c r="R512" s="10" t="b">
        <f aca="false">IF(K512="","",TRUE())</f>
        <v>1</v>
      </c>
      <c r="S512" s="0" t="str">
        <f aca="false">IF(K512="","",IF(AND(Q512,R512),IF(O512=P512,"Match","Qty Different"),IF(Q512,"Only in List 1","Only in List 2")))</f>
        <v>Only in List 2</v>
      </c>
      <c r="T512" s="0" t="str">
        <f aca="false">IF(K512="","",IF(ISNUMBER(--L512),TEXT(--L512,"000000000000.000"),LOWER(L512)))</f>
        <v>000000000112.000</v>
      </c>
      <c r="U512" s="0" t="str">
        <f aca="false">IF(K512="","",IF(ISNUMBER(--M512),TEXT(--M512,"000000000000.000"),LOWER(M512)))</f>
        <v>pn-013</v>
      </c>
      <c r="V512" s="0" t="str">
        <f aca="false">IF(K512="","",LOWER(N512))</f>
        <v>pump b</v>
      </c>
      <c r="W512" s="0" t="n">
        <f aca="false">IF(K512="","",G12)</f>
        <v>1</v>
      </c>
      <c r="X512" s="0" t="n">
        <f aca="false">IF(K512="","",1+SUMPRODUCT(($K$2:$K$1001&lt;&gt;"")*(($T$2:$T$1001&lt;T512)+($T$2:$T$1001=T512)*(($U$2:$U$1001&lt;U512)+($U$2:$U$1001=U512)*(($V$2:$V$1001&lt;V512)+($V$2:$V$1001=V512)*(($W$2:$W$1001&lt;W512)+($W$2:$W$1001=W512)*(ROW($K$2:$K$1001)&lt;ROW(K512))))))))</f>
        <v>15</v>
      </c>
    </row>
    <row r="513" customFormat="false" ht="15" hidden="false" customHeight="false" outlineLevel="0" collapsed="false">
      <c r="K513" s="0" t="str">
        <f aca="false">IF(H13="","",IF(SUMPRODUCT(--($C$2:$C$501=H13))&gt;0,"",H13))</f>
        <v/>
      </c>
      <c r="L513" s="0" t="str">
        <f aca="false">IF(K513="","",IF(ISNUMBER('List 2'!A13),'List 2'!A13,TRIM('List 2'!A13)))</f>
        <v/>
      </c>
      <c r="M513" s="0" t="str">
        <f aca="false">IF(K513="","",IF(ISNUMBER('List 2'!C13),'List 2'!C13,TRIM('List 2'!C13)))</f>
        <v/>
      </c>
      <c r="N513" s="0" t="str">
        <f aca="false">IF(K513="","",IF(ISNUMBER('List 2'!D13),'List 2'!D13,TRIM('List 2'!D13)))</f>
        <v/>
      </c>
      <c r="O513" s="0" t="str">
        <f aca="false">IF(K513="","",0)</f>
        <v/>
      </c>
      <c r="P513" s="0" t="str">
        <f aca="false">IF(K513="","",I13)</f>
        <v/>
      </c>
      <c r="Q513" s="0" t="str">
        <f aca="false">IF(K513="","",FALSE())</f>
        <v/>
      </c>
      <c r="R513" s="0" t="str">
        <f aca="false">IF(K513="","",TRUE())</f>
        <v/>
      </c>
      <c r="S513" s="0" t="str">
        <f aca="false">IF(K513="","",IF(AND(Q513,R513),IF(O513=P513,"Match","Qty Different"),IF(Q513,"Only in List 1","Only in List 2")))</f>
        <v/>
      </c>
      <c r="T513" s="0" t="str">
        <f aca="false">IF(K513="","",IF(ISNUMBER(--L513),TEXT(--L513,"000000000000.000"),LOWER(L513)))</f>
        <v/>
      </c>
      <c r="U513" s="0" t="str">
        <f aca="false">IF(K513="","",IF(ISNUMBER(--M513),TEXT(--M513,"000000000000.000"),LOWER(M513)))</f>
        <v/>
      </c>
      <c r="V513" s="0" t="str">
        <f aca="false">IF(K513="","",LOWER(N513))</f>
        <v/>
      </c>
      <c r="W513" s="0" t="str">
        <f aca="false">IF(K513="","",G13)</f>
        <v/>
      </c>
      <c r="X513" s="0" t="str">
        <f aca="false">IF(K513="","",1+SUMPRODUCT(($K$2:$K$1001&lt;&gt;"")*(($T$2:$T$1001&lt;T513)+($T$2:$T$1001=T513)*(($U$2:$U$1001&lt;U513)+($U$2:$U$1001=U513)*(($V$2:$V$1001&lt;V513)+($V$2:$V$1001=V513)*(($W$2:$W$1001&lt;W513)+($W$2:$W$1001=W513)*(ROW($K$2:$K$1001)&lt;ROW(K513))))))))</f>
        <v/>
      </c>
    </row>
    <row r="514" customFormat="false" ht="15" hidden="false" customHeight="false" outlineLevel="0" collapsed="false">
      <c r="K514" s="0" t="str">
        <f aca="false">IF(H14="","",IF(SUMPRODUCT(--($C$2:$C$501=H14))&gt;0,"",H14))</f>
        <v/>
      </c>
      <c r="L514" s="0" t="str">
        <f aca="false">IF(K514="","",IF(ISNUMBER('List 2'!A14),'List 2'!A14,TRIM('List 2'!A14)))</f>
        <v/>
      </c>
      <c r="M514" s="0" t="str">
        <f aca="false">IF(K514="","",IF(ISNUMBER('List 2'!C14),'List 2'!C14,TRIM('List 2'!C14)))</f>
        <v/>
      </c>
      <c r="N514" s="0" t="str">
        <f aca="false">IF(K514="","",IF(ISNUMBER('List 2'!D14),'List 2'!D14,TRIM('List 2'!D14)))</f>
        <v/>
      </c>
      <c r="O514" s="0" t="str">
        <f aca="false">IF(K514="","",0)</f>
        <v/>
      </c>
      <c r="P514" s="0" t="str">
        <f aca="false">IF(K514="","",I14)</f>
        <v/>
      </c>
      <c r="Q514" s="0" t="str">
        <f aca="false">IF(K514="","",FALSE())</f>
        <v/>
      </c>
      <c r="R514" s="0" t="str">
        <f aca="false">IF(K514="","",TRUE())</f>
        <v/>
      </c>
      <c r="S514" s="0" t="str">
        <f aca="false">IF(K514="","",IF(AND(Q514,R514),IF(O514=P514,"Match","Qty Different"),IF(Q514,"Only in List 1","Only in List 2")))</f>
        <v/>
      </c>
      <c r="T514" s="0" t="str">
        <f aca="false">IF(K514="","",IF(ISNUMBER(--L514),TEXT(--L514,"000000000000.000"),LOWER(L514)))</f>
        <v/>
      </c>
      <c r="U514" s="0" t="str">
        <f aca="false">IF(K514="","",IF(ISNUMBER(--M514),TEXT(--M514,"000000000000.000"),LOWER(M514)))</f>
        <v/>
      </c>
      <c r="V514" s="0" t="str">
        <f aca="false">IF(K514="","",LOWER(N514))</f>
        <v/>
      </c>
      <c r="W514" s="0" t="str">
        <f aca="false">IF(K514="","",G14)</f>
        <v/>
      </c>
      <c r="X514" s="0" t="str">
        <f aca="false">IF(K514="","",1+SUMPRODUCT(($K$2:$K$1001&lt;&gt;"")*(($T$2:$T$1001&lt;T514)+($T$2:$T$1001=T514)*(($U$2:$U$1001&lt;U514)+($U$2:$U$1001=U514)*(($V$2:$V$1001&lt;V514)+($V$2:$V$1001=V514)*(($W$2:$W$1001&lt;W514)+($W$2:$W$1001=W514)*(ROW($K$2:$K$1001)&lt;ROW(K514))))))))</f>
        <v/>
      </c>
    </row>
    <row r="515" customFormat="false" ht="15" hidden="false" customHeight="false" outlineLevel="0" collapsed="false">
      <c r="K515" s="0" t="str">
        <f aca="false">IF(H15="","",IF(SUMPRODUCT(--($C$2:$C$501=H15))&gt;0,"",H15))</f>
        <v/>
      </c>
      <c r="L515" s="0" t="str">
        <f aca="false">IF(K515="","",IF(ISNUMBER('List 2'!A15),'List 2'!A15,TRIM('List 2'!A15)))</f>
        <v/>
      </c>
      <c r="M515" s="0" t="str">
        <f aca="false">IF(K515="","",IF(ISNUMBER('List 2'!C15),'List 2'!C15,TRIM('List 2'!C15)))</f>
        <v/>
      </c>
      <c r="N515" s="0" t="str">
        <f aca="false">IF(K515="","",IF(ISNUMBER('List 2'!D15),'List 2'!D15,TRIM('List 2'!D15)))</f>
        <v/>
      </c>
      <c r="O515" s="0" t="str">
        <f aca="false">IF(K515="","",0)</f>
        <v/>
      </c>
      <c r="P515" s="0" t="str">
        <f aca="false">IF(K515="","",I15)</f>
        <v/>
      </c>
      <c r="Q515" s="0" t="str">
        <f aca="false">IF(K515="","",FALSE())</f>
        <v/>
      </c>
      <c r="R515" s="0" t="str">
        <f aca="false">IF(K515="","",TRUE())</f>
        <v/>
      </c>
      <c r="S515" s="0" t="str">
        <f aca="false">IF(K515="","",IF(AND(Q515,R515),IF(O515=P515,"Match","Qty Different"),IF(Q515,"Only in List 1","Only in List 2")))</f>
        <v/>
      </c>
      <c r="T515" s="0" t="str">
        <f aca="false">IF(K515="","",IF(ISNUMBER(--L515),TEXT(--L515,"000000000000.000"),LOWER(L515)))</f>
        <v/>
      </c>
      <c r="U515" s="0" t="str">
        <f aca="false">IF(K515="","",IF(ISNUMBER(--M515),TEXT(--M515,"000000000000.000"),LOWER(M515)))</f>
        <v/>
      </c>
      <c r="V515" s="0" t="str">
        <f aca="false">IF(K515="","",LOWER(N515))</f>
        <v/>
      </c>
      <c r="W515" s="0" t="str">
        <f aca="false">IF(K515="","",G15)</f>
        <v/>
      </c>
      <c r="X515" s="0" t="str">
        <f aca="false">IF(K515="","",1+SUMPRODUCT(($K$2:$K$1001&lt;&gt;"")*(($T$2:$T$1001&lt;T515)+($T$2:$T$1001=T515)*(($U$2:$U$1001&lt;U515)+($U$2:$U$1001=U515)*(($V$2:$V$1001&lt;V515)+($V$2:$V$1001=V515)*(($W$2:$W$1001&lt;W515)+($W$2:$W$1001=W515)*(ROW($K$2:$K$1001)&lt;ROW(K515))))))))</f>
        <v/>
      </c>
    </row>
    <row r="516" customFormat="false" ht="15" hidden="false" customHeight="false" outlineLevel="0" collapsed="false">
      <c r="K516" s="0" t="str">
        <f aca="false">IF(H16="","",IF(SUMPRODUCT(--($C$2:$C$501=H16))&gt;0,"",H16))</f>
        <v/>
      </c>
      <c r="L516" s="0" t="str">
        <f aca="false">IF(K516="","",IF(ISNUMBER('List 2'!A16),'List 2'!A16,TRIM('List 2'!A16)))</f>
        <v/>
      </c>
      <c r="M516" s="0" t="str">
        <f aca="false">IF(K516="","",IF(ISNUMBER('List 2'!C16),'List 2'!C16,TRIM('List 2'!C16)))</f>
        <v/>
      </c>
      <c r="N516" s="0" t="str">
        <f aca="false">IF(K516="","",IF(ISNUMBER('List 2'!D16),'List 2'!D16,TRIM('List 2'!D16)))</f>
        <v/>
      </c>
      <c r="O516" s="0" t="str">
        <f aca="false">IF(K516="","",0)</f>
        <v/>
      </c>
      <c r="P516" s="0" t="str">
        <f aca="false">IF(K516="","",I16)</f>
        <v/>
      </c>
      <c r="Q516" s="0" t="str">
        <f aca="false">IF(K516="","",FALSE())</f>
        <v/>
      </c>
      <c r="R516" s="0" t="str">
        <f aca="false">IF(K516="","",TRUE())</f>
        <v/>
      </c>
      <c r="S516" s="0" t="str">
        <f aca="false">IF(K516="","",IF(AND(Q516,R516),IF(O516=P516,"Match","Qty Different"),IF(Q516,"Only in List 1","Only in List 2")))</f>
        <v/>
      </c>
      <c r="T516" s="0" t="str">
        <f aca="false">IF(K516="","",IF(ISNUMBER(--L516),TEXT(--L516,"000000000000.000"),LOWER(L516)))</f>
        <v/>
      </c>
      <c r="U516" s="0" t="str">
        <f aca="false">IF(K516="","",IF(ISNUMBER(--M516),TEXT(--M516,"000000000000.000"),LOWER(M516)))</f>
        <v/>
      </c>
      <c r="V516" s="0" t="str">
        <f aca="false">IF(K516="","",LOWER(N516))</f>
        <v/>
      </c>
      <c r="W516" s="0" t="str">
        <f aca="false">IF(K516="","",G16)</f>
        <v/>
      </c>
      <c r="X516" s="0" t="str">
        <f aca="false">IF(K516="","",1+SUMPRODUCT(($K$2:$K$1001&lt;&gt;"")*(($T$2:$T$1001&lt;T516)+($T$2:$T$1001=T516)*(($U$2:$U$1001&lt;U516)+($U$2:$U$1001=U516)*(($V$2:$V$1001&lt;V516)+($V$2:$V$1001=V516)*(($W$2:$W$1001&lt;W516)+($W$2:$W$1001=W516)*(ROW($K$2:$K$1001)&lt;ROW(K516))))))))</f>
        <v/>
      </c>
    </row>
    <row r="517" customFormat="false" ht="15" hidden="false" customHeight="false" outlineLevel="0" collapsed="false">
      <c r="K517" s="0" t="str">
        <f aca="false">IF(H17="","",IF(SUMPRODUCT(--($C$2:$C$501=H17))&gt;0,"",H17))</f>
        <v/>
      </c>
      <c r="L517" s="0" t="str">
        <f aca="false">IF(K517="","",IF(ISNUMBER('List 2'!A17),'List 2'!A17,TRIM('List 2'!A17)))</f>
        <v/>
      </c>
      <c r="M517" s="0" t="str">
        <f aca="false">IF(K517="","",IF(ISNUMBER('List 2'!C17),'List 2'!C17,TRIM('List 2'!C17)))</f>
        <v/>
      </c>
      <c r="N517" s="0" t="str">
        <f aca="false">IF(K517="","",IF(ISNUMBER('List 2'!D17),'List 2'!D17,TRIM('List 2'!D17)))</f>
        <v/>
      </c>
      <c r="O517" s="0" t="str">
        <f aca="false">IF(K517="","",0)</f>
        <v/>
      </c>
      <c r="P517" s="0" t="str">
        <f aca="false">IF(K517="","",I17)</f>
        <v/>
      </c>
      <c r="Q517" s="0" t="str">
        <f aca="false">IF(K517="","",FALSE())</f>
        <v/>
      </c>
      <c r="R517" s="0" t="str">
        <f aca="false">IF(K517="","",TRUE())</f>
        <v/>
      </c>
      <c r="S517" s="0" t="str">
        <f aca="false">IF(K517="","",IF(AND(Q517,R517),IF(O517=P517,"Match","Qty Different"),IF(Q517,"Only in List 1","Only in List 2")))</f>
        <v/>
      </c>
      <c r="T517" s="0" t="str">
        <f aca="false">IF(K517="","",IF(ISNUMBER(--L517),TEXT(--L517,"000000000000.000"),LOWER(L517)))</f>
        <v/>
      </c>
      <c r="U517" s="0" t="str">
        <f aca="false">IF(K517="","",IF(ISNUMBER(--M517),TEXT(--M517,"000000000000.000"),LOWER(M517)))</f>
        <v/>
      </c>
      <c r="V517" s="0" t="str">
        <f aca="false">IF(K517="","",LOWER(N517))</f>
        <v/>
      </c>
      <c r="W517" s="0" t="str">
        <f aca="false">IF(K517="","",G17)</f>
        <v/>
      </c>
      <c r="X517" s="0" t="str">
        <f aca="false">IF(K517="","",1+SUMPRODUCT(($K$2:$K$1001&lt;&gt;"")*(($T$2:$T$1001&lt;T517)+($T$2:$T$1001=T517)*(($U$2:$U$1001&lt;U517)+($U$2:$U$1001=U517)*(($V$2:$V$1001&lt;V517)+($V$2:$V$1001=V517)*(($W$2:$W$1001&lt;W517)+($W$2:$W$1001=W517)*(ROW($K$2:$K$1001)&lt;ROW(K517))))))))</f>
        <v/>
      </c>
    </row>
    <row r="518" customFormat="false" ht="15" hidden="false" customHeight="false" outlineLevel="0" collapsed="false">
      <c r="K518" s="0" t="str">
        <f aca="false">IF(H18="","",IF(SUMPRODUCT(--($C$2:$C$501=H18))&gt;0,"",H18))</f>
        <v/>
      </c>
      <c r="L518" s="0" t="str">
        <f aca="false">IF(K518="","",IF(ISNUMBER('List 2'!A18),'List 2'!A18,TRIM('List 2'!A18)))</f>
        <v/>
      </c>
      <c r="M518" s="0" t="str">
        <f aca="false">IF(K518="","",IF(ISNUMBER('List 2'!C18),'List 2'!C18,TRIM('List 2'!C18)))</f>
        <v/>
      </c>
      <c r="N518" s="0" t="str">
        <f aca="false">IF(K518="","",IF(ISNUMBER('List 2'!D18),'List 2'!D18,TRIM('List 2'!D18)))</f>
        <v/>
      </c>
      <c r="O518" s="0" t="str">
        <f aca="false">IF(K518="","",0)</f>
        <v/>
      </c>
      <c r="P518" s="0" t="str">
        <f aca="false">IF(K518="","",I18)</f>
        <v/>
      </c>
      <c r="Q518" s="0" t="str">
        <f aca="false">IF(K518="","",FALSE())</f>
        <v/>
      </c>
      <c r="R518" s="0" t="str">
        <f aca="false">IF(K518="","",TRUE())</f>
        <v/>
      </c>
      <c r="S518" s="0" t="str">
        <f aca="false">IF(K518="","",IF(AND(Q518,R518),IF(O518=P518,"Match","Qty Different"),IF(Q518,"Only in List 1","Only in List 2")))</f>
        <v/>
      </c>
      <c r="T518" s="0" t="str">
        <f aca="false">IF(K518="","",IF(ISNUMBER(--L518),TEXT(--L518,"000000000000.000"),LOWER(L518)))</f>
        <v/>
      </c>
      <c r="U518" s="0" t="str">
        <f aca="false">IF(K518="","",IF(ISNUMBER(--M518),TEXT(--M518,"000000000000.000"),LOWER(M518)))</f>
        <v/>
      </c>
      <c r="V518" s="0" t="str">
        <f aca="false">IF(K518="","",LOWER(N518))</f>
        <v/>
      </c>
      <c r="W518" s="0" t="str">
        <f aca="false">IF(K518="","",G18)</f>
        <v/>
      </c>
      <c r="X518" s="0" t="str">
        <f aca="false">IF(K518="","",1+SUMPRODUCT(($K$2:$K$1001&lt;&gt;"")*(($T$2:$T$1001&lt;T518)+($T$2:$T$1001=T518)*(($U$2:$U$1001&lt;U518)+($U$2:$U$1001=U518)*(($V$2:$V$1001&lt;V518)+($V$2:$V$1001=V518)*(($W$2:$W$1001&lt;W518)+($W$2:$W$1001=W518)*(ROW($K$2:$K$1001)&lt;ROW(K518))))))))</f>
        <v/>
      </c>
    </row>
    <row r="519" customFormat="false" ht="15" hidden="false" customHeight="false" outlineLevel="0" collapsed="false">
      <c r="K519" s="0" t="str">
        <f aca="false">IF(H19="","",IF(SUMPRODUCT(--($C$2:$C$501=H19))&gt;0,"",H19))</f>
        <v/>
      </c>
      <c r="L519" s="0" t="str">
        <f aca="false">IF(K519="","",IF(ISNUMBER('List 2'!A19),'List 2'!A19,TRIM('List 2'!A19)))</f>
        <v/>
      </c>
      <c r="M519" s="0" t="str">
        <f aca="false">IF(K519="","",IF(ISNUMBER('List 2'!C19),'List 2'!C19,TRIM('List 2'!C19)))</f>
        <v/>
      </c>
      <c r="N519" s="0" t="str">
        <f aca="false">IF(K519="","",IF(ISNUMBER('List 2'!D19),'List 2'!D19,TRIM('List 2'!D19)))</f>
        <v/>
      </c>
      <c r="O519" s="0" t="str">
        <f aca="false">IF(K519="","",0)</f>
        <v/>
      </c>
      <c r="P519" s="0" t="str">
        <f aca="false">IF(K519="","",I19)</f>
        <v/>
      </c>
      <c r="Q519" s="0" t="str">
        <f aca="false">IF(K519="","",FALSE())</f>
        <v/>
      </c>
      <c r="R519" s="0" t="str">
        <f aca="false">IF(K519="","",TRUE())</f>
        <v/>
      </c>
      <c r="S519" s="0" t="str">
        <f aca="false">IF(K519="","",IF(AND(Q519,R519),IF(O519=P519,"Match","Qty Different"),IF(Q519,"Only in List 1","Only in List 2")))</f>
        <v/>
      </c>
      <c r="T519" s="0" t="str">
        <f aca="false">IF(K519="","",IF(ISNUMBER(--L519),TEXT(--L519,"000000000000.000"),LOWER(L519)))</f>
        <v/>
      </c>
      <c r="U519" s="0" t="str">
        <f aca="false">IF(K519="","",IF(ISNUMBER(--M519),TEXT(--M519,"000000000000.000"),LOWER(M519)))</f>
        <v/>
      </c>
      <c r="V519" s="0" t="str">
        <f aca="false">IF(K519="","",LOWER(N519))</f>
        <v/>
      </c>
      <c r="W519" s="0" t="str">
        <f aca="false">IF(K519="","",G19)</f>
        <v/>
      </c>
      <c r="X519" s="0" t="str">
        <f aca="false">IF(K519="","",1+SUMPRODUCT(($K$2:$K$1001&lt;&gt;"")*(($T$2:$T$1001&lt;T519)+($T$2:$T$1001=T519)*(($U$2:$U$1001&lt;U519)+($U$2:$U$1001=U519)*(($V$2:$V$1001&lt;V519)+($V$2:$V$1001=V519)*(($W$2:$W$1001&lt;W519)+($W$2:$W$1001=W519)*(ROW($K$2:$K$1001)&lt;ROW(K519))))))))</f>
        <v/>
      </c>
    </row>
    <row r="520" customFormat="false" ht="15" hidden="false" customHeight="false" outlineLevel="0" collapsed="false">
      <c r="K520" s="0" t="str">
        <f aca="false">IF(H20="","",IF(SUMPRODUCT(--($C$2:$C$501=H20))&gt;0,"",H20))</f>
        <v/>
      </c>
      <c r="L520" s="0" t="str">
        <f aca="false">IF(K520="","",IF(ISNUMBER('List 2'!A20),'List 2'!A20,TRIM('List 2'!A20)))</f>
        <v/>
      </c>
      <c r="M520" s="0" t="str">
        <f aca="false">IF(K520="","",IF(ISNUMBER('List 2'!C20),'List 2'!C20,TRIM('List 2'!C20)))</f>
        <v/>
      </c>
      <c r="N520" s="0" t="str">
        <f aca="false">IF(K520="","",IF(ISNUMBER('List 2'!D20),'List 2'!D20,TRIM('List 2'!D20)))</f>
        <v/>
      </c>
      <c r="O520" s="0" t="str">
        <f aca="false">IF(K520="","",0)</f>
        <v/>
      </c>
      <c r="P520" s="0" t="str">
        <f aca="false">IF(K520="","",I20)</f>
        <v/>
      </c>
      <c r="Q520" s="0" t="str">
        <f aca="false">IF(K520="","",FALSE())</f>
        <v/>
      </c>
      <c r="R520" s="0" t="str">
        <f aca="false">IF(K520="","",TRUE())</f>
        <v/>
      </c>
      <c r="S520" s="0" t="str">
        <f aca="false">IF(K520="","",IF(AND(Q520,R520),IF(O520=P520,"Match","Qty Different"),IF(Q520,"Only in List 1","Only in List 2")))</f>
        <v/>
      </c>
      <c r="T520" s="0" t="str">
        <f aca="false">IF(K520="","",IF(ISNUMBER(--L520),TEXT(--L520,"000000000000.000"),LOWER(L520)))</f>
        <v/>
      </c>
      <c r="U520" s="0" t="str">
        <f aca="false">IF(K520="","",IF(ISNUMBER(--M520),TEXT(--M520,"000000000000.000"),LOWER(M520)))</f>
        <v/>
      </c>
      <c r="V520" s="0" t="str">
        <f aca="false">IF(K520="","",LOWER(N520))</f>
        <v/>
      </c>
      <c r="W520" s="0" t="str">
        <f aca="false">IF(K520="","",G20)</f>
        <v/>
      </c>
      <c r="X520" s="0" t="str">
        <f aca="false">IF(K520="","",1+SUMPRODUCT(($K$2:$K$1001&lt;&gt;"")*(($T$2:$T$1001&lt;T520)+($T$2:$T$1001=T520)*(($U$2:$U$1001&lt;U520)+($U$2:$U$1001=U520)*(($V$2:$V$1001&lt;V520)+($V$2:$V$1001=V520)*(($W$2:$W$1001&lt;W520)+($W$2:$W$1001=W520)*(ROW($K$2:$K$1001)&lt;ROW(K520))))))))</f>
        <v/>
      </c>
    </row>
    <row r="521" customFormat="false" ht="15" hidden="false" customHeight="false" outlineLevel="0" collapsed="false">
      <c r="K521" s="0" t="str">
        <f aca="false">IF(H21="","",IF(SUMPRODUCT(--($C$2:$C$501=H21))&gt;0,"",H21))</f>
        <v/>
      </c>
      <c r="L521" s="0" t="str">
        <f aca="false">IF(K521="","",IF(ISNUMBER('List 2'!A21),'List 2'!A21,TRIM('List 2'!A21)))</f>
        <v/>
      </c>
      <c r="M521" s="0" t="str">
        <f aca="false">IF(K521="","",IF(ISNUMBER('List 2'!C21),'List 2'!C21,TRIM('List 2'!C21)))</f>
        <v/>
      </c>
      <c r="N521" s="0" t="str">
        <f aca="false">IF(K521="","",IF(ISNUMBER('List 2'!D21),'List 2'!D21,TRIM('List 2'!D21)))</f>
        <v/>
      </c>
      <c r="O521" s="0" t="str">
        <f aca="false">IF(K521="","",0)</f>
        <v/>
      </c>
      <c r="P521" s="0" t="str">
        <f aca="false">IF(K521="","",I21)</f>
        <v/>
      </c>
      <c r="Q521" s="0" t="str">
        <f aca="false">IF(K521="","",FALSE())</f>
        <v/>
      </c>
      <c r="R521" s="0" t="str">
        <f aca="false">IF(K521="","",TRUE())</f>
        <v/>
      </c>
      <c r="S521" s="0" t="str">
        <f aca="false">IF(K521="","",IF(AND(Q521,R521),IF(O521=P521,"Match","Qty Different"),IF(Q521,"Only in List 1","Only in List 2")))</f>
        <v/>
      </c>
      <c r="T521" s="0" t="str">
        <f aca="false">IF(K521="","",IF(ISNUMBER(--L521),TEXT(--L521,"000000000000.000"),LOWER(L521)))</f>
        <v/>
      </c>
      <c r="U521" s="0" t="str">
        <f aca="false">IF(K521="","",IF(ISNUMBER(--M521),TEXT(--M521,"000000000000.000"),LOWER(M521)))</f>
        <v/>
      </c>
      <c r="V521" s="0" t="str">
        <f aca="false">IF(K521="","",LOWER(N521))</f>
        <v/>
      </c>
      <c r="W521" s="0" t="str">
        <f aca="false">IF(K521="","",G21)</f>
        <v/>
      </c>
      <c r="X521" s="0" t="str">
        <f aca="false">IF(K521="","",1+SUMPRODUCT(($K$2:$K$1001&lt;&gt;"")*(($T$2:$T$1001&lt;T521)+($T$2:$T$1001=T521)*(($U$2:$U$1001&lt;U521)+($U$2:$U$1001=U521)*(($V$2:$V$1001&lt;V521)+($V$2:$V$1001=V521)*(($W$2:$W$1001&lt;W521)+($W$2:$W$1001=W521)*(ROW($K$2:$K$1001)&lt;ROW(K521))))))))</f>
        <v/>
      </c>
    </row>
    <row r="522" customFormat="false" ht="15" hidden="false" customHeight="false" outlineLevel="0" collapsed="false">
      <c r="K522" s="0" t="str">
        <f aca="false">IF(H22="","",IF(SUMPRODUCT(--($C$2:$C$501=H22))&gt;0,"",H22))</f>
        <v/>
      </c>
      <c r="L522" s="0" t="str">
        <f aca="false">IF(K522="","",IF(ISNUMBER('List 2'!A22),'List 2'!A22,TRIM('List 2'!A22)))</f>
        <v/>
      </c>
      <c r="M522" s="0" t="str">
        <f aca="false">IF(K522="","",IF(ISNUMBER('List 2'!C22),'List 2'!C22,TRIM('List 2'!C22)))</f>
        <v/>
      </c>
      <c r="N522" s="0" t="str">
        <f aca="false">IF(K522="","",IF(ISNUMBER('List 2'!D22),'List 2'!D22,TRIM('List 2'!D22)))</f>
        <v/>
      </c>
      <c r="O522" s="0" t="str">
        <f aca="false">IF(K522="","",0)</f>
        <v/>
      </c>
      <c r="P522" s="0" t="str">
        <f aca="false">IF(K522="","",I22)</f>
        <v/>
      </c>
      <c r="Q522" s="0" t="str">
        <f aca="false">IF(K522="","",FALSE())</f>
        <v/>
      </c>
      <c r="R522" s="0" t="str">
        <f aca="false">IF(K522="","",TRUE())</f>
        <v/>
      </c>
      <c r="S522" s="0" t="str">
        <f aca="false">IF(K522="","",IF(AND(Q522,R522),IF(O522=P522,"Match","Qty Different"),IF(Q522,"Only in List 1","Only in List 2")))</f>
        <v/>
      </c>
      <c r="T522" s="0" t="str">
        <f aca="false">IF(K522="","",IF(ISNUMBER(--L522),TEXT(--L522,"000000000000.000"),LOWER(L522)))</f>
        <v/>
      </c>
      <c r="U522" s="0" t="str">
        <f aca="false">IF(K522="","",IF(ISNUMBER(--M522),TEXT(--M522,"000000000000.000"),LOWER(M522)))</f>
        <v/>
      </c>
      <c r="V522" s="0" t="str">
        <f aca="false">IF(K522="","",LOWER(N522))</f>
        <v/>
      </c>
      <c r="W522" s="0" t="str">
        <f aca="false">IF(K522="","",G22)</f>
        <v/>
      </c>
      <c r="X522" s="0" t="str">
        <f aca="false">IF(K522="","",1+SUMPRODUCT(($K$2:$K$1001&lt;&gt;"")*(($T$2:$T$1001&lt;T522)+($T$2:$T$1001=T522)*(($U$2:$U$1001&lt;U522)+($U$2:$U$1001=U522)*(($V$2:$V$1001&lt;V522)+($V$2:$V$1001=V522)*(($W$2:$W$1001&lt;W522)+($W$2:$W$1001=W522)*(ROW($K$2:$K$1001)&lt;ROW(K522))))))))</f>
        <v/>
      </c>
    </row>
    <row r="523" customFormat="false" ht="15" hidden="false" customHeight="false" outlineLevel="0" collapsed="false">
      <c r="K523" s="0" t="str">
        <f aca="false">IF(H23="","",IF(SUMPRODUCT(--($C$2:$C$501=H23))&gt;0,"",H23))</f>
        <v/>
      </c>
      <c r="L523" s="0" t="str">
        <f aca="false">IF(K523="","",IF(ISNUMBER('List 2'!A23),'List 2'!A23,TRIM('List 2'!A23)))</f>
        <v/>
      </c>
      <c r="M523" s="0" t="str">
        <f aca="false">IF(K523="","",IF(ISNUMBER('List 2'!C23),'List 2'!C23,TRIM('List 2'!C23)))</f>
        <v/>
      </c>
      <c r="N523" s="0" t="str">
        <f aca="false">IF(K523="","",IF(ISNUMBER('List 2'!D23),'List 2'!D23,TRIM('List 2'!D23)))</f>
        <v/>
      </c>
      <c r="O523" s="0" t="str">
        <f aca="false">IF(K523="","",0)</f>
        <v/>
      </c>
      <c r="P523" s="0" t="str">
        <f aca="false">IF(K523="","",I23)</f>
        <v/>
      </c>
      <c r="Q523" s="0" t="str">
        <f aca="false">IF(K523="","",FALSE())</f>
        <v/>
      </c>
      <c r="R523" s="0" t="str">
        <f aca="false">IF(K523="","",TRUE())</f>
        <v/>
      </c>
      <c r="S523" s="0" t="str">
        <f aca="false">IF(K523="","",IF(AND(Q523,R523),IF(O523=P523,"Match","Qty Different"),IF(Q523,"Only in List 1","Only in List 2")))</f>
        <v/>
      </c>
      <c r="T523" s="0" t="str">
        <f aca="false">IF(K523="","",IF(ISNUMBER(--L523),TEXT(--L523,"000000000000.000"),LOWER(L523)))</f>
        <v/>
      </c>
      <c r="U523" s="0" t="str">
        <f aca="false">IF(K523="","",IF(ISNUMBER(--M523),TEXT(--M523,"000000000000.000"),LOWER(M523)))</f>
        <v/>
      </c>
      <c r="V523" s="0" t="str">
        <f aca="false">IF(K523="","",LOWER(N523))</f>
        <v/>
      </c>
      <c r="W523" s="0" t="str">
        <f aca="false">IF(K523="","",G23)</f>
        <v/>
      </c>
      <c r="X523" s="0" t="str">
        <f aca="false">IF(K523="","",1+SUMPRODUCT(($K$2:$K$1001&lt;&gt;"")*(($T$2:$T$1001&lt;T523)+($T$2:$T$1001=T523)*(($U$2:$U$1001&lt;U523)+($U$2:$U$1001=U523)*(($V$2:$V$1001&lt;V523)+($V$2:$V$1001=V523)*(($W$2:$W$1001&lt;W523)+($W$2:$W$1001=W523)*(ROW($K$2:$K$1001)&lt;ROW(K523))))))))</f>
        <v/>
      </c>
    </row>
    <row r="524" customFormat="false" ht="15" hidden="false" customHeight="false" outlineLevel="0" collapsed="false">
      <c r="K524" s="0" t="str">
        <f aca="false">IF(H24="","",IF(SUMPRODUCT(--($C$2:$C$501=H24))&gt;0,"",H24))</f>
        <v/>
      </c>
      <c r="L524" s="0" t="str">
        <f aca="false">IF(K524="","",IF(ISNUMBER('List 2'!A24),'List 2'!A24,TRIM('List 2'!A24)))</f>
        <v/>
      </c>
      <c r="M524" s="0" t="str">
        <f aca="false">IF(K524="","",IF(ISNUMBER('List 2'!C24),'List 2'!C24,TRIM('List 2'!C24)))</f>
        <v/>
      </c>
      <c r="N524" s="0" t="str">
        <f aca="false">IF(K524="","",IF(ISNUMBER('List 2'!D24),'List 2'!D24,TRIM('List 2'!D24)))</f>
        <v/>
      </c>
      <c r="O524" s="0" t="str">
        <f aca="false">IF(K524="","",0)</f>
        <v/>
      </c>
      <c r="P524" s="0" t="str">
        <f aca="false">IF(K524="","",I24)</f>
        <v/>
      </c>
      <c r="Q524" s="0" t="str">
        <f aca="false">IF(K524="","",FALSE())</f>
        <v/>
      </c>
      <c r="R524" s="0" t="str">
        <f aca="false">IF(K524="","",TRUE())</f>
        <v/>
      </c>
      <c r="S524" s="0" t="str">
        <f aca="false">IF(K524="","",IF(AND(Q524,R524),IF(O524=P524,"Match","Qty Different"),IF(Q524,"Only in List 1","Only in List 2")))</f>
        <v/>
      </c>
      <c r="T524" s="0" t="str">
        <f aca="false">IF(K524="","",IF(ISNUMBER(--L524),TEXT(--L524,"000000000000.000"),LOWER(L524)))</f>
        <v/>
      </c>
      <c r="U524" s="0" t="str">
        <f aca="false">IF(K524="","",IF(ISNUMBER(--M524),TEXT(--M524,"000000000000.000"),LOWER(M524)))</f>
        <v/>
      </c>
      <c r="V524" s="0" t="str">
        <f aca="false">IF(K524="","",LOWER(N524))</f>
        <v/>
      </c>
      <c r="W524" s="0" t="str">
        <f aca="false">IF(K524="","",G24)</f>
        <v/>
      </c>
      <c r="X524" s="0" t="str">
        <f aca="false">IF(K524="","",1+SUMPRODUCT(($K$2:$K$1001&lt;&gt;"")*(($T$2:$T$1001&lt;T524)+($T$2:$T$1001=T524)*(($U$2:$U$1001&lt;U524)+($U$2:$U$1001=U524)*(($V$2:$V$1001&lt;V524)+($V$2:$V$1001=V524)*(($W$2:$W$1001&lt;W524)+($W$2:$W$1001=W524)*(ROW($K$2:$K$1001)&lt;ROW(K524))))))))</f>
        <v/>
      </c>
    </row>
    <row r="525" customFormat="false" ht="15" hidden="false" customHeight="false" outlineLevel="0" collapsed="false">
      <c r="K525" s="0" t="str">
        <f aca="false">IF(H25="","",IF(SUMPRODUCT(--($C$2:$C$501=H25))&gt;0,"",H25))</f>
        <v/>
      </c>
      <c r="L525" s="0" t="str">
        <f aca="false">IF(K525="","",IF(ISNUMBER('List 2'!A25),'List 2'!A25,TRIM('List 2'!A25)))</f>
        <v/>
      </c>
      <c r="M525" s="0" t="str">
        <f aca="false">IF(K525="","",IF(ISNUMBER('List 2'!C25),'List 2'!C25,TRIM('List 2'!C25)))</f>
        <v/>
      </c>
      <c r="N525" s="0" t="str">
        <f aca="false">IF(K525="","",IF(ISNUMBER('List 2'!D25),'List 2'!D25,TRIM('List 2'!D25)))</f>
        <v/>
      </c>
      <c r="O525" s="0" t="str">
        <f aca="false">IF(K525="","",0)</f>
        <v/>
      </c>
      <c r="P525" s="0" t="str">
        <f aca="false">IF(K525="","",I25)</f>
        <v/>
      </c>
      <c r="Q525" s="0" t="str">
        <f aca="false">IF(K525="","",FALSE())</f>
        <v/>
      </c>
      <c r="R525" s="0" t="str">
        <f aca="false">IF(K525="","",TRUE())</f>
        <v/>
      </c>
      <c r="S525" s="0" t="str">
        <f aca="false">IF(K525="","",IF(AND(Q525,R525),IF(O525=P525,"Match","Qty Different"),IF(Q525,"Only in List 1","Only in List 2")))</f>
        <v/>
      </c>
      <c r="T525" s="0" t="str">
        <f aca="false">IF(K525="","",IF(ISNUMBER(--L525),TEXT(--L525,"000000000000.000"),LOWER(L525)))</f>
        <v/>
      </c>
      <c r="U525" s="0" t="str">
        <f aca="false">IF(K525="","",IF(ISNUMBER(--M525),TEXT(--M525,"000000000000.000"),LOWER(M525)))</f>
        <v/>
      </c>
      <c r="V525" s="0" t="str">
        <f aca="false">IF(K525="","",LOWER(N525))</f>
        <v/>
      </c>
      <c r="W525" s="0" t="str">
        <f aca="false">IF(K525="","",G25)</f>
        <v/>
      </c>
      <c r="X525" s="0" t="str">
        <f aca="false">IF(K525="","",1+SUMPRODUCT(($K$2:$K$1001&lt;&gt;"")*(($T$2:$T$1001&lt;T525)+($T$2:$T$1001=T525)*(($U$2:$U$1001&lt;U525)+($U$2:$U$1001=U525)*(($V$2:$V$1001&lt;V525)+($V$2:$V$1001=V525)*(($W$2:$W$1001&lt;W525)+($W$2:$W$1001=W525)*(ROW($K$2:$K$1001)&lt;ROW(K525))))))))</f>
        <v/>
      </c>
    </row>
    <row r="526" customFormat="false" ht="15" hidden="false" customHeight="false" outlineLevel="0" collapsed="false">
      <c r="K526" s="0" t="str">
        <f aca="false">IF(H26="","",IF(SUMPRODUCT(--($C$2:$C$501=H26))&gt;0,"",H26))</f>
        <v/>
      </c>
      <c r="L526" s="0" t="str">
        <f aca="false">IF(K526="","",IF(ISNUMBER('List 2'!A26),'List 2'!A26,TRIM('List 2'!A26)))</f>
        <v/>
      </c>
      <c r="M526" s="0" t="str">
        <f aca="false">IF(K526="","",IF(ISNUMBER('List 2'!C26),'List 2'!C26,TRIM('List 2'!C26)))</f>
        <v/>
      </c>
      <c r="N526" s="0" t="str">
        <f aca="false">IF(K526="","",IF(ISNUMBER('List 2'!D26),'List 2'!D26,TRIM('List 2'!D26)))</f>
        <v/>
      </c>
      <c r="O526" s="0" t="str">
        <f aca="false">IF(K526="","",0)</f>
        <v/>
      </c>
      <c r="P526" s="0" t="str">
        <f aca="false">IF(K526="","",I26)</f>
        <v/>
      </c>
      <c r="Q526" s="0" t="str">
        <f aca="false">IF(K526="","",FALSE())</f>
        <v/>
      </c>
      <c r="R526" s="0" t="str">
        <f aca="false">IF(K526="","",TRUE())</f>
        <v/>
      </c>
      <c r="S526" s="0" t="str">
        <f aca="false">IF(K526="","",IF(AND(Q526,R526),IF(O526=P526,"Match","Qty Different"),IF(Q526,"Only in List 1","Only in List 2")))</f>
        <v/>
      </c>
      <c r="T526" s="0" t="str">
        <f aca="false">IF(K526="","",IF(ISNUMBER(--L526),TEXT(--L526,"000000000000.000"),LOWER(L526)))</f>
        <v/>
      </c>
      <c r="U526" s="0" t="str">
        <f aca="false">IF(K526="","",IF(ISNUMBER(--M526),TEXT(--M526,"000000000000.000"),LOWER(M526)))</f>
        <v/>
      </c>
      <c r="V526" s="0" t="str">
        <f aca="false">IF(K526="","",LOWER(N526))</f>
        <v/>
      </c>
      <c r="W526" s="0" t="str">
        <f aca="false">IF(K526="","",G26)</f>
        <v/>
      </c>
      <c r="X526" s="0" t="str">
        <f aca="false">IF(K526="","",1+SUMPRODUCT(($K$2:$K$1001&lt;&gt;"")*(($T$2:$T$1001&lt;T526)+($T$2:$T$1001=T526)*(($U$2:$U$1001&lt;U526)+($U$2:$U$1001=U526)*(($V$2:$V$1001&lt;V526)+($V$2:$V$1001=V526)*(($W$2:$W$1001&lt;W526)+($W$2:$W$1001=W526)*(ROW($K$2:$K$1001)&lt;ROW(K526))))))))</f>
        <v/>
      </c>
    </row>
    <row r="527" customFormat="false" ht="15" hidden="false" customHeight="false" outlineLevel="0" collapsed="false">
      <c r="K527" s="0" t="str">
        <f aca="false">IF(H27="","",IF(SUMPRODUCT(--($C$2:$C$501=H27))&gt;0,"",H27))</f>
        <v/>
      </c>
      <c r="L527" s="0" t="str">
        <f aca="false">IF(K527="","",IF(ISNUMBER('List 2'!A27),'List 2'!A27,TRIM('List 2'!A27)))</f>
        <v/>
      </c>
      <c r="M527" s="0" t="str">
        <f aca="false">IF(K527="","",IF(ISNUMBER('List 2'!C27),'List 2'!C27,TRIM('List 2'!C27)))</f>
        <v/>
      </c>
      <c r="N527" s="0" t="str">
        <f aca="false">IF(K527="","",IF(ISNUMBER('List 2'!D27),'List 2'!D27,TRIM('List 2'!D27)))</f>
        <v/>
      </c>
      <c r="O527" s="0" t="str">
        <f aca="false">IF(K527="","",0)</f>
        <v/>
      </c>
      <c r="P527" s="0" t="str">
        <f aca="false">IF(K527="","",I27)</f>
        <v/>
      </c>
      <c r="Q527" s="0" t="str">
        <f aca="false">IF(K527="","",FALSE())</f>
        <v/>
      </c>
      <c r="R527" s="0" t="str">
        <f aca="false">IF(K527="","",TRUE())</f>
        <v/>
      </c>
      <c r="S527" s="0" t="str">
        <f aca="false">IF(K527="","",IF(AND(Q527,R527),IF(O527=P527,"Match","Qty Different"),IF(Q527,"Only in List 1","Only in List 2")))</f>
        <v/>
      </c>
      <c r="T527" s="0" t="str">
        <f aca="false">IF(K527="","",IF(ISNUMBER(--L527),TEXT(--L527,"000000000000.000"),LOWER(L527)))</f>
        <v/>
      </c>
      <c r="U527" s="0" t="str">
        <f aca="false">IF(K527="","",IF(ISNUMBER(--M527),TEXT(--M527,"000000000000.000"),LOWER(M527)))</f>
        <v/>
      </c>
      <c r="V527" s="0" t="str">
        <f aca="false">IF(K527="","",LOWER(N527))</f>
        <v/>
      </c>
      <c r="W527" s="0" t="str">
        <f aca="false">IF(K527="","",G27)</f>
        <v/>
      </c>
      <c r="X527" s="0" t="str">
        <f aca="false">IF(K527="","",1+SUMPRODUCT(($K$2:$K$1001&lt;&gt;"")*(($T$2:$T$1001&lt;T527)+($T$2:$T$1001=T527)*(($U$2:$U$1001&lt;U527)+($U$2:$U$1001=U527)*(($V$2:$V$1001&lt;V527)+($V$2:$V$1001=V527)*(($W$2:$W$1001&lt;W527)+($W$2:$W$1001=W527)*(ROW($K$2:$K$1001)&lt;ROW(K527))))))))</f>
        <v/>
      </c>
    </row>
    <row r="528" customFormat="false" ht="15" hidden="false" customHeight="false" outlineLevel="0" collapsed="false">
      <c r="K528" s="0" t="str">
        <f aca="false">IF(H28="","",IF(SUMPRODUCT(--($C$2:$C$501=H28))&gt;0,"",H28))</f>
        <v/>
      </c>
      <c r="L528" s="0" t="str">
        <f aca="false">IF(K528="","",IF(ISNUMBER('List 2'!A28),'List 2'!A28,TRIM('List 2'!A28)))</f>
        <v/>
      </c>
      <c r="M528" s="0" t="str">
        <f aca="false">IF(K528="","",IF(ISNUMBER('List 2'!C28),'List 2'!C28,TRIM('List 2'!C28)))</f>
        <v/>
      </c>
      <c r="N528" s="0" t="str">
        <f aca="false">IF(K528="","",IF(ISNUMBER('List 2'!D28),'List 2'!D28,TRIM('List 2'!D28)))</f>
        <v/>
      </c>
      <c r="O528" s="0" t="str">
        <f aca="false">IF(K528="","",0)</f>
        <v/>
      </c>
      <c r="P528" s="0" t="str">
        <f aca="false">IF(K528="","",I28)</f>
        <v/>
      </c>
      <c r="Q528" s="0" t="str">
        <f aca="false">IF(K528="","",FALSE())</f>
        <v/>
      </c>
      <c r="R528" s="0" t="str">
        <f aca="false">IF(K528="","",TRUE())</f>
        <v/>
      </c>
      <c r="S528" s="0" t="str">
        <f aca="false">IF(K528="","",IF(AND(Q528,R528),IF(O528=P528,"Match","Qty Different"),IF(Q528,"Only in List 1","Only in List 2")))</f>
        <v/>
      </c>
      <c r="T528" s="0" t="str">
        <f aca="false">IF(K528="","",IF(ISNUMBER(--L528),TEXT(--L528,"000000000000.000"),LOWER(L528)))</f>
        <v/>
      </c>
      <c r="U528" s="0" t="str">
        <f aca="false">IF(K528="","",IF(ISNUMBER(--M528),TEXT(--M528,"000000000000.000"),LOWER(M528)))</f>
        <v/>
      </c>
      <c r="V528" s="0" t="str">
        <f aca="false">IF(K528="","",LOWER(N528))</f>
        <v/>
      </c>
      <c r="W528" s="0" t="str">
        <f aca="false">IF(K528="","",G28)</f>
        <v/>
      </c>
      <c r="X528" s="0" t="str">
        <f aca="false">IF(K528="","",1+SUMPRODUCT(($K$2:$K$1001&lt;&gt;"")*(($T$2:$T$1001&lt;T528)+($T$2:$T$1001=T528)*(($U$2:$U$1001&lt;U528)+($U$2:$U$1001=U528)*(($V$2:$V$1001&lt;V528)+($V$2:$V$1001=V528)*(($W$2:$W$1001&lt;W528)+($W$2:$W$1001=W528)*(ROW($K$2:$K$1001)&lt;ROW(K528))))))))</f>
        <v/>
      </c>
    </row>
    <row r="529" customFormat="false" ht="15" hidden="false" customHeight="false" outlineLevel="0" collapsed="false">
      <c r="K529" s="0" t="str">
        <f aca="false">IF(H29="","",IF(SUMPRODUCT(--($C$2:$C$501=H29))&gt;0,"",H29))</f>
        <v/>
      </c>
      <c r="L529" s="0" t="str">
        <f aca="false">IF(K529="","",IF(ISNUMBER('List 2'!A29),'List 2'!A29,TRIM('List 2'!A29)))</f>
        <v/>
      </c>
      <c r="M529" s="0" t="str">
        <f aca="false">IF(K529="","",IF(ISNUMBER('List 2'!C29),'List 2'!C29,TRIM('List 2'!C29)))</f>
        <v/>
      </c>
      <c r="N529" s="0" t="str">
        <f aca="false">IF(K529="","",IF(ISNUMBER('List 2'!D29),'List 2'!D29,TRIM('List 2'!D29)))</f>
        <v/>
      </c>
      <c r="O529" s="0" t="str">
        <f aca="false">IF(K529="","",0)</f>
        <v/>
      </c>
      <c r="P529" s="0" t="str">
        <f aca="false">IF(K529="","",I29)</f>
        <v/>
      </c>
      <c r="Q529" s="0" t="str">
        <f aca="false">IF(K529="","",FALSE())</f>
        <v/>
      </c>
      <c r="R529" s="0" t="str">
        <f aca="false">IF(K529="","",TRUE())</f>
        <v/>
      </c>
      <c r="S529" s="0" t="str">
        <f aca="false">IF(K529="","",IF(AND(Q529,R529),IF(O529=P529,"Match","Qty Different"),IF(Q529,"Only in List 1","Only in List 2")))</f>
        <v/>
      </c>
      <c r="T529" s="0" t="str">
        <f aca="false">IF(K529="","",IF(ISNUMBER(--L529),TEXT(--L529,"000000000000.000"),LOWER(L529)))</f>
        <v/>
      </c>
      <c r="U529" s="0" t="str">
        <f aca="false">IF(K529="","",IF(ISNUMBER(--M529),TEXT(--M529,"000000000000.000"),LOWER(M529)))</f>
        <v/>
      </c>
      <c r="V529" s="0" t="str">
        <f aca="false">IF(K529="","",LOWER(N529))</f>
        <v/>
      </c>
      <c r="W529" s="0" t="str">
        <f aca="false">IF(K529="","",G29)</f>
        <v/>
      </c>
      <c r="X529" s="0" t="str">
        <f aca="false">IF(K529="","",1+SUMPRODUCT(($K$2:$K$1001&lt;&gt;"")*(($T$2:$T$1001&lt;T529)+($T$2:$T$1001=T529)*(($U$2:$U$1001&lt;U529)+($U$2:$U$1001=U529)*(($V$2:$V$1001&lt;V529)+($V$2:$V$1001=V529)*(($W$2:$W$1001&lt;W529)+($W$2:$W$1001=W529)*(ROW($K$2:$K$1001)&lt;ROW(K529))))))))</f>
        <v/>
      </c>
    </row>
    <row r="530" customFormat="false" ht="15" hidden="false" customHeight="false" outlineLevel="0" collapsed="false">
      <c r="K530" s="0" t="str">
        <f aca="false">IF(H30="","",IF(SUMPRODUCT(--($C$2:$C$501=H30))&gt;0,"",H30))</f>
        <v/>
      </c>
      <c r="L530" s="0" t="str">
        <f aca="false">IF(K530="","",IF(ISNUMBER('List 2'!A30),'List 2'!A30,TRIM('List 2'!A30)))</f>
        <v/>
      </c>
      <c r="M530" s="0" t="str">
        <f aca="false">IF(K530="","",IF(ISNUMBER('List 2'!C30),'List 2'!C30,TRIM('List 2'!C30)))</f>
        <v/>
      </c>
      <c r="N530" s="0" t="str">
        <f aca="false">IF(K530="","",IF(ISNUMBER('List 2'!D30),'List 2'!D30,TRIM('List 2'!D30)))</f>
        <v/>
      </c>
      <c r="O530" s="0" t="str">
        <f aca="false">IF(K530="","",0)</f>
        <v/>
      </c>
      <c r="P530" s="0" t="str">
        <f aca="false">IF(K530="","",I30)</f>
        <v/>
      </c>
      <c r="Q530" s="0" t="str">
        <f aca="false">IF(K530="","",FALSE())</f>
        <v/>
      </c>
      <c r="R530" s="0" t="str">
        <f aca="false">IF(K530="","",TRUE())</f>
        <v/>
      </c>
      <c r="S530" s="0" t="str">
        <f aca="false">IF(K530="","",IF(AND(Q530,R530),IF(O530=P530,"Match","Qty Different"),IF(Q530,"Only in List 1","Only in List 2")))</f>
        <v/>
      </c>
      <c r="T530" s="0" t="str">
        <f aca="false">IF(K530="","",IF(ISNUMBER(--L530),TEXT(--L530,"000000000000.000"),LOWER(L530)))</f>
        <v/>
      </c>
      <c r="U530" s="0" t="str">
        <f aca="false">IF(K530="","",IF(ISNUMBER(--M530),TEXT(--M530,"000000000000.000"),LOWER(M530)))</f>
        <v/>
      </c>
      <c r="V530" s="0" t="str">
        <f aca="false">IF(K530="","",LOWER(N530))</f>
        <v/>
      </c>
      <c r="W530" s="0" t="str">
        <f aca="false">IF(K530="","",G30)</f>
        <v/>
      </c>
      <c r="X530" s="0" t="str">
        <f aca="false">IF(K530="","",1+SUMPRODUCT(($K$2:$K$1001&lt;&gt;"")*(($T$2:$T$1001&lt;T530)+($T$2:$T$1001=T530)*(($U$2:$U$1001&lt;U530)+($U$2:$U$1001=U530)*(($V$2:$V$1001&lt;V530)+($V$2:$V$1001=V530)*(($W$2:$W$1001&lt;W530)+($W$2:$W$1001=W530)*(ROW($K$2:$K$1001)&lt;ROW(K530))))))))</f>
        <v/>
      </c>
    </row>
    <row r="531" customFormat="false" ht="15" hidden="false" customHeight="false" outlineLevel="0" collapsed="false">
      <c r="K531" s="0" t="str">
        <f aca="false">IF(H31="","",IF(SUMPRODUCT(--($C$2:$C$501=H31))&gt;0,"",H31))</f>
        <v/>
      </c>
      <c r="L531" s="0" t="str">
        <f aca="false">IF(K531="","",IF(ISNUMBER('List 2'!A31),'List 2'!A31,TRIM('List 2'!A31)))</f>
        <v/>
      </c>
      <c r="M531" s="0" t="str">
        <f aca="false">IF(K531="","",IF(ISNUMBER('List 2'!C31),'List 2'!C31,TRIM('List 2'!C31)))</f>
        <v/>
      </c>
      <c r="N531" s="0" t="str">
        <f aca="false">IF(K531="","",IF(ISNUMBER('List 2'!D31),'List 2'!D31,TRIM('List 2'!D31)))</f>
        <v/>
      </c>
      <c r="O531" s="0" t="str">
        <f aca="false">IF(K531="","",0)</f>
        <v/>
      </c>
      <c r="P531" s="0" t="str">
        <f aca="false">IF(K531="","",I31)</f>
        <v/>
      </c>
      <c r="Q531" s="0" t="str">
        <f aca="false">IF(K531="","",FALSE())</f>
        <v/>
      </c>
      <c r="R531" s="0" t="str">
        <f aca="false">IF(K531="","",TRUE())</f>
        <v/>
      </c>
      <c r="S531" s="0" t="str">
        <f aca="false">IF(K531="","",IF(AND(Q531,R531),IF(O531=P531,"Match","Qty Different"),IF(Q531,"Only in List 1","Only in List 2")))</f>
        <v/>
      </c>
      <c r="T531" s="0" t="str">
        <f aca="false">IF(K531="","",IF(ISNUMBER(--L531),TEXT(--L531,"000000000000.000"),LOWER(L531)))</f>
        <v/>
      </c>
      <c r="U531" s="0" t="str">
        <f aca="false">IF(K531="","",IF(ISNUMBER(--M531),TEXT(--M531,"000000000000.000"),LOWER(M531)))</f>
        <v/>
      </c>
      <c r="V531" s="0" t="str">
        <f aca="false">IF(K531="","",LOWER(N531))</f>
        <v/>
      </c>
      <c r="W531" s="0" t="str">
        <f aca="false">IF(K531="","",G31)</f>
        <v/>
      </c>
      <c r="X531" s="0" t="str">
        <f aca="false">IF(K531="","",1+SUMPRODUCT(($K$2:$K$1001&lt;&gt;"")*(($T$2:$T$1001&lt;T531)+($T$2:$T$1001=T531)*(($U$2:$U$1001&lt;U531)+($U$2:$U$1001=U531)*(($V$2:$V$1001&lt;V531)+($V$2:$V$1001=V531)*(($W$2:$W$1001&lt;W531)+($W$2:$W$1001=W531)*(ROW($K$2:$K$1001)&lt;ROW(K531))))))))</f>
        <v/>
      </c>
    </row>
    <row r="532" customFormat="false" ht="15" hidden="false" customHeight="false" outlineLevel="0" collapsed="false">
      <c r="K532" s="0" t="str">
        <f aca="false">IF(H32="","",IF(SUMPRODUCT(--($C$2:$C$501=H32))&gt;0,"",H32))</f>
        <v/>
      </c>
      <c r="L532" s="0" t="str">
        <f aca="false">IF(K532="","",IF(ISNUMBER('List 2'!A32),'List 2'!A32,TRIM('List 2'!A32)))</f>
        <v/>
      </c>
      <c r="M532" s="0" t="str">
        <f aca="false">IF(K532="","",IF(ISNUMBER('List 2'!C32),'List 2'!C32,TRIM('List 2'!C32)))</f>
        <v/>
      </c>
      <c r="N532" s="0" t="str">
        <f aca="false">IF(K532="","",IF(ISNUMBER('List 2'!D32),'List 2'!D32,TRIM('List 2'!D32)))</f>
        <v/>
      </c>
      <c r="O532" s="0" t="str">
        <f aca="false">IF(K532="","",0)</f>
        <v/>
      </c>
      <c r="P532" s="0" t="str">
        <f aca="false">IF(K532="","",I32)</f>
        <v/>
      </c>
      <c r="Q532" s="0" t="str">
        <f aca="false">IF(K532="","",FALSE())</f>
        <v/>
      </c>
      <c r="R532" s="0" t="str">
        <f aca="false">IF(K532="","",TRUE())</f>
        <v/>
      </c>
      <c r="S532" s="0" t="str">
        <f aca="false">IF(K532="","",IF(AND(Q532,R532),IF(O532=P532,"Match","Qty Different"),IF(Q532,"Only in List 1","Only in List 2")))</f>
        <v/>
      </c>
      <c r="T532" s="0" t="str">
        <f aca="false">IF(K532="","",IF(ISNUMBER(--L532),TEXT(--L532,"000000000000.000"),LOWER(L532)))</f>
        <v/>
      </c>
      <c r="U532" s="0" t="str">
        <f aca="false">IF(K532="","",IF(ISNUMBER(--M532),TEXT(--M532,"000000000000.000"),LOWER(M532)))</f>
        <v/>
      </c>
      <c r="V532" s="0" t="str">
        <f aca="false">IF(K532="","",LOWER(N532))</f>
        <v/>
      </c>
      <c r="W532" s="0" t="str">
        <f aca="false">IF(K532="","",G32)</f>
        <v/>
      </c>
      <c r="X532" s="0" t="str">
        <f aca="false">IF(K532="","",1+SUMPRODUCT(($K$2:$K$1001&lt;&gt;"")*(($T$2:$T$1001&lt;T532)+($T$2:$T$1001=T532)*(($U$2:$U$1001&lt;U532)+($U$2:$U$1001=U532)*(($V$2:$V$1001&lt;V532)+($V$2:$V$1001=V532)*(($W$2:$W$1001&lt;W532)+($W$2:$W$1001=W532)*(ROW($K$2:$K$1001)&lt;ROW(K532))))))))</f>
        <v/>
      </c>
    </row>
    <row r="533" customFormat="false" ht="15" hidden="false" customHeight="false" outlineLevel="0" collapsed="false">
      <c r="K533" s="0" t="str">
        <f aca="false">IF(H33="","",IF(SUMPRODUCT(--($C$2:$C$501=H33))&gt;0,"",H33))</f>
        <v/>
      </c>
      <c r="L533" s="0" t="str">
        <f aca="false">IF(K533="","",IF(ISNUMBER('List 2'!A33),'List 2'!A33,TRIM('List 2'!A33)))</f>
        <v/>
      </c>
      <c r="M533" s="0" t="str">
        <f aca="false">IF(K533="","",IF(ISNUMBER('List 2'!C33),'List 2'!C33,TRIM('List 2'!C33)))</f>
        <v/>
      </c>
      <c r="N533" s="0" t="str">
        <f aca="false">IF(K533="","",IF(ISNUMBER('List 2'!D33),'List 2'!D33,TRIM('List 2'!D33)))</f>
        <v/>
      </c>
      <c r="O533" s="0" t="str">
        <f aca="false">IF(K533="","",0)</f>
        <v/>
      </c>
      <c r="P533" s="0" t="str">
        <f aca="false">IF(K533="","",I33)</f>
        <v/>
      </c>
      <c r="Q533" s="0" t="str">
        <f aca="false">IF(K533="","",FALSE())</f>
        <v/>
      </c>
      <c r="R533" s="0" t="str">
        <f aca="false">IF(K533="","",TRUE())</f>
        <v/>
      </c>
      <c r="S533" s="0" t="str">
        <f aca="false">IF(K533="","",IF(AND(Q533,R533),IF(O533=P533,"Match","Qty Different"),IF(Q533,"Only in List 1","Only in List 2")))</f>
        <v/>
      </c>
      <c r="T533" s="0" t="str">
        <f aca="false">IF(K533="","",IF(ISNUMBER(--L533),TEXT(--L533,"000000000000.000"),LOWER(L533)))</f>
        <v/>
      </c>
      <c r="U533" s="0" t="str">
        <f aca="false">IF(K533="","",IF(ISNUMBER(--M533),TEXT(--M533,"000000000000.000"),LOWER(M533)))</f>
        <v/>
      </c>
      <c r="V533" s="0" t="str">
        <f aca="false">IF(K533="","",LOWER(N533))</f>
        <v/>
      </c>
      <c r="W533" s="0" t="str">
        <f aca="false">IF(K533="","",G33)</f>
        <v/>
      </c>
      <c r="X533" s="0" t="str">
        <f aca="false">IF(K533="","",1+SUMPRODUCT(($K$2:$K$1001&lt;&gt;"")*(($T$2:$T$1001&lt;T533)+($T$2:$T$1001=T533)*(($U$2:$U$1001&lt;U533)+($U$2:$U$1001=U533)*(($V$2:$V$1001&lt;V533)+($V$2:$V$1001=V533)*(($W$2:$W$1001&lt;W533)+($W$2:$W$1001=W533)*(ROW($K$2:$K$1001)&lt;ROW(K533))))))))</f>
        <v/>
      </c>
    </row>
    <row r="534" customFormat="false" ht="15" hidden="false" customHeight="false" outlineLevel="0" collapsed="false">
      <c r="K534" s="0" t="str">
        <f aca="false">IF(H34="","",IF(SUMPRODUCT(--($C$2:$C$501=H34))&gt;0,"",H34))</f>
        <v/>
      </c>
      <c r="L534" s="0" t="str">
        <f aca="false">IF(K534="","",IF(ISNUMBER('List 2'!A34),'List 2'!A34,TRIM('List 2'!A34)))</f>
        <v/>
      </c>
      <c r="M534" s="0" t="str">
        <f aca="false">IF(K534="","",IF(ISNUMBER('List 2'!C34),'List 2'!C34,TRIM('List 2'!C34)))</f>
        <v/>
      </c>
      <c r="N534" s="0" t="str">
        <f aca="false">IF(K534="","",IF(ISNUMBER('List 2'!D34),'List 2'!D34,TRIM('List 2'!D34)))</f>
        <v/>
      </c>
      <c r="O534" s="0" t="str">
        <f aca="false">IF(K534="","",0)</f>
        <v/>
      </c>
      <c r="P534" s="0" t="str">
        <f aca="false">IF(K534="","",I34)</f>
        <v/>
      </c>
      <c r="Q534" s="0" t="str">
        <f aca="false">IF(K534="","",FALSE())</f>
        <v/>
      </c>
      <c r="R534" s="0" t="str">
        <f aca="false">IF(K534="","",TRUE())</f>
        <v/>
      </c>
      <c r="S534" s="0" t="str">
        <f aca="false">IF(K534="","",IF(AND(Q534,R534),IF(O534=P534,"Match","Qty Different"),IF(Q534,"Only in List 1","Only in List 2")))</f>
        <v/>
      </c>
      <c r="T534" s="0" t="str">
        <f aca="false">IF(K534="","",IF(ISNUMBER(--L534),TEXT(--L534,"000000000000.000"),LOWER(L534)))</f>
        <v/>
      </c>
      <c r="U534" s="0" t="str">
        <f aca="false">IF(K534="","",IF(ISNUMBER(--M534),TEXT(--M534,"000000000000.000"),LOWER(M534)))</f>
        <v/>
      </c>
      <c r="V534" s="0" t="str">
        <f aca="false">IF(K534="","",LOWER(N534))</f>
        <v/>
      </c>
      <c r="W534" s="0" t="str">
        <f aca="false">IF(K534="","",G34)</f>
        <v/>
      </c>
      <c r="X534" s="0" t="str">
        <f aca="false">IF(K534="","",1+SUMPRODUCT(($K$2:$K$1001&lt;&gt;"")*(($T$2:$T$1001&lt;T534)+($T$2:$T$1001=T534)*(($U$2:$U$1001&lt;U534)+($U$2:$U$1001=U534)*(($V$2:$V$1001&lt;V534)+($V$2:$V$1001=V534)*(($W$2:$W$1001&lt;W534)+($W$2:$W$1001=W534)*(ROW($K$2:$K$1001)&lt;ROW(K534))))))))</f>
        <v/>
      </c>
    </row>
    <row r="535" customFormat="false" ht="15" hidden="false" customHeight="false" outlineLevel="0" collapsed="false">
      <c r="K535" s="0" t="str">
        <f aca="false">IF(H35="","",IF(SUMPRODUCT(--($C$2:$C$501=H35))&gt;0,"",H35))</f>
        <v/>
      </c>
      <c r="L535" s="0" t="str">
        <f aca="false">IF(K535="","",IF(ISNUMBER('List 2'!A35),'List 2'!A35,TRIM('List 2'!A35)))</f>
        <v/>
      </c>
      <c r="M535" s="0" t="str">
        <f aca="false">IF(K535="","",IF(ISNUMBER('List 2'!C35),'List 2'!C35,TRIM('List 2'!C35)))</f>
        <v/>
      </c>
      <c r="N535" s="0" t="str">
        <f aca="false">IF(K535="","",IF(ISNUMBER('List 2'!D35),'List 2'!D35,TRIM('List 2'!D35)))</f>
        <v/>
      </c>
      <c r="O535" s="0" t="str">
        <f aca="false">IF(K535="","",0)</f>
        <v/>
      </c>
      <c r="P535" s="0" t="str">
        <f aca="false">IF(K535="","",I35)</f>
        <v/>
      </c>
      <c r="Q535" s="0" t="str">
        <f aca="false">IF(K535="","",FALSE())</f>
        <v/>
      </c>
      <c r="R535" s="0" t="str">
        <f aca="false">IF(K535="","",TRUE())</f>
        <v/>
      </c>
      <c r="S535" s="0" t="str">
        <f aca="false">IF(K535="","",IF(AND(Q535,R535),IF(O535=P535,"Match","Qty Different"),IF(Q535,"Only in List 1","Only in List 2")))</f>
        <v/>
      </c>
      <c r="T535" s="0" t="str">
        <f aca="false">IF(K535="","",IF(ISNUMBER(--L535),TEXT(--L535,"000000000000.000"),LOWER(L535)))</f>
        <v/>
      </c>
      <c r="U535" s="0" t="str">
        <f aca="false">IF(K535="","",IF(ISNUMBER(--M535),TEXT(--M535,"000000000000.000"),LOWER(M535)))</f>
        <v/>
      </c>
      <c r="V535" s="0" t="str">
        <f aca="false">IF(K535="","",LOWER(N535))</f>
        <v/>
      </c>
      <c r="W535" s="0" t="str">
        <f aca="false">IF(K535="","",G35)</f>
        <v/>
      </c>
      <c r="X535" s="0" t="str">
        <f aca="false">IF(K535="","",1+SUMPRODUCT(($K$2:$K$1001&lt;&gt;"")*(($T$2:$T$1001&lt;T535)+($T$2:$T$1001=T535)*(($U$2:$U$1001&lt;U535)+($U$2:$U$1001=U535)*(($V$2:$V$1001&lt;V535)+($V$2:$V$1001=V535)*(($W$2:$W$1001&lt;W535)+($W$2:$W$1001=W535)*(ROW($K$2:$K$1001)&lt;ROW(K535))))))))</f>
        <v/>
      </c>
    </row>
    <row r="536" customFormat="false" ht="15" hidden="false" customHeight="false" outlineLevel="0" collapsed="false">
      <c r="K536" s="0" t="str">
        <f aca="false">IF(H36="","",IF(SUMPRODUCT(--($C$2:$C$501=H36))&gt;0,"",H36))</f>
        <v/>
      </c>
      <c r="L536" s="0" t="str">
        <f aca="false">IF(K536="","",IF(ISNUMBER('List 2'!A36),'List 2'!A36,TRIM('List 2'!A36)))</f>
        <v/>
      </c>
      <c r="M536" s="0" t="str">
        <f aca="false">IF(K536="","",IF(ISNUMBER('List 2'!C36),'List 2'!C36,TRIM('List 2'!C36)))</f>
        <v/>
      </c>
      <c r="N536" s="0" t="str">
        <f aca="false">IF(K536="","",IF(ISNUMBER('List 2'!D36),'List 2'!D36,TRIM('List 2'!D36)))</f>
        <v/>
      </c>
      <c r="O536" s="0" t="str">
        <f aca="false">IF(K536="","",0)</f>
        <v/>
      </c>
      <c r="P536" s="0" t="str">
        <f aca="false">IF(K536="","",I36)</f>
        <v/>
      </c>
      <c r="Q536" s="0" t="str">
        <f aca="false">IF(K536="","",FALSE())</f>
        <v/>
      </c>
      <c r="R536" s="0" t="str">
        <f aca="false">IF(K536="","",TRUE())</f>
        <v/>
      </c>
      <c r="S536" s="0" t="str">
        <f aca="false">IF(K536="","",IF(AND(Q536,R536),IF(O536=P536,"Match","Qty Different"),IF(Q536,"Only in List 1","Only in List 2")))</f>
        <v/>
      </c>
      <c r="T536" s="0" t="str">
        <f aca="false">IF(K536="","",IF(ISNUMBER(--L536),TEXT(--L536,"000000000000.000"),LOWER(L536)))</f>
        <v/>
      </c>
      <c r="U536" s="0" t="str">
        <f aca="false">IF(K536="","",IF(ISNUMBER(--M536),TEXT(--M536,"000000000000.000"),LOWER(M536)))</f>
        <v/>
      </c>
      <c r="V536" s="0" t="str">
        <f aca="false">IF(K536="","",LOWER(N536))</f>
        <v/>
      </c>
      <c r="W536" s="0" t="str">
        <f aca="false">IF(K536="","",G36)</f>
        <v/>
      </c>
      <c r="X536" s="0" t="str">
        <f aca="false">IF(K536="","",1+SUMPRODUCT(($K$2:$K$1001&lt;&gt;"")*(($T$2:$T$1001&lt;T536)+($T$2:$T$1001=T536)*(($U$2:$U$1001&lt;U536)+($U$2:$U$1001=U536)*(($V$2:$V$1001&lt;V536)+($V$2:$V$1001=V536)*(($W$2:$W$1001&lt;W536)+($W$2:$W$1001=W536)*(ROW($K$2:$K$1001)&lt;ROW(K536))))))))</f>
        <v/>
      </c>
    </row>
    <row r="537" customFormat="false" ht="15" hidden="false" customHeight="false" outlineLevel="0" collapsed="false">
      <c r="K537" s="0" t="str">
        <f aca="false">IF(H37="","",IF(SUMPRODUCT(--($C$2:$C$501=H37))&gt;0,"",H37))</f>
        <v/>
      </c>
      <c r="L537" s="0" t="str">
        <f aca="false">IF(K537="","",IF(ISNUMBER('List 2'!A37),'List 2'!A37,TRIM('List 2'!A37)))</f>
        <v/>
      </c>
      <c r="M537" s="0" t="str">
        <f aca="false">IF(K537="","",IF(ISNUMBER('List 2'!C37),'List 2'!C37,TRIM('List 2'!C37)))</f>
        <v/>
      </c>
      <c r="N537" s="0" t="str">
        <f aca="false">IF(K537="","",IF(ISNUMBER('List 2'!D37),'List 2'!D37,TRIM('List 2'!D37)))</f>
        <v/>
      </c>
      <c r="O537" s="0" t="str">
        <f aca="false">IF(K537="","",0)</f>
        <v/>
      </c>
      <c r="P537" s="0" t="str">
        <f aca="false">IF(K537="","",I37)</f>
        <v/>
      </c>
      <c r="Q537" s="0" t="str">
        <f aca="false">IF(K537="","",FALSE())</f>
        <v/>
      </c>
      <c r="R537" s="0" t="str">
        <f aca="false">IF(K537="","",TRUE())</f>
        <v/>
      </c>
      <c r="S537" s="0" t="str">
        <f aca="false">IF(K537="","",IF(AND(Q537,R537),IF(O537=P537,"Match","Qty Different"),IF(Q537,"Only in List 1","Only in List 2")))</f>
        <v/>
      </c>
      <c r="T537" s="0" t="str">
        <f aca="false">IF(K537="","",IF(ISNUMBER(--L537),TEXT(--L537,"000000000000.000"),LOWER(L537)))</f>
        <v/>
      </c>
      <c r="U537" s="0" t="str">
        <f aca="false">IF(K537="","",IF(ISNUMBER(--M537),TEXT(--M537,"000000000000.000"),LOWER(M537)))</f>
        <v/>
      </c>
      <c r="V537" s="0" t="str">
        <f aca="false">IF(K537="","",LOWER(N537))</f>
        <v/>
      </c>
      <c r="W537" s="0" t="str">
        <f aca="false">IF(K537="","",G37)</f>
        <v/>
      </c>
      <c r="X537" s="0" t="str">
        <f aca="false">IF(K537="","",1+SUMPRODUCT(($K$2:$K$1001&lt;&gt;"")*(($T$2:$T$1001&lt;T537)+($T$2:$T$1001=T537)*(($U$2:$U$1001&lt;U537)+($U$2:$U$1001=U537)*(($V$2:$V$1001&lt;V537)+($V$2:$V$1001=V537)*(($W$2:$W$1001&lt;W537)+($W$2:$W$1001=W537)*(ROW($K$2:$K$1001)&lt;ROW(K537))))))))</f>
        <v/>
      </c>
    </row>
    <row r="538" customFormat="false" ht="15" hidden="false" customHeight="false" outlineLevel="0" collapsed="false">
      <c r="K538" s="0" t="str">
        <f aca="false">IF(H38="","",IF(SUMPRODUCT(--($C$2:$C$501=H38))&gt;0,"",H38))</f>
        <v/>
      </c>
      <c r="L538" s="0" t="str">
        <f aca="false">IF(K538="","",IF(ISNUMBER('List 2'!A38),'List 2'!A38,TRIM('List 2'!A38)))</f>
        <v/>
      </c>
      <c r="M538" s="0" t="str">
        <f aca="false">IF(K538="","",IF(ISNUMBER('List 2'!C38),'List 2'!C38,TRIM('List 2'!C38)))</f>
        <v/>
      </c>
      <c r="N538" s="0" t="str">
        <f aca="false">IF(K538="","",IF(ISNUMBER('List 2'!D38),'List 2'!D38,TRIM('List 2'!D38)))</f>
        <v/>
      </c>
      <c r="O538" s="0" t="str">
        <f aca="false">IF(K538="","",0)</f>
        <v/>
      </c>
      <c r="P538" s="0" t="str">
        <f aca="false">IF(K538="","",I38)</f>
        <v/>
      </c>
      <c r="Q538" s="0" t="str">
        <f aca="false">IF(K538="","",FALSE())</f>
        <v/>
      </c>
      <c r="R538" s="0" t="str">
        <f aca="false">IF(K538="","",TRUE())</f>
        <v/>
      </c>
      <c r="S538" s="0" t="str">
        <f aca="false">IF(K538="","",IF(AND(Q538,R538),IF(O538=P538,"Match","Qty Different"),IF(Q538,"Only in List 1","Only in List 2")))</f>
        <v/>
      </c>
      <c r="T538" s="0" t="str">
        <f aca="false">IF(K538="","",IF(ISNUMBER(--L538),TEXT(--L538,"000000000000.000"),LOWER(L538)))</f>
        <v/>
      </c>
      <c r="U538" s="0" t="str">
        <f aca="false">IF(K538="","",IF(ISNUMBER(--M538),TEXT(--M538,"000000000000.000"),LOWER(M538)))</f>
        <v/>
      </c>
      <c r="V538" s="0" t="str">
        <f aca="false">IF(K538="","",LOWER(N538))</f>
        <v/>
      </c>
      <c r="W538" s="0" t="str">
        <f aca="false">IF(K538="","",G38)</f>
        <v/>
      </c>
      <c r="X538" s="0" t="str">
        <f aca="false">IF(K538="","",1+SUMPRODUCT(($K$2:$K$1001&lt;&gt;"")*(($T$2:$T$1001&lt;T538)+($T$2:$T$1001=T538)*(($U$2:$U$1001&lt;U538)+($U$2:$U$1001=U538)*(($V$2:$V$1001&lt;V538)+($V$2:$V$1001=V538)*(($W$2:$W$1001&lt;W538)+($W$2:$W$1001=W538)*(ROW($K$2:$K$1001)&lt;ROW(K538))))))))</f>
        <v/>
      </c>
    </row>
    <row r="539" customFormat="false" ht="15" hidden="false" customHeight="false" outlineLevel="0" collapsed="false">
      <c r="K539" s="0" t="str">
        <f aca="false">IF(H39="","",IF(SUMPRODUCT(--($C$2:$C$501=H39))&gt;0,"",H39))</f>
        <v/>
      </c>
      <c r="L539" s="0" t="str">
        <f aca="false">IF(K539="","",IF(ISNUMBER('List 2'!A39),'List 2'!A39,TRIM('List 2'!A39)))</f>
        <v/>
      </c>
      <c r="M539" s="0" t="str">
        <f aca="false">IF(K539="","",IF(ISNUMBER('List 2'!C39),'List 2'!C39,TRIM('List 2'!C39)))</f>
        <v/>
      </c>
      <c r="N539" s="0" t="str">
        <f aca="false">IF(K539="","",IF(ISNUMBER('List 2'!D39),'List 2'!D39,TRIM('List 2'!D39)))</f>
        <v/>
      </c>
      <c r="O539" s="0" t="str">
        <f aca="false">IF(K539="","",0)</f>
        <v/>
      </c>
      <c r="P539" s="0" t="str">
        <f aca="false">IF(K539="","",I39)</f>
        <v/>
      </c>
      <c r="Q539" s="0" t="str">
        <f aca="false">IF(K539="","",FALSE())</f>
        <v/>
      </c>
      <c r="R539" s="0" t="str">
        <f aca="false">IF(K539="","",TRUE())</f>
        <v/>
      </c>
      <c r="S539" s="0" t="str">
        <f aca="false">IF(K539="","",IF(AND(Q539,R539),IF(O539=P539,"Match","Qty Different"),IF(Q539,"Only in List 1","Only in List 2")))</f>
        <v/>
      </c>
      <c r="T539" s="0" t="str">
        <f aca="false">IF(K539="","",IF(ISNUMBER(--L539),TEXT(--L539,"000000000000.000"),LOWER(L539)))</f>
        <v/>
      </c>
      <c r="U539" s="0" t="str">
        <f aca="false">IF(K539="","",IF(ISNUMBER(--M539),TEXT(--M539,"000000000000.000"),LOWER(M539)))</f>
        <v/>
      </c>
      <c r="V539" s="0" t="str">
        <f aca="false">IF(K539="","",LOWER(N539))</f>
        <v/>
      </c>
      <c r="W539" s="0" t="str">
        <f aca="false">IF(K539="","",G39)</f>
        <v/>
      </c>
      <c r="X539" s="0" t="str">
        <f aca="false">IF(K539="","",1+SUMPRODUCT(($K$2:$K$1001&lt;&gt;"")*(($T$2:$T$1001&lt;T539)+($T$2:$T$1001=T539)*(($U$2:$U$1001&lt;U539)+($U$2:$U$1001=U539)*(($V$2:$V$1001&lt;V539)+($V$2:$V$1001=V539)*(($W$2:$W$1001&lt;W539)+($W$2:$W$1001=W539)*(ROW($K$2:$K$1001)&lt;ROW(K539))))))))</f>
        <v/>
      </c>
    </row>
    <row r="540" customFormat="false" ht="15" hidden="false" customHeight="false" outlineLevel="0" collapsed="false">
      <c r="K540" s="0" t="str">
        <f aca="false">IF(H40="","",IF(SUMPRODUCT(--($C$2:$C$501=H40))&gt;0,"",H40))</f>
        <v/>
      </c>
      <c r="L540" s="0" t="str">
        <f aca="false">IF(K540="","",IF(ISNUMBER('List 2'!A40),'List 2'!A40,TRIM('List 2'!A40)))</f>
        <v/>
      </c>
      <c r="M540" s="0" t="str">
        <f aca="false">IF(K540="","",IF(ISNUMBER('List 2'!C40),'List 2'!C40,TRIM('List 2'!C40)))</f>
        <v/>
      </c>
      <c r="N540" s="0" t="str">
        <f aca="false">IF(K540="","",IF(ISNUMBER('List 2'!D40),'List 2'!D40,TRIM('List 2'!D40)))</f>
        <v/>
      </c>
      <c r="O540" s="0" t="str">
        <f aca="false">IF(K540="","",0)</f>
        <v/>
      </c>
      <c r="P540" s="0" t="str">
        <f aca="false">IF(K540="","",I40)</f>
        <v/>
      </c>
      <c r="Q540" s="0" t="str">
        <f aca="false">IF(K540="","",FALSE())</f>
        <v/>
      </c>
      <c r="R540" s="0" t="str">
        <f aca="false">IF(K540="","",TRUE())</f>
        <v/>
      </c>
      <c r="S540" s="0" t="str">
        <f aca="false">IF(K540="","",IF(AND(Q540,R540),IF(O540=P540,"Match","Qty Different"),IF(Q540,"Only in List 1","Only in List 2")))</f>
        <v/>
      </c>
      <c r="T540" s="0" t="str">
        <f aca="false">IF(K540="","",IF(ISNUMBER(--L540),TEXT(--L540,"000000000000.000"),LOWER(L540)))</f>
        <v/>
      </c>
      <c r="U540" s="0" t="str">
        <f aca="false">IF(K540="","",IF(ISNUMBER(--M540),TEXT(--M540,"000000000000.000"),LOWER(M540)))</f>
        <v/>
      </c>
      <c r="V540" s="0" t="str">
        <f aca="false">IF(K540="","",LOWER(N540))</f>
        <v/>
      </c>
      <c r="W540" s="0" t="str">
        <f aca="false">IF(K540="","",G40)</f>
        <v/>
      </c>
      <c r="X540" s="0" t="str">
        <f aca="false">IF(K540="","",1+SUMPRODUCT(($K$2:$K$1001&lt;&gt;"")*(($T$2:$T$1001&lt;T540)+($T$2:$T$1001=T540)*(($U$2:$U$1001&lt;U540)+($U$2:$U$1001=U540)*(($V$2:$V$1001&lt;V540)+($V$2:$V$1001=V540)*(($W$2:$W$1001&lt;W540)+($W$2:$W$1001=W540)*(ROW($K$2:$K$1001)&lt;ROW(K540))))))))</f>
        <v/>
      </c>
    </row>
    <row r="541" customFormat="false" ht="15" hidden="false" customHeight="false" outlineLevel="0" collapsed="false">
      <c r="K541" s="0" t="str">
        <f aca="false">IF(H41="","",IF(SUMPRODUCT(--($C$2:$C$501=H41))&gt;0,"",H41))</f>
        <v/>
      </c>
      <c r="L541" s="0" t="str">
        <f aca="false">IF(K541="","",IF(ISNUMBER('List 2'!A41),'List 2'!A41,TRIM('List 2'!A41)))</f>
        <v/>
      </c>
      <c r="M541" s="0" t="str">
        <f aca="false">IF(K541="","",IF(ISNUMBER('List 2'!C41),'List 2'!C41,TRIM('List 2'!C41)))</f>
        <v/>
      </c>
      <c r="N541" s="0" t="str">
        <f aca="false">IF(K541="","",IF(ISNUMBER('List 2'!D41),'List 2'!D41,TRIM('List 2'!D41)))</f>
        <v/>
      </c>
      <c r="O541" s="0" t="str">
        <f aca="false">IF(K541="","",0)</f>
        <v/>
      </c>
      <c r="P541" s="0" t="str">
        <f aca="false">IF(K541="","",I41)</f>
        <v/>
      </c>
      <c r="Q541" s="0" t="str">
        <f aca="false">IF(K541="","",FALSE())</f>
        <v/>
      </c>
      <c r="R541" s="0" t="str">
        <f aca="false">IF(K541="","",TRUE())</f>
        <v/>
      </c>
      <c r="S541" s="0" t="str">
        <f aca="false">IF(K541="","",IF(AND(Q541,R541),IF(O541=P541,"Match","Qty Different"),IF(Q541,"Only in List 1","Only in List 2")))</f>
        <v/>
      </c>
      <c r="T541" s="0" t="str">
        <f aca="false">IF(K541="","",IF(ISNUMBER(--L541),TEXT(--L541,"000000000000.000"),LOWER(L541)))</f>
        <v/>
      </c>
      <c r="U541" s="0" t="str">
        <f aca="false">IF(K541="","",IF(ISNUMBER(--M541),TEXT(--M541,"000000000000.000"),LOWER(M541)))</f>
        <v/>
      </c>
      <c r="V541" s="0" t="str">
        <f aca="false">IF(K541="","",LOWER(N541))</f>
        <v/>
      </c>
      <c r="W541" s="0" t="str">
        <f aca="false">IF(K541="","",G41)</f>
        <v/>
      </c>
      <c r="X541" s="0" t="str">
        <f aca="false">IF(K541="","",1+SUMPRODUCT(($K$2:$K$1001&lt;&gt;"")*(($T$2:$T$1001&lt;T541)+($T$2:$T$1001=T541)*(($U$2:$U$1001&lt;U541)+($U$2:$U$1001=U541)*(($V$2:$V$1001&lt;V541)+($V$2:$V$1001=V541)*(($W$2:$W$1001&lt;W541)+($W$2:$W$1001=W541)*(ROW($K$2:$K$1001)&lt;ROW(K541))))))))</f>
        <v/>
      </c>
    </row>
    <row r="542" customFormat="false" ht="15" hidden="false" customHeight="false" outlineLevel="0" collapsed="false">
      <c r="K542" s="0" t="str">
        <f aca="false">IF(H42="","",IF(SUMPRODUCT(--($C$2:$C$501=H42))&gt;0,"",H42))</f>
        <v/>
      </c>
      <c r="L542" s="0" t="str">
        <f aca="false">IF(K542="","",IF(ISNUMBER('List 2'!A42),'List 2'!A42,TRIM('List 2'!A42)))</f>
        <v/>
      </c>
      <c r="M542" s="0" t="str">
        <f aca="false">IF(K542="","",IF(ISNUMBER('List 2'!C42),'List 2'!C42,TRIM('List 2'!C42)))</f>
        <v/>
      </c>
      <c r="N542" s="0" t="str">
        <f aca="false">IF(K542="","",IF(ISNUMBER('List 2'!D42),'List 2'!D42,TRIM('List 2'!D42)))</f>
        <v/>
      </c>
      <c r="O542" s="0" t="str">
        <f aca="false">IF(K542="","",0)</f>
        <v/>
      </c>
      <c r="P542" s="0" t="str">
        <f aca="false">IF(K542="","",I42)</f>
        <v/>
      </c>
      <c r="Q542" s="0" t="str">
        <f aca="false">IF(K542="","",FALSE())</f>
        <v/>
      </c>
      <c r="R542" s="0" t="str">
        <f aca="false">IF(K542="","",TRUE())</f>
        <v/>
      </c>
      <c r="S542" s="0" t="str">
        <f aca="false">IF(K542="","",IF(AND(Q542,R542),IF(O542=P542,"Match","Qty Different"),IF(Q542,"Only in List 1","Only in List 2")))</f>
        <v/>
      </c>
      <c r="T542" s="0" t="str">
        <f aca="false">IF(K542="","",IF(ISNUMBER(--L542),TEXT(--L542,"000000000000.000"),LOWER(L542)))</f>
        <v/>
      </c>
      <c r="U542" s="0" t="str">
        <f aca="false">IF(K542="","",IF(ISNUMBER(--M542),TEXT(--M542,"000000000000.000"),LOWER(M542)))</f>
        <v/>
      </c>
      <c r="V542" s="0" t="str">
        <f aca="false">IF(K542="","",LOWER(N542))</f>
        <v/>
      </c>
      <c r="W542" s="0" t="str">
        <f aca="false">IF(K542="","",G42)</f>
        <v/>
      </c>
      <c r="X542" s="0" t="str">
        <f aca="false">IF(K542="","",1+SUMPRODUCT(($K$2:$K$1001&lt;&gt;"")*(($T$2:$T$1001&lt;T542)+($T$2:$T$1001=T542)*(($U$2:$U$1001&lt;U542)+($U$2:$U$1001=U542)*(($V$2:$V$1001&lt;V542)+($V$2:$V$1001=V542)*(($W$2:$W$1001&lt;W542)+($W$2:$W$1001=W542)*(ROW($K$2:$K$1001)&lt;ROW(K542))))))))</f>
        <v/>
      </c>
    </row>
    <row r="543" customFormat="false" ht="15" hidden="false" customHeight="false" outlineLevel="0" collapsed="false">
      <c r="K543" s="0" t="str">
        <f aca="false">IF(H43="","",IF(SUMPRODUCT(--($C$2:$C$501=H43))&gt;0,"",H43))</f>
        <v/>
      </c>
      <c r="L543" s="0" t="str">
        <f aca="false">IF(K543="","",IF(ISNUMBER('List 2'!A43),'List 2'!A43,TRIM('List 2'!A43)))</f>
        <v/>
      </c>
      <c r="M543" s="0" t="str">
        <f aca="false">IF(K543="","",IF(ISNUMBER('List 2'!C43),'List 2'!C43,TRIM('List 2'!C43)))</f>
        <v/>
      </c>
      <c r="N543" s="0" t="str">
        <f aca="false">IF(K543="","",IF(ISNUMBER('List 2'!D43),'List 2'!D43,TRIM('List 2'!D43)))</f>
        <v/>
      </c>
      <c r="O543" s="0" t="str">
        <f aca="false">IF(K543="","",0)</f>
        <v/>
      </c>
      <c r="P543" s="0" t="str">
        <f aca="false">IF(K543="","",I43)</f>
        <v/>
      </c>
      <c r="Q543" s="0" t="str">
        <f aca="false">IF(K543="","",FALSE())</f>
        <v/>
      </c>
      <c r="R543" s="0" t="str">
        <f aca="false">IF(K543="","",TRUE())</f>
        <v/>
      </c>
      <c r="S543" s="0" t="str">
        <f aca="false">IF(K543="","",IF(AND(Q543,R543),IF(O543=P543,"Match","Qty Different"),IF(Q543,"Only in List 1","Only in List 2")))</f>
        <v/>
      </c>
      <c r="T543" s="0" t="str">
        <f aca="false">IF(K543="","",IF(ISNUMBER(--L543),TEXT(--L543,"000000000000.000"),LOWER(L543)))</f>
        <v/>
      </c>
      <c r="U543" s="0" t="str">
        <f aca="false">IF(K543="","",IF(ISNUMBER(--M543),TEXT(--M543,"000000000000.000"),LOWER(M543)))</f>
        <v/>
      </c>
      <c r="V543" s="0" t="str">
        <f aca="false">IF(K543="","",LOWER(N543))</f>
        <v/>
      </c>
      <c r="W543" s="0" t="str">
        <f aca="false">IF(K543="","",G43)</f>
        <v/>
      </c>
      <c r="X543" s="0" t="str">
        <f aca="false">IF(K543="","",1+SUMPRODUCT(($K$2:$K$1001&lt;&gt;"")*(($T$2:$T$1001&lt;T543)+($T$2:$T$1001=T543)*(($U$2:$U$1001&lt;U543)+($U$2:$U$1001=U543)*(($V$2:$V$1001&lt;V543)+($V$2:$V$1001=V543)*(($W$2:$W$1001&lt;W543)+($W$2:$W$1001=W543)*(ROW($K$2:$K$1001)&lt;ROW(K543))))))))</f>
        <v/>
      </c>
    </row>
    <row r="544" customFormat="false" ht="15" hidden="false" customHeight="false" outlineLevel="0" collapsed="false">
      <c r="K544" s="0" t="str">
        <f aca="false">IF(H44="","",IF(SUMPRODUCT(--($C$2:$C$501=H44))&gt;0,"",H44))</f>
        <v/>
      </c>
      <c r="L544" s="0" t="str">
        <f aca="false">IF(K544="","",IF(ISNUMBER('List 2'!A44),'List 2'!A44,TRIM('List 2'!A44)))</f>
        <v/>
      </c>
      <c r="M544" s="0" t="str">
        <f aca="false">IF(K544="","",IF(ISNUMBER('List 2'!C44),'List 2'!C44,TRIM('List 2'!C44)))</f>
        <v/>
      </c>
      <c r="N544" s="0" t="str">
        <f aca="false">IF(K544="","",IF(ISNUMBER('List 2'!D44),'List 2'!D44,TRIM('List 2'!D44)))</f>
        <v/>
      </c>
      <c r="O544" s="0" t="str">
        <f aca="false">IF(K544="","",0)</f>
        <v/>
      </c>
      <c r="P544" s="0" t="str">
        <f aca="false">IF(K544="","",I44)</f>
        <v/>
      </c>
      <c r="Q544" s="0" t="str">
        <f aca="false">IF(K544="","",FALSE())</f>
        <v/>
      </c>
      <c r="R544" s="0" t="str">
        <f aca="false">IF(K544="","",TRUE())</f>
        <v/>
      </c>
      <c r="S544" s="0" t="str">
        <f aca="false">IF(K544="","",IF(AND(Q544,R544),IF(O544=P544,"Match","Qty Different"),IF(Q544,"Only in List 1","Only in List 2")))</f>
        <v/>
      </c>
      <c r="T544" s="0" t="str">
        <f aca="false">IF(K544="","",IF(ISNUMBER(--L544),TEXT(--L544,"000000000000.000"),LOWER(L544)))</f>
        <v/>
      </c>
      <c r="U544" s="0" t="str">
        <f aca="false">IF(K544="","",IF(ISNUMBER(--M544),TEXT(--M544,"000000000000.000"),LOWER(M544)))</f>
        <v/>
      </c>
      <c r="V544" s="0" t="str">
        <f aca="false">IF(K544="","",LOWER(N544))</f>
        <v/>
      </c>
      <c r="W544" s="0" t="str">
        <f aca="false">IF(K544="","",G44)</f>
        <v/>
      </c>
      <c r="X544" s="0" t="str">
        <f aca="false">IF(K544="","",1+SUMPRODUCT(($K$2:$K$1001&lt;&gt;"")*(($T$2:$T$1001&lt;T544)+($T$2:$T$1001=T544)*(($U$2:$U$1001&lt;U544)+($U$2:$U$1001=U544)*(($V$2:$V$1001&lt;V544)+($V$2:$V$1001=V544)*(($W$2:$W$1001&lt;W544)+($W$2:$W$1001=W544)*(ROW($K$2:$K$1001)&lt;ROW(K544))))))))</f>
        <v/>
      </c>
    </row>
    <row r="545" customFormat="false" ht="15" hidden="false" customHeight="false" outlineLevel="0" collapsed="false">
      <c r="K545" s="0" t="str">
        <f aca="false">IF(H45="","",IF(SUMPRODUCT(--($C$2:$C$501=H45))&gt;0,"",H45))</f>
        <v/>
      </c>
      <c r="L545" s="0" t="str">
        <f aca="false">IF(K545="","",IF(ISNUMBER('List 2'!A45),'List 2'!A45,TRIM('List 2'!A45)))</f>
        <v/>
      </c>
      <c r="M545" s="0" t="str">
        <f aca="false">IF(K545="","",IF(ISNUMBER('List 2'!C45),'List 2'!C45,TRIM('List 2'!C45)))</f>
        <v/>
      </c>
      <c r="N545" s="0" t="str">
        <f aca="false">IF(K545="","",IF(ISNUMBER('List 2'!D45),'List 2'!D45,TRIM('List 2'!D45)))</f>
        <v/>
      </c>
      <c r="O545" s="0" t="str">
        <f aca="false">IF(K545="","",0)</f>
        <v/>
      </c>
      <c r="P545" s="0" t="str">
        <f aca="false">IF(K545="","",I45)</f>
        <v/>
      </c>
      <c r="Q545" s="0" t="str">
        <f aca="false">IF(K545="","",FALSE())</f>
        <v/>
      </c>
      <c r="R545" s="0" t="str">
        <f aca="false">IF(K545="","",TRUE())</f>
        <v/>
      </c>
      <c r="S545" s="0" t="str">
        <f aca="false">IF(K545="","",IF(AND(Q545,R545),IF(O545=P545,"Match","Qty Different"),IF(Q545,"Only in List 1","Only in List 2")))</f>
        <v/>
      </c>
      <c r="T545" s="0" t="str">
        <f aca="false">IF(K545="","",IF(ISNUMBER(--L545),TEXT(--L545,"000000000000.000"),LOWER(L545)))</f>
        <v/>
      </c>
      <c r="U545" s="0" t="str">
        <f aca="false">IF(K545="","",IF(ISNUMBER(--M545),TEXT(--M545,"000000000000.000"),LOWER(M545)))</f>
        <v/>
      </c>
      <c r="V545" s="0" t="str">
        <f aca="false">IF(K545="","",LOWER(N545))</f>
        <v/>
      </c>
      <c r="W545" s="0" t="str">
        <f aca="false">IF(K545="","",G45)</f>
        <v/>
      </c>
      <c r="X545" s="0" t="str">
        <f aca="false">IF(K545="","",1+SUMPRODUCT(($K$2:$K$1001&lt;&gt;"")*(($T$2:$T$1001&lt;T545)+($T$2:$T$1001=T545)*(($U$2:$U$1001&lt;U545)+($U$2:$U$1001=U545)*(($V$2:$V$1001&lt;V545)+($V$2:$V$1001=V545)*(($W$2:$W$1001&lt;W545)+($W$2:$W$1001=W545)*(ROW($K$2:$K$1001)&lt;ROW(K545))))))))</f>
        <v/>
      </c>
    </row>
    <row r="546" customFormat="false" ht="15" hidden="false" customHeight="false" outlineLevel="0" collapsed="false">
      <c r="K546" s="0" t="str">
        <f aca="false">IF(H46="","",IF(SUMPRODUCT(--($C$2:$C$501=H46))&gt;0,"",H46))</f>
        <v/>
      </c>
      <c r="L546" s="0" t="str">
        <f aca="false">IF(K546="","",IF(ISNUMBER('List 2'!A46),'List 2'!A46,TRIM('List 2'!A46)))</f>
        <v/>
      </c>
      <c r="M546" s="0" t="str">
        <f aca="false">IF(K546="","",IF(ISNUMBER('List 2'!C46),'List 2'!C46,TRIM('List 2'!C46)))</f>
        <v/>
      </c>
      <c r="N546" s="0" t="str">
        <f aca="false">IF(K546="","",IF(ISNUMBER('List 2'!D46),'List 2'!D46,TRIM('List 2'!D46)))</f>
        <v/>
      </c>
      <c r="O546" s="0" t="str">
        <f aca="false">IF(K546="","",0)</f>
        <v/>
      </c>
      <c r="P546" s="0" t="str">
        <f aca="false">IF(K546="","",I46)</f>
        <v/>
      </c>
      <c r="Q546" s="0" t="str">
        <f aca="false">IF(K546="","",FALSE())</f>
        <v/>
      </c>
      <c r="R546" s="0" t="str">
        <f aca="false">IF(K546="","",TRUE())</f>
        <v/>
      </c>
      <c r="S546" s="0" t="str">
        <f aca="false">IF(K546="","",IF(AND(Q546,R546),IF(O546=P546,"Match","Qty Different"),IF(Q546,"Only in List 1","Only in List 2")))</f>
        <v/>
      </c>
      <c r="T546" s="0" t="str">
        <f aca="false">IF(K546="","",IF(ISNUMBER(--L546),TEXT(--L546,"000000000000.000"),LOWER(L546)))</f>
        <v/>
      </c>
      <c r="U546" s="0" t="str">
        <f aca="false">IF(K546="","",IF(ISNUMBER(--M546),TEXT(--M546,"000000000000.000"),LOWER(M546)))</f>
        <v/>
      </c>
      <c r="V546" s="0" t="str">
        <f aca="false">IF(K546="","",LOWER(N546))</f>
        <v/>
      </c>
      <c r="W546" s="0" t="str">
        <f aca="false">IF(K546="","",G46)</f>
        <v/>
      </c>
      <c r="X546" s="0" t="str">
        <f aca="false">IF(K546="","",1+SUMPRODUCT(($K$2:$K$1001&lt;&gt;"")*(($T$2:$T$1001&lt;T546)+($T$2:$T$1001=T546)*(($U$2:$U$1001&lt;U546)+($U$2:$U$1001=U546)*(($V$2:$V$1001&lt;V546)+($V$2:$V$1001=V546)*(($W$2:$W$1001&lt;W546)+($W$2:$W$1001=W546)*(ROW($K$2:$K$1001)&lt;ROW(K546))))))))</f>
        <v/>
      </c>
    </row>
    <row r="547" customFormat="false" ht="15" hidden="false" customHeight="false" outlineLevel="0" collapsed="false">
      <c r="K547" s="0" t="str">
        <f aca="false">IF(H47="","",IF(SUMPRODUCT(--($C$2:$C$501=H47))&gt;0,"",H47))</f>
        <v/>
      </c>
      <c r="L547" s="0" t="str">
        <f aca="false">IF(K547="","",IF(ISNUMBER('List 2'!A47),'List 2'!A47,TRIM('List 2'!A47)))</f>
        <v/>
      </c>
      <c r="M547" s="0" t="str">
        <f aca="false">IF(K547="","",IF(ISNUMBER('List 2'!C47),'List 2'!C47,TRIM('List 2'!C47)))</f>
        <v/>
      </c>
      <c r="N547" s="0" t="str">
        <f aca="false">IF(K547="","",IF(ISNUMBER('List 2'!D47),'List 2'!D47,TRIM('List 2'!D47)))</f>
        <v/>
      </c>
      <c r="O547" s="0" t="str">
        <f aca="false">IF(K547="","",0)</f>
        <v/>
      </c>
      <c r="P547" s="0" t="str">
        <f aca="false">IF(K547="","",I47)</f>
        <v/>
      </c>
      <c r="Q547" s="0" t="str">
        <f aca="false">IF(K547="","",FALSE())</f>
        <v/>
      </c>
      <c r="R547" s="0" t="str">
        <f aca="false">IF(K547="","",TRUE())</f>
        <v/>
      </c>
      <c r="S547" s="0" t="str">
        <f aca="false">IF(K547="","",IF(AND(Q547,R547),IF(O547=P547,"Match","Qty Different"),IF(Q547,"Only in List 1","Only in List 2")))</f>
        <v/>
      </c>
      <c r="T547" s="0" t="str">
        <f aca="false">IF(K547="","",IF(ISNUMBER(--L547),TEXT(--L547,"000000000000.000"),LOWER(L547)))</f>
        <v/>
      </c>
      <c r="U547" s="0" t="str">
        <f aca="false">IF(K547="","",IF(ISNUMBER(--M547),TEXT(--M547,"000000000000.000"),LOWER(M547)))</f>
        <v/>
      </c>
      <c r="V547" s="0" t="str">
        <f aca="false">IF(K547="","",LOWER(N547))</f>
        <v/>
      </c>
      <c r="W547" s="0" t="str">
        <f aca="false">IF(K547="","",G47)</f>
        <v/>
      </c>
      <c r="X547" s="0" t="str">
        <f aca="false">IF(K547="","",1+SUMPRODUCT(($K$2:$K$1001&lt;&gt;"")*(($T$2:$T$1001&lt;T547)+($T$2:$T$1001=T547)*(($U$2:$U$1001&lt;U547)+($U$2:$U$1001=U547)*(($V$2:$V$1001&lt;V547)+($V$2:$V$1001=V547)*(($W$2:$W$1001&lt;W547)+($W$2:$W$1001=W547)*(ROW($K$2:$K$1001)&lt;ROW(K547))))))))</f>
        <v/>
      </c>
    </row>
    <row r="548" customFormat="false" ht="15" hidden="false" customHeight="false" outlineLevel="0" collapsed="false">
      <c r="K548" s="0" t="str">
        <f aca="false">IF(H48="","",IF(SUMPRODUCT(--($C$2:$C$501=H48))&gt;0,"",H48))</f>
        <v/>
      </c>
      <c r="L548" s="0" t="str">
        <f aca="false">IF(K548="","",IF(ISNUMBER('List 2'!A48),'List 2'!A48,TRIM('List 2'!A48)))</f>
        <v/>
      </c>
      <c r="M548" s="0" t="str">
        <f aca="false">IF(K548="","",IF(ISNUMBER('List 2'!C48),'List 2'!C48,TRIM('List 2'!C48)))</f>
        <v/>
      </c>
      <c r="N548" s="0" t="str">
        <f aca="false">IF(K548="","",IF(ISNUMBER('List 2'!D48),'List 2'!D48,TRIM('List 2'!D48)))</f>
        <v/>
      </c>
      <c r="O548" s="0" t="str">
        <f aca="false">IF(K548="","",0)</f>
        <v/>
      </c>
      <c r="P548" s="0" t="str">
        <f aca="false">IF(K548="","",I48)</f>
        <v/>
      </c>
      <c r="Q548" s="0" t="str">
        <f aca="false">IF(K548="","",FALSE())</f>
        <v/>
      </c>
      <c r="R548" s="0" t="str">
        <f aca="false">IF(K548="","",TRUE())</f>
        <v/>
      </c>
      <c r="S548" s="0" t="str">
        <f aca="false">IF(K548="","",IF(AND(Q548,R548),IF(O548=P548,"Match","Qty Different"),IF(Q548,"Only in List 1","Only in List 2")))</f>
        <v/>
      </c>
      <c r="T548" s="0" t="str">
        <f aca="false">IF(K548="","",IF(ISNUMBER(--L548),TEXT(--L548,"000000000000.000"),LOWER(L548)))</f>
        <v/>
      </c>
      <c r="U548" s="0" t="str">
        <f aca="false">IF(K548="","",IF(ISNUMBER(--M548),TEXT(--M548,"000000000000.000"),LOWER(M548)))</f>
        <v/>
      </c>
      <c r="V548" s="0" t="str">
        <f aca="false">IF(K548="","",LOWER(N548))</f>
        <v/>
      </c>
      <c r="W548" s="0" t="str">
        <f aca="false">IF(K548="","",G48)</f>
        <v/>
      </c>
      <c r="X548" s="0" t="str">
        <f aca="false">IF(K548="","",1+SUMPRODUCT(($K$2:$K$1001&lt;&gt;"")*(($T$2:$T$1001&lt;T548)+($T$2:$T$1001=T548)*(($U$2:$U$1001&lt;U548)+($U$2:$U$1001=U548)*(($V$2:$V$1001&lt;V548)+($V$2:$V$1001=V548)*(($W$2:$W$1001&lt;W548)+($W$2:$W$1001=W548)*(ROW($K$2:$K$1001)&lt;ROW(K548))))))))</f>
        <v/>
      </c>
    </row>
    <row r="549" customFormat="false" ht="15" hidden="false" customHeight="false" outlineLevel="0" collapsed="false">
      <c r="K549" s="0" t="str">
        <f aca="false">IF(H49="","",IF(SUMPRODUCT(--($C$2:$C$501=H49))&gt;0,"",H49))</f>
        <v/>
      </c>
      <c r="L549" s="0" t="str">
        <f aca="false">IF(K549="","",IF(ISNUMBER('List 2'!A49),'List 2'!A49,TRIM('List 2'!A49)))</f>
        <v/>
      </c>
      <c r="M549" s="0" t="str">
        <f aca="false">IF(K549="","",IF(ISNUMBER('List 2'!C49),'List 2'!C49,TRIM('List 2'!C49)))</f>
        <v/>
      </c>
      <c r="N549" s="0" t="str">
        <f aca="false">IF(K549="","",IF(ISNUMBER('List 2'!D49),'List 2'!D49,TRIM('List 2'!D49)))</f>
        <v/>
      </c>
      <c r="O549" s="0" t="str">
        <f aca="false">IF(K549="","",0)</f>
        <v/>
      </c>
      <c r="P549" s="0" t="str">
        <f aca="false">IF(K549="","",I49)</f>
        <v/>
      </c>
      <c r="Q549" s="0" t="str">
        <f aca="false">IF(K549="","",FALSE())</f>
        <v/>
      </c>
      <c r="R549" s="0" t="str">
        <f aca="false">IF(K549="","",TRUE())</f>
        <v/>
      </c>
      <c r="S549" s="0" t="str">
        <f aca="false">IF(K549="","",IF(AND(Q549,R549),IF(O549=P549,"Match","Qty Different"),IF(Q549,"Only in List 1","Only in List 2")))</f>
        <v/>
      </c>
      <c r="T549" s="0" t="str">
        <f aca="false">IF(K549="","",IF(ISNUMBER(--L549),TEXT(--L549,"000000000000.000"),LOWER(L549)))</f>
        <v/>
      </c>
      <c r="U549" s="0" t="str">
        <f aca="false">IF(K549="","",IF(ISNUMBER(--M549),TEXT(--M549,"000000000000.000"),LOWER(M549)))</f>
        <v/>
      </c>
      <c r="V549" s="0" t="str">
        <f aca="false">IF(K549="","",LOWER(N549))</f>
        <v/>
      </c>
      <c r="W549" s="0" t="str">
        <f aca="false">IF(K549="","",G49)</f>
        <v/>
      </c>
      <c r="X549" s="0" t="str">
        <f aca="false">IF(K549="","",1+SUMPRODUCT(($K$2:$K$1001&lt;&gt;"")*(($T$2:$T$1001&lt;T549)+($T$2:$T$1001=T549)*(($U$2:$U$1001&lt;U549)+($U$2:$U$1001=U549)*(($V$2:$V$1001&lt;V549)+($V$2:$V$1001=V549)*(($W$2:$W$1001&lt;W549)+($W$2:$W$1001=W549)*(ROW($K$2:$K$1001)&lt;ROW(K549))))))))</f>
        <v/>
      </c>
    </row>
    <row r="550" customFormat="false" ht="15" hidden="false" customHeight="false" outlineLevel="0" collapsed="false">
      <c r="K550" s="0" t="str">
        <f aca="false">IF(H50="","",IF(SUMPRODUCT(--($C$2:$C$501=H50))&gt;0,"",H50))</f>
        <v/>
      </c>
      <c r="L550" s="0" t="str">
        <f aca="false">IF(K550="","",IF(ISNUMBER('List 2'!A50),'List 2'!A50,TRIM('List 2'!A50)))</f>
        <v/>
      </c>
      <c r="M550" s="0" t="str">
        <f aca="false">IF(K550="","",IF(ISNUMBER('List 2'!C50),'List 2'!C50,TRIM('List 2'!C50)))</f>
        <v/>
      </c>
      <c r="N550" s="0" t="str">
        <f aca="false">IF(K550="","",IF(ISNUMBER('List 2'!D50),'List 2'!D50,TRIM('List 2'!D50)))</f>
        <v/>
      </c>
      <c r="O550" s="0" t="str">
        <f aca="false">IF(K550="","",0)</f>
        <v/>
      </c>
      <c r="P550" s="0" t="str">
        <f aca="false">IF(K550="","",I50)</f>
        <v/>
      </c>
      <c r="Q550" s="0" t="str">
        <f aca="false">IF(K550="","",FALSE())</f>
        <v/>
      </c>
      <c r="R550" s="0" t="str">
        <f aca="false">IF(K550="","",TRUE())</f>
        <v/>
      </c>
      <c r="S550" s="0" t="str">
        <f aca="false">IF(K550="","",IF(AND(Q550,R550),IF(O550=P550,"Match","Qty Different"),IF(Q550,"Only in List 1","Only in List 2")))</f>
        <v/>
      </c>
      <c r="T550" s="0" t="str">
        <f aca="false">IF(K550="","",IF(ISNUMBER(--L550),TEXT(--L550,"000000000000.000"),LOWER(L550)))</f>
        <v/>
      </c>
      <c r="U550" s="0" t="str">
        <f aca="false">IF(K550="","",IF(ISNUMBER(--M550),TEXT(--M550,"000000000000.000"),LOWER(M550)))</f>
        <v/>
      </c>
      <c r="V550" s="0" t="str">
        <f aca="false">IF(K550="","",LOWER(N550))</f>
        <v/>
      </c>
      <c r="W550" s="0" t="str">
        <f aca="false">IF(K550="","",G50)</f>
        <v/>
      </c>
      <c r="X550" s="0" t="str">
        <f aca="false">IF(K550="","",1+SUMPRODUCT(($K$2:$K$1001&lt;&gt;"")*(($T$2:$T$1001&lt;T550)+($T$2:$T$1001=T550)*(($U$2:$U$1001&lt;U550)+($U$2:$U$1001=U550)*(($V$2:$V$1001&lt;V550)+($V$2:$V$1001=V550)*(($W$2:$W$1001&lt;W550)+($W$2:$W$1001=W550)*(ROW($K$2:$K$1001)&lt;ROW(K550))))))))</f>
        <v/>
      </c>
    </row>
    <row r="551" customFormat="false" ht="15" hidden="false" customHeight="false" outlineLevel="0" collapsed="false">
      <c r="K551" s="0" t="str">
        <f aca="false">IF(H51="","",IF(SUMPRODUCT(--($C$2:$C$501=H51))&gt;0,"",H51))</f>
        <v/>
      </c>
      <c r="L551" s="0" t="str">
        <f aca="false">IF(K551="","",IF(ISNUMBER('List 2'!A51),'List 2'!A51,TRIM('List 2'!A51)))</f>
        <v/>
      </c>
      <c r="M551" s="0" t="str">
        <f aca="false">IF(K551="","",IF(ISNUMBER('List 2'!C51),'List 2'!C51,TRIM('List 2'!C51)))</f>
        <v/>
      </c>
      <c r="N551" s="0" t="str">
        <f aca="false">IF(K551="","",IF(ISNUMBER('List 2'!D51),'List 2'!D51,TRIM('List 2'!D51)))</f>
        <v/>
      </c>
      <c r="O551" s="0" t="str">
        <f aca="false">IF(K551="","",0)</f>
        <v/>
      </c>
      <c r="P551" s="0" t="str">
        <f aca="false">IF(K551="","",I51)</f>
        <v/>
      </c>
      <c r="Q551" s="0" t="str">
        <f aca="false">IF(K551="","",FALSE())</f>
        <v/>
      </c>
      <c r="R551" s="0" t="str">
        <f aca="false">IF(K551="","",TRUE())</f>
        <v/>
      </c>
      <c r="S551" s="0" t="str">
        <f aca="false">IF(K551="","",IF(AND(Q551,R551),IF(O551=P551,"Match","Qty Different"),IF(Q551,"Only in List 1","Only in List 2")))</f>
        <v/>
      </c>
      <c r="T551" s="0" t="str">
        <f aca="false">IF(K551="","",IF(ISNUMBER(--L551),TEXT(--L551,"000000000000.000"),LOWER(L551)))</f>
        <v/>
      </c>
      <c r="U551" s="0" t="str">
        <f aca="false">IF(K551="","",IF(ISNUMBER(--M551),TEXT(--M551,"000000000000.000"),LOWER(M551)))</f>
        <v/>
      </c>
      <c r="V551" s="0" t="str">
        <f aca="false">IF(K551="","",LOWER(N551))</f>
        <v/>
      </c>
      <c r="W551" s="0" t="str">
        <f aca="false">IF(K551="","",G51)</f>
        <v/>
      </c>
      <c r="X551" s="0" t="str">
        <f aca="false">IF(K551="","",1+SUMPRODUCT(($K$2:$K$1001&lt;&gt;"")*(($T$2:$T$1001&lt;T551)+($T$2:$T$1001=T551)*(($U$2:$U$1001&lt;U551)+($U$2:$U$1001=U551)*(($V$2:$V$1001&lt;V551)+($V$2:$V$1001=V551)*(($W$2:$W$1001&lt;W551)+($W$2:$W$1001=W551)*(ROW($K$2:$K$1001)&lt;ROW(K551))))))))</f>
        <v/>
      </c>
    </row>
    <row r="552" customFormat="false" ht="15" hidden="false" customHeight="false" outlineLevel="0" collapsed="false">
      <c r="K552" s="0" t="str">
        <f aca="false">IF(H52="","",IF(SUMPRODUCT(--($C$2:$C$501=H52))&gt;0,"",H52))</f>
        <v/>
      </c>
      <c r="L552" s="0" t="str">
        <f aca="false">IF(K552="","",IF(ISNUMBER('List 2'!A52),'List 2'!A52,TRIM('List 2'!A52)))</f>
        <v/>
      </c>
      <c r="M552" s="0" t="str">
        <f aca="false">IF(K552="","",IF(ISNUMBER('List 2'!C52),'List 2'!C52,TRIM('List 2'!C52)))</f>
        <v/>
      </c>
      <c r="N552" s="0" t="str">
        <f aca="false">IF(K552="","",IF(ISNUMBER('List 2'!D52),'List 2'!D52,TRIM('List 2'!D52)))</f>
        <v/>
      </c>
      <c r="O552" s="0" t="str">
        <f aca="false">IF(K552="","",0)</f>
        <v/>
      </c>
      <c r="P552" s="0" t="str">
        <f aca="false">IF(K552="","",I52)</f>
        <v/>
      </c>
      <c r="Q552" s="0" t="str">
        <f aca="false">IF(K552="","",FALSE())</f>
        <v/>
      </c>
      <c r="R552" s="0" t="str">
        <f aca="false">IF(K552="","",TRUE())</f>
        <v/>
      </c>
      <c r="S552" s="0" t="str">
        <f aca="false">IF(K552="","",IF(AND(Q552,R552),IF(O552=P552,"Match","Qty Different"),IF(Q552,"Only in List 1","Only in List 2")))</f>
        <v/>
      </c>
      <c r="T552" s="0" t="str">
        <f aca="false">IF(K552="","",IF(ISNUMBER(--L552),TEXT(--L552,"000000000000.000"),LOWER(L552)))</f>
        <v/>
      </c>
      <c r="U552" s="0" t="str">
        <f aca="false">IF(K552="","",IF(ISNUMBER(--M552),TEXT(--M552,"000000000000.000"),LOWER(M552)))</f>
        <v/>
      </c>
      <c r="V552" s="0" t="str">
        <f aca="false">IF(K552="","",LOWER(N552))</f>
        <v/>
      </c>
      <c r="W552" s="0" t="str">
        <f aca="false">IF(K552="","",G52)</f>
        <v/>
      </c>
      <c r="X552" s="0" t="str">
        <f aca="false">IF(K552="","",1+SUMPRODUCT(($K$2:$K$1001&lt;&gt;"")*(($T$2:$T$1001&lt;T552)+($T$2:$T$1001=T552)*(($U$2:$U$1001&lt;U552)+($U$2:$U$1001=U552)*(($V$2:$V$1001&lt;V552)+($V$2:$V$1001=V552)*(($W$2:$W$1001&lt;W552)+($W$2:$W$1001=W552)*(ROW($K$2:$K$1001)&lt;ROW(K552))))))))</f>
        <v/>
      </c>
    </row>
    <row r="553" customFormat="false" ht="15" hidden="false" customHeight="false" outlineLevel="0" collapsed="false">
      <c r="K553" s="0" t="str">
        <f aca="false">IF(H53="","",IF(SUMPRODUCT(--($C$2:$C$501=H53))&gt;0,"",H53))</f>
        <v/>
      </c>
      <c r="L553" s="0" t="str">
        <f aca="false">IF(K553="","",IF(ISNUMBER('List 2'!A53),'List 2'!A53,TRIM('List 2'!A53)))</f>
        <v/>
      </c>
      <c r="M553" s="0" t="str">
        <f aca="false">IF(K553="","",IF(ISNUMBER('List 2'!C53),'List 2'!C53,TRIM('List 2'!C53)))</f>
        <v/>
      </c>
      <c r="N553" s="0" t="str">
        <f aca="false">IF(K553="","",IF(ISNUMBER('List 2'!D53),'List 2'!D53,TRIM('List 2'!D53)))</f>
        <v/>
      </c>
      <c r="O553" s="0" t="str">
        <f aca="false">IF(K553="","",0)</f>
        <v/>
      </c>
      <c r="P553" s="0" t="str">
        <f aca="false">IF(K553="","",I53)</f>
        <v/>
      </c>
      <c r="Q553" s="0" t="str">
        <f aca="false">IF(K553="","",FALSE())</f>
        <v/>
      </c>
      <c r="R553" s="0" t="str">
        <f aca="false">IF(K553="","",TRUE())</f>
        <v/>
      </c>
      <c r="S553" s="0" t="str">
        <f aca="false">IF(K553="","",IF(AND(Q553,R553),IF(O553=P553,"Match","Qty Different"),IF(Q553,"Only in List 1","Only in List 2")))</f>
        <v/>
      </c>
      <c r="T553" s="0" t="str">
        <f aca="false">IF(K553="","",IF(ISNUMBER(--L553),TEXT(--L553,"000000000000.000"),LOWER(L553)))</f>
        <v/>
      </c>
      <c r="U553" s="0" t="str">
        <f aca="false">IF(K553="","",IF(ISNUMBER(--M553),TEXT(--M553,"000000000000.000"),LOWER(M553)))</f>
        <v/>
      </c>
      <c r="V553" s="0" t="str">
        <f aca="false">IF(K553="","",LOWER(N553))</f>
        <v/>
      </c>
      <c r="W553" s="0" t="str">
        <f aca="false">IF(K553="","",G53)</f>
        <v/>
      </c>
      <c r="X553" s="0" t="str">
        <f aca="false">IF(K553="","",1+SUMPRODUCT(($K$2:$K$1001&lt;&gt;"")*(($T$2:$T$1001&lt;T553)+($T$2:$T$1001=T553)*(($U$2:$U$1001&lt;U553)+($U$2:$U$1001=U553)*(($V$2:$V$1001&lt;V553)+($V$2:$V$1001=V553)*(($W$2:$W$1001&lt;W553)+($W$2:$W$1001=W553)*(ROW($K$2:$K$1001)&lt;ROW(K553))))))))</f>
        <v/>
      </c>
    </row>
    <row r="554" customFormat="false" ht="15" hidden="false" customHeight="false" outlineLevel="0" collapsed="false">
      <c r="K554" s="0" t="str">
        <f aca="false">IF(H54="","",IF(SUMPRODUCT(--($C$2:$C$501=H54))&gt;0,"",H54))</f>
        <v/>
      </c>
      <c r="L554" s="0" t="str">
        <f aca="false">IF(K554="","",IF(ISNUMBER('List 2'!A54),'List 2'!A54,TRIM('List 2'!A54)))</f>
        <v/>
      </c>
      <c r="M554" s="0" t="str">
        <f aca="false">IF(K554="","",IF(ISNUMBER('List 2'!C54),'List 2'!C54,TRIM('List 2'!C54)))</f>
        <v/>
      </c>
      <c r="N554" s="0" t="str">
        <f aca="false">IF(K554="","",IF(ISNUMBER('List 2'!D54),'List 2'!D54,TRIM('List 2'!D54)))</f>
        <v/>
      </c>
      <c r="O554" s="0" t="str">
        <f aca="false">IF(K554="","",0)</f>
        <v/>
      </c>
      <c r="P554" s="0" t="str">
        <f aca="false">IF(K554="","",I54)</f>
        <v/>
      </c>
      <c r="Q554" s="0" t="str">
        <f aca="false">IF(K554="","",FALSE())</f>
        <v/>
      </c>
      <c r="R554" s="0" t="str">
        <f aca="false">IF(K554="","",TRUE())</f>
        <v/>
      </c>
      <c r="S554" s="0" t="str">
        <f aca="false">IF(K554="","",IF(AND(Q554,R554),IF(O554=P554,"Match","Qty Different"),IF(Q554,"Only in List 1","Only in List 2")))</f>
        <v/>
      </c>
      <c r="T554" s="0" t="str">
        <f aca="false">IF(K554="","",IF(ISNUMBER(--L554),TEXT(--L554,"000000000000.000"),LOWER(L554)))</f>
        <v/>
      </c>
      <c r="U554" s="0" t="str">
        <f aca="false">IF(K554="","",IF(ISNUMBER(--M554),TEXT(--M554,"000000000000.000"),LOWER(M554)))</f>
        <v/>
      </c>
      <c r="V554" s="0" t="str">
        <f aca="false">IF(K554="","",LOWER(N554))</f>
        <v/>
      </c>
      <c r="W554" s="0" t="str">
        <f aca="false">IF(K554="","",G54)</f>
        <v/>
      </c>
      <c r="X554" s="0" t="str">
        <f aca="false">IF(K554="","",1+SUMPRODUCT(($K$2:$K$1001&lt;&gt;"")*(($T$2:$T$1001&lt;T554)+($T$2:$T$1001=T554)*(($U$2:$U$1001&lt;U554)+($U$2:$U$1001=U554)*(($V$2:$V$1001&lt;V554)+($V$2:$V$1001=V554)*(($W$2:$W$1001&lt;W554)+($W$2:$W$1001=W554)*(ROW($K$2:$K$1001)&lt;ROW(K554))))))))</f>
        <v/>
      </c>
    </row>
    <row r="555" customFormat="false" ht="15" hidden="false" customHeight="false" outlineLevel="0" collapsed="false">
      <c r="K555" s="0" t="str">
        <f aca="false">IF(H55="","",IF(SUMPRODUCT(--($C$2:$C$501=H55))&gt;0,"",H55))</f>
        <v/>
      </c>
      <c r="L555" s="0" t="str">
        <f aca="false">IF(K555="","",IF(ISNUMBER('List 2'!A55),'List 2'!A55,TRIM('List 2'!A55)))</f>
        <v/>
      </c>
      <c r="M555" s="0" t="str">
        <f aca="false">IF(K555="","",IF(ISNUMBER('List 2'!C55),'List 2'!C55,TRIM('List 2'!C55)))</f>
        <v/>
      </c>
      <c r="N555" s="0" t="str">
        <f aca="false">IF(K555="","",IF(ISNUMBER('List 2'!D55),'List 2'!D55,TRIM('List 2'!D55)))</f>
        <v/>
      </c>
      <c r="O555" s="0" t="str">
        <f aca="false">IF(K555="","",0)</f>
        <v/>
      </c>
      <c r="P555" s="0" t="str">
        <f aca="false">IF(K555="","",I55)</f>
        <v/>
      </c>
      <c r="Q555" s="0" t="str">
        <f aca="false">IF(K555="","",FALSE())</f>
        <v/>
      </c>
      <c r="R555" s="0" t="str">
        <f aca="false">IF(K555="","",TRUE())</f>
        <v/>
      </c>
      <c r="S555" s="0" t="str">
        <f aca="false">IF(K555="","",IF(AND(Q555,R555),IF(O555=P555,"Match","Qty Different"),IF(Q555,"Only in List 1","Only in List 2")))</f>
        <v/>
      </c>
      <c r="T555" s="0" t="str">
        <f aca="false">IF(K555="","",IF(ISNUMBER(--L555),TEXT(--L555,"000000000000.000"),LOWER(L555)))</f>
        <v/>
      </c>
      <c r="U555" s="0" t="str">
        <f aca="false">IF(K555="","",IF(ISNUMBER(--M555),TEXT(--M555,"000000000000.000"),LOWER(M555)))</f>
        <v/>
      </c>
      <c r="V555" s="0" t="str">
        <f aca="false">IF(K555="","",LOWER(N555))</f>
        <v/>
      </c>
      <c r="W555" s="0" t="str">
        <f aca="false">IF(K555="","",G55)</f>
        <v/>
      </c>
      <c r="X555" s="0" t="str">
        <f aca="false">IF(K555="","",1+SUMPRODUCT(($K$2:$K$1001&lt;&gt;"")*(($T$2:$T$1001&lt;T555)+($T$2:$T$1001=T555)*(($U$2:$U$1001&lt;U555)+($U$2:$U$1001=U555)*(($V$2:$V$1001&lt;V555)+($V$2:$V$1001=V555)*(($W$2:$W$1001&lt;W555)+($W$2:$W$1001=W555)*(ROW($K$2:$K$1001)&lt;ROW(K555))))))))</f>
        <v/>
      </c>
    </row>
    <row r="556" customFormat="false" ht="15" hidden="false" customHeight="false" outlineLevel="0" collapsed="false">
      <c r="K556" s="0" t="str">
        <f aca="false">IF(H56="","",IF(SUMPRODUCT(--($C$2:$C$501=H56))&gt;0,"",H56))</f>
        <v/>
      </c>
      <c r="L556" s="0" t="str">
        <f aca="false">IF(K556="","",IF(ISNUMBER('List 2'!A56),'List 2'!A56,TRIM('List 2'!A56)))</f>
        <v/>
      </c>
      <c r="M556" s="0" t="str">
        <f aca="false">IF(K556="","",IF(ISNUMBER('List 2'!C56),'List 2'!C56,TRIM('List 2'!C56)))</f>
        <v/>
      </c>
      <c r="N556" s="0" t="str">
        <f aca="false">IF(K556="","",IF(ISNUMBER('List 2'!D56),'List 2'!D56,TRIM('List 2'!D56)))</f>
        <v/>
      </c>
      <c r="O556" s="0" t="str">
        <f aca="false">IF(K556="","",0)</f>
        <v/>
      </c>
      <c r="P556" s="0" t="str">
        <f aca="false">IF(K556="","",I56)</f>
        <v/>
      </c>
      <c r="Q556" s="0" t="str">
        <f aca="false">IF(K556="","",FALSE())</f>
        <v/>
      </c>
      <c r="R556" s="0" t="str">
        <f aca="false">IF(K556="","",TRUE())</f>
        <v/>
      </c>
      <c r="S556" s="0" t="str">
        <f aca="false">IF(K556="","",IF(AND(Q556,R556),IF(O556=P556,"Match","Qty Different"),IF(Q556,"Only in List 1","Only in List 2")))</f>
        <v/>
      </c>
      <c r="T556" s="0" t="str">
        <f aca="false">IF(K556="","",IF(ISNUMBER(--L556),TEXT(--L556,"000000000000.000"),LOWER(L556)))</f>
        <v/>
      </c>
      <c r="U556" s="0" t="str">
        <f aca="false">IF(K556="","",IF(ISNUMBER(--M556),TEXT(--M556,"000000000000.000"),LOWER(M556)))</f>
        <v/>
      </c>
      <c r="V556" s="0" t="str">
        <f aca="false">IF(K556="","",LOWER(N556))</f>
        <v/>
      </c>
      <c r="W556" s="0" t="str">
        <f aca="false">IF(K556="","",G56)</f>
        <v/>
      </c>
      <c r="X556" s="0" t="str">
        <f aca="false">IF(K556="","",1+SUMPRODUCT(($K$2:$K$1001&lt;&gt;"")*(($T$2:$T$1001&lt;T556)+($T$2:$T$1001=T556)*(($U$2:$U$1001&lt;U556)+($U$2:$U$1001=U556)*(($V$2:$V$1001&lt;V556)+($V$2:$V$1001=V556)*(($W$2:$W$1001&lt;W556)+($W$2:$W$1001=W556)*(ROW($K$2:$K$1001)&lt;ROW(K556))))))))</f>
        <v/>
      </c>
    </row>
    <row r="557" customFormat="false" ht="15" hidden="false" customHeight="false" outlineLevel="0" collapsed="false">
      <c r="K557" s="0" t="str">
        <f aca="false">IF(H57="","",IF(SUMPRODUCT(--($C$2:$C$501=H57))&gt;0,"",H57))</f>
        <v/>
      </c>
      <c r="L557" s="0" t="str">
        <f aca="false">IF(K557="","",IF(ISNUMBER('List 2'!A57),'List 2'!A57,TRIM('List 2'!A57)))</f>
        <v/>
      </c>
      <c r="M557" s="0" t="str">
        <f aca="false">IF(K557="","",IF(ISNUMBER('List 2'!C57),'List 2'!C57,TRIM('List 2'!C57)))</f>
        <v/>
      </c>
      <c r="N557" s="0" t="str">
        <f aca="false">IF(K557="","",IF(ISNUMBER('List 2'!D57),'List 2'!D57,TRIM('List 2'!D57)))</f>
        <v/>
      </c>
      <c r="O557" s="0" t="str">
        <f aca="false">IF(K557="","",0)</f>
        <v/>
      </c>
      <c r="P557" s="0" t="str">
        <f aca="false">IF(K557="","",I57)</f>
        <v/>
      </c>
      <c r="Q557" s="0" t="str">
        <f aca="false">IF(K557="","",FALSE())</f>
        <v/>
      </c>
      <c r="R557" s="0" t="str">
        <f aca="false">IF(K557="","",TRUE())</f>
        <v/>
      </c>
      <c r="S557" s="0" t="str">
        <f aca="false">IF(K557="","",IF(AND(Q557,R557),IF(O557=P557,"Match","Qty Different"),IF(Q557,"Only in List 1","Only in List 2")))</f>
        <v/>
      </c>
      <c r="T557" s="0" t="str">
        <f aca="false">IF(K557="","",IF(ISNUMBER(--L557),TEXT(--L557,"000000000000.000"),LOWER(L557)))</f>
        <v/>
      </c>
      <c r="U557" s="0" t="str">
        <f aca="false">IF(K557="","",IF(ISNUMBER(--M557),TEXT(--M557,"000000000000.000"),LOWER(M557)))</f>
        <v/>
      </c>
      <c r="V557" s="0" t="str">
        <f aca="false">IF(K557="","",LOWER(N557))</f>
        <v/>
      </c>
      <c r="W557" s="0" t="str">
        <f aca="false">IF(K557="","",G57)</f>
        <v/>
      </c>
      <c r="X557" s="0" t="str">
        <f aca="false">IF(K557="","",1+SUMPRODUCT(($K$2:$K$1001&lt;&gt;"")*(($T$2:$T$1001&lt;T557)+($T$2:$T$1001=T557)*(($U$2:$U$1001&lt;U557)+($U$2:$U$1001=U557)*(($V$2:$V$1001&lt;V557)+($V$2:$V$1001=V557)*(($W$2:$W$1001&lt;W557)+($W$2:$W$1001=W557)*(ROW($K$2:$K$1001)&lt;ROW(K557))))))))</f>
        <v/>
      </c>
    </row>
    <row r="558" customFormat="false" ht="15" hidden="false" customHeight="false" outlineLevel="0" collapsed="false">
      <c r="K558" s="0" t="str">
        <f aca="false">IF(H58="","",IF(SUMPRODUCT(--($C$2:$C$501=H58))&gt;0,"",H58))</f>
        <v/>
      </c>
      <c r="L558" s="0" t="str">
        <f aca="false">IF(K558="","",IF(ISNUMBER('List 2'!A58),'List 2'!A58,TRIM('List 2'!A58)))</f>
        <v/>
      </c>
      <c r="M558" s="0" t="str">
        <f aca="false">IF(K558="","",IF(ISNUMBER('List 2'!C58),'List 2'!C58,TRIM('List 2'!C58)))</f>
        <v/>
      </c>
      <c r="N558" s="0" t="str">
        <f aca="false">IF(K558="","",IF(ISNUMBER('List 2'!D58),'List 2'!D58,TRIM('List 2'!D58)))</f>
        <v/>
      </c>
      <c r="O558" s="0" t="str">
        <f aca="false">IF(K558="","",0)</f>
        <v/>
      </c>
      <c r="P558" s="0" t="str">
        <f aca="false">IF(K558="","",I58)</f>
        <v/>
      </c>
      <c r="Q558" s="0" t="str">
        <f aca="false">IF(K558="","",FALSE())</f>
        <v/>
      </c>
      <c r="R558" s="0" t="str">
        <f aca="false">IF(K558="","",TRUE())</f>
        <v/>
      </c>
      <c r="S558" s="0" t="str">
        <f aca="false">IF(K558="","",IF(AND(Q558,R558),IF(O558=P558,"Match","Qty Different"),IF(Q558,"Only in List 1","Only in List 2")))</f>
        <v/>
      </c>
      <c r="T558" s="0" t="str">
        <f aca="false">IF(K558="","",IF(ISNUMBER(--L558),TEXT(--L558,"000000000000.000"),LOWER(L558)))</f>
        <v/>
      </c>
      <c r="U558" s="0" t="str">
        <f aca="false">IF(K558="","",IF(ISNUMBER(--M558),TEXT(--M558,"000000000000.000"),LOWER(M558)))</f>
        <v/>
      </c>
      <c r="V558" s="0" t="str">
        <f aca="false">IF(K558="","",LOWER(N558))</f>
        <v/>
      </c>
      <c r="W558" s="0" t="str">
        <f aca="false">IF(K558="","",G58)</f>
        <v/>
      </c>
      <c r="X558" s="0" t="str">
        <f aca="false">IF(K558="","",1+SUMPRODUCT(($K$2:$K$1001&lt;&gt;"")*(($T$2:$T$1001&lt;T558)+($T$2:$T$1001=T558)*(($U$2:$U$1001&lt;U558)+($U$2:$U$1001=U558)*(($V$2:$V$1001&lt;V558)+($V$2:$V$1001=V558)*(($W$2:$W$1001&lt;W558)+($W$2:$W$1001=W558)*(ROW($K$2:$K$1001)&lt;ROW(K558))))))))</f>
        <v/>
      </c>
    </row>
    <row r="559" customFormat="false" ht="15" hidden="false" customHeight="false" outlineLevel="0" collapsed="false">
      <c r="K559" s="0" t="str">
        <f aca="false">IF(H59="","",IF(SUMPRODUCT(--($C$2:$C$501=H59))&gt;0,"",H59))</f>
        <v/>
      </c>
      <c r="L559" s="0" t="str">
        <f aca="false">IF(K559="","",IF(ISNUMBER('List 2'!A59),'List 2'!A59,TRIM('List 2'!A59)))</f>
        <v/>
      </c>
      <c r="M559" s="0" t="str">
        <f aca="false">IF(K559="","",IF(ISNUMBER('List 2'!C59),'List 2'!C59,TRIM('List 2'!C59)))</f>
        <v/>
      </c>
      <c r="N559" s="0" t="str">
        <f aca="false">IF(K559="","",IF(ISNUMBER('List 2'!D59),'List 2'!D59,TRIM('List 2'!D59)))</f>
        <v/>
      </c>
      <c r="O559" s="0" t="str">
        <f aca="false">IF(K559="","",0)</f>
        <v/>
      </c>
      <c r="P559" s="0" t="str">
        <f aca="false">IF(K559="","",I59)</f>
        <v/>
      </c>
      <c r="Q559" s="0" t="str">
        <f aca="false">IF(K559="","",FALSE())</f>
        <v/>
      </c>
      <c r="R559" s="0" t="str">
        <f aca="false">IF(K559="","",TRUE())</f>
        <v/>
      </c>
      <c r="S559" s="0" t="str">
        <f aca="false">IF(K559="","",IF(AND(Q559,R559),IF(O559=P559,"Match","Qty Different"),IF(Q559,"Only in List 1","Only in List 2")))</f>
        <v/>
      </c>
      <c r="T559" s="0" t="str">
        <f aca="false">IF(K559="","",IF(ISNUMBER(--L559),TEXT(--L559,"000000000000.000"),LOWER(L559)))</f>
        <v/>
      </c>
      <c r="U559" s="0" t="str">
        <f aca="false">IF(K559="","",IF(ISNUMBER(--M559),TEXT(--M559,"000000000000.000"),LOWER(M559)))</f>
        <v/>
      </c>
      <c r="V559" s="0" t="str">
        <f aca="false">IF(K559="","",LOWER(N559))</f>
        <v/>
      </c>
      <c r="W559" s="0" t="str">
        <f aca="false">IF(K559="","",G59)</f>
        <v/>
      </c>
      <c r="X559" s="0" t="str">
        <f aca="false">IF(K559="","",1+SUMPRODUCT(($K$2:$K$1001&lt;&gt;"")*(($T$2:$T$1001&lt;T559)+($T$2:$T$1001=T559)*(($U$2:$U$1001&lt;U559)+($U$2:$U$1001=U559)*(($V$2:$V$1001&lt;V559)+($V$2:$V$1001=V559)*(($W$2:$W$1001&lt;W559)+($W$2:$W$1001=W559)*(ROW($K$2:$K$1001)&lt;ROW(K559))))))))</f>
        <v/>
      </c>
    </row>
    <row r="560" customFormat="false" ht="15" hidden="false" customHeight="false" outlineLevel="0" collapsed="false">
      <c r="K560" s="0" t="str">
        <f aca="false">IF(H60="","",IF(SUMPRODUCT(--($C$2:$C$501=H60))&gt;0,"",H60))</f>
        <v/>
      </c>
      <c r="L560" s="0" t="str">
        <f aca="false">IF(K560="","",IF(ISNUMBER('List 2'!A60),'List 2'!A60,TRIM('List 2'!A60)))</f>
        <v/>
      </c>
      <c r="M560" s="0" t="str">
        <f aca="false">IF(K560="","",IF(ISNUMBER('List 2'!C60),'List 2'!C60,TRIM('List 2'!C60)))</f>
        <v/>
      </c>
      <c r="N560" s="0" t="str">
        <f aca="false">IF(K560="","",IF(ISNUMBER('List 2'!D60),'List 2'!D60,TRIM('List 2'!D60)))</f>
        <v/>
      </c>
      <c r="O560" s="0" t="str">
        <f aca="false">IF(K560="","",0)</f>
        <v/>
      </c>
      <c r="P560" s="0" t="str">
        <f aca="false">IF(K560="","",I60)</f>
        <v/>
      </c>
      <c r="Q560" s="0" t="str">
        <f aca="false">IF(K560="","",FALSE())</f>
        <v/>
      </c>
      <c r="R560" s="0" t="str">
        <f aca="false">IF(K560="","",TRUE())</f>
        <v/>
      </c>
      <c r="S560" s="0" t="str">
        <f aca="false">IF(K560="","",IF(AND(Q560,R560),IF(O560=P560,"Match","Qty Different"),IF(Q560,"Only in List 1","Only in List 2")))</f>
        <v/>
      </c>
      <c r="T560" s="0" t="str">
        <f aca="false">IF(K560="","",IF(ISNUMBER(--L560),TEXT(--L560,"000000000000.000"),LOWER(L560)))</f>
        <v/>
      </c>
      <c r="U560" s="0" t="str">
        <f aca="false">IF(K560="","",IF(ISNUMBER(--M560),TEXT(--M560,"000000000000.000"),LOWER(M560)))</f>
        <v/>
      </c>
      <c r="V560" s="0" t="str">
        <f aca="false">IF(K560="","",LOWER(N560))</f>
        <v/>
      </c>
      <c r="W560" s="0" t="str">
        <f aca="false">IF(K560="","",G60)</f>
        <v/>
      </c>
      <c r="X560" s="0" t="str">
        <f aca="false">IF(K560="","",1+SUMPRODUCT(($K$2:$K$1001&lt;&gt;"")*(($T$2:$T$1001&lt;T560)+($T$2:$T$1001=T560)*(($U$2:$U$1001&lt;U560)+($U$2:$U$1001=U560)*(($V$2:$V$1001&lt;V560)+($V$2:$V$1001=V560)*(($W$2:$W$1001&lt;W560)+($W$2:$W$1001=W560)*(ROW($K$2:$K$1001)&lt;ROW(K560))))))))</f>
        <v/>
      </c>
    </row>
    <row r="561" customFormat="false" ht="15" hidden="false" customHeight="false" outlineLevel="0" collapsed="false">
      <c r="K561" s="0" t="str">
        <f aca="false">IF(H61="","",IF(SUMPRODUCT(--($C$2:$C$501=H61))&gt;0,"",H61))</f>
        <v/>
      </c>
      <c r="L561" s="0" t="str">
        <f aca="false">IF(K561="","",IF(ISNUMBER('List 2'!A61),'List 2'!A61,TRIM('List 2'!A61)))</f>
        <v/>
      </c>
      <c r="M561" s="0" t="str">
        <f aca="false">IF(K561="","",IF(ISNUMBER('List 2'!C61),'List 2'!C61,TRIM('List 2'!C61)))</f>
        <v/>
      </c>
      <c r="N561" s="0" t="str">
        <f aca="false">IF(K561="","",IF(ISNUMBER('List 2'!D61),'List 2'!D61,TRIM('List 2'!D61)))</f>
        <v/>
      </c>
      <c r="O561" s="0" t="str">
        <f aca="false">IF(K561="","",0)</f>
        <v/>
      </c>
      <c r="P561" s="0" t="str">
        <f aca="false">IF(K561="","",I61)</f>
        <v/>
      </c>
      <c r="Q561" s="0" t="str">
        <f aca="false">IF(K561="","",FALSE())</f>
        <v/>
      </c>
      <c r="R561" s="0" t="str">
        <f aca="false">IF(K561="","",TRUE())</f>
        <v/>
      </c>
      <c r="S561" s="0" t="str">
        <f aca="false">IF(K561="","",IF(AND(Q561,R561),IF(O561=P561,"Match","Qty Different"),IF(Q561,"Only in List 1","Only in List 2")))</f>
        <v/>
      </c>
      <c r="T561" s="0" t="str">
        <f aca="false">IF(K561="","",IF(ISNUMBER(--L561),TEXT(--L561,"000000000000.000"),LOWER(L561)))</f>
        <v/>
      </c>
      <c r="U561" s="0" t="str">
        <f aca="false">IF(K561="","",IF(ISNUMBER(--M561),TEXT(--M561,"000000000000.000"),LOWER(M561)))</f>
        <v/>
      </c>
      <c r="V561" s="0" t="str">
        <f aca="false">IF(K561="","",LOWER(N561))</f>
        <v/>
      </c>
      <c r="W561" s="0" t="str">
        <f aca="false">IF(K561="","",G61)</f>
        <v/>
      </c>
      <c r="X561" s="0" t="str">
        <f aca="false">IF(K561="","",1+SUMPRODUCT(($K$2:$K$1001&lt;&gt;"")*(($T$2:$T$1001&lt;T561)+($T$2:$T$1001=T561)*(($U$2:$U$1001&lt;U561)+($U$2:$U$1001=U561)*(($V$2:$V$1001&lt;V561)+($V$2:$V$1001=V561)*(($W$2:$W$1001&lt;W561)+($W$2:$W$1001=W561)*(ROW($K$2:$K$1001)&lt;ROW(K561))))))))</f>
        <v/>
      </c>
    </row>
    <row r="562" customFormat="false" ht="15" hidden="false" customHeight="false" outlineLevel="0" collapsed="false">
      <c r="K562" s="0" t="str">
        <f aca="false">IF(H62="","",IF(SUMPRODUCT(--($C$2:$C$501=H62))&gt;0,"",H62))</f>
        <v/>
      </c>
      <c r="L562" s="0" t="str">
        <f aca="false">IF(K562="","",IF(ISNUMBER('List 2'!A62),'List 2'!A62,TRIM('List 2'!A62)))</f>
        <v/>
      </c>
      <c r="M562" s="0" t="str">
        <f aca="false">IF(K562="","",IF(ISNUMBER('List 2'!C62),'List 2'!C62,TRIM('List 2'!C62)))</f>
        <v/>
      </c>
      <c r="N562" s="0" t="str">
        <f aca="false">IF(K562="","",IF(ISNUMBER('List 2'!D62),'List 2'!D62,TRIM('List 2'!D62)))</f>
        <v/>
      </c>
      <c r="O562" s="0" t="str">
        <f aca="false">IF(K562="","",0)</f>
        <v/>
      </c>
      <c r="P562" s="0" t="str">
        <f aca="false">IF(K562="","",I62)</f>
        <v/>
      </c>
      <c r="Q562" s="0" t="str">
        <f aca="false">IF(K562="","",FALSE())</f>
        <v/>
      </c>
      <c r="R562" s="0" t="str">
        <f aca="false">IF(K562="","",TRUE())</f>
        <v/>
      </c>
      <c r="S562" s="0" t="str">
        <f aca="false">IF(K562="","",IF(AND(Q562,R562),IF(O562=P562,"Match","Qty Different"),IF(Q562,"Only in List 1","Only in List 2")))</f>
        <v/>
      </c>
      <c r="T562" s="0" t="str">
        <f aca="false">IF(K562="","",IF(ISNUMBER(--L562),TEXT(--L562,"000000000000.000"),LOWER(L562)))</f>
        <v/>
      </c>
      <c r="U562" s="0" t="str">
        <f aca="false">IF(K562="","",IF(ISNUMBER(--M562),TEXT(--M562,"000000000000.000"),LOWER(M562)))</f>
        <v/>
      </c>
      <c r="V562" s="0" t="str">
        <f aca="false">IF(K562="","",LOWER(N562))</f>
        <v/>
      </c>
      <c r="W562" s="0" t="str">
        <f aca="false">IF(K562="","",G62)</f>
        <v/>
      </c>
      <c r="X562" s="0" t="str">
        <f aca="false">IF(K562="","",1+SUMPRODUCT(($K$2:$K$1001&lt;&gt;"")*(($T$2:$T$1001&lt;T562)+($T$2:$T$1001=T562)*(($U$2:$U$1001&lt;U562)+($U$2:$U$1001=U562)*(($V$2:$V$1001&lt;V562)+($V$2:$V$1001=V562)*(($W$2:$W$1001&lt;W562)+($W$2:$W$1001=W562)*(ROW($K$2:$K$1001)&lt;ROW(K562))))))))</f>
        <v/>
      </c>
    </row>
    <row r="563" customFormat="false" ht="15" hidden="false" customHeight="false" outlineLevel="0" collapsed="false">
      <c r="K563" s="0" t="str">
        <f aca="false">IF(H63="","",IF(SUMPRODUCT(--($C$2:$C$501=H63))&gt;0,"",H63))</f>
        <v/>
      </c>
      <c r="L563" s="0" t="str">
        <f aca="false">IF(K563="","",IF(ISNUMBER('List 2'!A63),'List 2'!A63,TRIM('List 2'!A63)))</f>
        <v/>
      </c>
      <c r="M563" s="0" t="str">
        <f aca="false">IF(K563="","",IF(ISNUMBER('List 2'!C63),'List 2'!C63,TRIM('List 2'!C63)))</f>
        <v/>
      </c>
      <c r="N563" s="0" t="str">
        <f aca="false">IF(K563="","",IF(ISNUMBER('List 2'!D63),'List 2'!D63,TRIM('List 2'!D63)))</f>
        <v/>
      </c>
      <c r="O563" s="0" t="str">
        <f aca="false">IF(K563="","",0)</f>
        <v/>
      </c>
      <c r="P563" s="0" t="str">
        <f aca="false">IF(K563="","",I63)</f>
        <v/>
      </c>
      <c r="Q563" s="0" t="str">
        <f aca="false">IF(K563="","",FALSE())</f>
        <v/>
      </c>
      <c r="R563" s="0" t="str">
        <f aca="false">IF(K563="","",TRUE())</f>
        <v/>
      </c>
      <c r="S563" s="0" t="str">
        <f aca="false">IF(K563="","",IF(AND(Q563,R563),IF(O563=P563,"Match","Qty Different"),IF(Q563,"Only in List 1","Only in List 2")))</f>
        <v/>
      </c>
      <c r="T563" s="0" t="str">
        <f aca="false">IF(K563="","",IF(ISNUMBER(--L563),TEXT(--L563,"000000000000.000"),LOWER(L563)))</f>
        <v/>
      </c>
      <c r="U563" s="0" t="str">
        <f aca="false">IF(K563="","",IF(ISNUMBER(--M563),TEXT(--M563,"000000000000.000"),LOWER(M563)))</f>
        <v/>
      </c>
      <c r="V563" s="0" t="str">
        <f aca="false">IF(K563="","",LOWER(N563))</f>
        <v/>
      </c>
      <c r="W563" s="0" t="str">
        <f aca="false">IF(K563="","",G63)</f>
        <v/>
      </c>
      <c r="X563" s="0" t="str">
        <f aca="false">IF(K563="","",1+SUMPRODUCT(($K$2:$K$1001&lt;&gt;"")*(($T$2:$T$1001&lt;T563)+($T$2:$T$1001=T563)*(($U$2:$U$1001&lt;U563)+($U$2:$U$1001=U563)*(($V$2:$V$1001&lt;V563)+($V$2:$V$1001=V563)*(($W$2:$W$1001&lt;W563)+($W$2:$W$1001=W563)*(ROW($K$2:$K$1001)&lt;ROW(K563))))))))</f>
        <v/>
      </c>
    </row>
    <row r="564" customFormat="false" ht="15" hidden="false" customHeight="false" outlineLevel="0" collapsed="false">
      <c r="K564" s="0" t="str">
        <f aca="false">IF(H64="","",IF(SUMPRODUCT(--($C$2:$C$501=H64))&gt;0,"",H64))</f>
        <v/>
      </c>
      <c r="L564" s="0" t="str">
        <f aca="false">IF(K564="","",IF(ISNUMBER('List 2'!A64),'List 2'!A64,TRIM('List 2'!A64)))</f>
        <v/>
      </c>
      <c r="M564" s="0" t="str">
        <f aca="false">IF(K564="","",IF(ISNUMBER('List 2'!C64),'List 2'!C64,TRIM('List 2'!C64)))</f>
        <v/>
      </c>
      <c r="N564" s="0" t="str">
        <f aca="false">IF(K564="","",IF(ISNUMBER('List 2'!D64),'List 2'!D64,TRIM('List 2'!D64)))</f>
        <v/>
      </c>
      <c r="O564" s="0" t="str">
        <f aca="false">IF(K564="","",0)</f>
        <v/>
      </c>
      <c r="P564" s="0" t="str">
        <f aca="false">IF(K564="","",I64)</f>
        <v/>
      </c>
      <c r="Q564" s="0" t="str">
        <f aca="false">IF(K564="","",FALSE())</f>
        <v/>
      </c>
      <c r="R564" s="0" t="str">
        <f aca="false">IF(K564="","",TRUE())</f>
        <v/>
      </c>
      <c r="S564" s="0" t="str">
        <f aca="false">IF(K564="","",IF(AND(Q564,R564),IF(O564=P564,"Match","Qty Different"),IF(Q564,"Only in List 1","Only in List 2")))</f>
        <v/>
      </c>
      <c r="T564" s="0" t="str">
        <f aca="false">IF(K564="","",IF(ISNUMBER(--L564),TEXT(--L564,"000000000000.000"),LOWER(L564)))</f>
        <v/>
      </c>
      <c r="U564" s="0" t="str">
        <f aca="false">IF(K564="","",IF(ISNUMBER(--M564),TEXT(--M564,"000000000000.000"),LOWER(M564)))</f>
        <v/>
      </c>
      <c r="V564" s="0" t="str">
        <f aca="false">IF(K564="","",LOWER(N564))</f>
        <v/>
      </c>
      <c r="W564" s="0" t="str">
        <f aca="false">IF(K564="","",G64)</f>
        <v/>
      </c>
      <c r="X564" s="0" t="str">
        <f aca="false">IF(K564="","",1+SUMPRODUCT(($K$2:$K$1001&lt;&gt;"")*(($T$2:$T$1001&lt;T564)+($T$2:$T$1001=T564)*(($U$2:$U$1001&lt;U564)+($U$2:$U$1001=U564)*(($V$2:$V$1001&lt;V564)+($V$2:$V$1001=V564)*(($W$2:$W$1001&lt;W564)+($W$2:$W$1001=W564)*(ROW($K$2:$K$1001)&lt;ROW(K564))))))))</f>
        <v/>
      </c>
    </row>
    <row r="565" customFormat="false" ht="15" hidden="false" customHeight="false" outlineLevel="0" collapsed="false">
      <c r="K565" s="0" t="str">
        <f aca="false">IF(H65="","",IF(SUMPRODUCT(--($C$2:$C$501=H65))&gt;0,"",H65))</f>
        <v/>
      </c>
      <c r="L565" s="0" t="str">
        <f aca="false">IF(K565="","",IF(ISNUMBER('List 2'!A65),'List 2'!A65,TRIM('List 2'!A65)))</f>
        <v/>
      </c>
      <c r="M565" s="0" t="str">
        <f aca="false">IF(K565="","",IF(ISNUMBER('List 2'!C65),'List 2'!C65,TRIM('List 2'!C65)))</f>
        <v/>
      </c>
      <c r="N565" s="0" t="str">
        <f aca="false">IF(K565="","",IF(ISNUMBER('List 2'!D65),'List 2'!D65,TRIM('List 2'!D65)))</f>
        <v/>
      </c>
      <c r="O565" s="0" t="str">
        <f aca="false">IF(K565="","",0)</f>
        <v/>
      </c>
      <c r="P565" s="0" t="str">
        <f aca="false">IF(K565="","",I65)</f>
        <v/>
      </c>
      <c r="Q565" s="0" t="str">
        <f aca="false">IF(K565="","",FALSE())</f>
        <v/>
      </c>
      <c r="R565" s="0" t="str">
        <f aca="false">IF(K565="","",TRUE())</f>
        <v/>
      </c>
      <c r="S565" s="0" t="str">
        <f aca="false">IF(K565="","",IF(AND(Q565,R565),IF(O565=P565,"Match","Qty Different"),IF(Q565,"Only in List 1","Only in List 2")))</f>
        <v/>
      </c>
      <c r="T565" s="0" t="str">
        <f aca="false">IF(K565="","",IF(ISNUMBER(--L565),TEXT(--L565,"000000000000.000"),LOWER(L565)))</f>
        <v/>
      </c>
      <c r="U565" s="0" t="str">
        <f aca="false">IF(K565="","",IF(ISNUMBER(--M565),TEXT(--M565,"000000000000.000"),LOWER(M565)))</f>
        <v/>
      </c>
      <c r="V565" s="0" t="str">
        <f aca="false">IF(K565="","",LOWER(N565))</f>
        <v/>
      </c>
      <c r="W565" s="0" t="str">
        <f aca="false">IF(K565="","",G65)</f>
        <v/>
      </c>
      <c r="X565" s="0" t="str">
        <f aca="false">IF(K565="","",1+SUMPRODUCT(($K$2:$K$1001&lt;&gt;"")*(($T$2:$T$1001&lt;T565)+($T$2:$T$1001=T565)*(($U$2:$U$1001&lt;U565)+($U$2:$U$1001=U565)*(($V$2:$V$1001&lt;V565)+($V$2:$V$1001=V565)*(($W$2:$W$1001&lt;W565)+($W$2:$W$1001=W565)*(ROW($K$2:$K$1001)&lt;ROW(K565))))))))</f>
        <v/>
      </c>
    </row>
    <row r="566" customFormat="false" ht="15" hidden="false" customHeight="false" outlineLevel="0" collapsed="false">
      <c r="K566" s="0" t="str">
        <f aca="false">IF(H66="","",IF(SUMPRODUCT(--($C$2:$C$501=H66))&gt;0,"",H66))</f>
        <v/>
      </c>
      <c r="L566" s="0" t="str">
        <f aca="false">IF(K566="","",IF(ISNUMBER('List 2'!A66),'List 2'!A66,TRIM('List 2'!A66)))</f>
        <v/>
      </c>
      <c r="M566" s="0" t="str">
        <f aca="false">IF(K566="","",IF(ISNUMBER('List 2'!C66),'List 2'!C66,TRIM('List 2'!C66)))</f>
        <v/>
      </c>
      <c r="N566" s="0" t="str">
        <f aca="false">IF(K566="","",IF(ISNUMBER('List 2'!D66),'List 2'!D66,TRIM('List 2'!D66)))</f>
        <v/>
      </c>
      <c r="O566" s="0" t="str">
        <f aca="false">IF(K566="","",0)</f>
        <v/>
      </c>
      <c r="P566" s="0" t="str">
        <f aca="false">IF(K566="","",I66)</f>
        <v/>
      </c>
      <c r="Q566" s="0" t="str">
        <f aca="false">IF(K566="","",FALSE())</f>
        <v/>
      </c>
      <c r="R566" s="0" t="str">
        <f aca="false">IF(K566="","",TRUE())</f>
        <v/>
      </c>
      <c r="S566" s="0" t="str">
        <f aca="false">IF(K566="","",IF(AND(Q566,R566),IF(O566=P566,"Match","Qty Different"),IF(Q566,"Only in List 1","Only in List 2")))</f>
        <v/>
      </c>
      <c r="T566" s="0" t="str">
        <f aca="false">IF(K566="","",IF(ISNUMBER(--L566),TEXT(--L566,"000000000000.000"),LOWER(L566)))</f>
        <v/>
      </c>
      <c r="U566" s="0" t="str">
        <f aca="false">IF(K566="","",IF(ISNUMBER(--M566),TEXT(--M566,"000000000000.000"),LOWER(M566)))</f>
        <v/>
      </c>
      <c r="V566" s="0" t="str">
        <f aca="false">IF(K566="","",LOWER(N566))</f>
        <v/>
      </c>
      <c r="W566" s="0" t="str">
        <f aca="false">IF(K566="","",G66)</f>
        <v/>
      </c>
      <c r="X566" s="0" t="str">
        <f aca="false">IF(K566="","",1+SUMPRODUCT(($K$2:$K$1001&lt;&gt;"")*(($T$2:$T$1001&lt;T566)+($T$2:$T$1001=T566)*(($U$2:$U$1001&lt;U566)+($U$2:$U$1001=U566)*(($V$2:$V$1001&lt;V566)+($V$2:$V$1001=V566)*(($W$2:$W$1001&lt;W566)+($W$2:$W$1001=W566)*(ROW($K$2:$K$1001)&lt;ROW(K566))))))))</f>
        <v/>
      </c>
    </row>
    <row r="567" customFormat="false" ht="15" hidden="false" customHeight="false" outlineLevel="0" collapsed="false">
      <c r="K567" s="0" t="str">
        <f aca="false">IF(H67="","",IF(SUMPRODUCT(--($C$2:$C$501=H67))&gt;0,"",H67))</f>
        <v/>
      </c>
      <c r="L567" s="0" t="str">
        <f aca="false">IF(K567="","",IF(ISNUMBER('List 2'!A67),'List 2'!A67,TRIM('List 2'!A67)))</f>
        <v/>
      </c>
      <c r="M567" s="0" t="str">
        <f aca="false">IF(K567="","",IF(ISNUMBER('List 2'!C67),'List 2'!C67,TRIM('List 2'!C67)))</f>
        <v/>
      </c>
      <c r="N567" s="0" t="str">
        <f aca="false">IF(K567="","",IF(ISNUMBER('List 2'!D67),'List 2'!D67,TRIM('List 2'!D67)))</f>
        <v/>
      </c>
      <c r="O567" s="0" t="str">
        <f aca="false">IF(K567="","",0)</f>
        <v/>
      </c>
      <c r="P567" s="0" t="str">
        <f aca="false">IF(K567="","",I67)</f>
        <v/>
      </c>
      <c r="Q567" s="0" t="str">
        <f aca="false">IF(K567="","",FALSE())</f>
        <v/>
      </c>
      <c r="R567" s="0" t="str">
        <f aca="false">IF(K567="","",TRUE())</f>
        <v/>
      </c>
      <c r="S567" s="0" t="str">
        <f aca="false">IF(K567="","",IF(AND(Q567,R567),IF(O567=P567,"Match","Qty Different"),IF(Q567,"Only in List 1","Only in List 2")))</f>
        <v/>
      </c>
      <c r="T567" s="0" t="str">
        <f aca="false">IF(K567="","",IF(ISNUMBER(--L567),TEXT(--L567,"000000000000.000"),LOWER(L567)))</f>
        <v/>
      </c>
      <c r="U567" s="0" t="str">
        <f aca="false">IF(K567="","",IF(ISNUMBER(--M567),TEXT(--M567,"000000000000.000"),LOWER(M567)))</f>
        <v/>
      </c>
      <c r="V567" s="0" t="str">
        <f aca="false">IF(K567="","",LOWER(N567))</f>
        <v/>
      </c>
      <c r="W567" s="0" t="str">
        <f aca="false">IF(K567="","",G67)</f>
        <v/>
      </c>
      <c r="X567" s="0" t="str">
        <f aca="false">IF(K567="","",1+SUMPRODUCT(($K$2:$K$1001&lt;&gt;"")*(($T$2:$T$1001&lt;T567)+($T$2:$T$1001=T567)*(($U$2:$U$1001&lt;U567)+($U$2:$U$1001=U567)*(($V$2:$V$1001&lt;V567)+($V$2:$V$1001=V567)*(($W$2:$W$1001&lt;W567)+($W$2:$W$1001=W567)*(ROW($K$2:$K$1001)&lt;ROW(K567))))))))</f>
        <v/>
      </c>
    </row>
    <row r="568" customFormat="false" ht="15" hidden="false" customHeight="false" outlineLevel="0" collapsed="false">
      <c r="K568" s="0" t="str">
        <f aca="false">IF(H68="","",IF(SUMPRODUCT(--($C$2:$C$501=H68))&gt;0,"",H68))</f>
        <v/>
      </c>
      <c r="L568" s="0" t="str">
        <f aca="false">IF(K568="","",IF(ISNUMBER('List 2'!A68),'List 2'!A68,TRIM('List 2'!A68)))</f>
        <v/>
      </c>
      <c r="M568" s="0" t="str">
        <f aca="false">IF(K568="","",IF(ISNUMBER('List 2'!C68),'List 2'!C68,TRIM('List 2'!C68)))</f>
        <v/>
      </c>
      <c r="N568" s="0" t="str">
        <f aca="false">IF(K568="","",IF(ISNUMBER('List 2'!D68),'List 2'!D68,TRIM('List 2'!D68)))</f>
        <v/>
      </c>
      <c r="O568" s="0" t="str">
        <f aca="false">IF(K568="","",0)</f>
        <v/>
      </c>
      <c r="P568" s="0" t="str">
        <f aca="false">IF(K568="","",I68)</f>
        <v/>
      </c>
      <c r="Q568" s="0" t="str">
        <f aca="false">IF(K568="","",FALSE())</f>
        <v/>
      </c>
      <c r="R568" s="0" t="str">
        <f aca="false">IF(K568="","",TRUE())</f>
        <v/>
      </c>
      <c r="S568" s="0" t="str">
        <f aca="false">IF(K568="","",IF(AND(Q568,R568),IF(O568=P568,"Match","Qty Different"),IF(Q568,"Only in List 1","Only in List 2")))</f>
        <v/>
      </c>
      <c r="T568" s="0" t="str">
        <f aca="false">IF(K568="","",IF(ISNUMBER(--L568),TEXT(--L568,"000000000000.000"),LOWER(L568)))</f>
        <v/>
      </c>
      <c r="U568" s="0" t="str">
        <f aca="false">IF(K568="","",IF(ISNUMBER(--M568),TEXT(--M568,"000000000000.000"),LOWER(M568)))</f>
        <v/>
      </c>
      <c r="V568" s="0" t="str">
        <f aca="false">IF(K568="","",LOWER(N568))</f>
        <v/>
      </c>
      <c r="W568" s="0" t="str">
        <f aca="false">IF(K568="","",G68)</f>
        <v/>
      </c>
      <c r="X568" s="0" t="str">
        <f aca="false">IF(K568="","",1+SUMPRODUCT(($K$2:$K$1001&lt;&gt;"")*(($T$2:$T$1001&lt;T568)+($T$2:$T$1001=T568)*(($U$2:$U$1001&lt;U568)+($U$2:$U$1001=U568)*(($V$2:$V$1001&lt;V568)+($V$2:$V$1001=V568)*(($W$2:$W$1001&lt;W568)+($W$2:$W$1001=W568)*(ROW($K$2:$K$1001)&lt;ROW(K568))))))))</f>
        <v/>
      </c>
    </row>
    <row r="569" customFormat="false" ht="15" hidden="false" customHeight="false" outlineLevel="0" collapsed="false">
      <c r="K569" s="0" t="str">
        <f aca="false">IF(H69="","",IF(SUMPRODUCT(--($C$2:$C$501=H69))&gt;0,"",H69))</f>
        <v/>
      </c>
      <c r="L569" s="0" t="str">
        <f aca="false">IF(K569="","",IF(ISNUMBER('List 2'!A69),'List 2'!A69,TRIM('List 2'!A69)))</f>
        <v/>
      </c>
      <c r="M569" s="0" t="str">
        <f aca="false">IF(K569="","",IF(ISNUMBER('List 2'!C69),'List 2'!C69,TRIM('List 2'!C69)))</f>
        <v/>
      </c>
      <c r="N569" s="0" t="str">
        <f aca="false">IF(K569="","",IF(ISNUMBER('List 2'!D69),'List 2'!D69,TRIM('List 2'!D69)))</f>
        <v/>
      </c>
      <c r="O569" s="0" t="str">
        <f aca="false">IF(K569="","",0)</f>
        <v/>
      </c>
      <c r="P569" s="0" t="str">
        <f aca="false">IF(K569="","",I69)</f>
        <v/>
      </c>
      <c r="Q569" s="0" t="str">
        <f aca="false">IF(K569="","",FALSE())</f>
        <v/>
      </c>
      <c r="R569" s="0" t="str">
        <f aca="false">IF(K569="","",TRUE())</f>
        <v/>
      </c>
      <c r="S569" s="0" t="str">
        <f aca="false">IF(K569="","",IF(AND(Q569,R569),IF(O569=P569,"Match","Qty Different"),IF(Q569,"Only in List 1","Only in List 2")))</f>
        <v/>
      </c>
      <c r="T569" s="0" t="str">
        <f aca="false">IF(K569="","",IF(ISNUMBER(--L569),TEXT(--L569,"000000000000.000"),LOWER(L569)))</f>
        <v/>
      </c>
      <c r="U569" s="0" t="str">
        <f aca="false">IF(K569="","",IF(ISNUMBER(--M569),TEXT(--M569,"000000000000.000"),LOWER(M569)))</f>
        <v/>
      </c>
      <c r="V569" s="0" t="str">
        <f aca="false">IF(K569="","",LOWER(N569))</f>
        <v/>
      </c>
      <c r="W569" s="0" t="str">
        <f aca="false">IF(K569="","",G69)</f>
        <v/>
      </c>
      <c r="X569" s="0" t="str">
        <f aca="false">IF(K569="","",1+SUMPRODUCT(($K$2:$K$1001&lt;&gt;"")*(($T$2:$T$1001&lt;T569)+($T$2:$T$1001=T569)*(($U$2:$U$1001&lt;U569)+($U$2:$U$1001=U569)*(($V$2:$V$1001&lt;V569)+($V$2:$V$1001=V569)*(($W$2:$W$1001&lt;W569)+($W$2:$W$1001=W569)*(ROW($K$2:$K$1001)&lt;ROW(K569))))))))</f>
        <v/>
      </c>
    </row>
    <row r="570" customFormat="false" ht="15" hidden="false" customHeight="false" outlineLevel="0" collapsed="false">
      <c r="K570" s="0" t="str">
        <f aca="false">IF(H70="","",IF(SUMPRODUCT(--($C$2:$C$501=H70))&gt;0,"",H70))</f>
        <v/>
      </c>
      <c r="L570" s="0" t="str">
        <f aca="false">IF(K570="","",IF(ISNUMBER('List 2'!A70),'List 2'!A70,TRIM('List 2'!A70)))</f>
        <v/>
      </c>
      <c r="M570" s="0" t="str">
        <f aca="false">IF(K570="","",IF(ISNUMBER('List 2'!C70),'List 2'!C70,TRIM('List 2'!C70)))</f>
        <v/>
      </c>
      <c r="N570" s="0" t="str">
        <f aca="false">IF(K570="","",IF(ISNUMBER('List 2'!D70),'List 2'!D70,TRIM('List 2'!D70)))</f>
        <v/>
      </c>
      <c r="O570" s="0" t="str">
        <f aca="false">IF(K570="","",0)</f>
        <v/>
      </c>
      <c r="P570" s="0" t="str">
        <f aca="false">IF(K570="","",I70)</f>
        <v/>
      </c>
      <c r="Q570" s="0" t="str">
        <f aca="false">IF(K570="","",FALSE())</f>
        <v/>
      </c>
      <c r="R570" s="0" t="str">
        <f aca="false">IF(K570="","",TRUE())</f>
        <v/>
      </c>
      <c r="S570" s="0" t="str">
        <f aca="false">IF(K570="","",IF(AND(Q570,R570),IF(O570=P570,"Match","Qty Different"),IF(Q570,"Only in List 1","Only in List 2")))</f>
        <v/>
      </c>
      <c r="T570" s="0" t="str">
        <f aca="false">IF(K570="","",IF(ISNUMBER(--L570),TEXT(--L570,"000000000000.000"),LOWER(L570)))</f>
        <v/>
      </c>
      <c r="U570" s="0" t="str">
        <f aca="false">IF(K570="","",IF(ISNUMBER(--M570),TEXT(--M570,"000000000000.000"),LOWER(M570)))</f>
        <v/>
      </c>
      <c r="V570" s="0" t="str">
        <f aca="false">IF(K570="","",LOWER(N570))</f>
        <v/>
      </c>
      <c r="W570" s="0" t="str">
        <f aca="false">IF(K570="","",G70)</f>
        <v/>
      </c>
      <c r="X570" s="0" t="str">
        <f aca="false">IF(K570="","",1+SUMPRODUCT(($K$2:$K$1001&lt;&gt;"")*(($T$2:$T$1001&lt;T570)+($T$2:$T$1001=T570)*(($U$2:$U$1001&lt;U570)+($U$2:$U$1001=U570)*(($V$2:$V$1001&lt;V570)+($V$2:$V$1001=V570)*(($W$2:$W$1001&lt;W570)+($W$2:$W$1001=W570)*(ROW($K$2:$K$1001)&lt;ROW(K570))))))))</f>
        <v/>
      </c>
    </row>
    <row r="571" customFormat="false" ht="15" hidden="false" customHeight="false" outlineLevel="0" collapsed="false">
      <c r="K571" s="0" t="str">
        <f aca="false">IF(H71="","",IF(SUMPRODUCT(--($C$2:$C$501=H71))&gt;0,"",H71))</f>
        <v/>
      </c>
      <c r="L571" s="0" t="str">
        <f aca="false">IF(K571="","",IF(ISNUMBER('List 2'!A71),'List 2'!A71,TRIM('List 2'!A71)))</f>
        <v/>
      </c>
      <c r="M571" s="0" t="str">
        <f aca="false">IF(K571="","",IF(ISNUMBER('List 2'!C71),'List 2'!C71,TRIM('List 2'!C71)))</f>
        <v/>
      </c>
      <c r="N571" s="0" t="str">
        <f aca="false">IF(K571="","",IF(ISNUMBER('List 2'!D71),'List 2'!D71,TRIM('List 2'!D71)))</f>
        <v/>
      </c>
      <c r="O571" s="0" t="str">
        <f aca="false">IF(K571="","",0)</f>
        <v/>
      </c>
      <c r="P571" s="0" t="str">
        <f aca="false">IF(K571="","",I71)</f>
        <v/>
      </c>
      <c r="Q571" s="0" t="str">
        <f aca="false">IF(K571="","",FALSE())</f>
        <v/>
      </c>
      <c r="R571" s="0" t="str">
        <f aca="false">IF(K571="","",TRUE())</f>
        <v/>
      </c>
      <c r="S571" s="0" t="str">
        <f aca="false">IF(K571="","",IF(AND(Q571,R571),IF(O571=P571,"Match","Qty Different"),IF(Q571,"Only in List 1","Only in List 2")))</f>
        <v/>
      </c>
      <c r="T571" s="0" t="str">
        <f aca="false">IF(K571="","",IF(ISNUMBER(--L571),TEXT(--L571,"000000000000.000"),LOWER(L571)))</f>
        <v/>
      </c>
      <c r="U571" s="0" t="str">
        <f aca="false">IF(K571="","",IF(ISNUMBER(--M571),TEXT(--M571,"000000000000.000"),LOWER(M571)))</f>
        <v/>
      </c>
      <c r="V571" s="0" t="str">
        <f aca="false">IF(K571="","",LOWER(N571))</f>
        <v/>
      </c>
      <c r="W571" s="0" t="str">
        <f aca="false">IF(K571="","",G71)</f>
        <v/>
      </c>
      <c r="X571" s="0" t="str">
        <f aca="false">IF(K571="","",1+SUMPRODUCT(($K$2:$K$1001&lt;&gt;"")*(($T$2:$T$1001&lt;T571)+($T$2:$T$1001=T571)*(($U$2:$U$1001&lt;U571)+($U$2:$U$1001=U571)*(($V$2:$V$1001&lt;V571)+($V$2:$V$1001=V571)*(($W$2:$W$1001&lt;W571)+($W$2:$W$1001=W571)*(ROW($K$2:$K$1001)&lt;ROW(K571))))))))</f>
        <v/>
      </c>
    </row>
    <row r="572" customFormat="false" ht="15" hidden="false" customHeight="false" outlineLevel="0" collapsed="false">
      <c r="K572" s="0" t="str">
        <f aca="false">IF(H72="","",IF(SUMPRODUCT(--($C$2:$C$501=H72))&gt;0,"",H72))</f>
        <v/>
      </c>
      <c r="L572" s="0" t="str">
        <f aca="false">IF(K572="","",IF(ISNUMBER('List 2'!A72),'List 2'!A72,TRIM('List 2'!A72)))</f>
        <v/>
      </c>
      <c r="M572" s="0" t="str">
        <f aca="false">IF(K572="","",IF(ISNUMBER('List 2'!C72),'List 2'!C72,TRIM('List 2'!C72)))</f>
        <v/>
      </c>
      <c r="N572" s="0" t="str">
        <f aca="false">IF(K572="","",IF(ISNUMBER('List 2'!D72),'List 2'!D72,TRIM('List 2'!D72)))</f>
        <v/>
      </c>
      <c r="O572" s="0" t="str">
        <f aca="false">IF(K572="","",0)</f>
        <v/>
      </c>
      <c r="P572" s="0" t="str">
        <f aca="false">IF(K572="","",I72)</f>
        <v/>
      </c>
      <c r="Q572" s="0" t="str">
        <f aca="false">IF(K572="","",FALSE())</f>
        <v/>
      </c>
      <c r="R572" s="0" t="str">
        <f aca="false">IF(K572="","",TRUE())</f>
        <v/>
      </c>
      <c r="S572" s="0" t="str">
        <f aca="false">IF(K572="","",IF(AND(Q572,R572),IF(O572=P572,"Match","Qty Different"),IF(Q572,"Only in List 1","Only in List 2")))</f>
        <v/>
      </c>
      <c r="T572" s="0" t="str">
        <f aca="false">IF(K572="","",IF(ISNUMBER(--L572),TEXT(--L572,"000000000000.000"),LOWER(L572)))</f>
        <v/>
      </c>
      <c r="U572" s="0" t="str">
        <f aca="false">IF(K572="","",IF(ISNUMBER(--M572),TEXT(--M572,"000000000000.000"),LOWER(M572)))</f>
        <v/>
      </c>
      <c r="V572" s="0" t="str">
        <f aca="false">IF(K572="","",LOWER(N572))</f>
        <v/>
      </c>
      <c r="W572" s="0" t="str">
        <f aca="false">IF(K572="","",G72)</f>
        <v/>
      </c>
      <c r="X572" s="0" t="str">
        <f aca="false">IF(K572="","",1+SUMPRODUCT(($K$2:$K$1001&lt;&gt;"")*(($T$2:$T$1001&lt;T572)+($T$2:$T$1001=T572)*(($U$2:$U$1001&lt;U572)+($U$2:$U$1001=U572)*(($V$2:$V$1001&lt;V572)+($V$2:$V$1001=V572)*(($W$2:$W$1001&lt;W572)+($W$2:$W$1001=W572)*(ROW($K$2:$K$1001)&lt;ROW(K572))))))))</f>
        <v/>
      </c>
    </row>
    <row r="573" customFormat="false" ht="15" hidden="false" customHeight="false" outlineLevel="0" collapsed="false">
      <c r="K573" s="0" t="str">
        <f aca="false">IF(H73="","",IF(SUMPRODUCT(--($C$2:$C$501=H73))&gt;0,"",H73))</f>
        <v/>
      </c>
      <c r="L573" s="0" t="str">
        <f aca="false">IF(K573="","",IF(ISNUMBER('List 2'!A73),'List 2'!A73,TRIM('List 2'!A73)))</f>
        <v/>
      </c>
      <c r="M573" s="0" t="str">
        <f aca="false">IF(K573="","",IF(ISNUMBER('List 2'!C73),'List 2'!C73,TRIM('List 2'!C73)))</f>
        <v/>
      </c>
      <c r="N573" s="0" t="str">
        <f aca="false">IF(K573="","",IF(ISNUMBER('List 2'!D73),'List 2'!D73,TRIM('List 2'!D73)))</f>
        <v/>
      </c>
      <c r="O573" s="0" t="str">
        <f aca="false">IF(K573="","",0)</f>
        <v/>
      </c>
      <c r="P573" s="0" t="str">
        <f aca="false">IF(K573="","",I73)</f>
        <v/>
      </c>
      <c r="Q573" s="0" t="str">
        <f aca="false">IF(K573="","",FALSE())</f>
        <v/>
      </c>
      <c r="R573" s="0" t="str">
        <f aca="false">IF(K573="","",TRUE())</f>
        <v/>
      </c>
      <c r="S573" s="0" t="str">
        <f aca="false">IF(K573="","",IF(AND(Q573,R573),IF(O573=P573,"Match","Qty Different"),IF(Q573,"Only in List 1","Only in List 2")))</f>
        <v/>
      </c>
      <c r="T573" s="0" t="str">
        <f aca="false">IF(K573="","",IF(ISNUMBER(--L573),TEXT(--L573,"000000000000.000"),LOWER(L573)))</f>
        <v/>
      </c>
      <c r="U573" s="0" t="str">
        <f aca="false">IF(K573="","",IF(ISNUMBER(--M573),TEXT(--M573,"000000000000.000"),LOWER(M573)))</f>
        <v/>
      </c>
      <c r="V573" s="0" t="str">
        <f aca="false">IF(K573="","",LOWER(N573))</f>
        <v/>
      </c>
      <c r="W573" s="0" t="str">
        <f aca="false">IF(K573="","",G73)</f>
        <v/>
      </c>
      <c r="X573" s="0" t="str">
        <f aca="false">IF(K573="","",1+SUMPRODUCT(($K$2:$K$1001&lt;&gt;"")*(($T$2:$T$1001&lt;T573)+($T$2:$T$1001=T573)*(($U$2:$U$1001&lt;U573)+($U$2:$U$1001=U573)*(($V$2:$V$1001&lt;V573)+($V$2:$V$1001=V573)*(($W$2:$W$1001&lt;W573)+($W$2:$W$1001=W573)*(ROW($K$2:$K$1001)&lt;ROW(K573))))))))</f>
        <v/>
      </c>
    </row>
    <row r="574" customFormat="false" ht="15" hidden="false" customHeight="false" outlineLevel="0" collapsed="false">
      <c r="K574" s="0" t="str">
        <f aca="false">IF(H74="","",IF(SUMPRODUCT(--($C$2:$C$501=H74))&gt;0,"",H74))</f>
        <v/>
      </c>
      <c r="L574" s="0" t="str">
        <f aca="false">IF(K574="","",IF(ISNUMBER('List 2'!A74),'List 2'!A74,TRIM('List 2'!A74)))</f>
        <v/>
      </c>
      <c r="M574" s="0" t="str">
        <f aca="false">IF(K574="","",IF(ISNUMBER('List 2'!C74),'List 2'!C74,TRIM('List 2'!C74)))</f>
        <v/>
      </c>
      <c r="N574" s="0" t="str">
        <f aca="false">IF(K574="","",IF(ISNUMBER('List 2'!D74),'List 2'!D74,TRIM('List 2'!D74)))</f>
        <v/>
      </c>
      <c r="O574" s="0" t="str">
        <f aca="false">IF(K574="","",0)</f>
        <v/>
      </c>
      <c r="P574" s="0" t="str">
        <f aca="false">IF(K574="","",I74)</f>
        <v/>
      </c>
      <c r="Q574" s="0" t="str">
        <f aca="false">IF(K574="","",FALSE())</f>
        <v/>
      </c>
      <c r="R574" s="0" t="str">
        <f aca="false">IF(K574="","",TRUE())</f>
        <v/>
      </c>
      <c r="S574" s="0" t="str">
        <f aca="false">IF(K574="","",IF(AND(Q574,R574),IF(O574=P574,"Match","Qty Different"),IF(Q574,"Only in List 1","Only in List 2")))</f>
        <v/>
      </c>
      <c r="T574" s="0" t="str">
        <f aca="false">IF(K574="","",IF(ISNUMBER(--L574),TEXT(--L574,"000000000000.000"),LOWER(L574)))</f>
        <v/>
      </c>
      <c r="U574" s="0" t="str">
        <f aca="false">IF(K574="","",IF(ISNUMBER(--M574),TEXT(--M574,"000000000000.000"),LOWER(M574)))</f>
        <v/>
      </c>
      <c r="V574" s="0" t="str">
        <f aca="false">IF(K574="","",LOWER(N574))</f>
        <v/>
      </c>
      <c r="W574" s="0" t="str">
        <f aca="false">IF(K574="","",G74)</f>
        <v/>
      </c>
      <c r="X574" s="0" t="str">
        <f aca="false">IF(K574="","",1+SUMPRODUCT(($K$2:$K$1001&lt;&gt;"")*(($T$2:$T$1001&lt;T574)+($T$2:$T$1001=T574)*(($U$2:$U$1001&lt;U574)+($U$2:$U$1001=U574)*(($V$2:$V$1001&lt;V574)+($V$2:$V$1001=V574)*(($W$2:$W$1001&lt;W574)+($W$2:$W$1001=W574)*(ROW($K$2:$K$1001)&lt;ROW(K574))))))))</f>
        <v/>
      </c>
    </row>
    <row r="575" customFormat="false" ht="15" hidden="false" customHeight="false" outlineLevel="0" collapsed="false">
      <c r="K575" s="0" t="str">
        <f aca="false">IF(H75="","",IF(SUMPRODUCT(--($C$2:$C$501=H75))&gt;0,"",H75))</f>
        <v/>
      </c>
      <c r="L575" s="0" t="str">
        <f aca="false">IF(K575="","",IF(ISNUMBER('List 2'!A75),'List 2'!A75,TRIM('List 2'!A75)))</f>
        <v/>
      </c>
      <c r="M575" s="0" t="str">
        <f aca="false">IF(K575="","",IF(ISNUMBER('List 2'!C75),'List 2'!C75,TRIM('List 2'!C75)))</f>
        <v/>
      </c>
      <c r="N575" s="0" t="str">
        <f aca="false">IF(K575="","",IF(ISNUMBER('List 2'!D75),'List 2'!D75,TRIM('List 2'!D75)))</f>
        <v/>
      </c>
      <c r="O575" s="0" t="str">
        <f aca="false">IF(K575="","",0)</f>
        <v/>
      </c>
      <c r="P575" s="0" t="str">
        <f aca="false">IF(K575="","",I75)</f>
        <v/>
      </c>
      <c r="Q575" s="0" t="str">
        <f aca="false">IF(K575="","",FALSE())</f>
        <v/>
      </c>
      <c r="R575" s="0" t="str">
        <f aca="false">IF(K575="","",TRUE())</f>
        <v/>
      </c>
      <c r="S575" s="0" t="str">
        <f aca="false">IF(K575="","",IF(AND(Q575,R575),IF(O575=P575,"Match","Qty Different"),IF(Q575,"Only in List 1","Only in List 2")))</f>
        <v/>
      </c>
      <c r="T575" s="0" t="str">
        <f aca="false">IF(K575="","",IF(ISNUMBER(--L575),TEXT(--L575,"000000000000.000"),LOWER(L575)))</f>
        <v/>
      </c>
      <c r="U575" s="0" t="str">
        <f aca="false">IF(K575="","",IF(ISNUMBER(--M575),TEXT(--M575,"000000000000.000"),LOWER(M575)))</f>
        <v/>
      </c>
      <c r="V575" s="0" t="str">
        <f aca="false">IF(K575="","",LOWER(N575))</f>
        <v/>
      </c>
      <c r="W575" s="0" t="str">
        <f aca="false">IF(K575="","",G75)</f>
        <v/>
      </c>
      <c r="X575" s="0" t="str">
        <f aca="false">IF(K575="","",1+SUMPRODUCT(($K$2:$K$1001&lt;&gt;"")*(($T$2:$T$1001&lt;T575)+($T$2:$T$1001=T575)*(($U$2:$U$1001&lt;U575)+($U$2:$U$1001=U575)*(($V$2:$V$1001&lt;V575)+($V$2:$V$1001=V575)*(($W$2:$W$1001&lt;W575)+($W$2:$W$1001=W575)*(ROW($K$2:$K$1001)&lt;ROW(K575))))))))</f>
        <v/>
      </c>
    </row>
    <row r="576" customFormat="false" ht="15" hidden="false" customHeight="false" outlineLevel="0" collapsed="false">
      <c r="K576" s="0" t="str">
        <f aca="false">IF(H76="","",IF(SUMPRODUCT(--($C$2:$C$501=H76))&gt;0,"",H76))</f>
        <v/>
      </c>
      <c r="L576" s="0" t="str">
        <f aca="false">IF(K576="","",IF(ISNUMBER('List 2'!A76),'List 2'!A76,TRIM('List 2'!A76)))</f>
        <v/>
      </c>
      <c r="M576" s="0" t="str">
        <f aca="false">IF(K576="","",IF(ISNUMBER('List 2'!C76),'List 2'!C76,TRIM('List 2'!C76)))</f>
        <v/>
      </c>
      <c r="N576" s="0" t="str">
        <f aca="false">IF(K576="","",IF(ISNUMBER('List 2'!D76),'List 2'!D76,TRIM('List 2'!D76)))</f>
        <v/>
      </c>
      <c r="O576" s="0" t="str">
        <f aca="false">IF(K576="","",0)</f>
        <v/>
      </c>
      <c r="P576" s="0" t="str">
        <f aca="false">IF(K576="","",I76)</f>
        <v/>
      </c>
      <c r="Q576" s="0" t="str">
        <f aca="false">IF(K576="","",FALSE())</f>
        <v/>
      </c>
      <c r="R576" s="0" t="str">
        <f aca="false">IF(K576="","",TRUE())</f>
        <v/>
      </c>
      <c r="S576" s="0" t="str">
        <f aca="false">IF(K576="","",IF(AND(Q576,R576),IF(O576=P576,"Match","Qty Different"),IF(Q576,"Only in List 1","Only in List 2")))</f>
        <v/>
      </c>
      <c r="T576" s="0" t="str">
        <f aca="false">IF(K576="","",IF(ISNUMBER(--L576),TEXT(--L576,"000000000000.000"),LOWER(L576)))</f>
        <v/>
      </c>
      <c r="U576" s="0" t="str">
        <f aca="false">IF(K576="","",IF(ISNUMBER(--M576),TEXT(--M576,"000000000000.000"),LOWER(M576)))</f>
        <v/>
      </c>
      <c r="V576" s="0" t="str">
        <f aca="false">IF(K576="","",LOWER(N576))</f>
        <v/>
      </c>
      <c r="W576" s="0" t="str">
        <f aca="false">IF(K576="","",G76)</f>
        <v/>
      </c>
      <c r="X576" s="0" t="str">
        <f aca="false">IF(K576="","",1+SUMPRODUCT(($K$2:$K$1001&lt;&gt;"")*(($T$2:$T$1001&lt;T576)+($T$2:$T$1001=T576)*(($U$2:$U$1001&lt;U576)+($U$2:$U$1001=U576)*(($V$2:$V$1001&lt;V576)+($V$2:$V$1001=V576)*(($W$2:$W$1001&lt;W576)+($W$2:$W$1001=W576)*(ROW($K$2:$K$1001)&lt;ROW(K576))))))))</f>
        <v/>
      </c>
    </row>
    <row r="577" customFormat="false" ht="15" hidden="false" customHeight="false" outlineLevel="0" collapsed="false">
      <c r="K577" s="0" t="str">
        <f aca="false">IF(H77="","",IF(SUMPRODUCT(--($C$2:$C$501=H77))&gt;0,"",H77))</f>
        <v/>
      </c>
      <c r="L577" s="0" t="str">
        <f aca="false">IF(K577="","",IF(ISNUMBER('List 2'!A77),'List 2'!A77,TRIM('List 2'!A77)))</f>
        <v/>
      </c>
      <c r="M577" s="0" t="str">
        <f aca="false">IF(K577="","",IF(ISNUMBER('List 2'!C77),'List 2'!C77,TRIM('List 2'!C77)))</f>
        <v/>
      </c>
      <c r="N577" s="0" t="str">
        <f aca="false">IF(K577="","",IF(ISNUMBER('List 2'!D77),'List 2'!D77,TRIM('List 2'!D77)))</f>
        <v/>
      </c>
      <c r="O577" s="0" t="str">
        <f aca="false">IF(K577="","",0)</f>
        <v/>
      </c>
      <c r="P577" s="0" t="str">
        <f aca="false">IF(K577="","",I77)</f>
        <v/>
      </c>
      <c r="Q577" s="0" t="str">
        <f aca="false">IF(K577="","",FALSE())</f>
        <v/>
      </c>
      <c r="R577" s="0" t="str">
        <f aca="false">IF(K577="","",TRUE())</f>
        <v/>
      </c>
      <c r="S577" s="0" t="str">
        <f aca="false">IF(K577="","",IF(AND(Q577,R577),IF(O577=P577,"Match","Qty Different"),IF(Q577,"Only in List 1","Only in List 2")))</f>
        <v/>
      </c>
      <c r="T577" s="0" t="str">
        <f aca="false">IF(K577="","",IF(ISNUMBER(--L577),TEXT(--L577,"000000000000.000"),LOWER(L577)))</f>
        <v/>
      </c>
      <c r="U577" s="0" t="str">
        <f aca="false">IF(K577="","",IF(ISNUMBER(--M577),TEXT(--M577,"000000000000.000"),LOWER(M577)))</f>
        <v/>
      </c>
      <c r="V577" s="0" t="str">
        <f aca="false">IF(K577="","",LOWER(N577))</f>
        <v/>
      </c>
      <c r="W577" s="0" t="str">
        <f aca="false">IF(K577="","",G77)</f>
        <v/>
      </c>
      <c r="X577" s="0" t="str">
        <f aca="false">IF(K577="","",1+SUMPRODUCT(($K$2:$K$1001&lt;&gt;"")*(($T$2:$T$1001&lt;T577)+($T$2:$T$1001=T577)*(($U$2:$U$1001&lt;U577)+($U$2:$U$1001=U577)*(($V$2:$V$1001&lt;V577)+($V$2:$V$1001=V577)*(($W$2:$W$1001&lt;W577)+($W$2:$W$1001=W577)*(ROW($K$2:$K$1001)&lt;ROW(K577))))))))</f>
        <v/>
      </c>
    </row>
    <row r="578" customFormat="false" ht="15" hidden="false" customHeight="false" outlineLevel="0" collapsed="false">
      <c r="K578" s="0" t="str">
        <f aca="false">IF(H78="","",IF(SUMPRODUCT(--($C$2:$C$501=H78))&gt;0,"",H78))</f>
        <v/>
      </c>
      <c r="L578" s="0" t="str">
        <f aca="false">IF(K578="","",IF(ISNUMBER('List 2'!A78),'List 2'!A78,TRIM('List 2'!A78)))</f>
        <v/>
      </c>
      <c r="M578" s="0" t="str">
        <f aca="false">IF(K578="","",IF(ISNUMBER('List 2'!C78),'List 2'!C78,TRIM('List 2'!C78)))</f>
        <v/>
      </c>
      <c r="N578" s="0" t="str">
        <f aca="false">IF(K578="","",IF(ISNUMBER('List 2'!D78),'List 2'!D78,TRIM('List 2'!D78)))</f>
        <v/>
      </c>
      <c r="O578" s="0" t="str">
        <f aca="false">IF(K578="","",0)</f>
        <v/>
      </c>
      <c r="P578" s="0" t="str">
        <f aca="false">IF(K578="","",I78)</f>
        <v/>
      </c>
      <c r="Q578" s="0" t="str">
        <f aca="false">IF(K578="","",FALSE())</f>
        <v/>
      </c>
      <c r="R578" s="0" t="str">
        <f aca="false">IF(K578="","",TRUE())</f>
        <v/>
      </c>
      <c r="S578" s="0" t="str">
        <f aca="false">IF(K578="","",IF(AND(Q578,R578),IF(O578=P578,"Match","Qty Different"),IF(Q578,"Only in List 1","Only in List 2")))</f>
        <v/>
      </c>
      <c r="T578" s="0" t="str">
        <f aca="false">IF(K578="","",IF(ISNUMBER(--L578),TEXT(--L578,"000000000000.000"),LOWER(L578)))</f>
        <v/>
      </c>
      <c r="U578" s="0" t="str">
        <f aca="false">IF(K578="","",IF(ISNUMBER(--M578),TEXT(--M578,"000000000000.000"),LOWER(M578)))</f>
        <v/>
      </c>
      <c r="V578" s="0" t="str">
        <f aca="false">IF(K578="","",LOWER(N578))</f>
        <v/>
      </c>
      <c r="W578" s="0" t="str">
        <f aca="false">IF(K578="","",G78)</f>
        <v/>
      </c>
      <c r="X578" s="0" t="str">
        <f aca="false">IF(K578="","",1+SUMPRODUCT(($K$2:$K$1001&lt;&gt;"")*(($T$2:$T$1001&lt;T578)+($T$2:$T$1001=T578)*(($U$2:$U$1001&lt;U578)+($U$2:$U$1001=U578)*(($V$2:$V$1001&lt;V578)+($V$2:$V$1001=V578)*(($W$2:$W$1001&lt;W578)+($W$2:$W$1001=W578)*(ROW($K$2:$K$1001)&lt;ROW(K578))))))))</f>
        <v/>
      </c>
    </row>
    <row r="579" customFormat="false" ht="15" hidden="false" customHeight="false" outlineLevel="0" collapsed="false">
      <c r="K579" s="0" t="str">
        <f aca="false">IF(H79="","",IF(SUMPRODUCT(--($C$2:$C$501=H79))&gt;0,"",H79))</f>
        <v/>
      </c>
      <c r="L579" s="0" t="str">
        <f aca="false">IF(K579="","",IF(ISNUMBER('List 2'!A79),'List 2'!A79,TRIM('List 2'!A79)))</f>
        <v/>
      </c>
      <c r="M579" s="0" t="str">
        <f aca="false">IF(K579="","",IF(ISNUMBER('List 2'!C79),'List 2'!C79,TRIM('List 2'!C79)))</f>
        <v/>
      </c>
      <c r="N579" s="0" t="str">
        <f aca="false">IF(K579="","",IF(ISNUMBER('List 2'!D79),'List 2'!D79,TRIM('List 2'!D79)))</f>
        <v/>
      </c>
      <c r="O579" s="0" t="str">
        <f aca="false">IF(K579="","",0)</f>
        <v/>
      </c>
      <c r="P579" s="0" t="str">
        <f aca="false">IF(K579="","",I79)</f>
        <v/>
      </c>
      <c r="Q579" s="0" t="str">
        <f aca="false">IF(K579="","",FALSE())</f>
        <v/>
      </c>
      <c r="R579" s="0" t="str">
        <f aca="false">IF(K579="","",TRUE())</f>
        <v/>
      </c>
      <c r="S579" s="0" t="str">
        <f aca="false">IF(K579="","",IF(AND(Q579,R579),IF(O579=P579,"Match","Qty Different"),IF(Q579,"Only in List 1","Only in List 2")))</f>
        <v/>
      </c>
      <c r="T579" s="0" t="str">
        <f aca="false">IF(K579="","",IF(ISNUMBER(--L579),TEXT(--L579,"000000000000.000"),LOWER(L579)))</f>
        <v/>
      </c>
      <c r="U579" s="0" t="str">
        <f aca="false">IF(K579="","",IF(ISNUMBER(--M579),TEXT(--M579,"000000000000.000"),LOWER(M579)))</f>
        <v/>
      </c>
      <c r="V579" s="0" t="str">
        <f aca="false">IF(K579="","",LOWER(N579))</f>
        <v/>
      </c>
      <c r="W579" s="0" t="str">
        <f aca="false">IF(K579="","",G79)</f>
        <v/>
      </c>
      <c r="X579" s="0" t="str">
        <f aca="false">IF(K579="","",1+SUMPRODUCT(($K$2:$K$1001&lt;&gt;"")*(($T$2:$T$1001&lt;T579)+($T$2:$T$1001=T579)*(($U$2:$U$1001&lt;U579)+($U$2:$U$1001=U579)*(($V$2:$V$1001&lt;V579)+($V$2:$V$1001=V579)*(($W$2:$W$1001&lt;W579)+($W$2:$W$1001=W579)*(ROW($K$2:$K$1001)&lt;ROW(K579))))))))</f>
        <v/>
      </c>
    </row>
    <row r="580" customFormat="false" ht="15" hidden="false" customHeight="false" outlineLevel="0" collapsed="false">
      <c r="K580" s="0" t="str">
        <f aca="false">IF(H80="","",IF(SUMPRODUCT(--($C$2:$C$501=H80))&gt;0,"",H80))</f>
        <v/>
      </c>
      <c r="L580" s="0" t="str">
        <f aca="false">IF(K580="","",IF(ISNUMBER('List 2'!A80),'List 2'!A80,TRIM('List 2'!A80)))</f>
        <v/>
      </c>
      <c r="M580" s="0" t="str">
        <f aca="false">IF(K580="","",IF(ISNUMBER('List 2'!C80),'List 2'!C80,TRIM('List 2'!C80)))</f>
        <v/>
      </c>
      <c r="N580" s="0" t="str">
        <f aca="false">IF(K580="","",IF(ISNUMBER('List 2'!D80),'List 2'!D80,TRIM('List 2'!D80)))</f>
        <v/>
      </c>
      <c r="O580" s="0" t="str">
        <f aca="false">IF(K580="","",0)</f>
        <v/>
      </c>
      <c r="P580" s="0" t="str">
        <f aca="false">IF(K580="","",I80)</f>
        <v/>
      </c>
      <c r="Q580" s="0" t="str">
        <f aca="false">IF(K580="","",FALSE())</f>
        <v/>
      </c>
      <c r="R580" s="0" t="str">
        <f aca="false">IF(K580="","",TRUE())</f>
        <v/>
      </c>
      <c r="S580" s="0" t="str">
        <f aca="false">IF(K580="","",IF(AND(Q580,R580),IF(O580=P580,"Match","Qty Different"),IF(Q580,"Only in List 1","Only in List 2")))</f>
        <v/>
      </c>
      <c r="T580" s="0" t="str">
        <f aca="false">IF(K580="","",IF(ISNUMBER(--L580),TEXT(--L580,"000000000000.000"),LOWER(L580)))</f>
        <v/>
      </c>
      <c r="U580" s="0" t="str">
        <f aca="false">IF(K580="","",IF(ISNUMBER(--M580),TEXT(--M580,"000000000000.000"),LOWER(M580)))</f>
        <v/>
      </c>
      <c r="V580" s="0" t="str">
        <f aca="false">IF(K580="","",LOWER(N580))</f>
        <v/>
      </c>
      <c r="W580" s="0" t="str">
        <f aca="false">IF(K580="","",G80)</f>
        <v/>
      </c>
      <c r="X580" s="0" t="str">
        <f aca="false">IF(K580="","",1+SUMPRODUCT(($K$2:$K$1001&lt;&gt;"")*(($T$2:$T$1001&lt;T580)+($T$2:$T$1001=T580)*(($U$2:$U$1001&lt;U580)+($U$2:$U$1001=U580)*(($V$2:$V$1001&lt;V580)+($V$2:$V$1001=V580)*(($W$2:$W$1001&lt;W580)+($W$2:$W$1001=W580)*(ROW($K$2:$K$1001)&lt;ROW(K580))))))))</f>
        <v/>
      </c>
    </row>
    <row r="581" customFormat="false" ht="15" hidden="false" customHeight="false" outlineLevel="0" collapsed="false">
      <c r="K581" s="0" t="str">
        <f aca="false">IF(H81="","",IF(SUMPRODUCT(--($C$2:$C$501=H81))&gt;0,"",H81))</f>
        <v/>
      </c>
      <c r="L581" s="0" t="str">
        <f aca="false">IF(K581="","",IF(ISNUMBER('List 2'!A81),'List 2'!A81,TRIM('List 2'!A81)))</f>
        <v/>
      </c>
      <c r="M581" s="0" t="str">
        <f aca="false">IF(K581="","",IF(ISNUMBER('List 2'!C81),'List 2'!C81,TRIM('List 2'!C81)))</f>
        <v/>
      </c>
      <c r="N581" s="0" t="str">
        <f aca="false">IF(K581="","",IF(ISNUMBER('List 2'!D81),'List 2'!D81,TRIM('List 2'!D81)))</f>
        <v/>
      </c>
      <c r="O581" s="0" t="str">
        <f aca="false">IF(K581="","",0)</f>
        <v/>
      </c>
      <c r="P581" s="0" t="str">
        <f aca="false">IF(K581="","",I81)</f>
        <v/>
      </c>
      <c r="Q581" s="0" t="str">
        <f aca="false">IF(K581="","",FALSE())</f>
        <v/>
      </c>
      <c r="R581" s="0" t="str">
        <f aca="false">IF(K581="","",TRUE())</f>
        <v/>
      </c>
      <c r="S581" s="0" t="str">
        <f aca="false">IF(K581="","",IF(AND(Q581,R581),IF(O581=P581,"Match","Qty Different"),IF(Q581,"Only in List 1","Only in List 2")))</f>
        <v/>
      </c>
      <c r="T581" s="0" t="str">
        <f aca="false">IF(K581="","",IF(ISNUMBER(--L581),TEXT(--L581,"000000000000.000"),LOWER(L581)))</f>
        <v/>
      </c>
      <c r="U581" s="0" t="str">
        <f aca="false">IF(K581="","",IF(ISNUMBER(--M581),TEXT(--M581,"000000000000.000"),LOWER(M581)))</f>
        <v/>
      </c>
      <c r="V581" s="0" t="str">
        <f aca="false">IF(K581="","",LOWER(N581))</f>
        <v/>
      </c>
      <c r="W581" s="0" t="str">
        <f aca="false">IF(K581="","",G81)</f>
        <v/>
      </c>
      <c r="X581" s="0" t="str">
        <f aca="false">IF(K581="","",1+SUMPRODUCT(($K$2:$K$1001&lt;&gt;"")*(($T$2:$T$1001&lt;T581)+($T$2:$T$1001=T581)*(($U$2:$U$1001&lt;U581)+($U$2:$U$1001=U581)*(($V$2:$V$1001&lt;V581)+($V$2:$V$1001=V581)*(($W$2:$W$1001&lt;W581)+($W$2:$W$1001=W581)*(ROW($K$2:$K$1001)&lt;ROW(K581))))))))</f>
        <v/>
      </c>
    </row>
    <row r="582" customFormat="false" ht="15" hidden="false" customHeight="false" outlineLevel="0" collapsed="false">
      <c r="K582" s="0" t="str">
        <f aca="false">IF(H82="","",IF(SUMPRODUCT(--($C$2:$C$501=H82))&gt;0,"",H82))</f>
        <v/>
      </c>
      <c r="L582" s="0" t="str">
        <f aca="false">IF(K582="","",IF(ISNUMBER('List 2'!A82),'List 2'!A82,TRIM('List 2'!A82)))</f>
        <v/>
      </c>
      <c r="M582" s="0" t="str">
        <f aca="false">IF(K582="","",IF(ISNUMBER('List 2'!C82),'List 2'!C82,TRIM('List 2'!C82)))</f>
        <v/>
      </c>
      <c r="N582" s="0" t="str">
        <f aca="false">IF(K582="","",IF(ISNUMBER('List 2'!D82),'List 2'!D82,TRIM('List 2'!D82)))</f>
        <v/>
      </c>
      <c r="O582" s="0" t="str">
        <f aca="false">IF(K582="","",0)</f>
        <v/>
      </c>
      <c r="P582" s="0" t="str">
        <f aca="false">IF(K582="","",I82)</f>
        <v/>
      </c>
      <c r="Q582" s="0" t="str">
        <f aca="false">IF(K582="","",FALSE())</f>
        <v/>
      </c>
      <c r="R582" s="0" t="str">
        <f aca="false">IF(K582="","",TRUE())</f>
        <v/>
      </c>
      <c r="S582" s="0" t="str">
        <f aca="false">IF(K582="","",IF(AND(Q582,R582),IF(O582=P582,"Match","Qty Different"),IF(Q582,"Only in List 1","Only in List 2")))</f>
        <v/>
      </c>
      <c r="T582" s="0" t="str">
        <f aca="false">IF(K582="","",IF(ISNUMBER(--L582),TEXT(--L582,"000000000000.000"),LOWER(L582)))</f>
        <v/>
      </c>
      <c r="U582" s="0" t="str">
        <f aca="false">IF(K582="","",IF(ISNUMBER(--M582),TEXT(--M582,"000000000000.000"),LOWER(M582)))</f>
        <v/>
      </c>
      <c r="V582" s="0" t="str">
        <f aca="false">IF(K582="","",LOWER(N582))</f>
        <v/>
      </c>
      <c r="W582" s="0" t="str">
        <f aca="false">IF(K582="","",G82)</f>
        <v/>
      </c>
      <c r="X582" s="0" t="str">
        <f aca="false">IF(K582="","",1+SUMPRODUCT(($K$2:$K$1001&lt;&gt;"")*(($T$2:$T$1001&lt;T582)+($T$2:$T$1001=T582)*(($U$2:$U$1001&lt;U582)+($U$2:$U$1001=U582)*(($V$2:$V$1001&lt;V582)+($V$2:$V$1001=V582)*(($W$2:$W$1001&lt;W582)+($W$2:$W$1001=W582)*(ROW($K$2:$K$1001)&lt;ROW(K582))))))))</f>
        <v/>
      </c>
    </row>
    <row r="583" customFormat="false" ht="15" hidden="false" customHeight="false" outlineLevel="0" collapsed="false">
      <c r="K583" s="0" t="str">
        <f aca="false">IF(H83="","",IF(SUMPRODUCT(--($C$2:$C$501=H83))&gt;0,"",H83))</f>
        <v/>
      </c>
      <c r="L583" s="0" t="str">
        <f aca="false">IF(K583="","",IF(ISNUMBER('List 2'!A83),'List 2'!A83,TRIM('List 2'!A83)))</f>
        <v/>
      </c>
      <c r="M583" s="0" t="str">
        <f aca="false">IF(K583="","",IF(ISNUMBER('List 2'!C83),'List 2'!C83,TRIM('List 2'!C83)))</f>
        <v/>
      </c>
      <c r="N583" s="0" t="str">
        <f aca="false">IF(K583="","",IF(ISNUMBER('List 2'!D83),'List 2'!D83,TRIM('List 2'!D83)))</f>
        <v/>
      </c>
      <c r="O583" s="0" t="str">
        <f aca="false">IF(K583="","",0)</f>
        <v/>
      </c>
      <c r="P583" s="0" t="str">
        <f aca="false">IF(K583="","",I83)</f>
        <v/>
      </c>
      <c r="Q583" s="0" t="str">
        <f aca="false">IF(K583="","",FALSE())</f>
        <v/>
      </c>
      <c r="R583" s="0" t="str">
        <f aca="false">IF(K583="","",TRUE())</f>
        <v/>
      </c>
      <c r="S583" s="0" t="str">
        <f aca="false">IF(K583="","",IF(AND(Q583,R583),IF(O583=P583,"Match","Qty Different"),IF(Q583,"Only in List 1","Only in List 2")))</f>
        <v/>
      </c>
      <c r="T583" s="0" t="str">
        <f aca="false">IF(K583="","",IF(ISNUMBER(--L583),TEXT(--L583,"000000000000.000"),LOWER(L583)))</f>
        <v/>
      </c>
      <c r="U583" s="0" t="str">
        <f aca="false">IF(K583="","",IF(ISNUMBER(--M583),TEXT(--M583,"000000000000.000"),LOWER(M583)))</f>
        <v/>
      </c>
      <c r="V583" s="0" t="str">
        <f aca="false">IF(K583="","",LOWER(N583))</f>
        <v/>
      </c>
      <c r="W583" s="0" t="str">
        <f aca="false">IF(K583="","",G83)</f>
        <v/>
      </c>
      <c r="X583" s="0" t="str">
        <f aca="false">IF(K583="","",1+SUMPRODUCT(($K$2:$K$1001&lt;&gt;"")*(($T$2:$T$1001&lt;T583)+($T$2:$T$1001=T583)*(($U$2:$U$1001&lt;U583)+($U$2:$U$1001=U583)*(($V$2:$V$1001&lt;V583)+($V$2:$V$1001=V583)*(($W$2:$W$1001&lt;W583)+($W$2:$W$1001=W583)*(ROW($K$2:$K$1001)&lt;ROW(K583))))))))</f>
        <v/>
      </c>
    </row>
    <row r="584" customFormat="false" ht="15" hidden="false" customHeight="false" outlineLevel="0" collapsed="false">
      <c r="K584" s="0" t="str">
        <f aca="false">IF(H84="","",IF(SUMPRODUCT(--($C$2:$C$501=H84))&gt;0,"",H84))</f>
        <v/>
      </c>
      <c r="L584" s="0" t="str">
        <f aca="false">IF(K584="","",IF(ISNUMBER('List 2'!A84),'List 2'!A84,TRIM('List 2'!A84)))</f>
        <v/>
      </c>
      <c r="M584" s="0" t="str">
        <f aca="false">IF(K584="","",IF(ISNUMBER('List 2'!C84),'List 2'!C84,TRIM('List 2'!C84)))</f>
        <v/>
      </c>
      <c r="N584" s="0" t="str">
        <f aca="false">IF(K584="","",IF(ISNUMBER('List 2'!D84),'List 2'!D84,TRIM('List 2'!D84)))</f>
        <v/>
      </c>
      <c r="O584" s="0" t="str">
        <f aca="false">IF(K584="","",0)</f>
        <v/>
      </c>
      <c r="P584" s="0" t="str">
        <f aca="false">IF(K584="","",I84)</f>
        <v/>
      </c>
      <c r="Q584" s="0" t="str">
        <f aca="false">IF(K584="","",FALSE())</f>
        <v/>
      </c>
      <c r="R584" s="0" t="str">
        <f aca="false">IF(K584="","",TRUE())</f>
        <v/>
      </c>
      <c r="S584" s="0" t="str">
        <f aca="false">IF(K584="","",IF(AND(Q584,R584),IF(O584=P584,"Match","Qty Different"),IF(Q584,"Only in List 1","Only in List 2")))</f>
        <v/>
      </c>
      <c r="T584" s="0" t="str">
        <f aca="false">IF(K584="","",IF(ISNUMBER(--L584),TEXT(--L584,"000000000000.000"),LOWER(L584)))</f>
        <v/>
      </c>
      <c r="U584" s="0" t="str">
        <f aca="false">IF(K584="","",IF(ISNUMBER(--M584),TEXT(--M584,"000000000000.000"),LOWER(M584)))</f>
        <v/>
      </c>
      <c r="V584" s="0" t="str">
        <f aca="false">IF(K584="","",LOWER(N584))</f>
        <v/>
      </c>
      <c r="W584" s="0" t="str">
        <f aca="false">IF(K584="","",G84)</f>
        <v/>
      </c>
      <c r="X584" s="0" t="str">
        <f aca="false">IF(K584="","",1+SUMPRODUCT(($K$2:$K$1001&lt;&gt;"")*(($T$2:$T$1001&lt;T584)+($T$2:$T$1001=T584)*(($U$2:$U$1001&lt;U584)+($U$2:$U$1001=U584)*(($V$2:$V$1001&lt;V584)+($V$2:$V$1001=V584)*(($W$2:$W$1001&lt;W584)+($W$2:$W$1001=W584)*(ROW($K$2:$K$1001)&lt;ROW(K584))))))))</f>
        <v/>
      </c>
    </row>
    <row r="585" customFormat="false" ht="15" hidden="false" customHeight="false" outlineLevel="0" collapsed="false">
      <c r="K585" s="0" t="str">
        <f aca="false">IF(H85="","",IF(SUMPRODUCT(--($C$2:$C$501=H85))&gt;0,"",H85))</f>
        <v/>
      </c>
      <c r="L585" s="0" t="str">
        <f aca="false">IF(K585="","",IF(ISNUMBER('List 2'!A85),'List 2'!A85,TRIM('List 2'!A85)))</f>
        <v/>
      </c>
      <c r="M585" s="0" t="str">
        <f aca="false">IF(K585="","",IF(ISNUMBER('List 2'!C85),'List 2'!C85,TRIM('List 2'!C85)))</f>
        <v/>
      </c>
      <c r="N585" s="0" t="str">
        <f aca="false">IF(K585="","",IF(ISNUMBER('List 2'!D85),'List 2'!D85,TRIM('List 2'!D85)))</f>
        <v/>
      </c>
      <c r="O585" s="0" t="str">
        <f aca="false">IF(K585="","",0)</f>
        <v/>
      </c>
      <c r="P585" s="0" t="str">
        <f aca="false">IF(K585="","",I85)</f>
        <v/>
      </c>
      <c r="Q585" s="0" t="str">
        <f aca="false">IF(K585="","",FALSE())</f>
        <v/>
      </c>
      <c r="R585" s="0" t="str">
        <f aca="false">IF(K585="","",TRUE())</f>
        <v/>
      </c>
      <c r="S585" s="0" t="str">
        <f aca="false">IF(K585="","",IF(AND(Q585,R585),IF(O585=P585,"Match","Qty Different"),IF(Q585,"Only in List 1","Only in List 2")))</f>
        <v/>
      </c>
      <c r="T585" s="0" t="str">
        <f aca="false">IF(K585="","",IF(ISNUMBER(--L585),TEXT(--L585,"000000000000.000"),LOWER(L585)))</f>
        <v/>
      </c>
      <c r="U585" s="0" t="str">
        <f aca="false">IF(K585="","",IF(ISNUMBER(--M585),TEXT(--M585,"000000000000.000"),LOWER(M585)))</f>
        <v/>
      </c>
      <c r="V585" s="0" t="str">
        <f aca="false">IF(K585="","",LOWER(N585))</f>
        <v/>
      </c>
      <c r="W585" s="0" t="str">
        <f aca="false">IF(K585="","",G85)</f>
        <v/>
      </c>
      <c r="X585" s="0" t="str">
        <f aca="false">IF(K585="","",1+SUMPRODUCT(($K$2:$K$1001&lt;&gt;"")*(($T$2:$T$1001&lt;T585)+($T$2:$T$1001=T585)*(($U$2:$U$1001&lt;U585)+($U$2:$U$1001=U585)*(($V$2:$V$1001&lt;V585)+($V$2:$V$1001=V585)*(($W$2:$W$1001&lt;W585)+($W$2:$W$1001=W585)*(ROW($K$2:$K$1001)&lt;ROW(K585))))))))</f>
        <v/>
      </c>
    </row>
    <row r="586" customFormat="false" ht="15" hidden="false" customHeight="false" outlineLevel="0" collapsed="false">
      <c r="K586" s="0" t="str">
        <f aca="false">IF(H86="","",IF(SUMPRODUCT(--($C$2:$C$501=H86))&gt;0,"",H86))</f>
        <v/>
      </c>
      <c r="L586" s="0" t="str">
        <f aca="false">IF(K586="","",IF(ISNUMBER('List 2'!A86),'List 2'!A86,TRIM('List 2'!A86)))</f>
        <v/>
      </c>
      <c r="M586" s="0" t="str">
        <f aca="false">IF(K586="","",IF(ISNUMBER('List 2'!C86),'List 2'!C86,TRIM('List 2'!C86)))</f>
        <v/>
      </c>
      <c r="N586" s="0" t="str">
        <f aca="false">IF(K586="","",IF(ISNUMBER('List 2'!D86),'List 2'!D86,TRIM('List 2'!D86)))</f>
        <v/>
      </c>
      <c r="O586" s="0" t="str">
        <f aca="false">IF(K586="","",0)</f>
        <v/>
      </c>
      <c r="P586" s="0" t="str">
        <f aca="false">IF(K586="","",I86)</f>
        <v/>
      </c>
      <c r="Q586" s="0" t="str">
        <f aca="false">IF(K586="","",FALSE())</f>
        <v/>
      </c>
      <c r="R586" s="0" t="str">
        <f aca="false">IF(K586="","",TRUE())</f>
        <v/>
      </c>
      <c r="S586" s="0" t="str">
        <f aca="false">IF(K586="","",IF(AND(Q586,R586),IF(O586=P586,"Match","Qty Different"),IF(Q586,"Only in List 1","Only in List 2")))</f>
        <v/>
      </c>
      <c r="T586" s="0" t="str">
        <f aca="false">IF(K586="","",IF(ISNUMBER(--L586),TEXT(--L586,"000000000000.000"),LOWER(L586)))</f>
        <v/>
      </c>
      <c r="U586" s="0" t="str">
        <f aca="false">IF(K586="","",IF(ISNUMBER(--M586),TEXT(--M586,"000000000000.000"),LOWER(M586)))</f>
        <v/>
      </c>
      <c r="V586" s="0" t="str">
        <f aca="false">IF(K586="","",LOWER(N586))</f>
        <v/>
      </c>
      <c r="W586" s="0" t="str">
        <f aca="false">IF(K586="","",G86)</f>
        <v/>
      </c>
      <c r="X586" s="0" t="str">
        <f aca="false">IF(K586="","",1+SUMPRODUCT(($K$2:$K$1001&lt;&gt;"")*(($T$2:$T$1001&lt;T586)+($T$2:$T$1001=T586)*(($U$2:$U$1001&lt;U586)+($U$2:$U$1001=U586)*(($V$2:$V$1001&lt;V586)+($V$2:$V$1001=V586)*(($W$2:$W$1001&lt;W586)+($W$2:$W$1001=W586)*(ROW($K$2:$K$1001)&lt;ROW(K586))))))))</f>
        <v/>
      </c>
    </row>
    <row r="587" customFormat="false" ht="15" hidden="false" customHeight="false" outlineLevel="0" collapsed="false">
      <c r="K587" s="0" t="str">
        <f aca="false">IF(H87="","",IF(SUMPRODUCT(--($C$2:$C$501=H87))&gt;0,"",H87))</f>
        <v/>
      </c>
      <c r="L587" s="0" t="str">
        <f aca="false">IF(K587="","",IF(ISNUMBER('List 2'!A87),'List 2'!A87,TRIM('List 2'!A87)))</f>
        <v/>
      </c>
      <c r="M587" s="0" t="str">
        <f aca="false">IF(K587="","",IF(ISNUMBER('List 2'!C87),'List 2'!C87,TRIM('List 2'!C87)))</f>
        <v/>
      </c>
      <c r="N587" s="0" t="str">
        <f aca="false">IF(K587="","",IF(ISNUMBER('List 2'!D87),'List 2'!D87,TRIM('List 2'!D87)))</f>
        <v/>
      </c>
      <c r="O587" s="0" t="str">
        <f aca="false">IF(K587="","",0)</f>
        <v/>
      </c>
      <c r="P587" s="0" t="str">
        <f aca="false">IF(K587="","",I87)</f>
        <v/>
      </c>
      <c r="Q587" s="0" t="str">
        <f aca="false">IF(K587="","",FALSE())</f>
        <v/>
      </c>
      <c r="R587" s="0" t="str">
        <f aca="false">IF(K587="","",TRUE())</f>
        <v/>
      </c>
      <c r="S587" s="0" t="str">
        <f aca="false">IF(K587="","",IF(AND(Q587,R587),IF(O587=P587,"Match","Qty Different"),IF(Q587,"Only in List 1","Only in List 2")))</f>
        <v/>
      </c>
      <c r="T587" s="0" t="str">
        <f aca="false">IF(K587="","",IF(ISNUMBER(--L587),TEXT(--L587,"000000000000.000"),LOWER(L587)))</f>
        <v/>
      </c>
      <c r="U587" s="0" t="str">
        <f aca="false">IF(K587="","",IF(ISNUMBER(--M587),TEXT(--M587,"000000000000.000"),LOWER(M587)))</f>
        <v/>
      </c>
      <c r="V587" s="0" t="str">
        <f aca="false">IF(K587="","",LOWER(N587))</f>
        <v/>
      </c>
      <c r="W587" s="0" t="str">
        <f aca="false">IF(K587="","",G87)</f>
        <v/>
      </c>
      <c r="X587" s="0" t="str">
        <f aca="false">IF(K587="","",1+SUMPRODUCT(($K$2:$K$1001&lt;&gt;"")*(($T$2:$T$1001&lt;T587)+($T$2:$T$1001=T587)*(($U$2:$U$1001&lt;U587)+($U$2:$U$1001=U587)*(($V$2:$V$1001&lt;V587)+($V$2:$V$1001=V587)*(($W$2:$W$1001&lt;W587)+($W$2:$W$1001=W587)*(ROW($K$2:$K$1001)&lt;ROW(K587))))))))</f>
        <v/>
      </c>
    </row>
    <row r="588" customFormat="false" ht="15" hidden="false" customHeight="false" outlineLevel="0" collapsed="false">
      <c r="K588" s="0" t="str">
        <f aca="false">IF(H88="","",IF(SUMPRODUCT(--($C$2:$C$501=H88))&gt;0,"",H88))</f>
        <v/>
      </c>
      <c r="L588" s="0" t="str">
        <f aca="false">IF(K588="","",IF(ISNUMBER('List 2'!A88),'List 2'!A88,TRIM('List 2'!A88)))</f>
        <v/>
      </c>
      <c r="M588" s="0" t="str">
        <f aca="false">IF(K588="","",IF(ISNUMBER('List 2'!C88),'List 2'!C88,TRIM('List 2'!C88)))</f>
        <v/>
      </c>
      <c r="N588" s="0" t="str">
        <f aca="false">IF(K588="","",IF(ISNUMBER('List 2'!D88),'List 2'!D88,TRIM('List 2'!D88)))</f>
        <v/>
      </c>
      <c r="O588" s="0" t="str">
        <f aca="false">IF(K588="","",0)</f>
        <v/>
      </c>
      <c r="P588" s="0" t="str">
        <f aca="false">IF(K588="","",I88)</f>
        <v/>
      </c>
      <c r="Q588" s="0" t="str">
        <f aca="false">IF(K588="","",FALSE())</f>
        <v/>
      </c>
      <c r="R588" s="0" t="str">
        <f aca="false">IF(K588="","",TRUE())</f>
        <v/>
      </c>
      <c r="S588" s="0" t="str">
        <f aca="false">IF(K588="","",IF(AND(Q588,R588),IF(O588=P588,"Match","Qty Different"),IF(Q588,"Only in List 1","Only in List 2")))</f>
        <v/>
      </c>
      <c r="T588" s="0" t="str">
        <f aca="false">IF(K588="","",IF(ISNUMBER(--L588),TEXT(--L588,"000000000000.000"),LOWER(L588)))</f>
        <v/>
      </c>
      <c r="U588" s="0" t="str">
        <f aca="false">IF(K588="","",IF(ISNUMBER(--M588),TEXT(--M588,"000000000000.000"),LOWER(M588)))</f>
        <v/>
      </c>
      <c r="V588" s="0" t="str">
        <f aca="false">IF(K588="","",LOWER(N588))</f>
        <v/>
      </c>
      <c r="W588" s="0" t="str">
        <f aca="false">IF(K588="","",G88)</f>
        <v/>
      </c>
      <c r="X588" s="0" t="str">
        <f aca="false">IF(K588="","",1+SUMPRODUCT(($K$2:$K$1001&lt;&gt;"")*(($T$2:$T$1001&lt;T588)+($T$2:$T$1001=T588)*(($U$2:$U$1001&lt;U588)+($U$2:$U$1001=U588)*(($V$2:$V$1001&lt;V588)+($V$2:$V$1001=V588)*(($W$2:$W$1001&lt;W588)+($W$2:$W$1001=W588)*(ROW($K$2:$K$1001)&lt;ROW(K588))))))))</f>
        <v/>
      </c>
    </row>
    <row r="589" customFormat="false" ht="15" hidden="false" customHeight="false" outlineLevel="0" collapsed="false">
      <c r="K589" s="0" t="str">
        <f aca="false">IF(H89="","",IF(SUMPRODUCT(--($C$2:$C$501=H89))&gt;0,"",H89))</f>
        <v/>
      </c>
      <c r="L589" s="0" t="str">
        <f aca="false">IF(K589="","",IF(ISNUMBER('List 2'!A89),'List 2'!A89,TRIM('List 2'!A89)))</f>
        <v/>
      </c>
      <c r="M589" s="0" t="str">
        <f aca="false">IF(K589="","",IF(ISNUMBER('List 2'!C89),'List 2'!C89,TRIM('List 2'!C89)))</f>
        <v/>
      </c>
      <c r="N589" s="0" t="str">
        <f aca="false">IF(K589="","",IF(ISNUMBER('List 2'!D89),'List 2'!D89,TRIM('List 2'!D89)))</f>
        <v/>
      </c>
      <c r="O589" s="0" t="str">
        <f aca="false">IF(K589="","",0)</f>
        <v/>
      </c>
      <c r="P589" s="0" t="str">
        <f aca="false">IF(K589="","",I89)</f>
        <v/>
      </c>
      <c r="Q589" s="0" t="str">
        <f aca="false">IF(K589="","",FALSE())</f>
        <v/>
      </c>
      <c r="R589" s="0" t="str">
        <f aca="false">IF(K589="","",TRUE())</f>
        <v/>
      </c>
      <c r="S589" s="0" t="str">
        <f aca="false">IF(K589="","",IF(AND(Q589,R589),IF(O589=P589,"Match","Qty Different"),IF(Q589,"Only in List 1","Only in List 2")))</f>
        <v/>
      </c>
      <c r="T589" s="0" t="str">
        <f aca="false">IF(K589="","",IF(ISNUMBER(--L589),TEXT(--L589,"000000000000.000"),LOWER(L589)))</f>
        <v/>
      </c>
      <c r="U589" s="0" t="str">
        <f aca="false">IF(K589="","",IF(ISNUMBER(--M589),TEXT(--M589,"000000000000.000"),LOWER(M589)))</f>
        <v/>
      </c>
      <c r="V589" s="0" t="str">
        <f aca="false">IF(K589="","",LOWER(N589))</f>
        <v/>
      </c>
      <c r="W589" s="0" t="str">
        <f aca="false">IF(K589="","",G89)</f>
        <v/>
      </c>
      <c r="X589" s="0" t="str">
        <f aca="false">IF(K589="","",1+SUMPRODUCT(($K$2:$K$1001&lt;&gt;"")*(($T$2:$T$1001&lt;T589)+($T$2:$T$1001=T589)*(($U$2:$U$1001&lt;U589)+($U$2:$U$1001=U589)*(($V$2:$V$1001&lt;V589)+($V$2:$V$1001=V589)*(($W$2:$W$1001&lt;W589)+($W$2:$W$1001=W589)*(ROW($K$2:$K$1001)&lt;ROW(K589))))))))</f>
        <v/>
      </c>
    </row>
    <row r="590" customFormat="false" ht="15" hidden="false" customHeight="false" outlineLevel="0" collapsed="false">
      <c r="K590" s="0" t="str">
        <f aca="false">IF(H90="","",IF(SUMPRODUCT(--($C$2:$C$501=H90))&gt;0,"",H90))</f>
        <v/>
      </c>
      <c r="L590" s="0" t="str">
        <f aca="false">IF(K590="","",IF(ISNUMBER('List 2'!A90),'List 2'!A90,TRIM('List 2'!A90)))</f>
        <v/>
      </c>
      <c r="M590" s="0" t="str">
        <f aca="false">IF(K590="","",IF(ISNUMBER('List 2'!C90),'List 2'!C90,TRIM('List 2'!C90)))</f>
        <v/>
      </c>
      <c r="N590" s="0" t="str">
        <f aca="false">IF(K590="","",IF(ISNUMBER('List 2'!D90),'List 2'!D90,TRIM('List 2'!D90)))</f>
        <v/>
      </c>
      <c r="O590" s="0" t="str">
        <f aca="false">IF(K590="","",0)</f>
        <v/>
      </c>
      <c r="P590" s="0" t="str">
        <f aca="false">IF(K590="","",I90)</f>
        <v/>
      </c>
      <c r="Q590" s="0" t="str">
        <f aca="false">IF(K590="","",FALSE())</f>
        <v/>
      </c>
      <c r="R590" s="0" t="str">
        <f aca="false">IF(K590="","",TRUE())</f>
        <v/>
      </c>
      <c r="S590" s="0" t="str">
        <f aca="false">IF(K590="","",IF(AND(Q590,R590),IF(O590=P590,"Match","Qty Different"),IF(Q590,"Only in List 1","Only in List 2")))</f>
        <v/>
      </c>
      <c r="T590" s="0" t="str">
        <f aca="false">IF(K590="","",IF(ISNUMBER(--L590),TEXT(--L590,"000000000000.000"),LOWER(L590)))</f>
        <v/>
      </c>
      <c r="U590" s="0" t="str">
        <f aca="false">IF(K590="","",IF(ISNUMBER(--M590),TEXT(--M590,"000000000000.000"),LOWER(M590)))</f>
        <v/>
      </c>
      <c r="V590" s="0" t="str">
        <f aca="false">IF(K590="","",LOWER(N590))</f>
        <v/>
      </c>
      <c r="W590" s="0" t="str">
        <f aca="false">IF(K590="","",G90)</f>
        <v/>
      </c>
      <c r="X590" s="0" t="str">
        <f aca="false">IF(K590="","",1+SUMPRODUCT(($K$2:$K$1001&lt;&gt;"")*(($T$2:$T$1001&lt;T590)+($T$2:$T$1001=T590)*(($U$2:$U$1001&lt;U590)+($U$2:$U$1001=U590)*(($V$2:$V$1001&lt;V590)+($V$2:$V$1001=V590)*(($W$2:$W$1001&lt;W590)+($W$2:$W$1001=W590)*(ROW($K$2:$K$1001)&lt;ROW(K590))))))))</f>
        <v/>
      </c>
    </row>
    <row r="591" customFormat="false" ht="15" hidden="false" customHeight="false" outlineLevel="0" collapsed="false">
      <c r="K591" s="0" t="str">
        <f aca="false">IF(H91="","",IF(SUMPRODUCT(--($C$2:$C$501=H91))&gt;0,"",H91))</f>
        <v/>
      </c>
      <c r="L591" s="0" t="str">
        <f aca="false">IF(K591="","",IF(ISNUMBER('List 2'!A91),'List 2'!A91,TRIM('List 2'!A91)))</f>
        <v/>
      </c>
      <c r="M591" s="0" t="str">
        <f aca="false">IF(K591="","",IF(ISNUMBER('List 2'!C91),'List 2'!C91,TRIM('List 2'!C91)))</f>
        <v/>
      </c>
      <c r="N591" s="0" t="str">
        <f aca="false">IF(K591="","",IF(ISNUMBER('List 2'!D91),'List 2'!D91,TRIM('List 2'!D91)))</f>
        <v/>
      </c>
      <c r="O591" s="0" t="str">
        <f aca="false">IF(K591="","",0)</f>
        <v/>
      </c>
      <c r="P591" s="0" t="str">
        <f aca="false">IF(K591="","",I91)</f>
        <v/>
      </c>
      <c r="Q591" s="0" t="str">
        <f aca="false">IF(K591="","",FALSE())</f>
        <v/>
      </c>
      <c r="R591" s="0" t="str">
        <f aca="false">IF(K591="","",TRUE())</f>
        <v/>
      </c>
      <c r="S591" s="0" t="str">
        <f aca="false">IF(K591="","",IF(AND(Q591,R591),IF(O591=P591,"Match","Qty Different"),IF(Q591,"Only in List 1","Only in List 2")))</f>
        <v/>
      </c>
      <c r="T591" s="0" t="str">
        <f aca="false">IF(K591="","",IF(ISNUMBER(--L591),TEXT(--L591,"000000000000.000"),LOWER(L591)))</f>
        <v/>
      </c>
      <c r="U591" s="0" t="str">
        <f aca="false">IF(K591="","",IF(ISNUMBER(--M591),TEXT(--M591,"000000000000.000"),LOWER(M591)))</f>
        <v/>
      </c>
      <c r="V591" s="0" t="str">
        <f aca="false">IF(K591="","",LOWER(N591))</f>
        <v/>
      </c>
      <c r="W591" s="0" t="str">
        <f aca="false">IF(K591="","",G91)</f>
        <v/>
      </c>
      <c r="X591" s="0" t="str">
        <f aca="false">IF(K591="","",1+SUMPRODUCT(($K$2:$K$1001&lt;&gt;"")*(($T$2:$T$1001&lt;T591)+($T$2:$T$1001=T591)*(($U$2:$U$1001&lt;U591)+($U$2:$U$1001=U591)*(($V$2:$V$1001&lt;V591)+($V$2:$V$1001=V591)*(($W$2:$W$1001&lt;W591)+($W$2:$W$1001=W591)*(ROW($K$2:$K$1001)&lt;ROW(K591))))))))</f>
        <v/>
      </c>
    </row>
    <row r="592" customFormat="false" ht="15" hidden="false" customHeight="false" outlineLevel="0" collapsed="false">
      <c r="K592" s="0" t="str">
        <f aca="false">IF(H92="","",IF(SUMPRODUCT(--($C$2:$C$501=H92))&gt;0,"",H92))</f>
        <v/>
      </c>
      <c r="L592" s="0" t="str">
        <f aca="false">IF(K592="","",IF(ISNUMBER('List 2'!A92),'List 2'!A92,TRIM('List 2'!A92)))</f>
        <v/>
      </c>
      <c r="M592" s="0" t="str">
        <f aca="false">IF(K592="","",IF(ISNUMBER('List 2'!C92),'List 2'!C92,TRIM('List 2'!C92)))</f>
        <v/>
      </c>
      <c r="N592" s="0" t="str">
        <f aca="false">IF(K592="","",IF(ISNUMBER('List 2'!D92),'List 2'!D92,TRIM('List 2'!D92)))</f>
        <v/>
      </c>
      <c r="O592" s="0" t="str">
        <f aca="false">IF(K592="","",0)</f>
        <v/>
      </c>
      <c r="P592" s="0" t="str">
        <f aca="false">IF(K592="","",I92)</f>
        <v/>
      </c>
      <c r="Q592" s="0" t="str">
        <f aca="false">IF(K592="","",FALSE())</f>
        <v/>
      </c>
      <c r="R592" s="0" t="str">
        <f aca="false">IF(K592="","",TRUE())</f>
        <v/>
      </c>
      <c r="S592" s="0" t="str">
        <f aca="false">IF(K592="","",IF(AND(Q592,R592),IF(O592=P592,"Match","Qty Different"),IF(Q592,"Only in List 1","Only in List 2")))</f>
        <v/>
      </c>
      <c r="T592" s="0" t="str">
        <f aca="false">IF(K592="","",IF(ISNUMBER(--L592),TEXT(--L592,"000000000000.000"),LOWER(L592)))</f>
        <v/>
      </c>
      <c r="U592" s="0" t="str">
        <f aca="false">IF(K592="","",IF(ISNUMBER(--M592),TEXT(--M592,"000000000000.000"),LOWER(M592)))</f>
        <v/>
      </c>
      <c r="V592" s="0" t="str">
        <f aca="false">IF(K592="","",LOWER(N592))</f>
        <v/>
      </c>
      <c r="W592" s="0" t="str">
        <f aca="false">IF(K592="","",G92)</f>
        <v/>
      </c>
      <c r="X592" s="0" t="str">
        <f aca="false">IF(K592="","",1+SUMPRODUCT(($K$2:$K$1001&lt;&gt;"")*(($T$2:$T$1001&lt;T592)+($T$2:$T$1001=T592)*(($U$2:$U$1001&lt;U592)+($U$2:$U$1001=U592)*(($V$2:$V$1001&lt;V592)+($V$2:$V$1001=V592)*(($W$2:$W$1001&lt;W592)+($W$2:$W$1001=W592)*(ROW($K$2:$K$1001)&lt;ROW(K592))))))))</f>
        <v/>
      </c>
    </row>
    <row r="593" customFormat="false" ht="15" hidden="false" customHeight="false" outlineLevel="0" collapsed="false">
      <c r="K593" s="0" t="str">
        <f aca="false">IF(H93="","",IF(SUMPRODUCT(--($C$2:$C$501=H93))&gt;0,"",H93))</f>
        <v/>
      </c>
      <c r="L593" s="0" t="str">
        <f aca="false">IF(K593="","",IF(ISNUMBER('List 2'!A93),'List 2'!A93,TRIM('List 2'!A93)))</f>
        <v/>
      </c>
      <c r="M593" s="0" t="str">
        <f aca="false">IF(K593="","",IF(ISNUMBER('List 2'!C93),'List 2'!C93,TRIM('List 2'!C93)))</f>
        <v/>
      </c>
      <c r="N593" s="0" t="str">
        <f aca="false">IF(K593="","",IF(ISNUMBER('List 2'!D93),'List 2'!D93,TRIM('List 2'!D93)))</f>
        <v/>
      </c>
      <c r="O593" s="0" t="str">
        <f aca="false">IF(K593="","",0)</f>
        <v/>
      </c>
      <c r="P593" s="0" t="str">
        <f aca="false">IF(K593="","",I93)</f>
        <v/>
      </c>
      <c r="Q593" s="0" t="str">
        <f aca="false">IF(K593="","",FALSE())</f>
        <v/>
      </c>
      <c r="R593" s="0" t="str">
        <f aca="false">IF(K593="","",TRUE())</f>
        <v/>
      </c>
      <c r="S593" s="0" t="str">
        <f aca="false">IF(K593="","",IF(AND(Q593,R593),IF(O593=P593,"Match","Qty Different"),IF(Q593,"Only in List 1","Only in List 2")))</f>
        <v/>
      </c>
      <c r="T593" s="0" t="str">
        <f aca="false">IF(K593="","",IF(ISNUMBER(--L593),TEXT(--L593,"000000000000.000"),LOWER(L593)))</f>
        <v/>
      </c>
      <c r="U593" s="0" t="str">
        <f aca="false">IF(K593="","",IF(ISNUMBER(--M593),TEXT(--M593,"000000000000.000"),LOWER(M593)))</f>
        <v/>
      </c>
      <c r="V593" s="0" t="str">
        <f aca="false">IF(K593="","",LOWER(N593))</f>
        <v/>
      </c>
      <c r="W593" s="0" t="str">
        <f aca="false">IF(K593="","",G93)</f>
        <v/>
      </c>
      <c r="X593" s="0" t="str">
        <f aca="false">IF(K593="","",1+SUMPRODUCT(($K$2:$K$1001&lt;&gt;"")*(($T$2:$T$1001&lt;T593)+($T$2:$T$1001=T593)*(($U$2:$U$1001&lt;U593)+($U$2:$U$1001=U593)*(($V$2:$V$1001&lt;V593)+($V$2:$V$1001=V593)*(($W$2:$W$1001&lt;W593)+($W$2:$W$1001=W593)*(ROW($K$2:$K$1001)&lt;ROW(K593))))))))</f>
        <v/>
      </c>
    </row>
    <row r="594" customFormat="false" ht="15" hidden="false" customHeight="false" outlineLevel="0" collapsed="false">
      <c r="K594" s="0" t="str">
        <f aca="false">IF(H94="","",IF(SUMPRODUCT(--($C$2:$C$501=H94))&gt;0,"",H94))</f>
        <v/>
      </c>
      <c r="L594" s="0" t="str">
        <f aca="false">IF(K594="","",IF(ISNUMBER('List 2'!A94),'List 2'!A94,TRIM('List 2'!A94)))</f>
        <v/>
      </c>
      <c r="M594" s="0" t="str">
        <f aca="false">IF(K594="","",IF(ISNUMBER('List 2'!C94),'List 2'!C94,TRIM('List 2'!C94)))</f>
        <v/>
      </c>
      <c r="N594" s="0" t="str">
        <f aca="false">IF(K594="","",IF(ISNUMBER('List 2'!D94),'List 2'!D94,TRIM('List 2'!D94)))</f>
        <v/>
      </c>
      <c r="O594" s="0" t="str">
        <f aca="false">IF(K594="","",0)</f>
        <v/>
      </c>
      <c r="P594" s="0" t="str">
        <f aca="false">IF(K594="","",I94)</f>
        <v/>
      </c>
      <c r="Q594" s="0" t="str">
        <f aca="false">IF(K594="","",FALSE())</f>
        <v/>
      </c>
      <c r="R594" s="0" t="str">
        <f aca="false">IF(K594="","",TRUE())</f>
        <v/>
      </c>
      <c r="S594" s="0" t="str">
        <f aca="false">IF(K594="","",IF(AND(Q594,R594),IF(O594=P594,"Match","Qty Different"),IF(Q594,"Only in List 1","Only in List 2")))</f>
        <v/>
      </c>
      <c r="T594" s="0" t="str">
        <f aca="false">IF(K594="","",IF(ISNUMBER(--L594),TEXT(--L594,"000000000000.000"),LOWER(L594)))</f>
        <v/>
      </c>
      <c r="U594" s="0" t="str">
        <f aca="false">IF(K594="","",IF(ISNUMBER(--M594),TEXT(--M594,"000000000000.000"),LOWER(M594)))</f>
        <v/>
      </c>
      <c r="V594" s="0" t="str">
        <f aca="false">IF(K594="","",LOWER(N594))</f>
        <v/>
      </c>
      <c r="W594" s="0" t="str">
        <f aca="false">IF(K594="","",G94)</f>
        <v/>
      </c>
      <c r="X594" s="0" t="str">
        <f aca="false">IF(K594="","",1+SUMPRODUCT(($K$2:$K$1001&lt;&gt;"")*(($T$2:$T$1001&lt;T594)+($T$2:$T$1001=T594)*(($U$2:$U$1001&lt;U594)+($U$2:$U$1001=U594)*(($V$2:$V$1001&lt;V594)+($V$2:$V$1001=V594)*(($W$2:$W$1001&lt;W594)+($W$2:$W$1001=W594)*(ROW($K$2:$K$1001)&lt;ROW(K594))))))))</f>
        <v/>
      </c>
    </row>
    <row r="595" customFormat="false" ht="15" hidden="false" customHeight="false" outlineLevel="0" collapsed="false">
      <c r="K595" s="0" t="str">
        <f aca="false">IF(H95="","",IF(SUMPRODUCT(--($C$2:$C$501=H95))&gt;0,"",H95))</f>
        <v/>
      </c>
      <c r="L595" s="0" t="str">
        <f aca="false">IF(K595="","",IF(ISNUMBER('List 2'!A95),'List 2'!A95,TRIM('List 2'!A95)))</f>
        <v/>
      </c>
      <c r="M595" s="0" t="str">
        <f aca="false">IF(K595="","",IF(ISNUMBER('List 2'!C95),'List 2'!C95,TRIM('List 2'!C95)))</f>
        <v/>
      </c>
      <c r="N595" s="0" t="str">
        <f aca="false">IF(K595="","",IF(ISNUMBER('List 2'!D95),'List 2'!D95,TRIM('List 2'!D95)))</f>
        <v/>
      </c>
      <c r="O595" s="0" t="str">
        <f aca="false">IF(K595="","",0)</f>
        <v/>
      </c>
      <c r="P595" s="0" t="str">
        <f aca="false">IF(K595="","",I95)</f>
        <v/>
      </c>
      <c r="Q595" s="0" t="str">
        <f aca="false">IF(K595="","",FALSE())</f>
        <v/>
      </c>
      <c r="R595" s="0" t="str">
        <f aca="false">IF(K595="","",TRUE())</f>
        <v/>
      </c>
      <c r="S595" s="0" t="str">
        <f aca="false">IF(K595="","",IF(AND(Q595,R595),IF(O595=P595,"Match","Qty Different"),IF(Q595,"Only in List 1","Only in List 2")))</f>
        <v/>
      </c>
      <c r="T595" s="0" t="str">
        <f aca="false">IF(K595="","",IF(ISNUMBER(--L595),TEXT(--L595,"000000000000.000"),LOWER(L595)))</f>
        <v/>
      </c>
      <c r="U595" s="0" t="str">
        <f aca="false">IF(K595="","",IF(ISNUMBER(--M595),TEXT(--M595,"000000000000.000"),LOWER(M595)))</f>
        <v/>
      </c>
      <c r="V595" s="0" t="str">
        <f aca="false">IF(K595="","",LOWER(N595))</f>
        <v/>
      </c>
      <c r="W595" s="0" t="str">
        <f aca="false">IF(K595="","",G95)</f>
        <v/>
      </c>
      <c r="X595" s="0" t="str">
        <f aca="false">IF(K595="","",1+SUMPRODUCT(($K$2:$K$1001&lt;&gt;"")*(($T$2:$T$1001&lt;T595)+($T$2:$T$1001=T595)*(($U$2:$U$1001&lt;U595)+($U$2:$U$1001=U595)*(($V$2:$V$1001&lt;V595)+($V$2:$V$1001=V595)*(($W$2:$W$1001&lt;W595)+($W$2:$W$1001=W595)*(ROW($K$2:$K$1001)&lt;ROW(K595))))))))</f>
        <v/>
      </c>
    </row>
    <row r="596" customFormat="false" ht="15" hidden="false" customHeight="false" outlineLevel="0" collapsed="false">
      <c r="K596" s="0" t="str">
        <f aca="false">IF(H96="","",IF(SUMPRODUCT(--($C$2:$C$501=H96))&gt;0,"",H96))</f>
        <v/>
      </c>
      <c r="L596" s="0" t="str">
        <f aca="false">IF(K596="","",IF(ISNUMBER('List 2'!A96),'List 2'!A96,TRIM('List 2'!A96)))</f>
        <v/>
      </c>
      <c r="M596" s="0" t="str">
        <f aca="false">IF(K596="","",IF(ISNUMBER('List 2'!C96),'List 2'!C96,TRIM('List 2'!C96)))</f>
        <v/>
      </c>
      <c r="N596" s="0" t="str">
        <f aca="false">IF(K596="","",IF(ISNUMBER('List 2'!D96),'List 2'!D96,TRIM('List 2'!D96)))</f>
        <v/>
      </c>
      <c r="O596" s="0" t="str">
        <f aca="false">IF(K596="","",0)</f>
        <v/>
      </c>
      <c r="P596" s="0" t="str">
        <f aca="false">IF(K596="","",I96)</f>
        <v/>
      </c>
      <c r="Q596" s="0" t="str">
        <f aca="false">IF(K596="","",FALSE())</f>
        <v/>
      </c>
      <c r="R596" s="0" t="str">
        <f aca="false">IF(K596="","",TRUE())</f>
        <v/>
      </c>
      <c r="S596" s="0" t="str">
        <f aca="false">IF(K596="","",IF(AND(Q596,R596),IF(O596=P596,"Match","Qty Different"),IF(Q596,"Only in List 1","Only in List 2")))</f>
        <v/>
      </c>
      <c r="T596" s="0" t="str">
        <f aca="false">IF(K596="","",IF(ISNUMBER(--L596),TEXT(--L596,"000000000000.000"),LOWER(L596)))</f>
        <v/>
      </c>
      <c r="U596" s="0" t="str">
        <f aca="false">IF(K596="","",IF(ISNUMBER(--M596),TEXT(--M596,"000000000000.000"),LOWER(M596)))</f>
        <v/>
      </c>
      <c r="V596" s="0" t="str">
        <f aca="false">IF(K596="","",LOWER(N596))</f>
        <v/>
      </c>
      <c r="W596" s="0" t="str">
        <f aca="false">IF(K596="","",G96)</f>
        <v/>
      </c>
      <c r="X596" s="0" t="str">
        <f aca="false">IF(K596="","",1+SUMPRODUCT(($K$2:$K$1001&lt;&gt;"")*(($T$2:$T$1001&lt;T596)+($T$2:$T$1001=T596)*(($U$2:$U$1001&lt;U596)+($U$2:$U$1001=U596)*(($V$2:$V$1001&lt;V596)+($V$2:$V$1001=V596)*(($W$2:$W$1001&lt;W596)+($W$2:$W$1001=W596)*(ROW($K$2:$K$1001)&lt;ROW(K596))))))))</f>
        <v/>
      </c>
    </row>
    <row r="597" customFormat="false" ht="15" hidden="false" customHeight="false" outlineLevel="0" collapsed="false">
      <c r="K597" s="0" t="str">
        <f aca="false">IF(H97="","",IF(SUMPRODUCT(--($C$2:$C$501=H97))&gt;0,"",H97))</f>
        <v/>
      </c>
      <c r="L597" s="0" t="str">
        <f aca="false">IF(K597="","",IF(ISNUMBER('List 2'!A97),'List 2'!A97,TRIM('List 2'!A97)))</f>
        <v/>
      </c>
      <c r="M597" s="0" t="str">
        <f aca="false">IF(K597="","",IF(ISNUMBER('List 2'!C97),'List 2'!C97,TRIM('List 2'!C97)))</f>
        <v/>
      </c>
      <c r="N597" s="0" t="str">
        <f aca="false">IF(K597="","",IF(ISNUMBER('List 2'!D97),'List 2'!D97,TRIM('List 2'!D97)))</f>
        <v/>
      </c>
      <c r="O597" s="0" t="str">
        <f aca="false">IF(K597="","",0)</f>
        <v/>
      </c>
      <c r="P597" s="0" t="str">
        <f aca="false">IF(K597="","",I97)</f>
        <v/>
      </c>
      <c r="Q597" s="0" t="str">
        <f aca="false">IF(K597="","",FALSE())</f>
        <v/>
      </c>
      <c r="R597" s="0" t="str">
        <f aca="false">IF(K597="","",TRUE())</f>
        <v/>
      </c>
      <c r="S597" s="0" t="str">
        <f aca="false">IF(K597="","",IF(AND(Q597,R597),IF(O597=P597,"Match","Qty Different"),IF(Q597,"Only in List 1","Only in List 2")))</f>
        <v/>
      </c>
      <c r="T597" s="0" t="str">
        <f aca="false">IF(K597="","",IF(ISNUMBER(--L597),TEXT(--L597,"000000000000.000"),LOWER(L597)))</f>
        <v/>
      </c>
      <c r="U597" s="0" t="str">
        <f aca="false">IF(K597="","",IF(ISNUMBER(--M597),TEXT(--M597,"000000000000.000"),LOWER(M597)))</f>
        <v/>
      </c>
      <c r="V597" s="0" t="str">
        <f aca="false">IF(K597="","",LOWER(N597))</f>
        <v/>
      </c>
      <c r="W597" s="0" t="str">
        <f aca="false">IF(K597="","",G97)</f>
        <v/>
      </c>
      <c r="X597" s="0" t="str">
        <f aca="false">IF(K597="","",1+SUMPRODUCT(($K$2:$K$1001&lt;&gt;"")*(($T$2:$T$1001&lt;T597)+($T$2:$T$1001=T597)*(($U$2:$U$1001&lt;U597)+($U$2:$U$1001=U597)*(($V$2:$V$1001&lt;V597)+($V$2:$V$1001=V597)*(($W$2:$W$1001&lt;W597)+($W$2:$W$1001=W597)*(ROW($K$2:$K$1001)&lt;ROW(K597))))))))</f>
        <v/>
      </c>
    </row>
    <row r="598" customFormat="false" ht="15" hidden="false" customHeight="false" outlineLevel="0" collapsed="false">
      <c r="K598" s="0" t="str">
        <f aca="false">IF(H98="","",IF(SUMPRODUCT(--($C$2:$C$501=H98))&gt;0,"",H98))</f>
        <v/>
      </c>
      <c r="L598" s="0" t="str">
        <f aca="false">IF(K598="","",IF(ISNUMBER('List 2'!A98),'List 2'!A98,TRIM('List 2'!A98)))</f>
        <v/>
      </c>
      <c r="M598" s="0" t="str">
        <f aca="false">IF(K598="","",IF(ISNUMBER('List 2'!C98),'List 2'!C98,TRIM('List 2'!C98)))</f>
        <v/>
      </c>
      <c r="N598" s="0" t="str">
        <f aca="false">IF(K598="","",IF(ISNUMBER('List 2'!D98),'List 2'!D98,TRIM('List 2'!D98)))</f>
        <v/>
      </c>
      <c r="O598" s="0" t="str">
        <f aca="false">IF(K598="","",0)</f>
        <v/>
      </c>
      <c r="P598" s="0" t="str">
        <f aca="false">IF(K598="","",I98)</f>
        <v/>
      </c>
      <c r="Q598" s="0" t="str">
        <f aca="false">IF(K598="","",FALSE())</f>
        <v/>
      </c>
      <c r="R598" s="0" t="str">
        <f aca="false">IF(K598="","",TRUE())</f>
        <v/>
      </c>
      <c r="S598" s="0" t="str">
        <f aca="false">IF(K598="","",IF(AND(Q598,R598),IF(O598=P598,"Match","Qty Different"),IF(Q598,"Only in List 1","Only in List 2")))</f>
        <v/>
      </c>
      <c r="T598" s="0" t="str">
        <f aca="false">IF(K598="","",IF(ISNUMBER(--L598),TEXT(--L598,"000000000000.000"),LOWER(L598)))</f>
        <v/>
      </c>
      <c r="U598" s="0" t="str">
        <f aca="false">IF(K598="","",IF(ISNUMBER(--M598),TEXT(--M598,"000000000000.000"),LOWER(M598)))</f>
        <v/>
      </c>
      <c r="V598" s="0" t="str">
        <f aca="false">IF(K598="","",LOWER(N598))</f>
        <v/>
      </c>
      <c r="W598" s="0" t="str">
        <f aca="false">IF(K598="","",G98)</f>
        <v/>
      </c>
      <c r="X598" s="0" t="str">
        <f aca="false">IF(K598="","",1+SUMPRODUCT(($K$2:$K$1001&lt;&gt;"")*(($T$2:$T$1001&lt;T598)+($T$2:$T$1001=T598)*(($U$2:$U$1001&lt;U598)+($U$2:$U$1001=U598)*(($V$2:$V$1001&lt;V598)+($V$2:$V$1001=V598)*(($W$2:$W$1001&lt;W598)+($W$2:$W$1001=W598)*(ROW($K$2:$K$1001)&lt;ROW(K598))))))))</f>
        <v/>
      </c>
    </row>
    <row r="599" customFormat="false" ht="15" hidden="false" customHeight="false" outlineLevel="0" collapsed="false">
      <c r="K599" s="0" t="str">
        <f aca="false">IF(H99="","",IF(SUMPRODUCT(--($C$2:$C$501=H99))&gt;0,"",H99))</f>
        <v/>
      </c>
      <c r="L599" s="0" t="str">
        <f aca="false">IF(K599="","",IF(ISNUMBER('List 2'!A99),'List 2'!A99,TRIM('List 2'!A99)))</f>
        <v/>
      </c>
      <c r="M599" s="0" t="str">
        <f aca="false">IF(K599="","",IF(ISNUMBER('List 2'!C99),'List 2'!C99,TRIM('List 2'!C99)))</f>
        <v/>
      </c>
      <c r="N599" s="0" t="str">
        <f aca="false">IF(K599="","",IF(ISNUMBER('List 2'!D99),'List 2'!D99,TRIM('List 2'!D99)))</f>
        <v/>
      </c>
      <c r="O599" s="0" t="str">
        <f aca="false">IF(K599="","",0)</f>
        <v/>
      </c>
      <c r="P599" s="0" t="str">
        <f aca="false">IF(K599="","",I99)</f>
        <v/>
      </c>
      <c r="Q599" s="0" t="str">
        <f aca="false">IF(K599="","",FALSE())</f>
        <v/>
      </c>
      <c r="R599" s="0" t="str">
        <f aca="false">IF(K599="","",TRUE())</f>
        <v/>
      </c>
      <c r="S599" s="0" t="str">
        <f aca="false">IF(K599="","",IF(AND(Q599,R599),IF(O599=P599,"Match","Qty Different"),IF(Q599,"Only in List 1","Only in List 2")))</f>
        <v/>
      </c>
      <c r="T599" s="0" t="str">
        <f aca="false">IF(K599="","",IF(ISNUMBER(--L599),TEXT(--L599,"000000000000.000"),LOWER(L599)))</f>
        <v/>
      </c>
      <c r="U599" s="0" t="str">
        <f aca="false">IF(K599="","",IF(ISNUMBER(--M599),TEXT(--M599,"000000000000.000"),LOWER(M599)))</f>
        <v/>
      </c>
      <c r="V599" s="0" t="str">
        <f aca="false">IF(K599="","",LOWER(N599))</f>
        <v/>
      </c>
      <c r="W599" s="0" t="str">
        <f aca="false">IF(K599="","",G99)</f>
        <v/>
      </c>
      <c r="X599" s="0" t="str">
        <f aca="false">IF(K599="","",1+SUMPRODUCT(($K$2:$K$1001&lt;&gt;"")*(($T$2:$T$1001&lt;T599)+($T$2:$T$1001=T599)*(($U$2:$U$1001&lt;U599)+($U$2:$U$1001=U599)*(($V$2:$V$1001&lt;V599)+($V$2:$V$1001=V599)*(($W$2:$W$1001&lt;W599)+($W$2:$W$1001=W599)*(ROW($K$2:$K$1001)&lt;ROW(K599))))))))</f>
        <v/>
      </c>
    </row>
    <row r="600" customFormat="false" ht="15" hidden="false" customHeight="false" outlineLevel="0" collapsed="false">
      <c r="K600" s="0" t="str">
        <f aca="false">IF(H100="","",IF(SUMPRODUCT(--($C$2:$C$501=H100))&gt;0,"",H100))</f>
        <v/>
      </c>
      <c r="L600" s="0" t="str">
        <f aca="false">IF(K600="","",IF(ISNUMBER('List 2'!A100),'List 2'!A100,TRIM('List 2'!A100)))</f>
        <v/>
      </c>
      <c r="M600" s="0" t="str">
        <f aca="false">IF(K600="","",IF(ISNUMBER('List 2'!C100),'List 2'!C100,TRIM('List 2'!C100)))</f>
        <v/>
      </c>
      <c r="N600" s="0" t="str">
        <f aca="false">IF(K600="","",IF(ISNUMBER('List 2'!D100),'List 2'!D100,TRIM('List 2'!D100)))</f>
        <v/>
      </c>
      <c r="O600" s="0" t="str">
        <f aca="false">IF(K600="","",0)</f>
        <v/>
      </c>
      <c r="P600" s="0" t="str">
        <f aca="false">IF(K600="","",I100)</f>
        <v/>
      </c>
      <c r="Q600" s="0" t="str">
        <f aca="false">IF(K600="","",FALSE())</f>
        <v/>
      </c>
      <c r="R600" s="0" t="str">
        <f aca="false">IF(K600="","",TRUE())</f>
        <v/>
      </c>
      <c r="S600" s="0" t="str">
        <f aca="false">IF(K600="","",IF(AND(Q600,R600),IF(O600=P600,"Match","Qty Different"),IF(Q600,"Only in List 1","Only in List 2")))</f>
        <v/>
      </c>
      <c r="T600" s="0" t="str">
        <f aca="false">IF(K600="","",IF(ISNUMBER(--L600),TEXT(--L600,"000000000000.000"),LOWER(L600)))</f>
        <v/>
      </c>
      <c r="U600" s="0" t="str">
        <f aca="false">IF(K600="","",IF(ISNUMBER(--M600),TEXT(--M600,"000000000000.000"),LOWER(M600)))</f>
        <v/>
      </c>
      <c r="V600" s="0" t="str">
        <f aca="false">IF(K600="","",LOWER(N600))</f>
        <v/>
      </c>
      <c r="W600" s="0" t="str">
        <f aca="false">IF(K600="","",G100)</f>
        <v/>
      </c>
      <c r="X600" s="0" t="str">
        <f aca="false">IF(K600="","",1+SUMPRODUCT(($K$2:$K$1001&lt;&gt;"")*(($T$2:$T$1001&lt;T600)+($T$2:$T$1001=T600)*(($U$2:$U$1001&lt;U600)+($U$2:$U$1001=U600)*(($V$2:$V$1001&lt;V600)+($V$2:$V$1001=V600)*(($W$2:$W$1001&lt;W600)+($W$2:$W$1001=W600)*(ROW($K$2:$K$1001)&lt;ROW(K600))))))))</f>
        <v/>
      </c>
    </row>
    <row r="601" customFormat="false" ht="15" hidden="false" customHeight="false" outlineLevel="0" collapsed="false">
      <c r="K601" s="0" t="str">
        <f aca="false">IF(H101="","",IF(SUMPRODUCT(--($C$2:$C$501=H101))&gt;0,"",H101))</f>
        <v/>
      </c>
      <c r="L601" s="0" t="str">
        <f aca="false">IF(K601="","",IF(ISNUMBER('List 2'!A101),'List 2'!A101,TRIM('List 2'!A101)))</f>
        <v/>
      </c>
      <c r="M601" s="0" t="str">
        <f aca="false">IF(K601="","",IF(ISNUMBER('List 2'!C101),'List 2'!C101,TRIM('List 2'!C101)))</f>
        <v/>
      </c>
      <c r="N601" s="0" t="str">
        <f aca="false">IF(K601="","",IF(ISNUMBER('List 2'!D101),'List 2'!D101,TRIM('List 2'!D101)))</f>
        <v/>
      </c>
      <c r="O601" s="0" t="str">
        <f aca="false">IF(K601="","",0)</f>
        <v/>
      </c>
      <c r="P601" s="0" t="str">
        <f aca="false">IF(K601="","",I101)</f>
        <v/>
      </c>
      <c r="Q601" s="0" t="str">
        <f aca="false">IF(K601="","",FALSE())</f>
        <v/>
      </c>
      <c r="R601" s="0" t="str">
        <f aca="false">IF(K601="","",TRUE())</f>
        <v/>
      </c>
      <c r="S601" s="0" t="str">
        <f aca="false">IF(K601="","",IF(AND(Q601,R601),IF(O601=P601,"Match","Qty Different"),IF(Q601,"Only in List 1","Only in List 2")))</f>
        <v/>
      </c>
      <c r="T601" s="0" t="str">
        <f aca="false">IF(K601="","",IF(ISNUMBER(--L601),TEXT(--L601,"000000000000.000"),LOWER(L601)))</f>
        <v/>
      </c>
      <c r="U601" s="0" t="str">
        <f aca="false">IF(K601="","",IF(ISNUMBER(--M601),TEXT(--M601,"000000000000.000"),LOWER(M601)))</f>
        <v/>
      </c>
      <c r="V601" s="0" t="str">
        <f aca="false">IF(K601="","",LOWER(N601))</f>
        <v/>
      </c>
      <c r="W601" s="0" t="str">
        <f aca="false">IF(K601="","",G101)</f>
        <v/>
      </c>
      <c r="X601" s="0" t="str">
        <f aca="false">IF(K601="","",1+SUMPRODUCT(($K$2:$K$1001&lt;&gt;"")*(($T$2:$T$1001&lt;T601)+($T$2:$T$1001=T601)*(($U$2:$U$1001&lt;U601)+($U$2:$U$1001=U601)*(($V$2:$V$1001&lt;V601)+($V$2:$V$1001=V601)*(($W$2:$W$1001&lt;W601)+($W$2:$W$1001=W601)*(ROW($K$2:$K$1001)&lt;ROW(K601))))))))</f>
        <v/>
      </c>
    </row>
    <row r="602" customFormat="false" ht="15" hidden="false" customHeight="false" outlineLevel="0" collapsed="false">
      <c r="K602" s="0" t="str">
        <f aca="false">IF(H102="","",IF(SUMPRODUCT(--($C$2:$C$501=H102))&gt;0,"",H102))</f>
        <v/>
      </c>
      <c r="L602" s="0" t="str">
        <f aca="false">IF(K602="","",IF(ISNUMBER('List 2'!A102),'List 2'!A102,TRIM('List 2'!A102)))</f>
        <v/>
      </c>
      <c r="M602" s="0" t="str">
        <f aca="false">IF(K602="","",IF(ISNUMBER('List 2'!C102),'List 2'!C102,TRIM('List 2'!C102)))</f>
        <v/>
      </c>
      <c r="N602" s="0" t="str">
        <f aca="false">IF(K602="","",IF(ISNUMBER('List 2'!D102),'List 2'!D102,TRIM('List 2'!D102)))</f>
        <v/>
      </c>
      <c r="O602" s="0" t="str">
        <f aca="false">IF(K602="","",0)</f>
        <v/>
      </c>
      <c r="P602" s="0" t="str">
        <f aca="false">IF(K602="","",I102)</f>
        <v/>
      </c>
      <c r="Q602" s="0" t="str">
        <f aca="false">IF(K602="","",FALSE())</f>
        <v/>
      </c>
      <c r="R602" s="0" t="str">
        <f aca="false">IF(K602="","",TRUE())</f>
        <v/>
      </c>
      <c r="S602" s="0" t="str">
        <f aca="false">IF(K602="","",IF(AND(Q602,R602),IF(O602=P602,"Match","Qty Different"),IF(Q602,"Only in List 1","Only in List 2")))</f>
        <v/>
      </c>
      <c r="T602" s="0" t="str">
        <f aca="false">IF(K602="","",IF(ISNUMBER(--L602),TEXT(--L602,"000000000000.000"),LOWER(L602)))</f>
        <v/>
      </c>
      <c r="U602" s="0" t="str">
        <f aca="false">IF(K602="","",IF(ISNUMBER(--M602),TEXT(--M602,"000000000000.000"),LOWER(M602)))</f>
        <v/>
      </c>
      <c r="V602" s="0" t="str">
        <f aca="false">IF(K602="","",LOWER(N602))</f>
        <v/>
      </c>
      <c r="W602" s="0" t="str">
        <f aca="false">IF(K602="","",G102)</f>
        <v/>
      </c>
      <c r="X602" s="0" t="str">
        <f aca="false">IF(K602="","",1+SUMPRODUCT(($K$2:$K$1001&lt;&gt;"")*(($T$2:$T$1001&lt;T602)+($T$2:$T$1001=T602)*(($U$2:$U$1001&lt;U602)+($U$2:$U$1001=U602)*(($V$2:$V$1001&lt;V602)+($V$2:$V$1001=V602)*(($W$2:$W$1001&lt;W602)+($W$2:$W$1001=W602)*(ROW($K$2:$K$1001)&lt;ROW(K602))))))))</f>
        <v/>
      </c>
    </row>
    <row r="603" customFormat="false" ht="15" hidden="false" customHeight="false" outlineLevel="0" collapsed="false">
      <c r="K603" s="0" t="str">
        <f aca="false">IF(H103="","",IF(SUMPRODUCT(--($C$2:$C$501=H103))&gt;0,"",H103))</f>
        <v/>
      </c>
      <c r="L603" s="0" t="str">
        <f aca="false">IF(K603="","",IF(ISNUMBER('List 2'!A103),'List 2'!A103,TRIM('List 2'!A103)))</f>
        <v/>
      </c>
      <c r="M603" s="0" t="str">
        <f aca="false">IF(K603="","",IF(ISNUMBER('List 2'!C103),'List 2'!C103,TRIM('List 2'!C103)))</f>
        <v/>
      </c>
      <c r="N603" s="0" t="str">
        <f aca="false">IF(K603="","",IF(ISNUMBER('List 2'!D103),'List 2'!D103,TRIM('List 2'!D103)))</f>
        <v/>
      </c>
      <c r="O603" s="0" t="str">
        <f aca="false">IF(K603="","",0)</f>
        <v/>
      </c>
      <c r="P603" s="0" t="str">
        <f aca="false">IF(K603="","",I103)</f>
        <v/>
      </c>
      <c r="Q603" s="0" t="str">
        <f aca="false">IF(K603="","",FALSE())</f>
        <v/>
      </c>
      <c r="R603" s="0" t="str">
        <f aca="false">IF(K603="","",TRUE())</f>
        <v/>
      </c>
      <c r="S603" s="0" t="str">
        <f aca="false">IF(K603="","",IF(AND(Q603,R603),IF(O603=P603,"Match","Qty Different"),IF(Q603,"Only in List 1","Only in List 2")))</f>
        <v/>
      </c>
      <c r="T603" s="0" t="str">
        <f aca="false">IF(K603="","",IF(ISNUMBER(--L603),TEXT(--L603,"000000000000.000"),LOWER(L603)))</f>
        <v/>
      </c>
      <c r="U603" s="0" t="str">
        <f aca="false">IF(K603="","",IF(ISNUMBER(--M603),TEXT(--M603,"000000000000.000"),LOWER(M603)))</f>
        <v/>
      </c>
      <c r="V603" s="0" t="str">
        <f aca="false">IF(K603="","",LOWER(N603))</f>
        <v/>
      </c>
      <c r="W603" s="0" t="str">
        <f aca="false">IF(K603="","",G103)</f>
        <v/>
      </c>
      <c r="X603" s="0" t="str">
        <f aca="false">IF(K603="","",1+SUMPRODUCT(($K$2:$K$1001&lt;&gt;"")*(($T$2:$T$1001&lt;T603)+($T$2:$T$1001=T603)*(($U$2:$U$1001&lt;U603)+($U$2:$U$1001=U603)*(($V$2:$V$1001&lt;V603)+($V$2:$V$1001=V603)*(($W$2:$W$1001&lt;W603)+($W$2:$W$1001=W603)*(ROW($K$2:$K$1001)&lt;ROW(K603))))))))</f>
        <v/>
      </c>
    </row>
    <row r="604" customFormat="false" ht="15" hidden="false" customHeight="false" outlineLevel="0" collapsed="false">
      <c r="K604" s="0" t="str">
        <f aca="false">IF(H104="","",IF(SUMPRODUCT(--($C$2:$C$501=H104))&gt;0,"",H104))</f>
        <v/>
      </c>
      <c r="L604" s="0" t="str">
        <f aca="false">IF(K604="","",IF(ISNUMBER('List 2'!A104),'List 2'!A104,TRIM('List 2'!A104)))</f>
        <v/>
      </c>
      <c r="M604" s="0" t="str">
        <f aca="false">IF(K604="","",IF(ISNUMBER('List 2'!C104),'List 2'!C104,TRIM('List 2'!C104)))</f>
        <v/>
      </c>
      <c r="N604" s="0" t="str">
        <f aca="false">IF(K604="","",IF(ISNUMBER('List 2'!D104),'List 2'!D104,TRIM('List 2'!D104)))</f>
        <v/>
      </c>
      <c r="O604" s="0" t="str">
        <f aca="false">IF(K604="","",0)</f>
        <v/>
      </c>
      <c r="P604" s="0" t="str">
        <f aca="false">IF(K604="","",I104)</f>
        <v/>
      </c>
      <c r="Q604" s="0" t="str">
        <f aca="false">IF(K604="","",FALSE())</f>
        <v/>
      </c>
      <c r="R604" s="0" t="str">
        <f aca="false">IF(K604="","",TRUE())</f>
        <v/>
      </c>
      <c r="S604" s="0" t="str">
        <f aca="false">IF(K604="","",IF(AND(Q604,R604),IF(O604=P604,"Match","Qty Different"),IF(Q604,"Only in List 1","Only in List 2")))</f>
        <v/>
      </c>
      <c r="T604" s="0" t="str">
        <f aca="false">IF(K604="","",IF(ISNUMBER(--L604),TEXT(--L604,"000000000000.000"),LOWER(L604)))</f>
        <v/>
      </c>
      <c r="U604" s="0" t="str">
        <f aca="false">IF(K604="","",IF(ISNUMBER(--M604),TEXT(--M604,"000000000000.000"),LOWER(M604)))</f>
        <v/>
      </c>
      <c r="V604" s="0" t="str">
        <f aca="false">IF(K604="","",LOWER(N604))</f>
        <v/>
      </c>
      <c r="W604" s="0" t="str">
        <f aca="false">IF(K604="","",G104)</f>
        <v/>
      </c>
      <c r="X604" s="0" t="str">
        <f aca="false">IF(K604="","",1+SUMPRODUCT(($K$2:$K$1001&lt;&gt;"")*(($T$2:$T$1001&lt;T604)+($T$2:$T$1001=T604)*(($U$2:$U$1001&lt;U604)+($U$2:$U$1001=U604)*(($V$2:$V$1001&lt;V604)+($V$2:$V$1001=V604)*(($W$2:$W$1001&lt;W604)+($W$2:$W$1001=W604)*(ROW($K$2:$K$1001)&lt;ROW(K604))))))))</f>
        <v/>
      </c>
    </row>
    <row r="605" customFormat="false" ht="15" hidden="false" customHeight="false" outlineLevel="0" collapsed="false">
      <c r="K605" s="0" t="str">
        <f aca="false">IF(H105="","",IF(SUMPRODUCT(--($C$2:$C$501=H105))&gt;0,"",H105))</f>
        <v/>
      </c>
      <c r="L605" s="0" t="str">
        <f aca="false">IF(K605="","",IF(ISNUMBER('List 2'!A105),'List 2'!A105,TRIM('List 2'!A105)))</f>
        <v/>
      </c>
      <c r="M605" s="0" t="str">
        <f aca="false">IF(K605="","",IF(ISNUMBER('List 2'!C105),'List 2'!C105,TRIM('List 2'!C105)))</f>
        <v/>
      </c>
      <c r="N605" s="0" t="str">
        <f aca="false">IF(K605="","",IF(ISNUMBER('List 2'!D105),'List 2'!D105,TRIM('List 2'!D105)))</f>
        <v/>
      </c>
      <c r="O605" s="0" t="str">
        <f aca="false">IF(K605="","",0)</f>
        <v/>
      </c>
      <c r="P605" s="0" t="str">
        <f aca="false">IF(K605="","",I105)</f>
        <v/>
      </c>
      <c r="Q605" s="0" t="str">
        <f aca="false">IF(K605="","",FALSE())</f>
        <v/>
      </c>
      <c r="R605" s="0" t="str">
        <f aca="false">IF(K605="","",TRUE())</f>
        <v/>
      </c>
      <c r="S605" s="0" t="str">
        <f aca="false">IF(K605="","",IF(AND(Q605,R605),IF(O605=P605,"Match","Qty Different"),IF(Q605,"Only in List 1","Only in List 2")))</f>
        <v/>
      </c>
      <c r="T605" s="0" t="str">
        <f aca="false">IF(K605="","",IF(ISNUMBER(--L605),TEXT(--L605,"000000000000.000"),LOWER(L605)))</f>
        <v/>
      </c>
      <c r="U605" s="0" t="str">
        <f aca="false">IF(K605="","",IF(ISNUMBER(--M605),TEXT(--M605,"000000000000.000"),LOWER(M605)))</f>
        <v/>
      </c>
      <c r="V605" s="0" t="str">
        <f aca="false">IF(K605="","",LOWER(N605))</f>
        <v/>
      </c>
      <c r="W605" s="0" t="str">
        <f aca="false">IF(K605="","",G105)</f>
        <v/>
      </c>
      <c r="X605" s="0" t="str">
        <f aca="false">IF(K605="","",1+SUMPRODUCT(($K$2:$K$1001&lt;&gt;"")*(($T$2:$T$1001&lt;T605)+($T$2:$T$1001=T605)*(($U$2:$U$1001&lt;U605)+($U$2:$U$1001=U605)*(($V$2:$V$1001&lt;V605)+($V$2:$V$1001=V605)*(($W$2:$W$1001&lt;W605)+($W$2:$W$1001=W605)*(ROW($K$2:$K$1001)&lt;ROW(K605))))))))</f>
        <v/>
      </c>
    </row>
    <row r="606" customFormat="false" ht="15" hidden="false" customHeight="false" outlineLevel="0" collapsed="false">
      <c r="K606" s="0" t="str">
        <f aca="false">IF(H106="","",IF(SUMPRODUCT(--($C$2:$C$501=H106))&gt;0,"",H106))</f>
        <v/>
      </c>
      <c r="L606" s="0" t="str">
        <f aca="false">IF(K606="","",IF(ISNUMBER('List 2'!A106),'List 2'!A106,TRIM('List 2'!A106)))</f>
        <v/>
      </c>
      <c r="M606" s="0" t="str">
        <f aca="false">IF(K606="","",IF(ISNUMBER('List 2'!C106),'List 2'!C106,TRIM('List 2'!C106)))</f>
        <v/>
      </c>
      <c r="N606" s="0" t="str">
        <f aca="false">IF(K606="","",IF(ISNUMBER('List 2'!D106),'List 2'!D106,TRIM('List 2'!D106)))</f>
        <v/>
      </c>
      <c r="O606" s="0" t="str">
        <f aca="false">IF(K606="","",0)</f>
        <v/>
      </c>
      <c r="P606" s="0" t="str">
        <f aca="false">IF(K606="","",I106)</f>
        <v/>
      </c>
      <c r="Q606" s="0" t="str">
        <f aca="false">IF(K606="","",FALSE())</f>
        <v/>
      </c>
      <c r="R606" s="0" t="str">
        <f aca="false">IF(K606="","",TRUE())</f>
        <v/>
      </c>
      <c r="S606" s="0" t="str">
        <f aca="false">IF(K606="","",IF(AND(Q606,R606),IF(O606=P606,"Match","Qty Different"),IF(Q606,"Only in List 1","Only in List 2")))</f>
        <v/>
      </c>
      <c r="T606" s="0" t="str">
        <f aca="false">IF(K606="","",IF(ISNUMBER(--L606),TEXT(--L606,"000000000000.000"),LOWER(L606)))</f>
        <v/>
      </c>
      <c r="U606" s="0" t="str">
        <f aca="false">IF(K606="","",IF(ISNUMBER(--M606),TEXT(--M606,"000000000000.000"),LOWER(M606)))</f>
        <v/>
      </c>
      <c r="V606" s="0" t="str">
        <f aca="false">IF(K606="","",LOWER(N606))</f>
        <v/>
      </c>
      <c r="W606" s="0" t="str">
        <f aca="false">IF(K606="","",G106)</f>
        <v/>
      </c>
      <c r="X606" s="0" t="str">
        <f aca="false">IF(K606="","",1+SUMPRODUCT(($K$2:$K$1001&lt;&gt;"")*(($T$2:$T$1001&lt;T606)+($T$2:$T$1001=T606)*(($U$2:$U$1001&lt;U606)+($U$2:$U$1001=U606)*(($V$2:$V$1001&lt;V606)+($V$2:$V$1001=V606)*(($W$2:$W$1001&lt;W606)+($W$2:$W$1001=W606)*(ROW($K$2:$K$1001)&lt;ROW(K606))))))))</f>
        <v/>
      </c>
    </row>
    <row r="607" customFormat="false" ht="15" hidden="false" customHeight="false" outlineLevel="0" collapsed="false">
      <c r="K607" s="0" t="str">
        <f aca="false">IF(H107="","",IF(SUMPRODUCT(--($C$2:$C$501=H107))&gt;0,"",H107))</f>
        <v/>
      </c>
      <c r="L607" s="0" t="str">
        <f aca="false">IF(K607="","",IF(ISNUMBER('List 2'!A107),'List 2'!A107,TRIM('List 2'!A107)))</f>
        <v/>
      </c>
      <c r="M607" s="0" t="str">
        <f aca="false">IF(K607="","",IF(ISNUMBER('List 2'!C107),'List 2'!C107,TRIM('List 2'!C107)))</f>
        <v/>
      </c>
      <c r="N607" s="0" t="str">
        <f aca="false">IF(K607="","",IF(ISNUMBER('List 2'!D107),'List 2'!D107,TRIM('List 2'!D107)))</f>
        <v/>
      </c>
      <c r="O607" s="0" t="str">
        <f aca="false">IF(K607="","",0)</f>
        <v/>
      </c>
      <c r="P607" s="0" t="str">
        <f aca="false">IF(K607="","",I107)</f>
        <v/>
      </c>
      <c r="Q607" s="0" t="str">
        <f aca="false">IF(K607="","",FALSE())</f>
        <v/>
      </c>
      <c r="R607" s="0" t="str">
        <f aca="false">IF(K607="","",TRUE())</f>
        <v/>
      </c>
      <c r="S607" s="0" t="str">
        <f aca="false">IF(K607="","",IF(AND(Q607,R607),IF(O607=P607,"Match","Qty Different"),IF(Q607,"Only in List 1","Only in List 2")))</f>
        <v/>
      </c>
      <c r="T607" s="0" t="str">
        <f aca="false">IF(K607="","",IF(ISNUMBER(--L607),TEXT(--L607,"000000000000.000"),LOWER(L607)))</f>
        <v/>
      </c>
      <c r="U607" s="0" t="str">
        <f aca="false">IF(K607="","",IF(ISNUMBER(--M607),TEXT(--M607,"000000000000.000"),LOWER(M607)))</f>
        <v/>
      </c>
      <c r="V607" s="0" t="str">
        <f aca="false">IF(K607="","",LOWER(N607))</f>
        <v/>
      </c>
      <c r="W607" s="0" t="str">
        <f aca="false">IF(K607="","",G107)</f>
        <v/>
      </c>
      <c r="X607" s="0" t="str">
        <f aca="false">IF(K607="","",1+SUMPRODUCT(($K$2:$K$1001&lt;&gt;"")*(($T$2:$T$1001&lt;T607)+($T$2:$T$1001=T607)*(($U$2:$U$1001&lt;U607)+($U$2:$U$1001=U607)*(($V$2:$V$1001&lt;V607)+($V$2:$V$1001=V607)*(($W$2:$W$1001&lt;W607)+($W$2:$W$1001=W607)*(ROW($K$2:$K$1001)&lt;ROW(K607))))))))</f>
        <v/>
      </c>
    </row>
    <row r="608" customFormat="false" ht="15" hidden="false" customHeight="false" outlineLevel="0" collapsed="false">
      <c r="K608" s="0" t="str">
        <f aca="false">IF(H108="","",IF(SUMPRODUCT(--($C$2:$C$501=H108))&gt;0,"",H108))</f>
        <v/>
      </c>
      <c r="L608" s="0" t="str">
        <f aca="false">IF(K608="","",IF(ISNUMBER('List 2'!A108),'List 2'!A108,TRIM('List 2'!A108)))</f>
        <v/>
      </c>
      <c r="M608" s="0" t="str">
        <f aca="false">IF(K608="","",IF(ISNUMBER('List 2'!C108),'List 2'!C108,TRIM('List 2'!C108)))</f>
        <v/>
      </c>
      <c r="N608" s="0" t="str">
        <f aca="false">IF(K608="","",IF(ISNUMBER('List 2'!D108),'List 2'!D108,TRIM('List 2'!D108)))</f>
        <v/>
      </c>
      <c r="O608" s="0" t="str">
        <f aca="false">IF(K608="","",0)</f>
        <v/>
      </c>
      <c r="P608" s="0" t="str">
        <f aca="false">IF(K608="","",I108)</f>
        <v/>
      </c>
      <c r="Q608" s="0" t="str">
        <f aca="false">IF(K608="","",FALSE())</f>
        <v/>
      </c>
      <c r="R608" s="0" t="str">
        <f aca="false">IF(K608="","",TRUE())</f>
        <v/>
      </c>
      <c r="S608" s="0" t="str">
        <f aca="false">IF(K608="","",IF(AND(Q608,R608),IF(O608=P608,"Match","Qty Different"),IF(Q608,"Only in List 1","Only in List 2")))</f>
        <v/>
      </c>
      <c r="T608" s="0" t="str">
        <f aca="false">IF(K608="","",IF(ISNUMBER(--L608),TEXT(--L608,"000000000000.000"),LOWER(L608)))</f>
        <v/>
      </c>
      <c r="U608" s="0" t="str">
        <f aca="false">IF(K608="","",IF(ISNUMBER(--M608),TEXT(--M608,"000000000000.000"),LOWER(M608)))</f>
        <v/>
      </c>
      <c r="V608" s="0" t="str">
        <f aca="false">IF(K608="","",LOWER(N608))</f>
        <v/>
      </c>
      <c r="W608" s="0" t="str">
        <f aca="false">IF(K608="","",G108)</f>
        <v/>
      </c>
      <c r="X608" s="0" t="str">
        <f aca="false">IF(K608="","",1+SUMPRODUCT(($K$2:$K$1001&lt;&gt;"")*(($T$2:$T$1001&lt;T608)+($T$2:$T$1001=T608)*(($U$2:$U$1001&lt;U608)+($U$2:$U$1001=U608)*(($V$2:$V$1001&lt;V608)+($V$2:$V$1001=V608)*(($W$2:$W$1001&lt;W608)+($W$2:$W$1001=W608)*(ROW($K$2:$K$1001)&lt;ROW(K608))))))))</f>
        <v/>
      </c>
    </row>
    <row r="609" customFormat="false" ht="15" hidden="false" customHeight="false" outlineLevel="0" collapsed="false">
      <c r="K609" s="0" t="str">
        <f aca="false">IF(H109="","",IF(SUMPRODUCT(--($C$2:$C$501=H109))&gt;0,"",H109))</f>
        <v/>
      </c>
      <c r="L609" s="0" t="str">
        <f aca="false">IF(K609="","",IF(ISNUMBER('List 2'!A109),'List 2'!A109,TRIM('List 2'!A109)))</f>
        <v/>
      </c>
      <c r="M609" s="0" t="str">
        <f aca="false">IF(K609="","",IF(ISNUMBER('List 2'!C109),'List 2'!C109,TRIM('List 2'!C109)))</f>
        <v/>
      </c>
      <c r="N609" s="0" t="str">
        <f aca="false">IF(K609="","",IF(ISNUMBER('List 2'!D109),'List 2'!D109,TRIM('List 2'!D109)))</f>
        <v/>
      </c>
      <c r="O609" s="0" t="str">
        <f aca="false">IF(K609="","",0)</f>
        <v/>
      </c>
      <c r="P609" s="0" t="str">
        <f aca="false">IF(K609="","",I109)</f>
        <v/>
      </c>
      <c r="Q609" s="0" t="str">
        <f aca="false">IF(K609="","",FALSE())</f>
        <v/>
      </c>
      <c r="R609" s="0" t="str">
        <f aca="false">IF(K609="","",TRUE())</f>
        <v/>
      </c>
      <c r="S609" s="0" t="str">
        <f aca="false">IF(K609="","",IF(AND(Q609,R609),IF(O609=P609,"Match","Qty Different"),IF(Q609,"Only in List 1","Only in List 2")))</f>
        <v/>
      </c>
      <c r="T609" s="0" t="str">
        <f aca="false">IF(K609="","",IF(ISNUMBER(--L609),TEXT(--L609,"000000000000.000"),LOWER(L609)))</f>
        <v/>
      </c>
      <c r="U609" s="0" t="str">
        <f aca="false">IF(K609="","",IF(ISNUMBER(--M609),TEXT(--M609,"000000000000.000"),LOWER(M609)))</f>
        <v/>
      </c>
      <c r="V609" s="0" t="str">
        <f aca="false">IF(K609="","",LOWER(N609))</f>
        <v/>
      </c>
      <c r="W609" s="0" t="str">
        <f aca="false">IF(K609="","",G109)</f>
        <v/>
      </c>
      <c r="X609" s="0" t="str">
        <f aca="false">IF(K609="","",1+SUMPRODUCT(($K$2:$K$1001&lt;&gt;"")*(($T$2:$T$1001&lt;T609)+($T$2:$T$1001=T609)*(($U$2:$U$1001&lt;U609)+($U$2:$U$1001=U609)*(($V$2:$V$1001&lt;V609)+($V$2:$V$1001=V609)*(($W$2:$W$1001&lt;W609)+($W$2:$W$1001=W609)*(ROW($K$2:$K$1001)&lt;ROW(K609))))))))</f>
        <v/>
      </c>
    </row>
    <row r="610" customFormat="false" ht="15" hidden="false" customHeight="false" outlineLevel="0" collapsed="false">
      <c r="K610" s="0" t="str">
        <f aca="false">IF(H110="","",IF(SUMPRODUCT(--($C$2:$C$501=H110))&gt;0,"",H110))</f>
        <v/>
      </c>
      <c r="L610" s="0" t="str">
        <f aca="false">IF(K610="","",IF(ISNUMBER('List 2'!A110),'List 2'!A110,TRIM('List 2'!A110)))</f>
        <v/>
      </c>
      <c r="M610" s="0" t="str">
        <f aca="false">IF(K610="","",IF(ISNUMBER('List 2'!C110),'List 2'!C110,TRIM('List 2'!C110)))</f>
        <v/>
      </c>
      <c r="N610" s="0" t="str">
        <f aca="false">IF(K610="","",IF(ISNUMBER('List 2'!D110),'List 2'!D110,TRIM('List 2'!D110)))</f>
        <v/>
      </c>
      <c r="O610" s="0" t="str">
        <f aca="false">IF(K610="","",0)</f>
        <v/>
      </c>
      <c r="P610" s="0" t="str">
        <f aca="false">IF(K610="","",I110)</f>
        <v/>
      </c>
      <c r="Q610" s="0" t="str">
        <f aca="false">IF(K610="","",FALSE())</f>
        <v/>
      </c>
      <c r="R610" s="0" t="str">
        <f aca="false">IF(K610="","",TRUE())</f>
        <v/>
      </c>
      <c r="S610" s="0" t="str">
        <f aca="false">IF(K610="","",IF(AND(Q610,R610),IF(O610=P610,"Match","Qty Different"),IF(Q610,"Only in List 1","Only in List 2")))</f>
        <v/>
      </c>
      <c r="T610" s="0" t="str">
        <f aca="false">IF(K610="","",IF(ISNUMBER(--L610),TEXT(--L610,"000000000000.000"),LOWER(L610)))</f>
        <v/>
      </c>
      <c r="U610" s="0" t="str">
        <f aca="false">IF(K610="","",IF(ISNUMBER(--M610),TEXT(--M610,"000000000000.000"),LOWER(M610)))</f>
        <v/>
      </c>
      <c r="V610" s="0" t="str">
        <f aca="false">IF(K610="","",LOWER(N610))</f>
        <v/>
      </c>
      <c r="W610" s="0" t="str">
        <f aca="false">IF(K610="","",G110)</f>
        <v/>
      </c>
      <c r="X610" s="0" t="str">
        <f aca="false">IF(K610="","",1+SUMPRODUCT(($K$2:$K$1001&lt;&gt;"")*(($T$2:$T$1001&lt;T610)+($T$2:$T$1001=T610)*(($U$2:$U$1001&lt;U610)+($U$2:$U$1001=U610)*(($V$2:$V$1001&lt;V610)+($V$2:$V$1001=V610)*(($W$2:$W$1001&lt;W610)+($W$2:$W$1001=W610)*(ROW($K$2:$K$1001)&lt;ROW(K610))))))))</f>
        <v/>
      </c>
    </row>
    <row r="611" customFormat="false" ht="15" hidden="false" customHeight="false" outlineLevel="0" collapsed="false">
      <c r="K611" s="0" t="str">
        <f aca="false">IF(H111="","",IF(SUMPRODUCT(--($C$2:$C$501=H111))&gt;0,"",H111))</f>
        <v/>
      </c>
      <c r="L611" s="0" t="str">
        <f aca="false">IF(K611="","",IF(ISNUMBER('List 2'!A111),'List 2'!A111,TRIM('List 2'!A111)))</f>
        <v/>
      </c>
      <c r="M611" s="0" t="str">
        <f aca="false">IF(K611="","",IF(ISNUMBER('List 2'!C111),'List 2'!C111,TRIM('List 2'!C111)))</f>
        <v/>
      </c>
      <c r="N611" s="0" t="str">
        <f aca="false">IF(K611="","",IF(ISNUMBER('List 2'!D111),'List 2'!D111,TRIM('List 2'!D111)))</f>
        <v/>
      </c>
      <c r="O611" s="0" t="str">
        <f aca="false">IF(K611="","",0)</f>
        <v/>
      </c>
      <c r="P611" s="0" t="str">
        <f aca="false">IF(K611="","",I111)</f>
        <v/>
      </c>
      <c r="Q611" s="0" t="str">
        <f aca="false">IF(K611="","",FALSE())</f>
        <v/>
      </c>
      <c r="R611" s="0" t="str">
        <f aca="false">IF(K611="","",TRUE())</f>
        <v/>
      </c>
      <c r="S611" s="0" t="str">
        <f aca="false">IF(K611="","",IF(AND(Q611,R611),IF(O611=P611,"Match","Qty Different"),IF(Q611,"Only in List 1","Only in List 2")))</f>
        <v/>
      </c>
      <c r="T611" s="0" t="str">
        <f aca="false">IF(K611="","",IF(ISNUMBER(--L611),TEXT(--L611,"000000000000.000"),LOWER(L611)))</f>
        <v/>
      </c>
      <c r="U611" s="0" t="str">
        <f aca="false">IF(K611="","",IF(ISNUMBER(--M611),TEXT(--M611,"000000000000.000"),LOWER(M611)))</f>
        <v/>
      </c>
      <c r="V611" s="0" t="str">
        <f aca="false">IF(K611="","",LOWER(N611))</f>
        <v/>
      </c>
      <c r="W611" s="0" t="str">
        <f aca="false">IF(K611="","",G111)</f>
        <v/>
      </c>
      <c r="X611" s="0" t="str">
        <f aca="false">IF(K611="","",1+SUMPRODUCT(($K$2:$K$1001&lt;&gt;"")*(($T$2:$T$1001&lt;T611)+($T$2:$T$1001=T611)*(($U$2:$U$1001&lt;U611)+($U$2:$U$1001=U611)*(($V$2:$V$1001&lt;V611)+($V$2:$V$1001=V611)*(($W$2:$W$1001&lt;W611)+($W$2:$W$1001=W611)*(ROW($K$2:$K$1001)&lt;ROW(K611))))))))</f>
        <v/>
      </c>
    </row>
    <row r="612" customFormat="false" ht="15" hidden="false" customHeight="false" outlineLevel="0" collapsed="false">
      <c r="K612" s="0" t="str">
        <f aca="false">IF(H112="","",IF(SUMPRODUCT(--($C$2:$C$501=H112))&gt;0,"",H112))</f>
        <v/>
      </c>
      <c r="L612" s="0" t="str">
        <f aca="false">IF(K612="","",IF(ISNUMBER('List 2'!A112),'List 2'!A112,TRIM('List 2'!A112)))</f>
        <v/>
      </c>
      <c r="M612" s="0" t="str">
        <f aca="false">IF(K612="","",IF(ISNUMBER('List 2'!C112),'List 2'!C112,TRIM('List 2'!C112)))</f>
        <v/>
      </c>
      <c r="N612" s="0" t="str">
        <f aca="false">IF(K612="","",IF(ISNUMBER('List 2'!D112),'List 2'!D112,TRIM('List 2'!D112)))</f>
        <v/>
      </c>
      <c r="O612" s="0" t="str">
        <f aca="false">IF(K612="","",0)</f>
        <v/>
      </c>
      <c r="P612" s="0" t="str">
        <f aca="false">IF(K612="","",I112)</f>
        <v/>
      </c>
      <c r="Q612" s="0" t="str">
        <f aca="false">IF(K612="","",FALSE())</f>
        <v/>
      </c>
      <c r="R612" s="0" t="str">
        <f aca="false">IF(K612="","",TRUE())</f>
        <v/>
      </c>
      <c r="S612" s="0" t="str">
        <f aca="false">IF(K612="","",IF(AND(Q612,R612),IF(O612=P612,"Match","Qty Different"),IF(Q612,"Only in List 1","Only in List 2")))</f>
        <v/>
      </c>
      <c r="T612" s="0" t="str">
        <f aca="false">IF(K612="","",IF(ISNUMBER(--L612),TEXT(--L612,"000000000000.000"),LOWER(L612)))</f>
        <v/>
      </c>
      <c r="U612" s="0" t="str">
        <f aca="false">IF(K612="","",IF(ISNUMBER(--M612),TEXT(--M612,"000000000000.000"),LOWER(M612)))</f>
        <v/>
      </c>
      <c r="V612" s="0" t="str">
        <f aca="false">IF(K612="","",LOWER(N612))</f>
        <v/>
      </c>
      <c r="W612" s="0" t="str">
        <f aca="false">IF(K612="","",G112)</f>
        <v/>
      </c>
      <c r="X612" s="0" t="str">
        <f aca="false">IF(K612="","",1+SUMPRODUCT(($K$2:$K$1001&lt;&gt;"")*(($T$2:$T$1001&lt;T612)+($T$2:$T$1001=T612)*(($U$2:$U$1001&lt;U612)+($U$2:$U$1001=U612)*(($V$2:$V$1001&lt;V612)+($V$2:$V$1001=V612)*(($W$2:$W$1001&lt;W612)+($W$2:$W$1001=W612)*(ROW($K$2:$K$1001)&lt;ROW(K612))))))))</f>
        <v/>
      </c>
    </row>
    <row r="613" customFormat="false" ht="15" hidden="false" customHeight="false" outlineLevel="0" collapsed="false">
      <c r="K613" s="0" t="str">
        <f aca="false">IF(H113="","",IF(SUMPRODUCT(--($C$2:$C$501=H113))&gt;0,"",H113))</f>
        <v/>
      </c>
      <c r="L613" s="0" t="str">
        <f aca="false">IF(K613="","",IF(ISNUMBER('List 2'!A113),'List 2'!A113,TRIM('List 2'!A113)))</f>
        <v/>
      </c>
      <c r="M613" s="0" t="str">
        <f aca="false">IF(K613="","",IF(ISNUMBER('List 2'!C113),'List 2'!C113,TRIM('List 2'!C113)))</f>
        <v/>
      </c>
      <c r="N613" s="0" t="str">
        <f aca="false">IF(K613="","",IF(ISNUMBER('List 2'!D113),'List 2'!D113,TRIM('List 2'!D113)))</f>
        <v/>
      </c>
      <c r="O613" s="0" t="str">
        <f aca="false">IF(K613="","",0)</f>
        <v/>
      </c>
      <c r="P613" s="0" t="str">
        <f aca="false">IF(K613="","",I113)</f>
        <v/>
      </c>
      <c r="Q613" s="0" t="str">
        <f aca="false">IF(K613="","",FALSE())</f>
        <v/>
      </c>
      <c r="R613" s="0" t="str">
        <f aca="false">IF(K613="","",TRUE())</f>
        <v/>
      </c>
      <c r="S613" s="0" t="str">
        <f aca="false">IF(K613="","",IF(AND(Q613,R613),IF(O613=P613,"Match","Qty Different"),IF(Q613,"Only in List 1","Only in List 2")))</f>
        <v/>
      </c>
      <c r="T613" s="0" t="str">
        <f aca="false">IF(K613="","",IF(ISNUMBER(--L613),TEXT(--L613,"000000000000.000"),LOWER(L613)))</f>
        <v/>
      </c>
      <c r="U613" s="0" t="str">
        <f aca="false">IF(K613="","",IF(ISNUMBER(--M613),TEXT(--M613,"000000000000.000"),LOWER(M613)))</f>
        <v/>
      </c>
      <c r="V613" s="0" t="str">
        <f aca="false">IF(K613="","",LOWER(N613))</f>
        <v/>
      </c>
      <c r="W613" s="0" t="str">
        <f aca="false">IF(K613="","",G113)</f>
        <v/>
      </c>
      <c r="X613" s="0" t="str">
        <f aca="false">IF(K613="","",1+SUMPRODUCT(($K$2:$K$1001&lt;&gt;"")*(($T$2:$T$1001&lt;T613)+($T$2:$T$1001=T613)*(($U$2:$U$1001&lt;U613)+($U$2:$U$1001=U613)*(($V$2:$V$1001&lt;V613)+($V$2:$V$1001=V613)*(($W$2:$W$1001&lt;W613)+($W$2:$W$1001=W613)*(ROW($K$2:$K$1001)&lt;ROW(K613))))))))</f>
        <v/>
      </c>
    </row>
    <row r="614" customFormat="false" ht="15" hidden="false" customHeight="false" outlineLevel="0" collapsed="false">
      <c r="K614" s="0" t="str">
        <f aca="false">IF(H114="","",IF(SUMPRODUCT(--($C$2:$C$501=H114))&gt;0,"",H114))</f>
        <v/>
      </c>
      <c r="L614" s="0" t="str">
        <f aca="false">IF(K614="","",IF(ISNUMBER('List 2'!A114),'List 2'!A114,TRIM('List 2'!A114)))</f>
        <v/>
      </c>
      <c r="M614" s="0" t="str">
        <f aca="false">IF(K614="","",IF(ISNUMBER('List 2'!C114),'List 2'!C114,TRIM('List 2'!C114)))</f>
        <v/>
      </c>
      <c r="N614" s="0" t="str">
        <f aca="false">IF(K614="","",IF(ISNUMBER('List 2'!D114),'List 2'!D114,TRIM('List 2'!D114)))</f>
        <v/>
      </c>
      <c r="O614" s="0" t="str">
        <f aca="false">IF(K614="","",0)</f>
        <v/>
      </c>
      <c r="P614" s="0" t="str">
        <f aca="false">IF(K614="","",I114)</f>
        <v/>
      </c>
      <c r="Q614" s="0" t="str">
        <f aca="false">IF(K614="","",FALSE())</f>
        <v/>
      </c>
      <c r="R614" s="0" t="str">
        <f aca="false">IF(K614="","",TRUE())</f>
        <v/>
      </c>
      <c r="S614" s="0" t="str">
        <f aca="false">IF(K614="","",IF(AND(Q614,R614),IF(O614=P614,"Match","Qty Different"),IF(Q614,"Only in List 1","Only in List 2")))</f>
        <v/>
      </c>
      <c r="T614" s="0" t="str">
        <f aca="false">IF(K614="","",IF(ISNUMBER(--L614),TEXT(--L614,"000000000000.000"),LOWER(L614)))</f>
        <v/>
      </c>
      <c r="U614" s="0" t="str">
        <f aca="false">IF(K614="","",IF(ISNUMBER(--M614),TEXT(--M614,"000000000000.000"),LOWER(M614)))</f>
        <v/>
      </c>
      <c r="V614" s="0" t="str">
        <f aca="false">IF(K614="","",LOWER(N614))</f>
        <v/>
      </c>
      <c r="W614" s="0" t="str">
        <f aca="false">IF(K614="","",G114)</f>
        <v/>
      </c>
      <c r="X614" s="0" t="str">
        <f aca="false">IF(K614="","",1+SUMPRODUCT(($K$2:$K$1001&lt;&gt;"")*(($T$2:$T$1001&lt;T614)+($T$2:$T$1001=T614)*(($U$2:$U$1001&lt;U614)+($U$2:$U$1001=U614)*(($V$2:$V$1001&lt;V614)+($V$2:$V$1001=V614)*(($W$2:$W$1001&lt;W614)+($W$2:$W$1001=W614)*(ROW($K$2:$K$1001)&lt;ROW(K614))))))))</f>
        <v/>
      </c>
    </row>
    <row r="615" customFormat="false" ht="15" hidden="false" customHeight="false" outlineLevel="0" collapsed="false">
      <c r="K615" s="0" t="str">
        <f aca="false">IF(H115="","",IF(SUMPRODUCT(--($C$2:$C$501=H115))&gt;0,"",H115))</f>
        <v/>
      </c>
      <c r="L615" s="0" t="str">
        <f aca="false">IF(K615="","",IF(ISNUMBER('List 2'!A115),'List 2'!A115,TRIM('List 2'!A115)))</f>
        <v/>
      </c>
      <c r="M615" s="0" t="str">
        <f aca="false">IF(K615="","",IF(ISNUMBER('List 2'!C115),'List 2'!C115,TRIM('List 2'!C115)))</f>
        <v/>
      </c>
      <c r="N615" s="0" t="str">
        <f aca="false">IF(K615="","",IF(ISNUMBER('List 2'!D115),'List 2'!D115,TRIM('List 2'!D115)))</f>
        <v/>
      </c>
      <c r="O615" s="0" t="str">
        <f aca="false">IF(K615="","",0)</f>
        <v/>
      </c>
      <c r="P615" s="0" t="str">
        <f aca="false">IF(K615="","",I115)</f>
        <v/>
      </c>
      <c r="Q615" s="0" t="str">
        <f aca="false">IF(K615="","",FALSE())</f>
        <v/>
      </c>
      <c r="R615" s="0" t="str">
        <f aca="false">IF(K615="","",TRUE())</f>
        <v/>
      </c>
      <c r="S615" s="0" t="str">
        <f aca="false">IF(K615="","",IF(AND(Q615,R615),IF(O615=P615,"Match","Qty Different"),IF(Q615,"Only in List 1","Only in List 2")))</f>
        <v/>
      </c>
      <c r="T615" s="0" t="str">
        <f aca="false">IF(K615="","",IF(ISNUMBER(--L615),TEXT(--L615,"000000000000.000"),LOWER(L615)))</f>
        <v/>
      </c>
      <c r="U615" s="0" t="str">
        <f aca="false">IF(K615="","",IF(ISNUMBER(--M615),TEXT(--M615,"000000000000.000"),LOWER(M615)))</f>
        <v/>
      </c>
      <c r="V615" s="0" t="str">
        <f aca="false">IF(K615="","",LOWER(N615))</f>
        <v/>
      </c>
      <c r="W615" s="0" t="str">
        <f aca="false">IF(K615="","",G115)</f>
        <v/>
      </c>
      <c r="X615" s="0" t="str">
        <f aca="false">IF(K615="","",1+SUMPRODUCT(($K$2:$K$1001&lt;&gt;"")*(($T$2:$T$1001&lt;T615)+($T$2:$T$1001=T615)*(($U$2:$U$1001&lt;U615)+($U$2:$U$1001=U615)*(($V$2:$V$1001&lt;V615)+($V$2:$V$1001=V615)*(($W$2:$W$1001&lt;W615)+($W$2:$W$1001=W615)*(ROW($K$2:$K$1001)&lt;ROW(K615))))))))</f>
        <v/>
      </c>
    </row>
    <row r="616" customFormat="false" ht="15" hidden="false" customHeight="false" outlineLevel="0" collapsed="false">
      <c r="K616" s="0" t="str">
        <f aca="false">IF(H116="","",IF(SUMPRODUCT(--($C$2:$C$501=H116))&gt;0,"",H116))</f>
        <v/>
      </c>
      <c r="L616" s="0" t="str">
        <f aca="false">IF(K616="","",IF(ISNUMBER('List 2'!A116),'List 2'!A116,TRIM('List 2'!A116)))</f>
        <v/>
      </c>
      <c r="M616" s="0" t="str">
        <f aca="false">IF(K616="","",IF(ISNUMBER('List 2'!C116),'List 2'!C116,TRIM('List 2'!C116)))</f>
        <v/>
      </c>
      <c r="N616" s="0" t="str">
        <f aca="false">IF(K616="","",IF(ISNUMBER('List 2'!D116),'List 2'!D116,TRIM('List 2'!D116)))</f>
        <v/>
      </c>
      <c r="O616" s="0" t="str">
        <f aca="false">IF(K616="","",0)</f>
        <v/>
      </c>
      <c r="P616" s="0" t="str">
        <f aca="false">IF(K616="","",I116)</f>
        <v/>
      </c>
      <c r="Q616" s="0" t="str">
        <f aca="false">IF(K616="","",FALSE())</f>
        <v/>
      </c>
      <c r="R616" s="0" t="str">
        <f aca="false">IF(K616="","",TRUE())</f>
        <v/>
      </c>
      <c r="S616" s="0" t="str">
        <f aca="false">IF(K616="","",IF(AND(Q616,R616),IF(O616=P616,"Match","Qty Different"),IF(Q616,"Only in List 1","Only in List 2")))</f>
        <v/>
      </c>
      <c r="T616" s="0" t="str">
        <f aca="false">IF(K616="","",IF(ISNUMBER(--L616),TEXT(--L616,"000000000000.000"),LOWER(L616)))</f>
        <v/>
      </c>
      <c r="U616" s="0" t="str">
        <f aca="false">IF(K616="","",IF(ISNUMBER(--M616),TEXT(--M616,"000000000000.000"),LOWER(M616)))</f>
        <v/>
      </c>
      <c r="V616" s="0" t="str">
        <f aca="false">IF(K616="","",LOWER(N616))</f>
        <v/>
      </c>
      <c r="W616" s="0" t="str">
        <f aca="false">IF(K616="","",G116)</f>
        <v/>
      </c>
      <c r="X616" s="0" t="str">
        <f aca="false">IF(K616="","",1+SUMPRODUCT(($K$2:$K$1001&lt;&gt;"")*(($T$2:$T$1001&lt;T616)+($T$2:$T$1001=T616)*(($U$2:$U$1001&lt;U616)+($U$2:$U$1001=U616)*(($V$2:$V$1001&lt;V616)+($V$2:$V$1001=V616)*(($W$2:$W$1001&lt;W616)+($W$2:$W$1001=W616)*(ROW($K$2:$K$1001)&lt;ROW(K616))))))))</f>
        <v/>
      </c>
    </row>
    <row r="617" customFormat="false" ht="15" hidden="false" customHeight="false" outlineLevel="0" collapsed="false">
      <c r="K617" s="0" t="str">
        <f aca="false">IF(H117="","",IF(SUMPRODUCT(--($C$2:$C$501=H117))&gt;0,"",H117))</f>
        <v/>
      </c>
      <c r="L617" s="0" t="str">
        <f aca="false">IF(K617="","",IF(ISNUMBER('List 2'!A117),'List 2'!A117,TRIM('List 2'!A117)))</f>
        <v/>
      </c>
      <c r="M617" s="0" t="str">
        <f aca="false">IF(K617="","",IF(ISNUMBER('List 2'!C117),'List 2'!C117,TRIM('List 2'!C117)))</f>
        <v/>
      </c>
      <c r="N617" s="0" t="str">
        <f aca="false">IF(K617="","",IF(ISNUMBER('List 2'!D117),'List 2'!D117,TRIM('List 2'!D117)))</f>
        <v/>
      </c>
      <c r="O617" s="0" t="str">
        <f aca="false">IF(K617="","",0)</f>
        <v/>
      </c>
      <c r="P617" s="0" t="str">
        <f aca="false">IF(K617="","",I117)</f>
        <v/>
      </c>
      <c r="Q617" s="0" t="str">
        <f aca="false">IF(K617="","",FALSE())</f>
        <v/>
      </c>
      <c r="R617" s="0" t="str">
        <f aca="false">IF(K617="","",TRUE())</f>
        <v/>
      </c>
      <c r="S617" s="0" t="str">
        <f aca="false">IF(K617="","",IF(AND(Q617,R617),IF(O617=P617,"Match","Qty Different"),IF(Q617,"Only in List 1","Only in List 2")))</f>
        <v/>
      </c>
      <c r="T617" s="0" t="str">
        <f aca="false">IF(K617="","",IF(ISNUMBER(--L617),TEXT(--L617,"000000000000.000"),LOWER(L617)))</f>
        <v/>
      </c>
      <c r="U617" s="0" t="str">
        <f aca="false">IF(K617="","",IF(ISNUMBER(--M617),TEXT(--M617,"000000000000.000"),LOWER(M617)))</f>
        <v/>
      </c>
      <c r="V617" s="0" t="str">
        <f aca="false">IF(K617="","",LOWER(N617))</f>
        <v/>
      </c>
      <c r="W617" s="0" t="str">
        <f aca="false">IF(K617="","",G117)</f>
        <v/>
      </c>
      <c r="X617" s="0" t="str">
        <f aca="false">IF(K617="","",1+SUMPRODUCT(($K$2:$K$1001&lt;&gt;"")*(($T$2:$T$1001&lt;T617)+($T$2:$T$1001=T617)*(($U$2:$U$1001&lt;U617)+($U$2:$U$1001=U617)*(($V$2:$V$1001&lt;V617)+($V$2:$V$1001=V617)*(($W$2:$W$1001&lt;W617)+($W$2:$W$1001=W617)*(ROW($K$2:$K$1001)&lt;ROW(K617))))))))</f>
        <v/>
      </c>
    </row>
    <row r="618" customFormat="false" ht="15" hidden="false" customHeight="false" outlineLevel="0" collapsed="false">
      <c r="K618" s="0" t="str">
        <f aca="false">IF(H118="","",IF(SUMPRODUCT(--($C$2:$C$501=H118))&gt;0,"",H118))</f>
        <v/>
      </c>
      <c r="L618" s="0" t="str">
        <f aca="false">IF(K618="","",IF(ISNUMBER('List 2'!A118),'List 2'!A118,TRIM('List 2'!A118)))</f>
        <v/>
      </c>
      <c r="M618" s="0" t="str">
        <f aca="false">IF(K618="","",IF(ISNUMBER('List 2'!C118),'List 2'!C118,TRIM('List 2'!C118)))</f>
        <v/>
      </c>
      <c r="N618" s="0" t="str">
        <f aca="false">IF(K618="","",IF(ISNUMBER('List 2'!D118),'List 2'!D118,TRIM('List 2'!D118)))</f>
        <v/>
      </c>
      <c r="O618" s="0" t="str">
        <f aca="false">IF(K618="","",0)</f>
        <v/>
      </c>
      <c r="P618" s="0" t="str">
        <f aca="false">IF(K618="","",I118)</f>
        <v/>
      </c>
      <c r="Q618" s="0" t="str">
        <f aca="false">IF(K618="","",FALSE())</f>
        <v/>
      </c>
      <c r="R618" s="0" t="str">
        <f aca="false">IF(K618="","",TRUE())</f>
        <v/>
      </c>
      <c r="S618" s="0" t="str">
        <f aca="false">IF(K618="","",IF(AND(Q618,R618),IF(O618=P618,"Match","Qty Different"),IF(Q618,"Only in List 1","Only in List 2")))</f>
        <v/>
      </c>
      <c r="T618" s="0" t="str">
        <f aca="false">IF(K618="","",IF(ISNUMBER(--L618),TEXT(--L618,"000000000000.000"),LOWER(L618)))</f>
        <v/>
      </c>
      <c r="U618" s="0" t="str">
        <f aca="false">IF(K618="","",IF(ISNUMBER(--M618),TEXT(--M618,"000000000000.000"),LOWER(M618)))</f>
        <v/>
      </c>
      <c r="V618" s="0" t="str">
        <f aca="false">IF(K618="","",LOWER(N618))</f>
        <v/>
      </c>
      <c r="W618" s="0" t="str">
        <f aca="false">IF(K618="","",G118)</f>
        <v/>
      </c>
      <c r="X618" s="0" t="str">
        <f aca="false">IF(K618="","",1+SUMPRODUCT(($K$2:$K$1001&lt;&gt;"")*(($T$2:$T$1001&lt;T618)+($T$2:$T$1001=T618)*(($U$2:$U$1001&lt;U618)+($U$2:$U$1001=U618)*(($V$2:$V$1001&lt;V618)+($V$2:$V$1001=V618)*(($W$2:$W$1001&lt;W618)+($W$2:$W$1001=W618)*(ROW($K$2:$K$1001)&lt;ROW(K618))))))))</f>
        <v/>
      </c>
    </row>
    <row r="619" customFormat="false" ht="15" hidden="false" customHeight="false" outlineLevel="0" collapsed="false">
      <c r="K619" s="0" t="str">
        <f aca="false">IF(H119="","",IF(SUMPRODUCT(--($C$2:$C$501=H119))&gt;0,"",H119))</f>
        <v/>
      </c>
      <c r="L619" s="0" t="str">
        <f aca="false">IF(K619="","",IF(ISNUMBER('List 2'!A119),'List 2'!A119,TRIM('List 2'!A119)))</f>
        <v/>
      </c>
      <c r="M619" s="0" t="str">
        <f aca="false">IF(K619="","",IF(ISNUMBER('List 2'!C119),'List 2'!C119,TRIM('List 2'!C119)))</f>
        <v/>
      </c>
      <c r="N619" s="0" t="str">
        <f aca="false">IF(K619="","",IF(ISNUMBER('List 2'!D119),'List 2'!D119,TRIM('List 2'!D119)))</f>
        <v/>
      </c>
      <c r="O619" s="0" t="str">
        <f aca="false">IF(K619="","",0)</f>
        <v/>
      </c>
      <c r="P619" s="0" t="str">
        <f aca="false">IF(K619="","",I119)</f>
        <v/>
      </c>
      <c r="Q619" s="0" t="str">
        <f aca="false">IF(K619="","",FALSE())</f>
        <v/>
      </c>
      <c r="R619" s="0" t="str">
        <f aca="false">IF(K619="","",TRUE())</f>
        <v/>
      </c>
      <c r="S619" s="0" t="str">
        <f aca="false">IF(K619="","",IF(AND(Q619,R619),IF(O619=P619,"Match","Qty Different"),IF(Q619,"Only in List 1","Only in List 2")))</f>
        <v/>
      </c>
      <c r="T619" s="0" t="str">
        <f aca="false">IF(K619="","",IF(ISNUMBER(--L619),TEXT(--L619,"000000000000.000"),LOWER(L619)))</f>
        <v/>
      </c>
      <c r="U619" s="0" t="str">
        <f aca="false">IF(K619="","",IF(ISNUMBER(--M619),TEXT(--M619,"000000000000.000"),LOWER(M619)))</f>
        <v/>
      </c>
      <c r="V619" s="0" t="str">
        <f aca="false">IF(K619="","",LOWER(N619))</f>
        <v/>
      </c>
      <c r="W619" s="0" t="str">
        <f aca="false">IF(K619="","",G119)</f>
        <v/>
      </c>
      <c r="X619" s="0" t="str">
        <f aca="false">IF(K619="","",1+SUMPRODUCT(($K$2:$K$1001&lt;&gt;"")*(($T$2:$T$1001&lt;T619)+($T$2:$T$1001=T619)*(($U$2:$U$1001&lt;U619)+($U$2:$U$1001=U619)*(($V$2:$V$1001&lt;V619)+($V$2:$V$1001=V619)*(($W$2:$W$1001&lt;W619)+($W$2:$W$1001=W619)*(ROW($K$2:$K$1001)&lt;ROW(K619))))))))</f>
        <v/>
      </c>
    </row>
    <row r="620" customFormat="false" ht="15" hidden="false" customHeight="false" outlineLevel="0" collapsed="false">
      <c r="K620" s="0" t="str">
        <f aca="false">IF(H120="","",IF(SUMPRODUCT(--($C$2:$C$501=H120))&gt;0,"",H120))</f>
        <v/>
      </c>
      <c r="L620" s="0" t="str">
        <f aca="false">IF(K620="","",IF(ISNUMBER('List 2'!A120),'List 2'!A120,TRIM('List 2'!A120)))</f>
        <v/>
      </c>
      <c r="M620" s="0" t="str">
        <f aca="false">IF(K620="","",IF(ISNUMBER('List 2'!C120),'List 2'!C120,TRIM('List 2'!C120)))</f>
        <v/>
      </c>
      <c r="N620" s="0" t="str">
        <f aca="false">IF(K620="","",IF(ISNUMBER('List 2'!D120),'List 2'!D120,TRIM('List 2'!D120)))</f>
        <v/>
      </c>
      <c r="O620" s="0" t="str">
        <f aca="false">IF(K620="","",0)</f>
        <v/>
      </c>
      <c r="P620" s="0" t="str">
        <f aca="false">IF(K620="","",I120)</f>
        <v/>
      </c>
      <c r="Q620" s="0" t="str">
        <f aca="false">IF(K620="","",FALSE())</f>
        <v/>
      </c>
      <c r="R620" s="0" t="str">
        <f aca="false">IF(K620="","",TRUE())</f>
        <v/>
      </c>
      <c r="S620" s="0" t="str">
        <f aca="false">IF(K620="","",IF(AND(Q620,R620),IF(O620=P620,"Match","Qty Different"),IF(Q620,"Only in List 1","Only in List 2")))</f>
        <v/>
      </c>
      <c r="T620" s="0" t="str">
        <f aca="false">IF(K620="","",IF(ISNUMBER(--L620),TEXT(--L620,"000000000000.000"),LOWER(L620)))</f>
        <v/>
      </c>
      <c r="U620" s="0" t="str">
        <f aca="false">IF(K620="","",IF(ISNUMBER(--M620),TEXT(--M620,"000000000000.000"),LOWER(M620)))</f>
        <v/>
      </c>
      <c r="V620" s="0" t="str">
        <f aca="false">IF(K620="","",LOWER(N620))</f>
        <v/>
      </c>
      <c r="W620" s="0" t="str">
        <f aca="false">IF(K620="","",G120)</f>
        <v/>
      </c>
      <c r="X620" s="0" t="str">
        <f aca="false">IF(K620="","",1+SUMPRODUCT(($K$2:$K$1001&lt;&gt;"")*(($T$2:$T$1001&lt;T620)+($T$2:$T$1001=T620)*(($U$2:$U$1001&lt;U620)+($U$2:$U$1001=U620)*(($V$2:$V$1001&lt;V620)+($V$2:$V$1001=V620)*(($W$2:$W$1001&lt;W620)+($W$2:$W$1001=W620)*(ROW($K$2:$K$1001)&lt;ROW(K620))))))))</f>
        <v/>
      </c>
    </row>
    <row r="621" customFormat="false" ht="15" hidden="false" customHeight="false" outlineLevel="0" collapsed="false">
      <c r="K621" s="0" t="str">
        <f aca="false">IF(H121="","",IF(SUMPRODUCT(--($C$2:$C$501=H121))&gt;0,"",H121))</f>
        <v/>
      </c>
      <c r="L621" s="0" t="str">
        <f aca="false">IF(K621="","",IF(ISNUMBER('List 2'!A121),'List 2'!A121,TRIM('List 2'!A121)))</f>
        <v/>
      </c>
      <c r="M621" s="0" t="str">
        <f aca="false">IF(K621="","",IF(ISNUMBER('List 2'!C121),'List 2'!C121,TRIM('List 2'!C121)))</f>
        <v/>
      </c>
      <c r="N621" s="0" t="str">
        <f aca="false">IF(K621="","",IF(ISNUMBER('List 2'!D121),'List 2'!D121,TRIM('List 2'!D121)))</f>
        <v/>
      </c>
      <c r="O621" s="0" t="str">
        <f aca="false">IF(K621="","",0)</f>
        <v/>
      </c>
      <c r="P621" s="0" t="str">
        <f aca="false">IF(K621="","",I121)</f>
        <v/>
      </c>
      <c r="Q621" s="0" t="str">
        <f aca="false">IF(K621="","",FALSE())</f>
        <v/>
      </c>
      <c r="R621" s="0" t="str">
        <f aca="false">IF(K621="","",TRUE())</f>
        <v/>
      </c>
      <c r="S621" s="0" t="str">
        <f aca="false">IF(K621="","",IF(AND(Q621,R621),IF(O621=P621,"Match","Qty Different"),IF(Q621,"Only in List 1","Only in List 2")))</f>
        <v/>
      </c>
      <c r="T621" s="0" t="str">
        <f aca="false">IF(K621="","",IF(ISNUMBER(--L621),TEXT(--L621,"000000000000.000"),LOWER(L621)))</f>
        <v/>
      </c>
      <c r="U621" s="0" t="str">
        <f aca="false">IF(K621="","",IF(ISNUMBER(--M621),TEXT(--M621,"000000000000.000"),LOWER(M621)))</f>
        <v/>
      </c>
      <c r="V621" s="0" t="str">
        <f aca="false">IF(K621="","",LOWER(N621))</f>
        <v/>
      </c>
      <c r="W621" s="0" t="str">
        <f aca="false">IF(K621="","",G121)</f>
        <v/>
      </c>
      <c r="X621" s="0" t="str">
        <f aca="false">IF(K621="","",1+SUMPRODUCT(($K$2:$K$1001&lt;&gt;"")*(($T$2:$T$1001&lt;T621)+($T$2:$T$1001=T621)*(($U$2:$U$1001&lt;U621)+($U$2:$U$1001=U621)*(($V$2:$V$1001&lt;V621)+($V$2:$V$1001=V621)*(($W$2:$W$1001&lt;W621)+($W$2:$W$1001=W621)*(ROW($K$2:$K$1001)&lt;ROW(K621))))))))</f>
        <v/>
      </c>
    </row>
    <row r="622" customFormat="false" ht="15" hidden="false" customHeight="false" outlineLevel="0" collapsed="false">
      <c r="K622" s="0" t="str">
        <f aca="false">IF(H122="","",IF(SUMPRODUCT(--($C$2:$C$501=H122))&gt;0,"",H122))</f>
        <v/>
      </c>
      <c r="L622" s="0" t="str">
        <f aca="false">IF(K622="","",IF(ISNUMBER('List 2'!A122),'List 2'!A122,TRIM('List 2'!A122)))</f>
        <v/>
      </c>
      <c r="M622" s="0" t="str">
        <f aca="false">IF(K622="","",IF(ISNUMBER('List 2'!C122),'List 2'!C122,TRIM('List 2'!C122)))</f>
        <v/>
      </c>
      <c r="N622" s="0" t="str">
        <f aca="false">IF(K622="","",IF(ISNUMBER('List 2'!D122),'List 2'!D122,TRIM('List 2'!D122)))</f>
        <v/>
      </c>
      <c r="O622" s="0" t="str">
        <f aca="false">IF(K622="","",0)</f>
        <v/>
      </c>
      <c r="P622" s="0" t="str">
        <f aca="false">IF(K622="","",I122)</f>
        <v/>
      </c>
      <c r="Q622" s="0" t="str">
        <f aca="false">IF(K622="","",FALSE())</f>
        <v/>
      </c>
      <c r="R622" s="0" t="str">
        <f aca="false">IF(K622="","",TRUE())</f>
        <v/>
      </c>
      <c r="S622" s="0" t="str">
        <f aca="false">IF(K622="","",IF(AND(Q622,R622),IF(O622=P622,"Match","Qty Different"),IF(Q622,"Only in List 1","Only in List 2")))</f>
        <v/>
      </c>
      <c r="T622" s="0" t="str">
        <f aca="false">IF(K622="","",IF(ISNUMBER(--L622),TEXT(--L622,"000000000000.000"),LOWER(L622)))</f>
        <v/>
      </c>
      <c r="U622" s="0" t="str">
        <f aca="false">IF(K622="","",IF(ISNUMBER(--M622),TEXT(--M622,"000000000000.000"),LOWER(M622)))</f>
        <v/>
      </c>
      <c r="V622" s="0" t="str">
        <f aca="false">IF(K622="","",LOWER(N622))</f>
        <v/>
      </c>
      <c r="W622" s="0" t="str">
        <f aca="false">IF(K622="","",G122)</f>
        <v/>
      </c>
      <c r="X622" s="0" t="str">
        <f aca="false">IF(K622="","",1+SUMPRODUCT(($K$2:$K$1001&lt;&gt;"")*(($T$2:$T$1001&lt;T622)+($T$2:$T$1001=T622)*(($U$2:$U$1001&lt;U622)+($U$2:$U$1001=U622)*(($V$2:$V$1001&lt;V622)+($V$2:$V$1001=V622)*(($W$2:$W$1001&lt;W622)+($W$2:$W$1001=W622)*(ROW($K$2:$K$1001)&lt;ROW(K622))))))))</f>
        <v/>
      </c>
    </row>
    <row r="623" customFormat="false" ht="15" hidden="false" customHeight="false" outlineLevel="0" collapsed="false">
      <c r="K623" s="0" t="str">
        <f aca="false">IF(H123="","",IF(SUMPRODUCT(--($C$2:$C$501=H123))&gt;0,"",H123))</f>
        <v/>
      </c>
      <c r="L623" s="0" t="str">
        <f aca="false">IF(K623="","",IF(ISNUMBER('List 2'!A123),'List 2'!A123,TRIM('List 2'!A123)))</f>
        <v/>
      </c>
      <c r="M623" s="0" t="str">
        <f aca="false">IF(K623="","",IF(ISNUMBER('List 2'!C123),'List 2'!C123,TRIM('List 2'!C123)))</f>
        <v/>
      </c>
      <c r="N623" s="0" t="str">
        <f aca="false">IF(K623="","",IF(ISNUMBER('List 2'!D123),'List 2'!D123,TRIM('List 2'!D123)))</f>
        <v/>
      </c>
      <c r="O623" s="0" t="str">
        <f aca="false">IF(K623="","",0)</f>
        <v/>
      </c>
      <c r="P623" s="0" t="str">
        <f aca="false">IF(K623="","",I123)</f>
        <v/>
      </c>
      <c r="Q623" s="0" t="str">
        <f aca="false">IF(K623="","",FALSE())</f>
        <v/>
      </c>
      <c r="R623" s="0" t="str">
        <f aca="false">IF(K623="","",TRUE())</f>
        <v/>
      </c>
      <c r="S623" s="0" t="str">
        <f aca="false">IF(K623="","",IF(AND(Q623,R623),IF(O623=P623,"Match","Qty Different"),IF(Q623,"Only in List 1","Only in List 2")))</f>
        <v/>
      </c>
      <c r="T623" s="0" t="str">
        <f aca="false">IF(K623="","",IF(ISNUMBER(--L623),TEXT(--L623,"000000000000.000"),LOWER(L623)))</f>
        <v/>
      </c>
      <c r="U623" s="0" t="str">
        <f aca="false">IF(K623="","",IF(ISNUMBER(--M623),TEXT(--M623,"000000000000.000"),LOWER(M623)))</f>
        <v/>
      </c>
      <c r="V623" s="0" t="str">
        <f aca="false">IF(K623="","",LOWER(N623))</f>
        <v/>
      </c>
      <c r="W623" s="0" t="str">
        <f aca="false">IF(K623="","",G123)</f>
        <v/>
      </c>
      <c r="X623" s="0" t="str">
        <f aca="false">IF(K623="","",1+SUMPRODUCT(($K$2:$K$1001&lt;&gt;"")*(($T$2:$T$1001&lt;T623)+($T$2:$T$1001=T623)*(($U$2:$U$1001&lt;U623)+($U$2:$U$1001=U623)*(($V$2:$V$1001&lt;V623)+($V$2:$V$1001=V623)*(($W$2:$W$1001&lt;W623)+($W$2:$W$1001=W623)*(ROW($K$2:$K$1001)&lt;ROW(K623))))))))</f>
        <v/>
      </c>
    </row>
    <row r="624" customFormat="false" ht="15" hidden="false" customHeight="false" outlineLevel="0" collapsed="false">
      <c r="K624" s="0" t="str">
        <f aca="false">IF(H124="","",IF(SUMPRODUCT(--($C$2:$C$501=H124))&gt;0,"",H124))</f>
        <v/>
      </c>
      <c r="L624" s="0" t="str">
        <f aca="false">IF(K624="","",IF(ISNUMBER('List 2'!A124),'List 2'!A124,TRIM('List 2'!A124)))</f>
        <v/>
      </c>
      <c r="M624" s="0" t="str">
        <f aca="false">IF(K624="","",IF(ISNUMBER('List 2'!C124),'List 2'!C124,TRIM('List 2'!C124)))</f>
        <v/>
      </c>
      <c r="N624" s="0" t="str">
        <f aca="false">IF(K624="","",IF(ISNUMBER('List 2'!D124),'List 2'!D124,TRIM('List 2'!D124)))</f>
        <v/>
      </c>
      <c r="O624" s="0" t="str">
        <f aca="false">IF(K624="","",0)</f>
        <v/>
      </c>
      <c r="P624" s="0" t="str">
        <f aca="false">IF(K624="","",I124)</f>
        <v/>
      </c>
      <c r="Q624" s="0" t="str">
        <f aca="false">IF(K624="","",FALSE())</f>
        <v/>
      </c>
      <c r="R624" s="0" t="str">
        <f aca="false">IF(K624="","",TRUE())</f>
        <v/>
      </c>
      <c r="S624" s="0" t="str">
        <f aca="false">IF(K624="","",IF(AND(Q624,R624),IF(O624=P624,"Match","Qty Different"),IF(Q624,"Only in List 1","Only in List 2")))</f>
        <v/>
      </c>
      <c r="T624" s="0" t="str">
        <f aca="false">IF(K624="","",IF(ISNUMBER(--L624),TEXT(--L624,"000000000000.000"),LOWER(L624)))</f>
        <v/>
      </c>
      <c r="U624" s="0" t="str">
        <f aca="false">IF(K624="","",IF(ISNUMBER(--M624),TEXT(--M624,"000000000000.000"),LOWER(M624)))</f>
        <v/>
      </c>
      <c r="V624" s="0" t="str">
        <f aca="false">IF(K624="","",LOWER(N624))</f>
        <v/>
      </c>
      <c r="W624" s="0" t="str">
        <f aca="false">IF(K624="","",G124)</f>
        <v/>
      </c>
      <c r="X624" s="0" t="str">
        <f aca="false">IF(K624="","",1+SUMPRODUCT(($K$2:$K$1001&lt;&gt;"")*(($T$2:$T$1001&lt;T624)+($T$2:$T$1001=T624)*(($U$2:$U$1001&lt;U624)+($U$2:$U$1001=U624)*(($V$2:$V$1001&lt;V624)+($V$2:$V$1001=V624)*(($W$2:$W$1001&lt;W624)+($W$2:$W$1001=W624)*(ROW($K$2:$K$1001)&lt;ROW(K624))))))))</f>
        <v/>
      </c>
    </row>
    <row r="625" customFormat="false" ht="15" hidden="false" customHeight="false" outlineLevel="0" collapsed="false">
      <c r="K625" s="0" t="str">
        <f aca="false">IF(H125="","",IF(SUMPRODUCT(--($C$2:$C$501=H125))&gt;0,"",H125))</f>
        <v/>
      </c>
      <c r="L625" s="0" t="str">
        <f aca="false">IF(K625="","",IF(ISNUMBER('List 2'!A125),'List 2'!A125,TRIM('List 2'!A125)))</f>
        <v/>
      </c>
      <c r="M625" s="0" t="str">
        <f aca="false">IF(K625="","",IF(ISNUMBER('List 2'!C125),'List 2'!C125,TRIM('List 2'!C125)))</f>
        <v/>
      </c>
      <c r="N625" s="0" t="str">
        <f aca="false">IF(K625="","",IF(ISNUMBER('List 2'!D125),'List 2'!D125,TRIM('List 2'!D125)))</f>
        <v/>
      </c>
      <c r="O625" s="0" t="str">
        <f aca="false">IF(K625="","",0)</f>
        <v/>
      </c>
      <c r="P625" s="0" t="str">
        <f aca="false">IF(K625="","",I125)</f>
        <v/>
      </c>
      <c r="Q625" s="0" t="str">
        <f aca="false">IF(K625="","",FALSE())</f>
        <v/>
      </c>
      <c r="R625" s="0" t="str">
        <f aca="false">IF(K625="","",TRUE())</f>
        <v/>
      </c>
      <c r="S625" s="0" t="str">
        <f aca="false">IF(K625="","",IF(AND(Q625,R625),IF(O625=P625,"Match","Qty Different"),IF(Q625,"Only in List 1","Only in List 2")))</f>
        <v/>
      </c>
      <c r="T625" s="0" t="str">
        <f aca="false">IF(K625="","",IF(ISNUMBER(--L625),TEXT(--L625,"000000000000.000"),LOWER(L625)))</f>
        <v/>
      </c>
      <c r="U625" s="0" t="str">
        <f aca="false">IF(K625="","",IF(ISNUMBER(--M625),TEXT(--M625,"000000000000.000"),LOWER(M625)))</f>
        <v/>
      </c>
      <c r="V625" s="0" t="str">
        <f aca="false">IF(K625="","",LOWER(N625))</f>
        <v/>
      </c>
      <c r="W625" s="0" t="str">
        <f aca="false">IF(K625="","",G125)</f>
        <v/>
      </c>
      <c r="X625" s="0" t="str">
        <f aca="false">IF(K625="","",1+SUMPRODUCT(($K$2:$K$1001&lt;&gt;"")*(($T$2:$T$1001&lt;T625)+($T$2:$T$1001=T625)*(($U$2:$U$1001&lt;U625)+($U$2:$U$1001=U625)*(($V$2:$V$1001&lt;V625)+($V$2:$V$1001=V625)*(($W$2:$W$1001&lt;W625)+($W$2:$W$1001=W625)*(ROW($K$2:$K$1001)&lt;ROW(K625))))))))</f>
        <v/>
      </c>
    </row>
    <row r="626" customFormat="false" ht="15" hidden="false" customHeight="false" outlineLevel="0" collapsed="false">
      <c r="K626" s="0" t="str">
        <f aca="false">IF(H126="","",IF(SUMPRODUCT(--($C$2:$C$501=H126))&gt;0,"",H126))</f>
        <v/>
      </c>
      <c r="L626" s="0" t="str">
        <f aca="false">IF(K626="","",IF(ISNUMBER('List 2'!A126),'List 2'!A126,TRIM('List 2'!A126)))</f>
        <v/>
      </c>
      <c r="M626" s="0" t="str">
        <f aca="false">IF(K626="","",IF(ISNUMBER('List 2'!C126),'List 2'!C126,TRIM('List 2'!C126)))</f>
        <v/>
      </c>
      <c r="N626" s="0" t="str">
        <f aca="false">IF(K626="","",IF(ISNUMBER('List 2'!D126),'List 2'!D126,TRIM('List 2'!D126)))</f>
        <v/>
      </c>
      <c r="O626" s="0" t="str">
        <f aca="false">IF(K626="","",0)</f>
        <v/>
      </c>
      <c r="P626" s="0" t="str">
        <f aca="false">IF(K626="","",I126)</f>
        <v/>
      </c>
      <c r="Q626" s="0" t="str">
        <f aca="false">IF(K626="","",FALSE())</f>
        <v/>
      </c>
      <c r="R626" s="0" t="str">
        <f aca="false">IF(K626="","",TRUE())</f>
        <v/>
      </c>
      <c r="S626" s="0" t="str">
        <f aca="false">IF(K626="","",IF(AND(Q626,R626),IF(O626=P626,"Match","Qty Different"),IF(Q626,"Only in List 1","Only in List 2")))</f>
        <v/>
      </c>
      <c r="T626" s="0" t="str">
        <f aca="false">IF(K626="","",IF(ISNUMBER(--L626),TEXT(--L626,"000000000000.000"),LOWER(L626)))</f>
        <v/>
      </c>
      <c r="U626" s="0" t="str">
        <f aca="false">IF(K626="","",IF(ISNUMBER(--M626),TEXT(--M626,"000000000000.000"),LOWER(M626)))</f>
        <v/>
      </c>
      <c r="V626" s="0" t="str">
        <f aca="false">IF(K626="","",LOWER(N626))</f>
        <v/>
      </c>
      <c r="W626" s="0" t="str">
        <f aca="false">IF(K626="","",G126)</f>
        <v/>
      </c>
      <c r="X626" s="0" t="str">
        <f aca="false">IF(K626="","",1+SUMPRODUCT(($K$2:$K$1001&lt;&gt;"")*(($T$2:$T$1001&lt;T626)+($T$2:$T$1001=T626)*(($U$2:$U$1001&lt;U626)+($U$2:$U$1001=U626)*(($V$2:$V$1001&lt;V626)+($V$2:$V$1001=V626)*(($W$2:$W$1001&lt;W626)+($W$2:$W$1001=W626)*(ROW($K$2:$K$1001)&lt;ROW(K626))))))))</f>
        <v/>
      </c>
    </row>
    <row r="627" customFormat="false" ht="15" hidden="false" customHeight="false" outlineLevel="0" collapsed="false">
      <c r="K627" s="0" t="str">
        <f aca="false">IF(H127="","",IF(SUMPRODUCT(--($C$2:$C$501=H127))&gt;0,"",H127))</f>
        <v/>
      </c>
      <c r="L627" s="0" t="str">
        <f aca="false">IF(K627="","",IF(ISNUMBER('List 2'!A127),'List 2'!A127,TRIM('List 2'!A127)))</f>
        <v/>
      </c>
      <c r="M627" s="0" t="str">
        <f aca="false">IF(K627="","",IF(ISNUMBER('List 2'!C127),'List 2'!C127,TRIM('List 2'!C127)))</f>
        <v/>
      </c>
      <c r="N627" s="0" t="str">
        <f aca="false">IF(K627="","",IF(ISNUMBER('List 2'!D127),'List 2'!D127,TRIM('List 2'!D127)))</f>
        <v/>
      </c>
      <c r="O627" s="0" t="str">
        <f aca="false">IF(K627="","",0)</f>
        <v/>
      </c>
      <c r="P627" s="0" t="str">
        <f aca="false">IF(K627="","",I127)</f>
        <v/>
      </c>
      <c r="Q627" s="0" t="str">
        <f aca="false">IF(K627="","",FALSE())</f>
        <v/>
      </c>
      <c r="R627" s="0" t="str">
        <f aca="false">IF(K627="","",TRUE())</f>
        <v/>
      </c>
      <c r="S627" s="0" t="str">
        <f aca="false">IF(K627="","",IF(AND(Q627,R627),IF(O627=P627,"Match","Qty Different"),IF(Q627,"Only in List 1","Only in List 2")))</f>
        <v/>
      </c>
      <c r="T627" s="0" t="str">
        <f aca="false">IF(K627="","",IF(ISNUMBER(--L627),TEXT(--L627,"000000000000.000"),LOWER(L627)))</f>
        <v/>
      </c>
      <c r="U627" s="0" t="str">
        <f aca="false">IF(K627="","",IF(ISNUMBER(--M627),TEXT(--M627,"000000000000.000"),LOWER(M627)))</f>
        <v/>
      </c>
      <c r="V627" s="0" t="str">
        <f aca="false">IF(K627="","",LOWER(N627))</f>
        <v/>
      </c>
      <c r="W627" s="0" t="str">
        <f aca="false">IF(K627="","",G127)</f>
        <v/>
      </c>
      <c r="X627" s="0" t="str">
        <f aca="false">IF(K627="","",1+SUMPRODUCT(($K$2:$K$1001&lt;&gt;"")*(($T$2:$T$1001&lt;T627)+($T$2:$T$1001=T627)*(($U$2:$U$1001&lt;U627)+($U$2:$U$1001=U627)*(($V$2:$V$1001&lt;V627)+($V$2:$V$1001=V627)*(($W$2:$W$1001&lt;W627)+($W$2:$W$1001=W627)*(ROW($K$2:$K$1001)&lt;ROW(K627))))))))</f>
        <v/>
      </c>
    </row>
    <row r="628" customFormat="false" ht="15" hidden="false" customHeight="false" outlineLevel="0" collapsed="false">
      <c r="K628" s="0" t="str">
        <f aca="false">IF(H128="","",IF(SUMPRODUCT(--($C$2:$C$501=H128))&gt;0,"",H128))</f>
        <v/>
      </c>
      <c r="L628" s="0" t="str">
        <f aca="false">IF(K628="","",IF(ISNUMBER('List 2'!A128),'List 2'!A128,TRIM('List 2'!A128)))</f>
        <v/>
      </c>
      <c r="M628" s="0" t="str">
        <f aca="false">IF(K628="","",IF(ISNUMBER('List 2'!C128),'List 2'!C128,TRIM('List 2'!C128)))</f>
        <v/>
      </c>
      <c r="N628" s="0" t="str">
        <f aca="false">IF(K628="","",IF(ISNUMBER('List 2'!D128),'List 2'!D128,TRIM('List 2'!D128)))</f>
        <v/>
      </c>
      <c r="O628" s="0" t="str">
        <f aca="false">IF(K628="","",0)</f>
        <v/>
      </c>
      <c r="P628" s="0" t="str">
        <f aca="false">IF(K628="","",I128)</f>
        <v/>
      </c>
      <c r="Q628" s="0" t="str">
        <f aca="false">IF(K628="","",FALSE())</f>
        <v/>
      </c>
      <c r="R628" s="0" t="str">
        <f aca="false">IF(K628="","",TRUE())</f>
        <v/>
      </c>
      <c r="S628" s="0" t="str">
        <f aca="false">IF(K628="","",IF(AND(Q628,R628),IF(O628=P628,"Match","Qty Different"),IF(Q628,"Only in List 1","Only in List 2")))</f>
        <v/>
      </c>
      <c r="T628" s="0" t="str">
        <f aca="false">IF(K628="","",IF(ISNUMBER(--L628),TEXT(--L628,"000000000000.000"),LOWER(L628)))</f>
        <v/>
      </c>
      <c r="U628" s="0" t="str">
        <f aca="false">IF(K628="","",IF(ISNUMBER(--M628),TEXT(--M628,"000000000000.000"),LOWER(M628)))</f>
        <v/>
      </c>
      <c r="V628" s="0" t="str">
        <f aca="false">IF(K628="","",LOWER(N628))</f>
        <v/>
      </c>
      <c r="W628" s="0" t="str">
        <f aca="false">IF(K628="","",G128)</f>
        <v/>
      </c>
      <c r="X628" s="0" t="str">
        <f aca="false">IF(K628="","",1+SUMPRODUCT(($K$2:$K$1001&lt;&gt;"")*(($T$2:$T$1001&lt;T628)+($T$2:$T$1001=T628)*(($U$2:$U$1001&lt;U628)+($U$2:$U$1001=U628)*(($V$2:$V$1001&lt;V628)+($V$2:$V$1001=V628)*(($W$2:$W$1001&lt;W628)+($W$2:$W$1001=W628)*(ROW($K$2:$K$1001)&lt;ROW(K628))))))))</f>
        <v/>
      </c>
    </row>
    <row r="629" customFormat="false" ht="15" hidden="false" customHeight="false" outlineLevel="0" collapsed="false">
      <c r="K629" s="0" t="str">
        <f aca="false">IF(H129="","",IF(SUMPRODUCT(--($C$2:$C$501=H129))&gt;0,"",H129))</f>
        <v/>
      </c>
      <c r="L629" s="0" t="str">
        <f aca="false">IF(K629="","",IF(ISNUMBER('List 2'!A129),'List 2'!A129,TRIM('List 2'!A129)))</f>
        <v/>
      </c>
      <c r="M629" s="0" t="str">
        <f aca="false">IF(K629="","",IF(ISNUMBER('List 2'!C129),'List 2'!C129,TRIM('List 2'!C129)))</f>
        <v/>
      </c>
      <c r="N629" s="0" t="str">
        <f aca="false">IF(K629="","",IF(ISNUMBER('List 2'!D129),'List 2'!D129,TRIM('List 2'!D129)))</f>
        <v/>
      </c>
      <c r="O629" s="0" t="str">
        <f aca="false">IF(K629="","",0)</f>
        <v/>
      </c>
      <c r="P629" s="0" t="str">
        <f aca="false">IF(K629="","",I129)</f>
        <v/>
      </c>
      <c r="Q629" s="0" t="str">
        <f aca="false">IF(K629="","",FALSE())</f>
        <v/>
      </c>
      <c r="R629" s="0" t="str">
        <f aca="false">IF(K629="","",TRUE())</f>
        <v/>
      </c>
      <c r="S629" s="0" t="str">
        <f aca="false">IF(K629="","",IF(AND(Q629,R629),IF(O629=P629,"Match","Qty Different"),IF(Q629,"Only in List 1","Only in List 2")))</f>
        <v/>
      </c>
      <c r="T629" s="0" t="str">
        <f aca="false">IF(K629="","",IF(ISNUMBER(--L629),TEXT(--L629,"000000000000.000"),LOWER(L629)))</f>
        <v/>
      </c>
      <c r="U629" s="0" t="str">
        <f aca="false">IF(K629="","",IF(ISNUMBER(--M629),TEXT(--M629,"000000000000.000"),LOWER(M629)))</f>
        <v/>
      </c>
      <c r="V629" s="0" t="str">
        <f aca="false">IF(K629="","",LOWER(N629))</f>
        <v/>
      </c>
      <c r="W629" s="0" t="str">
        <f aca="false">IF(K629="","",G129)</f>
        <v/>
      </c>
      <c r="X629" s="0" t="str">
        <f aca="false">IF(K629="","",1+SUMPRODUCT(($K$2:$K$1001&lt;&gt;"")*(($T$2:$T$1001&lt;T629)+($T$2:$T$1001=T629)*(($U$2:$U$1001&lt;U629)+($U$2:$U$1001=U629)*(($V$2:$V$1001&lt;V629)+($V$2:$V$1001=V629)*(($W$2:$W$1001&lt;W629)+($W$2:$W$1001=W629)*(ROW($K$2:$K$1001)&lt;ROW(K629))))))))</f>
        <v/>
      </c>
    </row>
    <row r="630" customFormat="false" ht="15" hidden="false" customHeight="false" outlineLevel="0" collapsed="false">
      <c r="K630" s="0" t="str">
        <f aca="false">IF(H130="","",IF(SUMPRODUCT(--($C$2:$C$501=H130))&gt;0,"",H130))</f>
        <v/>
      </c>
      <c r="L630" s="0" t="str">
        <f aca="false">IF(K630="","",IF(ISNUMBER('List 2'!A130),'List 2'!A130,TRIM('List 2'!A130)))</f>
        <v/>
      </c>
      <c r="M630" s="0" t="str">
        <f aca="false">IF(K630="","",IF(ISNUMBER('List 2'!C130),'List 2'!C130,TRIM('List 2'!C130)))</f>
        <v/>
      </c>
      <c r="N630" s="0" t="str">
        <f aca="false">IF(K630="","",IF(ISNUMBER('List 2'!D130),'List 2'!D130,TRIM('List 2'!D130)))</f>
        <v/>
      </c>
      <c r="O630" s="0" t="str">
        <f aca="false">IF(K630="","",0)</f>
        <v/>
      </c>
      <c r="P630" s="0" t="str">
        <f aca="false">IF(K630="","",I130)</f>
        <v/>
      </c>
      <c r="Q630" s="0" t="str">
        <f aca="false">IF(K630="","",FALSE())</f>
        <v/>
      </c>
      <c r="R630" s="0" t="str">
        <f aca="false">IF(K630="","",TRUE())</f>
        <v/>
      </c>
      <c r="S630" s="0" t="str">
        <f aca="false">IF(K630="","",IF(AND(Q630,R630),IF(O630=P630,"Match","Qty Different"),IF(Q630,"Only in List 1","Only in List 2")))</f>
        <v/>
      </c>
      <c r="T630" s="0" t="str">
        <f aca="false">IF(K630="","",IF(ISNUMBER(--L630),TEXT(--L630,"000000000000.000"),LOWER(L630)))</f>
        <v/>
      </c>
      <c r="U630" s="0" t="str">
        <f aca="false">IF(K630="","",IF(ISNUMBER(--M630),TEXT(--M630,"000000000000.000"),LOWER(M630)))</f>
        <v/>
      </c>
      <c r="V630" s="0" t="str">
        <f aca="false">IF(K630="","",LOWER(N630))</f>
        <v/>
      </c>
      <c r="W630" s="0" t="str">
        <f aca="false">IF(K630="","",G130)</f>
        <v/>
      </c>
      <c r="X630" s="0" t="str">
        <f aca="false">IF(K630="","",1+SUMPRODUCT(($K$2:$K$1001&lt;&gt;"")*(($T$2:$T$1001&lt;T630)+($T$2:$T$1001=T630)*(($U$2:$U$1001&lt;U630)+($U$2:$U$1001=U630)*(($V$2:$V$1001&lt;V630)+($V$2:$V$1001=V630)*(($W$2:$W$1001&lt;W630)+($W$2:$W$1001=W630)*(ROW($K$2:$K$1001)&lt;ROW(K630))))))))</f>
        <v/>
      </c>
    </row>
    <row r="631" customFormat="false" ht="15" hidden="false" customHeight="false" outlineLevel="0" collapsed="false">
      <c r="K631" s="0" t="str">
        <f aca="false">IF(H131="","",IF(SUMPRODUCT(--($C$2:$C$501=H131))&gt;0,"",H131))</f>
        <v/>
      </c>
      <c r="L631" s="0" t="str">
        <f aca="false">IF(K631="","",IF(ISNUMBER('List 2'!A131),'List 2'!A131,TRIM('List 2'!A131)))</f>
        <v/>
      </c>
      <c r="M631" s="0" t="str">
        <f aca="false">IF(K631="","",IF(ISNUMBER('List 2'!C131),'List 2'!C131,TRIM('List 2'!C131)))</f>
        <v/>
      </c>
      <c r="N631" s="0" t="str">
        <f aca="false">IF(K631="","",IF(ISNUMBER('List 2'!D131),'List 2'!D131,TRIM('List 2'!D131)))</f>
        <v/>
      </c>
      <c r="O631" s="0" t="str">
        <f aca="false">IF(K631="","",0)</f>
        <v/>
      </c>
      <c r="P631" s="0" t="str">
        <f aca="false">IF(K631="","",I131)</f>
        <v/>
      </c>
      <c r="Q631" s="0" t="str">
        <f aca="false">IF(K631="","",FALSE())</f>
        <v/>
      </c>
      <c r="R631" s="0" t="str">
        <f aca="false">IF(K631="","",TRUE())</f>
        <v/>
      </c>
      <c r="S631" s="0" t="str">
        <f aca="false">IF(K631="","",IF(AND(Q631,R631),IF(O631=P631,"Match","Qty Different"),IF(Q631,"Only in List 1","Only in List 2")))</f>
        <v/>
      </c>
      <c r="T631" s="0" t="str">
        <f aca="false">IF(K631="","",IF(ISNUMBER(--L631),TEXT(--L631,"000000000000.000"),LOWER(L631)))</f>
        <v/>
      </c>
      <c r="U631" s="0" t="str">
        <f aca="false">IF(K631="","",IF(ISNUMBER(--M631),TEXT(--M631,"000000000000.000"),LOWER(M631)))</f>
        <v/>
      </c>
      <c r="V631" s="0" t="str">
        <f aca="false">IF(K631="","",LOWER(N631))</f>
        <v/>
      </c>
      <c r="W631" s="0" t="str">
        <f aca="false">IF(K631="","",G131)</f>
        <v/>
      </c>
      <c r="X631" s="0" t="str">
        <f aca="false">IF(K631="","",1+SUMPRODUCT(($K$2:$K$1001&lt;&gt;"")*(($T$2:$T$1001&lt;T631)+($T$2:$T$1001=T631)*(($U$2:$U$1001&lt;U631)+($U$2:$U$1001=U631)*(($V$2:$V$1001&lt;V631)+($V$2:$V$1001=V631)*(($W$2:$W$1001&lt;W631)+($W$2:$W$1001=W631)*(ROW($K$2:$K$1001)&lt;ROW(K631))))))))</f>
        <v/>
      </c>
    </row>
    <row r="632" customFormat="false" ht="15" hidden="false" customHeight="false" outlineLevel="0" collapsed="false">
      <c r="K632" s="0" t="str">
        <f aca="false">IF(H132="","",IF(SUMPRODUCT(--($C$2:$C$501=H132))&gt;0,"",H132))</f>
        <v/>
      </c>
      <c r="L632" s="0" t="str">
        <f aca="false">IF(K632="","",IF(ISNUMBER('List 2'!A132),'List 2'!A132,TRIM('List 2'!A132)))</f>
        <v/>
      </c>
      <c r="M632" s="0" t="str">
        <f aca="false">IF(K632="","",IF(ISNUMBER('List 2'!C132),'List 2'!C132,TRIM('List 2'!C132)))</f>
        <v/>
      </c>
      <c r="N632" s="0" t="str">
        <f aca="false">IF(K632="","",IF(ISNUMBER('List 2'!D132),'List 2'!D132,TRIM('List 2'!D132)))</f>
        <v/>
      </c>
      <c r="O632" s="0" t="str">
        <f aca="false">IF(K632="","",0)</f>
        <v/>
      </c>
      <c r="P632" s="0" t="str">
        <f aca="false">IF(K632="","",I132)</f>
        <v/>
      </c>
      <c r="Q632" s="0" t="str">
        <f aca="false">IF(K632="","",FALSE())</f>
        <v/>
      </c>
      <c r="R632" s="0" t="str">
        <f aca="false">IF(K632="","",TRUE())</f>
        <v/>
      </c>
      <c r="S632" s="0" t="str">
        <f aca="false">IF(K632="","",IF(AND(Q632,R632),IF(O632=P632,"Match","Qty Different"),IF(Q632,"Only in List 1","Only in List 2")))</f>
        <v/>
      </c>
      <c r="T632" s="0" t="str">
        <f aca="false">IF(K632="","",IF(ISNUMBER(--L632),TEXT(--L632,"000000000000.000"),LOWER(L632)))</f>
        <v/>
      </c>
      <c r="U632" s="0" t="str">
        <f aca="false">IF(K632="","",IF(ISNUMBER(--M632),TEXT(--M632,"000000000000.000"),LOWER(M632)))</f>
        <v/>
      </c>
      <c r="V632" s="0" t="str">
        <f aca="false">IF(K632="","",LOWER(N632))</f>
        <v/>
      </c>
      <c r="W632" s="0" t="str">
        <f aca="false">IF(K632="","",G132)</f>
        <v/>
      </c>
      <c r="X632" s="0" t="str">
        <f aca="false">IF(K632="","",1+SUMPRODUCT(($K$2:$K$1001&lt;&gt;"")*(($T$2:$T$1001&lt;T632)+($T$2:$T$1001=T632)*(($U$2:$U$1001&lt;U632)+($U$2:$U$1001=U632)*(($V$2:$V$1001&lt;V632)+($V$2:$V$1001=V632)*(($W$2:$W$1001&lt;W632)+($W$2:$W$1001=W632)*(ROW($K$2:$K$1001)&lt;ROW(K632))))))))</f>
        <v/>
      </c>
    </row>
    <row r="633" customFormat="false" ht="15" hidden="false" customHeight="false" outlineLevel="0" collapsed="false">
      <c r="K633" s="0" t="str">
        <f aca="false">IF(H133="","",IF(SUMPRODUCT(--($C$2:$C$501=H133))&gt;0,"",H133))</f>
        <v/>
      </c>
      <c r="L633" s="0" t="str">
        <f aca="false">IF(K633="","",IF(ISNUMBER('List 2'!A133),'List 2'!A133,TRIM('List 2'!A133)))</f>
        <v/>
      </c>
      <c r="M633" s="0" t="str">
        <f aca="false">IF(K633="","",IF(ISNUMBER('List 2'!C133),'List 2'!C133,TRIM('List 2'!C133)))</f>
        <v/>
      </c>
      <c r="N633" s="0" t="str">
        <f aca="false">IF(K633="","",IF(ISNUMBER('List 2'!D133),'List 2'!D133,TRIM('List 2'!D133)))</f>
        <v/>
      </c>
      <c r="O633" s="0" t="str">
        <f aca="false">IF(K633="","",0)</f>
        <v/>
      </c>
      <c r="P633" s="0" t="str">
        <f aca="false">IF(K633="","",I133)</f>
        <v/>
      </c>
      <c r="Q633" s="0" t="str">
        <f aca="false">IF(K633="","",FALSE())</f>
        <v/>
      </c>
      <c r="R633" s="0" t="str">
        <f aca="false">IF(K633="","",TRUE())</f>
        <v/>
      </c>
      <c r="S633" s="0" t="str">
        <f aca="false">IF(K633="","",IF(AND(Q633,R633),IF(O633=P633,"Match","Qty Different"),IF(Q633,"Only in List 1","Only in List 2")))</f>
        <v/>
      </c>
      <c r="T633" s="0" t="str">
        <f aca="false">IF(K633="","",IF(ISNUMBER(--L633),TEXT(--L633,"000000000000.000"),LOWER(L633)))</f>
        <v/>
      </c>
      <c r="U633" s="0" t="str">
        <f aca="false">IF(K633="","",IF(ISNUMBER(--M633),TEXT(--M633,"000000000000.000"),LOWER(M633)))</f>
        <v/>
      </c>
      <c r="V633" s="0" t="str">
        <f aca="false">IF(K633="","",LOWER(N633))</f>
        <v/>
      </c>
      <c r="W633" s="0" t="str">
        <f aca="false">IF(K633="","",G133)</f>
        <v/>
      </c>
      <c r="X633" s="0" t="str">
        <f aca="false">IF(K633="","",1+SUMPRODUCT(($K$2:$K$1001&lt;&gt;"")*(($T$2:$T$1001&lt;T633)+($T$2:$T$1001=T633)*(($U$2:$U$1001&lt;U633)+($U$2:$U$1001=U633)*(($V$2:$V$1001&lt;V633)+($V$2:$V$1001=V633)*(($W$2:$W$1001&lt;W633)+($W$2:$W$1001=W633)*(ROW($K$2:$K$1001)&lt;ROW(K633))))))))</f>
        <v/>
      </c>
    </row>
    <row r="634" customFormat="false" ht="15" hidden="false" customHeight="false" outlineLevel="0" collapsed="false">
      <c r="K634" s="0" t="str">
        <f aca="false">IF(H134="","",IF(SUMPRODUCT(--($C$2:$C$501=H134))&gt;0,"",H134))</f>
        <v/>
      </c>
      <c r="L634" s="0" t="str">
        <f aca="false">IF(K634="","",IF(ISNUMBER('List 2'!A134),'List 2'!A134,TRIM('List 2'!A134)))</f>
        <v/>
      </c>
      <c r="M634" s="0" t="str">
        <f aca="false">IF(K634="","",IF(ISNUMBER('List 2'!C134),'List 2'!C134,TRIM('List 2'!C134)))</f>
        <v/>
      </c>
      <c r="N634" s="0" t="str">
        <f aca="false">IF(K634="","",IF(ISNUMBER('List 2'!D134),'List 2'!D134,TRIM('List 2'!D134)))</f>
        <v/>
      </c>
      <c r="O634" s="0" t="str">
        <f aca="false">IF(K634="","",0)</f>
        <v/>
      </c>
      <c r="P634" s="0" t="str">
        <f aca="false">IF(K634="","",I134)</f>
        <v/>
      </c>
      <c r="Q634" s="0" t="str">
        <f aca="false">IF(K634="","",FALSE())</f>
        <v/>
      </c>
      <c r="R634" s="0" t="str">
        <f aca="false">IF(K634="","",TRUE())</f>
        <v/>
      </c>
      <c r="S634" s="0" t="str">
        <f aca="false">IF(K634="","",IF(AND(Q634,R634),IF(O634=P634,"Match","Qty Different"),IF(Q634,"Only in List 1","Only in List 2")))</f>
        <v/>
      </c>
      <c r="T634" s="0" t="str">
        <f aca="false">IF(K634="","",IF(ISNUMBER(--L634),TEXT(--L634,"000000000000.000"),LOWER(L634)))</f>
        <v/>
      </c>
      <c r="U634" s="0" t="str">
        <f aca="false">IF(K634="","",IF(ISNUMBER(--M634),TEXT(--M634,"000000000000.000"),LOWER(M634)))</f>
        <v/>
      </c>
      <c r="V634" s="0" t="str">
        <f aca="false">IF(K634="","",LOWER(N634))</f>
        <v/>
      </c>
      <c r="W634" s="0" t="str">
        <f aca="false">IF(K634="","",G134)</f>
        <v/>
      </c>
      <c r="X634" s="0" t="str">
        <f aca="false">IF(K634="","",1+SUMPRODUCT(($K$2:$K$1001&lt;&gt;"")*(($T$2:$T$1001&lt;T634)+($T$2:$T$1001=T634)*(($U$2:$U$1001&lt;U634)+($U$2:$U$1001=U634)*(($V$2:$V$1001&lt;V634)+($V$2:$V$1001=V634)*(($W$2:$W$1001&lt;W634)+($W$2:$W$1001=W634)*(ROW($K$2:$K$1001)&lt;ROW(K634))))))))</f>
        <v/>
      </c>
    </row>
    <row r="635" customFormat="false" ht="15" hidden="false" customHeight="false" outlineLevel="0" collapsed="false">
      <c r="K635" s="0" t="str">
        <f aca="false">IF(H135="","",IF(SUMPRODUCT(--($C$2:$C$501=H135))&gt;0,"",H135))</f>
        <v/>
      </c>
      <c r="L635" s="0" t="str">
        <f aca="false">IF(K635="","",IF(ISNUMBER('List 2'!A135),'List 2'!A135,TRIM('List 2'!A135)))</f>
        <v/>
      </c>
      <c r="M635" s="0" t="str">
        <f aca="false">IF(K635="","",IF(ISNUMBER('List 2'!C135),'List 2'!C135,TRIM('List 2'!C135)))</f>
        <v/>
      </c>
      <c r="N635" s="0" t="str">
        <f aca="false">IF(K635="","",IF(ISNUMBER('List 2'!D135),'List 2'!D135,TRIM('List 2'!D135)))</f>
        <v/>
      </c>
      <c r="O635" s="0" t="str">
        <f aca="false">IF(K635="","",0)</f>
        <v/>
      </c>
      <c r="P635" s="0" t="str">
        <f aca="false">IF(K635="","",I135)</f>
        <v/>
      </c>
      <c r="Q635" s="0" t="str">
        <f aca="false">IF(K635="","",FALSE())</f>
        <v/>
      </c>
      <c r="R635" s="0" t="str">
        <f aca="false">IF(K635="","",TRUE())</f>
        <v/>
      </c>
      <c r="S635" s="0" t="str">
        <f aca="false">IF(K635="","",IF(AND(Q635,R635),IF(O635=P635,"Match","Qty Different"),IF(Q635,"Only in List 1","Only in List 2")))</f>
        <v/>
      </c>
      <c r="T635" s="0" t="str">
        <f aca="false">IF(K635="","",IF(ISNUMBER(--L635),TEXT(--L635,"000000000000.000"),LOWER(L635)))</f>
        <v/>
      </c>
      <c r="U635" s="0" t="str">
        <f aca="false">IF(K635="","",IF(ISNUMBER(--M635),TEXT(--M635,"000000000000.000"),LOWER(M635)))</f>
        <v/>
      </c>
      <c r="V635" s="0" t="str">
        <f aca="false">IF(K635="","",LOWER(N635))</f>
        <v/>
      </c>
      <c r="W635" s="0" t="str">
        <f aca="false">IF(K635="","",G135)</f>
        <v/>
      </c>
      <c r="X635" s="0" t="str">
        <f aca="false">IF(K635="","",1+SUMPRODUCT(($K$2:$K$1001&lt;&gt;"")*(($T$2:$T$1001&lt;T635)+($T$2:$T$1001=T635)*(($U$2:$U$1001&lt;U635)+($U$2:$U$1001=U635)*(($V$2:$V$1001&lt;V635)+($V$2:$V$1001=V635)*(($W$2:$W$1001&lt;W635)+($W$2:$W$1001=W635)*(ROW($K$2:$K$1001)&lt;ROW(K635))))))))</f>
        <v/>
      </c>
    </row>
    <row r="636" customFormat="false" ht="15" hidden="false" customHeight="false" outlineLevel="0" collapsed="false">
      <c r="K636" s="0" t="str">
        <f aca="false">IF(H136="","",IF(SUMPRODUCT(--($C$2:$C$501=H136))&gt;0,"",H136))</f>
        <v/>
      </c>
      <c r="L636" s="0" t="str">
        <f aca="false">IF(K636="","",IF(ISNUMBER('List 2'!A136),'List 2'!A136,TRIM('List 2'!A136)))</f>
        <v/>
      </c>
      <c r="M636" s="0" t="str">
        <f aca="false">IF(K636="","",IF(ISNUMBER('List 2'!C136),'List 2'!C136,TRIM('List 2'!C136)))</f>
        <v/>
      </c>
      <c r="N636" s="0" t="str">
        <f aca="false">IF(K636="","",IF(ISNUMBER('List 2'!D136),'List 2'!D136,TRIM('List 2'!D136)))</f>
        <v/>
      </c>
      <c r="O636" s="0" t="str">
        <f aca="false">IF(K636="","",0)</f>
        <v/>
      </c>
      <c r="P636" s="0" t="str">
        <f aca="false">IF(K636="","",I136)</f>
        <v/>
      </c>
      <c r="Q636" s="0" t="str">
        <f aca="false">IF(K636="","",FALSE())</f>
        <v/>
      </c>
      <c r="R636" s="0" t="str">
        <f aca="false">IF(K636="","",TRUE())</f>
        <v/>
      </c>
      <c r="S636" s="0" t="str">
        <f aca="false">IF(K636="","",IF(AND(Q636,R636),IF(O636=P636,"Match","Qty Different"),IF(Q636,"Only in List 1","Only in List 2")))</f>
        <v/>
      </c>
      <c r="T636" s="0" t="str">
        <f aca="false">IF(K636="","",IF(ISNUMBER(--L636),TEXT(--L636,"000000000000.000"),LOWER(L636)))</f>
        <v/>
      </c>
      <c r="U636" s="0" t="str">
        <f aca="false">IF(K636="","",IF(ISNUMBER(--M636),TEXT(--M636,"000000000000.000"),LOWER(M636)))</f>
        <v/>
      </c>
      <c r="V636" s="0" t="str">
        <f aca="false">IF(K636="","",LOWER(N636))</f>
        <v/>
      </c>
      <c r="W636" s="0" t="str">
        <f aca="false">IF(K636="","",G136)</f>
        <v/>
      </c>
      <c r="X636" s="0" t="str">
        <f aca="false">IF(K636="","",1+SUMPRODUCT(($K$2:$K$1001&lt;&gt;"")*(($T$2:$T$1001&lt;T636)+($T$2:$T$1001=T636)*(($U$2:$U$1001&lt;U636)+($U$2:$U$1001=U636)*(($V$2:$V$1001&lt;V636)+($V$2:$V$1001=V636)*(($W$2:$W$1001&lt;W636)+($W$2:$W$1001=W636)*(ROW($K$2:$K$1001)&lt;ROW(K636))))))))</f>
        <v/>
      </c>
    </row>
    <row r="637" customFormat="false" ht="15" hidden="false" customHeight="false" outlineLevel="0" collapsed="false">
      <c r="K637" s="0" t="str">
        <f aca="false">IF(H137="","",IF(SUMPRODUCT(--($C$2:$C$501=H137))&gt;0,"",H137))</f>
        <v/>
      </c>
      <c r="L637" s="0" t="str">
        <f aca="false">IF(K637="","",IF(ISNUMBER('List 2'!A137),'List 2'!A137,TRIM('List 2'!A137)))</f>
        <v/>
      </c>
      <c r="M637" s="0" t="str">
        <f aca="false">IF(K637="","",IF(ISNUMBER('List 2'!C137),'List 2'!C137,TRIM('List 2'!C137)))</f>
        <v/>
      </c>
      <c r="N637" s="0" t="str">
        <f aca="false">IF(K637="","",IF(ISNUMBER('List 2'!D137),'List 2'!D137,TRIM('List 2'!D137)))</f>
        <v/>
      </c>
      <c r="O637" s="0" t="str">
        <f aca="false">IF(K637="","",0)</f>
        <v/>
      </c>
      <c r="P637" s="0" t="str">
        <f aca="false">IF(K637="","",I137)</f>
        <v/>
      </c>
      <c r="Q637" s="0" t="str">
        <f aca="false">IF(K637="","",FALSE())</f>
        <v/>
      </c>
      <c r="R637" s="0" t="str">
        <f aca="false">IF(K637="","",TRUE())</f>
        <v/>
      </c>
      <c r="S637" s="0" t="str">
        <f aca="false">IF(K637="","",IF(AND(Q637,R637),IF(O637=P637,"Match","Qty Different"),IF(Q637,"Only in List 1","Only in List 2")))</f>
        <v/>
      </c>
      <c r="T637" s="0" t="str">
        <f aca="false">IF(K637="","",IF(ISNUMBER(--L637),TEXT(--L637,"000000000000.000"),LOWER(L637)))</f>
        <v/>
      </c>
      <c r="U637" s="0" t="str">
        <f aca="false">IF(K637="","",IF(ISNUMBER(--M637),TEXT(--M637,"000000000000.000"),LOWER(M637)))</f>
        <v/>
      </c>
      <c r="V637" s="0" t="str">
        <f aca="false">IF(K637="","",LOWER(N637))</f>
        <v/>
      </c>
      <c r="W637" s="0" t="str">
        <f aca="false">IF(K637="","",G137)</f>
        <v/>
      </c>
      <c r="X637" s="0" t="str">
        <f aca="false">IF(K637="","",1+SUMPRODUCT(($K$2:$K$1001&lt;&gt;"")*(($T$2:$T$1001&lt;T637)+($T$2:$T$1001=T637)*(($U$2:$U$1001&lt;U637)+($U$2:$U$1001=U637)*(($V$2:$V$1001&lt;V637)+($V$2:$V$1001=V637)*(($W$2:$W$1001&lt;W637)+($W$2:$W$1001=W637)*(ROW($K$2:$K$1001)&lt;ROW(K637))))))))</f>
        <v/>
      </c>
    </row>
    <row r="638" customFormat="false" ht="15" hidden="false" customHeight="false" outlineLevel="0" collapsed="false">
      <c r="K638" s="0" t="str">
        <f aca="false">IF(H138="","",IF(SUMPRODUCT(--($C$2:$C$501=H138))&gt;0,"",H138))</f>
        <v/>
      </c>
      <c r="L638" s="0" t="str">
        <f aca="false">IF(K638="","",IF(ISNUMBER('List 2'!A138),'List 2'!A138,TRIM('List 2'!A138)))</f>
        <v/>
      </c>
      <c r="M638" s="0" t="str">
        <f aca="false">IF(K638="","",IF(ISNUMBER('List 2'!C138),'List 2'!C138,TRIM('List 2'!C138)))</f>
        <v/>
      </c>
      <c r="N638" s="0" t="str">
        <f aca="false">IF(K638="","",IF(ISNUMBER('List 2'!D138),'List 2'!D138,TRIM('List 2'!D138)))</f>
        <v/>
      </c>
      <c r="O638" s="0" t="str">
        <f aca="false">IF(K638="","",0)</f>
        <v/>
      </c>
      <c r="P638" s="0" t="str">
        <f aca="false">IF(K638="","",I138)</f>
        <v/>
      </c>
      <c r="Q638" s="0" t="str">
        <f aca="false">IF(K638="","",FALSE())</f>
        <v/>
      </c>
      <c r="R638" s="0" t="str">
        <f aca="false">IF(K638="","",TRUE())</f>
        <v/>
      </c>
      <c r="S638" s="0" t="str">
        <f aca="false">IF(K638="","",IF(AND(Q638,R638),IF(O638=P638,"Match","Qty Different"),IF(Q638,"Only in List 1","Only in List 2")))</f>
        <v/>
      </c>
      <c r="T638" s="0" t="str">
        <f aca="false">IF(K638="","",IF(ISNUMBER(--L638),TEXT(--L638,"000000000000.000"),LOWER(L638)))</f>
        <v/>
      </c>
      <c r="U638" s="0" t="str">
        <f aca="false">IF(K638="","",IF(ISNUMBER(--M638),TEXT(--M638,"000000000000.000"),LOWER(M638)))</f>
        <v/>
      </c>
      <c r="V638" s="0" t="str">
        <f aca="false">IF(K638="","",LOWER(N638))</f>
        <v/>
      </c>
      <c r="W638" s="0" t="str">
        <f aca="false">IF(K638="","",G138)</f>
        <v/>
      </c>
      <c r="X638" s="0" t="str">
        <f aca="false">IF(K638="","",1+SUMPRODUCT(($K$2:$K$1001&lt;&gt;"")*(($T$2:$T$1001&lt;T638)+($T$2:$T$1001=T638)*(($U$2:$U$1001&lt;U638)+($U$2:$U$1001=U638)*(($V$2:$V$1001&lt;V638)+($V$2:$V$1001=V638)*(($W$2:$W$1001&lt;W638)+($W$2:$W$1001=W638)*(ROW($K$2:$K$1001)&lt;ROW(K638))))))))</f>
        <v/>
      </c>
    </row>
    <row r="639" customFormat="false" ht="15" hidden="false" customHeight="false" outlineLevel="0" collapsed="false">
      <c r="K639" s="0" t="str">
        <f aca="false">IF(H139="","",IF(SUMPRODUCT(--($C$2:$C$501=H139))&gt;0,"",H139))</f>
        <v/>
      </c>
      <c r="L639" s="0" t="str">
        <f aca="false">IF(K639="","",IF(ISNUMBER('List 2'!A139),'List 2'!A139,TRIM('List 2'!A139)))</f>
        <v/>
      </c>
      <c r="M639" s="0" t="str">
        <f aca="false">IF(K639="","",IF(ISNUMBER('List 2'!C139),'List 2'!C139,TRIM('List 2'!C139)))</f>
        <v/>
      </c>
      <c r="N639" s="0" t="str">
        <f aca="false">IF(K639="","",IF(ISNUMBER('List 2'!D139),'List 2'!D139,TRIM('List 2'!D139)))</f>
        <v/>
      </c>
      <c r="O639" s="0" t="str">
        <f aca="false">IF(K639="","",0)</f>
        <v/>
      </c>
      <c r="P639" s="0" t="str">
        <f aca="false">IF(K639="","",I139)</f>
        <v/>
      </c>
      <c r="Q639" s="0" t="str">
        <f aca="false">IF(K639="","",FALSE())</f>
        <v/>
      </c>
      <c r="R639" s="0" t="str">
        <f aca="false">IF(K639="","",TRUE())</f>
        <v/>
      </c>
      <c r="S639" s="0" t="str">
        <f aca="false">IF(K639="","",IF(AND(Q639,R639),IF(O639=P639,"Match","Qty Different"),IF(Q639,"Only in List 1","Only in List 2")))</f>
        <v/>
      </c>
      <c r="T639" s="0" t="str">
        <f aca="false">IF(K639="","",IF(ISNUMBER(--L639),TEXT(--L639,"000000000000.000"),LOWER(L639)))</f>
        <v/>
      </c>
      <c r="U639" s="0" t="str">
        <f aca="false">IF(K639="","",IF(ISNUMBER(--M639),TEXT(--M639,"000000000000.000"),LOWER(M639)))</f>
        <v/>
      </c>
      <c r="V639" s="0" t="str">
        <f aca="false">IF(K639="","",LOWER(N639))</f>
        <v/>
      </c>
      <c r="W639" s="0" t="str">
        <f aca="false">IF(K639="","",G139)</f>
        <v/>
      </c>
      <c r="X639" s="0" t="str">
        <f aca="false">IF(K639="","",1+SUMPRODUCT(($K$2:$K$1001&lt;&gt;"")*(($T$2:$T$1001&lt;T639)+($T$2:$T$1001=T639)*(($U$2:$U$1001&lt;U639)+($U$2:$U$1001=U639)*(($V$2:$V$1001&lt;V639)+($V$2:$V$1001=V639)*(($W$2:$W$1001&lt;W639)+($W$2:$W$1001=W639)*(ROW($K$2:$K$1001)&lt;ROW(K639))))))))</f>
        <v/>
      </c>
    </row>
    <row r="640" customFormat="false" ht="15" hidden="false" customHeight="false" outlineLevel="0" collapsed="false">
      <c r="K640" s="0" t="str">
        <f aca="false">IF(H140="","",IF(SUMPRODUCT(--($C$2:$C$501=H140))&gt;0,"",H140))</f>
        <v/>
      </c>
      <c r="L640" s="0" t="str">
        <f aca="false">IF(K640="","",IF(ISNUMBER('List 2'!A140),'List 2'!A140,TRIM('List 2'!A140)))</f>
        <v/>
      </c>
      <c r="M640" s="0" t="str">
        <f aca="false">IF(K640="","",IF(ISNUMBER('List 2'!C140),'List 2'!C140,TRIM('List 2'!C140)))</f>
        <v/>
      </c>
      <c r="N640" s="0" t="str">
        <f aca="false">IF(K640="","",IF(ISNUMBER('List 2'!D140),'List 2'!D140,TRIM('List 2'!D140)))</f>
        <v/>
      </c>
      <c r="O640" s="0" t="str">
        <f aca="false">IF(K640="","",0)</f>
        <v/>
      </c>
      <c r="P640" s="0" t="str">
        <f aca="false">IF(K640="","",I140)</f>
        <v/>
      </c>
      <c r="Q640" s="0" t="str">
        <f aca="false">IF(K640="","",FALSE())</f>
        <v/>
      </c>
      <c r="R640" s="0" t="str">
        <f aca="false">IF(K640="","",TRUE())</f>
        <v/>
      </c>
      <c r="S640" s="0" t="str">
        <f aca="false">IF(K640="","",IF(AND(Q640,R640),IF(O640=P640,"Match","Qty Different"),IF(Q640,"Only in List 1","Only in List 2")))</f>
        <v/>
      </c>
      <c r="T640" s="0" t="str">
        <f aca="false">IF(K640="","",IF(ISNUMBER(--L640),TEXT(--L640,"000000000000.000"),LOWER(L640)))</f>
        <v/>
      </c>
      <c r="U640" s="0" t="str">
        <f aca="false">IF(K640="","",IF(ISNUMBER(--M640),TEXT(--M640,"000000000000.000"),LOWER(M640)))</f>
        <v/>
      </c>
      <c r="V640" s="0" t="str">
        <f aca="false">IF(K640="","",LOWER(N640))</f>
        <v/>
      </c>
      <c r="W640" s="0" t="str">
        <f aca="false">IF(K640="","",G140)</f>
        <v/>
      </c>
      <c r="X640" s="0" t="str">
        <f aca="false">IF(K640="","",1+SUMPRODUCT(($K$2:$K$1001&lt;&gt;"")*(($T$2:$T$1001&lt;T640)+($T$2:$T$1001=T640)*(($U$2:$U$1001&lt;U640)+($U$2:$U$1001=U640)*(($V$2:$V$1001&lt;V640)+($V$2:$V$1001=V640)*(($W$2:$W$1001&lt;W640)+($W$2:$W$1001=W640)*(ROW($K$2:$K$1001)&lt;ROW(K640))))))))</f>
        <v/>
      </c>
    </row>
    <row r="641" customFormat="false" ht="15" hidden="false" customHeight="false" outlineLevel="0" collapsed="false">
      <c r="K641" s="0" t="str">
        <f aca="false">IF(H141="","",IF(SUMPRODUCT(--($C$2:$C$501=H141))&gt;0,"",H141))</f>
        <v/>
      </c>
      <c r="L641" s="0" t="str">
        <f aca="false">IF(K641="","",IF(ISNUMBER('List 2'!A141),'List 2'!A141,TRIM('List 2'!A141)))</f>
        <v/>
      </c>
      <c r="M641" s="0" t="str">
        <f aca="false">IF(K641="","",IF(ISNUMBER('List 2'!C141),'List 2'!C141,TRIM('List 2'!C141)))</f>
        <v/>
      </c>
      <c r="N641" s="0" t="str">
        <f aca="false">IF(K641="","",IF(ISNUMBER('List 2'!D141),'List 2'!D141,TRIM('List 2'!D141)))</f>
        <v/>
      </c>
      <c r="O641" s="0" t="str">
        <f aca="false">IF(K641="","",0)</f>
        <v/>
      </c>
      <c r="P641" s="0" t="str">
        <f aca="false">IF(K641="","",I141)</f>
        <v/>
      </c>
      <c r="Q641" s="0" t="str">
        <f aca="false">IF(K641="","",FALSE())</f>
        <v/>
      </c>
      <c r="R641" s="0" t="str">
        <f aca="false">IF(K641="","",TRUE())</f>
        <v/>
      </c>
      <c r="S641" s="0" t="str">
        <f aca="false">IF(K641="","",IF(AND(Q641,R641),IF(O641=P641,"Match","Qty Different"),IF(Q641,"Only in List 1","Only in List 2")))</f>
        <v/>
      </c>
      <c r="T641" s="0" t="str">
        <f aca="false">IF(K641="","",IF(ISNUMBER(--L641),TEXT(--L641,"000000000000.000"),LOWER(L641)))</f>
        <v/>
      </c>
      <c r="U641" s="0" t="str">
        <f aca="false">IF(K641="","",IF(ISNUMBER(--M641),TEXT(--M641,"000000000000.000"),LOWER(M641)))</f>
        <v/>
      </c>
      <c r="V641" s="0" t="str">
        <f aca="false">IF(K641="","",LOWER(N641))</f>
        <v/>
      </c>
      <c r="W641" s="0" t="str">
        <f aca="false">IF(K641="","",G141)</f>
        <v/>
      </c>
      <c r="X641" s="0" t="str">
        <f aca="false">IF(K641="","",1+SUMPRODUCT(($K$2:$K$1001&lt;&gt;"")*(($T$2:$T$1001&lt;T641)+($T$2:$T$1001=T641)*(($U$2:$U$1001&lt;U641)+($U$2:$U$1001=U641)*(($V$2:$V$1001&lt;V641)+($V$2:$V$1001=V641)*(($W$2:$W$1001&lt;W641)+($W$2:$W$1001=W641)*(ROW($K$2:$K$1001)&lt;ROW(K641))))))))</f>
        <v/>
      </c>
    </row>
    <row r="642" customFormat="false" ht="15" hidden="false" customHeight="false" outlineLevel="0" collapsed="false">
      <c r="K642" s="0" t="str">
        <f aca="false">IF(H142="","",IF(SUMPRODUCT(--($C$2:$C$501=H142))&gt;0,"",H142))</f>
        <v/>
      </c>
      <c r="L642" s="0" t="str">
        <f aca="false">IF(K642="","",IF(ISNUMBER('List 2'!A142),'List 2'!A142,TRIM('List 2'!A142)))</f>
        <v/>
      </c>
      <c r="M642" s="0" t="str">
        <f aca="false">IF(K642="","",IF(ISNUMBER('List 2'!C142),'List 2'!C142,TRIM('List 2'!C142)))</f>
        <v/>
      </c>
      <c r="N642" s="0" t="str">
        <f aca="false">IF(K642="","",IF(ISNUMBER('List 2'!D142),'List 2'!D142,TRIM('List 2'!D142)))</f>
        <v/>
      </c>
      <c r="O642" s="0" t="str">
        <f aca="false">IF(K642="","",0)</f>
        <v/>
      </c>
      <c r="P642" s="0" t="str">
        <f aca="false">IF(K642="","",I142)</f>
        <v/>
      </c>
      <c r="Q642" s="0" t="str">
        <f aca="false">IF(K642="","",FALSE())</f>
        <v/>
      </c>
      <c r="R642" s="0" t="str">
        <f aca="false">IF(K642="","",TRUE())</f>
        <v/>
      </c>
      <c r="S642" s="0" t="str">
        <f aca="false">IF(K642="","",IF(AND(Q642,R642),IF(O642=P642,"Match","Qty Different"),IF(Q642,"Only in List 1","Only in List 2")))</f>
        <v/>
      </c>
      <c r="T642" s="0" t="str">
        <f aca="false">IF(K642="","",IF(ISNUMBER(--L642),TEXT(--L642,"000000000000.000"),LOWER(L642)))</f>
        <v/>
      </c>
      <c r="U642" s="0" t="str">
        <f aca="false">IF(K642="","",IF(ISNUMBER(--M642),TEXT(--M642,"000000000000.000"),LOWER(M642)))</f>
        <v/>
      </c>
      <c r="V642" s="0" t="str">
        <f aca="false">IF(K642="","",LOWER(N642))</f>
        <v/>
      </c>
      <c r="W642" s="0" t="str">
        <f aca="false">IF(K642="","",G142)</f>
        <v/>
      </c>
      <c r="X642" s="0" t="str">
        <f aca="false">IF(K642="","",1+SUMPRODUCT(($K$2:$K$1001&lt;&gt;"")*(($T$2:$T$1001&lt;T642)+($T$2:$T$1001=T642)*(($U$2:$U$1001&lt;U642)+($U$2:$U$1001=U642)*(($V$2:$V$1001&lt;V642)+($V$2:$V$1001=V642)*(($W$2:$W$1001&lt;W642)+($W$2:$W$1001=W642)*(ROW($K$2:$K$1001)&lt;ROW(K642))))))))</f>
        <v/>
      </c>
    </row>
    <row r="643" customFormat="false" ht="15" hidden="false" customHeight="false" outlineLevel="0" collapsed="false">
      <c r="K643" s="0" t="str">
        <f aca="false">IF(H143="","",IF(SUMPRODUCT(--($C$2:$C$501=H143))&gt;0,"",H143))</f>
        <v/>
      </c>
      <c r="L643" s="0" t="str">
        <f aca="false">IF(K643="","",IF(ISNUMBER('List 2'!A143),'List 2'!A143,TRIM('List 2'!A143)))</f>
        <v/>
      </c>
      <c r="M643" s="0" t="str">
        <f aca="false">IF(K643="","",IF(ISNUMBER('List 2'!C143),'List 2'!C143,TRIM('List 2'!C143)))</f>
        <v/>
      </c>
      <c r="N643" s="0" t="str">
        <f aca="false">IF(K643="","",IF(ISNUMBER('List 2'!D143),'List 2'!D143,TRIM('List 2'!D143)))</f>
        <v/>
      </c>
      <c r="O643" s="0" t="str">
        <f aca="false">IF(K643="","",0)</f>
        <v/>
      </c>
      <c r="P643" s="0" t="str">
        <f aca="false">IF(K643="","",I143)</f>
        <v/>
      </c>
      <c r="Q643" s="0" t="str">
        <f aca="false">IF(K643="","",FALSE())</f>
        <v/>
      </c>
      <c r="R643" s="0" t="str">
        <f aca="false">IF(K643="","",TRUE())</f>
        <v/>
      </c>
      <c r="S643" s="0" t="str">
        <f aca="false">IF(K643="","",IF(AND(Q643,R643),IF(O643=P643,"Match","Qty Different"),IF(Q643,"Only in List 1","Only in List 2")))</f>
        <v/>
      </c>
      <c r="T643" s="0" t="str">
        <f aca="false">IF(K643="","",IF(ISNUMBER(--L643),TEXT(--L643,"000000000000.000"),LOWER(L643)))</f>
        <v/>
      </c>
      <c r="U643" s="0" t="str">
        <f aca="false">IF(K643="","",IF(ISNUMBER(--M643),TEXT(--M643,"000000000000.000"),LOWER(M643)))</f>
        <v/>
      </c>
      <c r="V643" s="0" t="str">
        <f aca="false">IF(K643="","",LOWER(N643))</f>
        <v/>
      </c>
      <c r="W643" s="0" t="str">
        <f aca="false">IF(K643="","",G143)</f>
        <v/>
      </c>
      <c r="X643" s="0" t="str">
        <f aca="false">IF(K643="","",1+SUMPRODUCT(($K$2:$K$1001&lt;&gt;"")*(($T$2:$T$1001&lt;T643)+($T$2:$T$1001=T643)*(($U$2:$U$1001&lt;U643)+($U$2:$U$1001=U643)*(($V$2:$V$1001&lt;V643)+($V$2:$V$1001=V643)*(($W$2:$W$1001&lt;W643)+($W$2:$W$1001=W643)*(ROW($K$2:$K$1001)&lt;ROW(K643))))))))</f>
        <v/>
      </c>
    </row>
    <row r="644" customFormat="false" ht="15" hidden="false" customHeight="false" outlineLevel="0" collapsed="false">
      <c r="K644" s="0" t="str">
        <f aca="false">IF(H144="","",IF(SUMPRODUCT(--($C$2:$C$501=H144))&gt;0,"",H144))</f>
        <v/>
      </c>
      <c r="L644" s="0" t="str">
        <f aca="false">IF(K644="","",IF(ISNUMBER('List 2'!A144),'List 2'!A144,TRIM('List 2'!A144)))</f>
        <v/>
      </c>
      <c r="M644" s="0" t="str">
        <f aca="false">IF(K644="","",IF(ISNUMBER('List 2'!C144),'List 2'!C144,TRIM('List 2'!C144)))</f>
        <v/>
      </c>
      <c r="N644" s="0" t="str">
        <f aca="false">IF(K644="","",IF(ISNUMBER('List 2'!D144),'List 2'!D144,TRIM('List 2'!D144)))</f>
        <v/>
      </c>
      <c r="O644" s="0" t="str">
        <f aca="false">IF(K644="","",0)</f>
        <v/>
      </c>
      <c r="P644" s="0" t="str">
        <f aca="false">IF(K644="","",I144)</f>
        <v/>
      </c>
      <c r="Q644" s="0" t="str">
        <f aca="false">IF(K644="","",FALSE())</f>
        <v/>
      </c>
      <c r="R644" s="0" t="str">
        <f aca="false">IF(K644="","",TRUE())</f>
        <v/>
      </c>
      <c r="S644" s="0" t="str">
        <f aca="false">IF(K644="","",IF(AND(Q644,R644),IF(O644=P644,"Match","Qty Different"),IF(Q644,"Only in List 1","Only in List 2")))</f>
        <v/>
      </c>
      <c r="T644" s="0" t="str">
        <f aca="false">IF(K644="","",IF(ISNUMBER(--L644),TEXT(--L644,"000000000000.000"),LOWER(L644)))</f>
        <v/>
      </c>
      <c r="U644" s="0" t="str">
        <f aca="false">IF(K644="","",IF(ISNUMBER(--M644),TEXT(--M644,"000000000000.000"),LOWER(M644)))</f>
        <v/>
      </c>
      <c r="V644" s="0" t="str">
        <f aca="false">IF(K644="","",LOWER(N644))</f>
        <v/>
      </c>
      <c r="W644" s="0" t="str">
        <f aca="false">IF(K644="","",G144)</f>
        <v/>
      </c>
      <c r="X644" s="0" t="str">
        <f aca="false">IF(K644="","",1+SUMPRODUCT(($K$2:$K$1001&lt;&gt;"")*(($T$2:$T$1001&lt;T644)+($T$2:$T$1001=T644)*(($U$2:$U$1001&lt;U644)+($U$2:$U$1001=U644)*(($V$2:$V$1001&lt;V644)+($V$2:$V$1001=V644)*(($W$2:$W$1001&lt;W644)+($W$2:$W$1001=W644)*(ROW($K$2:$K$1001)&lt;ROW(K644))))))))</f>
        <v/>
      </c>
    </row>
    <row r="645" customFormat="false" ht="15" hidden="false" customHeight="false" outlineLevel="0" collapsed="false">
      <c r="K645" s="0" t="str">
        <f aca="false">IF(H145="","",IF(SUMPRODUCT(--($C$2:$C$501=H145))&gt;0,"",H145))</f>
        <v/>
      </c>
      <c r="L645" s="0" t="str">
        <f aca="false">IF(K645="","",IF(ISNUMBER('List 2'!A145),'List 2'!A145,TRIM('List 2'!A145)))</f>
        <v/>
      </c>
      <c r="M645" s="0" t="str">
        <f aca="false">IF(K645="","",IF(ISNUMBER('List 2'!C145),'List 2'!C145,TRIM('List 2'!C145)))</f>
        <v/>
      </c>
      <c r="N645" s="0" t="str">
        <f aca="false">IF(K645="","",IF(ISNUMBER('List 2'!D145),'List 2'!D145,TRIM('List 2'!D145)))</f>
        <v/>
      </c>
      <c r="O645" s="0" t="str">
        <f aca="false">IF(K645="","",0)</f>
        <v/>
      </c>
      <c r="P645" s="0" t="str">
        <f aca="false">IF(K645="","",I145)</f>
        <v/>
      </c>
      <c r="Q645" s="0" t="str">
        <f aca="false">IF(K645="","",FALSE())</f>
        <v/>
      </c>
      <c r="R645" s="0" t="str">
        <f aca="false">IF(K645="","",TRUE())</f>
        <v/>
      </c>
      <c r="S645" s="0" t="str">
        <f aca="false">IF(K645="","",IF(AND(Q645,R645),IF(O645=P645,"Match","Qty Different"),IF(Q645,"Only in List 1","Only in List 2")))</f>
        <v/>
      </c>
      <c r="T645" s="0" t="str">
        <f aca="false">IF(K645="","",IF(ISNUMBER(--L645),TEXT(--L645,"000000000000.000"),LOWER(L645)))</f>
        <v/>
      </c>
      <c r="U645" s="0" t="str">
        <f aca="false">IF(K645="","",IF(ISNUMBER(--M645),TEXT(--M645,"000000000000.000"),LOWER(M645)))</f>
        <v/>
      </c>
      <c r="V645" s="0" t="str">
        <f aca="false">IF(K645="","",LOWER(N645))</f>
        <v/>
      </c>
      <c r="W645" s="0" t="str">
        <f aca="false">IF(K645="","",G145)</f>
        <v/>
      </c>
      <c r="X645" s="0" t="str">
        <f aca="false">IF(K645="","",1+SUMPRODUCT(($K$2:$K$1001&lt;&gt;"")*(($T$2:$T$1001&lt;T645)+($T$2:$T$1001=T645)*(($U$2:$U$1001&lt;U645)+($U$2:$U$1001=U645)*(($V$2:$V$1001&lt;V645)+($V$2:$V$1001=V645)*(($W$2:$W$1001&lt;W645)+($W$2:$W$1001=W645)*(ROW($K$2:$K$1001)&lt;ROW(K645))))))))</f>
        <v/>
      </c>
    </row>
    <row r="646" customFormat="false" ht="15" hidden="false" customHeight="false" outlineLevel="0" collapsed="false">
      <c r="K646" s="0" t="str">
        <f aca="false">IF(H146="","",IF(SUMPRODUCT(--($C$2:$C$501=H146))&gt;0,"",H146))</f>
        <v/>
      </c>
      <c r="L646" s="0" t="str">
        <f aca="false">IF(K646="","",IF(ISNUMBER('List 2'!A146),'List 2'!A146,TRIM('List 2'!A146)))</f>
        <v/>
      </c>
      <c r="M646" s="0" t="str">
        <f aca="false">IF(K646="","",IF(ISNUMBER('List 2'!C146),'List 2'!C146,TRIM('List 2'!C146)))</f>
        <v/>
      </c>
      <c r="N646" s="0" t="str">
        <f aca="false">IF(K646="","",IF(ISNUMBER('List 2'!D146),'List 2'!D146,TRIM('List 2'!D146)))</f>
        <v/>
      </c>
      <c r="O646" s="0" t="str">
        <f aca="false">IF(K646="","",0)</f>
        <v/>
      </c>
      <c r="P646" s="0" t="str">
        <f aca="false">IF(K646="","",I146)</f>
        <v/>
      </c>
      <c r="Q646" s="0" t="str">
        <f aca="false">IF(K646="","",FALSE())</f>
        <v/>
      </c>
      <c r="R646" s="0" t="str">
        <f aca="false">IF(K646="","",TRUE())</f>
        <v/>
      </c>
      <c r="S646" s="0" t="str">
        <f aca="false">IF(K646="","",IF(AND(Q646,R646),IF(O646=P646,"Match","Qty Different"),IF(Q646,"Only in List 1","Only in List 2")))</f>
        <v/>
      </c>
      <c r="T646" s="0" t="str">
        <f aca="false">IF(K646="","",IF(ISNUMBER(--L646),TEXT(--L646,"000000000000.000"),LOWER(L646)))</f>
        <v/>
      </c>
      <c r="U646" s="0" t="str">
        <f aca="false">IF(K646="","",IF(ISNUMBER(--M646),TEXT(--M646,"000000000000.000"),LOWER(M646)))</f>
        <v/>
      </c>
      <c r="V646" s="0" t="str">
        <f aca="false">IF(K646="","",LOWER(N646))</f>
        <v/>
      </c>
      <c r="W646" s="0" t="str">
        <f aca="false">IF(K646="","",G146)</f>
        <v/>
      </c>
      <c r="X646" s="0" t="str">
        <f aca="false">IF(K646="","",1+SUMPRODUCT(($K$2:$K$1001&lt;&gt;"")*(($T$2:$T$1001&lt;T646)+($T$2:$T$1001=T646)*(($U$2:$U$1001&lt;U646)+($U$2:$U$1001=U646)*(($V$2:$V$1001&lt;V646)+($V$2:$V$1001=V646)*(($W$2:$W$1001&lt;W646)+($W$2:$W$1001=W646)*(ROW($K$2:$K$1001)&lt;ROW(K646))))))))</f>
        <v/>
      </c>
    </row>
    <row r="647" customFormat="false" ht="15" hidden="false" customHeight="false" outlineLevel="0" collapsed="false">
      <c r="K647" s="0" t="str">
        <f aca="false">IF(H147="","",IF(SUMPRODUCT(--($C$2:$C$501=H147))&gt;0,"",H147))</f>
        <v/>
      </c>
      <c r="L647" s="0" t="str">
        <f aca="false">IF(K647="","",IF(ISNUMBER('List 2'!A147),'List 2'!A147,TRIM('List 2'!A147)))</f>
        <v/>
      </c>
      <c r="M647" s="0" t="str">
        <f aca="false">IF(K647="","",IF(ISNUMBER('List 2'!C147),'List 2'!C147,TRIM('List 2'!C147)))</f>
        <v/>
      </c>
      <c r="N647" s="0" t="str">
        <f aca="false">IF(K647="","",IF(ISNUMBER('List 2'!D147),'List 2'!D147,TRIM('List 2'!D147)))</f>
        <v/>
      </c>
      <c r="O647" s="0" t="str">
        <f aca="false">IF(K647="","",0)</f>
        <v/>
      </c>
      <c r="P647" s="0" t="str">
        <f aca="false">IF(K647="","",I147)</f>
        <v/>
      </c>
      <c r="Q647" s="0" t="str">
        <f aca="false">IF(K647="","",FALSE())</f>
        <v/>
      </c>
      <c r="R647" s="0" t="str">
        <f aca="false">IF(K647="","",TRUE())</f>
        <v/>
      </c>
      <c r="S647" s="0" t="str">
        <f aca="false">IF(K647="","",IF(AND(Q647,R647),IF(O647=P647,"Match","Qty Different"),IF(Q647,"Only in List 1","Only in List 2")))</f>
        <v/>
      </c>
      <c r="T647" s="0" t="str">
        <f aca="false">IF(K647="","",IF(ISNUMBER(--L647),TEXT(--L647,"000000000000.000"),LOWER(L647)))</f>
        <v/>
      </c>
      <c r="U647" s="0" t="str">
        <f aca="false">IF(K647="","",IF(ISNUMBER(--M647),TEXT(--M647,"000000000000.000"),LOWER(M647)))</f>
        <v/>
      </c>
      <c r="V647" s="0" t="str">
        <f aca="false">IF(K647="","",LOWER(N647))</f>
        <v/>
      </c>
      <c r="W647" s="0" t="str">
        <f aca="false">IF(K647="","",G147)</f>
        <v/>
      </c>
      <c r="X647" s="0" t="str">
        <f aca="false">IF(K647="","",1+SUMPRODUCT(($K$2:$K$1001&lt;&gt;"")*(($T$2:$T$1001&lt;T647)+($T$2:$T$1001=T647)*(($U$2:$U$1001&lt;U647)+($U$2:$U$1001=U647)*(($V$2:$V$1001&lt;V647)+($V$2:$V$1001=V647)*(($W$2:$W$1001&lt;W647)+($W$2:$W$1001=W647)*(ROW($K$2:$K$1001)&lt;ROW(K647))))))))</f>
        <v/>
      </c>
    </row>
    <row r="648" customFormat="false" ht="15" hidden="false" customHeight="false" outlineLevel="0" collapsed="false">
      <c r="K648" s="0" t="str">
        <f aca="false">IF(H148="","",IF(SUMPRODUCT(--($C$2:$C$501=H148))&gt;0,"",H148))</f>
        <v/>
      </c>
      <c r="L648" s="0" t="str">
        <f aca="false">IF(K648="","",IF(ISNUMBER('List 2'!A148),'List 2'!A148,TRIM('List 2'!A148)))</f>
        <v/>
      </c>
      <c r="M648" s="0" t="str">
        <f aca="false">IF(K648="","",IF(ISNUMBER('List 2'!C148),'List 2'!C148,TRIM('List 2'!C148)))</f>
        <v/>
      </c>
      <c r="N648" s="0" t="str">
        <f aca="false">IF(K648="","",IF(ISNUMBER('List 2'!D148),'List 2'!D148,TRIM('List 2'!D148)))</f>
        <v/>
      </c>
      <c r="O648" s="0" t="str">
        <f aca="false">IF(K648="","",0)</f>
        <v/>
      </c>
      <c r="P648" s="0" t="str">
        <f aca="false">IF(K648="","",I148)</f>
        <v/>
      </c>
      <c r="Q648" s="0" t="str">
        <f aca="false">IF(K648="","",FALSE())</f>
        <v/>
      </c>
      <c r="R648" s="0" t="str">
        <f aca="false">IF(K648="","",TRUE())</f>
        <v/>
      </c>
      <c r="S648" s="0" t="str">
        <f aca="false">IF(K648="","",IF(AND(Q648,R648),IF(O648=P648,"Match","Qty Different"),IF(Q648,"Only in List 1","Only in List 2")))</f>
        <v/>
      </c>
      <c r="T648" s="0" t="str">
        <f aca="false">IF(K648="","",IF(ISNUMBER(--L648),TEXT(--L648,"000000000000.000"),LOWER(L648)))</f>
        <v/>
      </c>
      <c r="U648" s="0" t="str">
        <f aca="false">IF(K648="","",IF(ISNUMBER(--M648),TEXT(--M648,"000000000000.000"),LOWER(M648)))</f>
        <v/>
      </c>
      <c r="V648" s="0" t="str">
        <f aca="false">IF(K648="","",LOWER(N648))</f>
        <v/>
      </c>
      <c r="W648" s="0" t="str">
        <f aca="false">IF(K648="","",G148)</f>
        <v/>
      </c>
      <c r="X648" s="0" t="str">
        <f aca="false">IF(K648="","",1+SUMPRODUCT(($K$2:$K$1001&lt;&gt;"")*(($T$2:$T$1001&lt;T648)+($T$2:$T$1001=T648)*(($U$2:$U$1001&lt;U648)+($U$2:$U$1001=U648)*(($V$2:$V$1001&lt;V648)+($V$2:$V$1001=V648)*(($W$2:$W$1001&lt;W648)+($W$2:$W$1001=W648)*(ROW($K$2:$K$1001)&lt;ROW(K648))))))))</f>
        <v/>
      </c>
    </row>
    <row r="649" customFormat="false" ht="15" hidden="false" customHeight="false" outlineLevel="0" collapsed="false">
      <c r="K649" s="0" t="str">
        <f aca="false">IF(H149="","",IF(SUMPRODUCT(--($C$2:$C$501=H149))&gt;0,"",H149))</f>
        <v/>
      </c>
      <c r="L649" s="0" t="str">
        <f aca="false">IF(K649="","",IF(ISNUMBER('List 2'!A149),'List 2'!A149,TRIM('List 2'!A149)))</f>
        <v/>
      </c>
      <c r="M649" s="0" t="str">
        <f aca="false">IF(K649="","",IF(ISNUMBER('List 2'!C149),'List 2'!C149,TRIM('List 2'!C149)))</f>
        <v/>
      </c>
      <c r="N649" s="0" t="str">
        <f aca="false">IF(K649="","",IF(ISNUMBER('List 2'!D149),'List 2'!D149,TRIM('List 2'!D149)))</f>
        <v/>
      </c>
      <c r="O649" s="0" t="str">
        <f aca="false">IF(K649="","",0)</f>
        <v/>
      </c>
      <c r="P649" s="0" t="str">
        <f aca="false">IF(K649="","",I149)</f>
        <v/>
      </c>
      <c r="Q649" s="0" t="str">
        <f aca="false">IF(K649="","",FALSE())</f>
        <v/>
      </c>
      <c r="R649" s="0" t="str">
        <f aca="false">IF(K649="","",TRUE())</f>
        <v/>
      </c>
      <c r="S649" s="0" t="str">
        <f aca="false">IF(K649="","",IF(AND(Q649,R649),IF(O649=P649,"Match","Qty Different"),IF(Q649,"Only in List 1","Only in List 2")))</f>
        <v/>
      </c>
      <c r="T649" s="0" t="str">
        <f aca="false">IF(K649="","",IF(ISNUMBER(--L649),TEXT(--L649,"000000000000.000"),LOWER(L649)))</f>
        <v/>
      </c>
      <c r="U649" s="0" t="str">
        <f aca="false">IF(K649="","",IF(ISNUMBER(--M649),TEXT(--M649,"000000000000.000"),LOWER(M649)))</f>
        <v/>
      </c>
      <c r="V649" s="0" t="str">
        <f aca="false">IF(K649="","",LOWER(N649))</f>
        <v/>
      </c>
      <c r="W649" s="0" t="str">
        <f aca="false">IF(K649="","",G149)</f>
        <v/>
      </c>
      <c r="X649" s="0" t="str">
        <f aca="false">IF(K649="","",1+SUMPRODUCT(($K$2:$K$1001&lt;&gt;"")*(($T$2:$T$1001&lt;T649)+($T$2:$T$1001=T649)*(($U$2:$U$1001&lt;U649)+($U$2:$U$1001=U649)*(($V$2:$V$1001&lt;V649)+($V$2:$V$1001=V649)*(($W$2:$W$1001&lt;W649)+($W$2:$W$1001=W649)*(ROW($K$2:$K$1001)&lt;ROW(K649))))))))</f>
        <v/>
      </c>
    </row>
    <row r="650" customFormat="false" ht="15" hidden="false" customHeight="false" outlineLevel="0" collapsed="false">
      <c r="K650" s="0" t="str">
        <f aca="false">IF(H150="","",IF(SUMPRODUCT(--($C$2:$C$501=H150))&gt;0,"",H150))</f>
        <v/>
      </c>
      <c r="L650" s="0" t="str">
        <f aca="false">IF(K650="","",IF(ISNUMBER('List 2'!A150),'List 2'!A150,TRIM('List 2'!A150)))</f>
        <v/>
      </c>
      <c r="M650" s="0" t="str">
        <f aca="false">IF(K650="","",IF(ISNUMBER('List 2'!C150),'List 2'!C150,TRIM('List 2'!C150)))</f>
        <v/>
      </c>
      <c r="N650" s="0" t="str">
        <f aca="false">IF(K650="","",IF(ISNUMBER('List 2'!D150),'List 2'!D150,TRIM('List 2'!D150)))</f>
        <v/>
      </c>
      <c r="O650" s="0" t="str">
        <f aca="false">IF(K650="","",0)</f>
        <v/>
      </c>
      <c r="P650" s="0" t="str">
        <f aca="false">IF(K650="","",I150)</f>
        <v/>
      </c>
      <c r="Q650" s="0" t="str">
        <f aca="false">IF(K650="","",FALSE())</f>
        <v/>
      </c>
      <c r="R650" s="0" t="str">
        <f aca="false">IF(K650="","",TRUE())</f>
        <v/>
      </c>
      <c r="S650" s="0" t="str">
        <f aca="false">IF(K650="","",IF(AND(Q650,R650),IF(O650=P650,"Match","Qty Different"),IF(Q650,"Only in List 1","Only in List 2")))</f>
        <v/>
      </c>
      <c r="T650" s="0" t="str">
        <f aca="false">IF(K650="","",IF(ISNUMBER(--L650),TEXT(--L650,"000000000000.000"),LOWER(L650)))</f>
        <v/>
      </c>
      <c r="U650" s="0" t="str">
        <f aca="false">IF(K650="","",IF(ISNUMBER(--M650),TEXT(--M650,"000000000000.000"),LOWER(M650)))</f>
        <v/>
      </c>
      <c r="V650" s="0" t="str">
        <f aca="false">IF(K650="","",LOWER(N650))</f>
        <v/>
      </c>
      <c r="W650" s="0" t="str">
        <f aca="false">IF(K650="","",G150)</f>
        <v/>
      </c>
      <c r="X650" s="0" t="str">
        <f aca="false">IF(K650="","",1+SUMPRODUCT(($K$2:$K$1001&lt;&gt;"")*(($T$2:$T$1001&lt;T650)+($T$2:$T$1001=T650)*(($U$2:$U$1001&lt;U650)+($U$2:$U$1001=U650)*(($V$2:$V$1001&lt;V650)+($V$2:$V$1001=V650)*(($W$2:$W$1001&lt;W650)+($W$2:$W$1001=W650)*(ROW($K$2:$K$1001)&lt;ROW(K650))))))))</f>
        <v/>
      </c>
    </row>
    <row r="651" customFormat="false" ht="15" hidden="false" customHeight="false" outlineLevel="0" collapsed="false">
      <c r="K651" s="0" t="str">
        <f aca="false">IF(H151="","",IF(SUMPRODUCT(--($C$2:$C$501=H151))&gt;0,"",H151))</f>
        <v/>
      </c>
      <c r="L651" s="0" t="str">
        <f aca="false">IF(K651="","",IF(ISNUMBER('List 2'!A151),'List 2'!A151,TRIM('List 2'!A151)))</f>
        <v/>
      </c>
      <c r="M651" s="0" t="str">
        <f aca="false">IF(K651="","",IF(ISNUMBER('List 2'!C151),'List 2'!C151,TRIM('List 2'!C151)))</f>
        <v/>
      </c>
      <c r="N651" s="0" t="str">
        <f aca="false">IF(K651="","",IF(ISNUMBER('List 2'!D151),'List 2'!D151,TRIM('List 2'!D151)))</f>
        <v/>
      </c>
      <c r="O651" s="0" t="str">
        <f aca="false">IF(K651="","",0)</f>
        <v/>
      </c>
      <c r="P651" s="0" t="str">
        <f aca="false">IF(K651="","",I151)</f>
        <v/>
      </c>
      <c r="Q651" s="0" t="str">
        <f aca="false">IF(K651="","",FALSE())</f>
        <v/>
      </c>
      <c r="R651" s="0" t="str">
        <f aca="false">IF(K651="","",TRUE())</f>
        <v/>
      </c>
      <c r="S651" s="0" t="str">
        <f aca="false">IF(K651="","",IF(AND(Q651,R651),IF(O651=P651,"Match","Qty Different"),IF(Q651,"Only in List 1","Only in List 2")))</f>
        <v/>
      </c>
      <c r="T651" s="0" t="str">
        <f aca="false">IF(K651="","",IF(ISNUMBER(--L651),TEXT(--L651,"000000000000.000"),LOWER(L651)))</f>
        <v/>
      </c>
      <c r="U651" s="0" t="str">
        <f aca="false">IF(K651="","",IF(ISNUMBER(--M651),TEXT(--M651,"000000000000.000"),LOWER(M651)))</f>
        <v/>
      </c>
      <c r="V651" s="0" t="str">
        <f aca="false">IF(K651="","",LOWER(N651))</f>
        <v/>
      </c>
      <c r="W651" s="0" t="str">
        <f aca="false">IF(K651="","",G151)</f>
        <v/>
      </c>
      <c r="X651" s="0" t="str">
        <f aca="false">IF(K651="","",1+SUMPRODUCT(($K$2:$K$1001&lt;&gt;"")*(($T$2:$T$1001&lt;T651)+($T$2:$T$1001=T651)*(($U$2:$U$1001&lt;U651)+($U$2:$U$1001=U651)*(($V$2:$V$1001&lt;V651)+($V$2:$V$1001=V651)*(($W$2:$W$1001&lt;W651)+($W$2:$W$1001=W651)*(ROW($K$2:$K$1001)&lt;ROW(K651))))))))</f>
        <v/>
      </c>
    </row>
    <row r="652" customFormat="false" ht="15" hidden="false" customHeight="false" outlineLevel="0" collapsed="false">
      <c r="K652" s="0" t="str">
        <f aca="false">IF(H152="","",IF(SUMPRODUCT(--($C$2:$C$501=H152))&gt;0,"",H152))</f>
        <v/>
      </c>
      <c r="L652" s="0" t="str">
        <f aca="false">IF(K652="","",IF(ISNUMBER('List 2'!A152),'List 2'!A152,TRIM('List 2'!A152)))</f>
        <v/>
      </c>
      <c r="M652" s="0" t="str">
        <f aca="false">IF(K652="","",IF(ISNUMBER('List 2'!C152),'List 2'!C152,TRIM('List 2'!C152)))</f>
        <v/>
      </c>
      <c r="N652" s="0" t="str">
        <f aca="false">IF(K652="","",IF(ISNUMBER('List 2'!D152),'List 2'!D152,TRIM('List 2'!D152)))</f>
        <v/>
      </c>
      <c r="O652" s="0" t="str">
        <f aca="false">IF(K652="","",0)</f>
        <v/>
      </c>
      <c r="P652" s="0" t="str">
        <f aca="false">IF(K652="","",I152)</f>
        <v/>
      </c>
      <c r="Q652" s="0" t="str">
        <f aca="false">IF(K652="","",FALSE())</f>
        <v/>
      </c>
      <c r="R652" s="0" t="str">
        <f aca="false">IF(K652="","",TRUE())</f>
        <v/>
      </c>
      <c r="S652" s="0" t="str">
        <f aca="false">IF(K652="","",IF(AND(Q652,R652),IF(O652=P652,"Match","Qty Different"),IF(Q652,"Only in List 1","Only in List 2")))</f>
        <v/>
      </c>
      <c r="T652" s="0" t="str">
        <f aca="false">IF(K652="","",IF(ISNUMBER(--L652),TEXT(--L652,"000000000000.000"),LOWER(L652)))</f>
        <v/>
      </c>
      <c r="U652" s="0" t="str">
        <f aca="false">IF(K652="","",IF(ISNUMBER(--M652),TEXT(--M652,"000000000000.000"),LOWER(M652)))</f>
        <v/>
      </c>
      <c r="V652" s="0" t="str">
        <f aca="false">IF(K652="","",LOWER(N652))</f>
        <v/>
      </c>
      <c r="W652" s="0" t="str">
        <f aca="false">IF(K652="","",G152)</f>
        <v/>
      </c>
      <c r="X652" s="0" t="str">
        <f aca="false">IF(K652="","",1+SUMPRODUCT(($K$2:$K$1001&lt;&gt;"")*(($T$2:$T$1001&lt;T652)+($T$2:$T$1001=T652)*(($U$2:$U$1001&lt;U652)+($U$2:$U$1001=U652)*(($V$2:$V$1001&lt;V652)+($V$2:$V$1001=V652)*(($W$2:$W$1001&lt;W652)+($W$2:$W$1001=W652)*(ROW($K$2:$K$1001)&lt;ROW(K652))))))))</f>
        <v/>
      </c>
    </row>
    <row r="653" customFormat="false" ht="15" hidden="false" customHeight="false" outlineLevel="0" collapsed="false">
      <c r="K653" s="0" t="str">
        <f aca="false">IF(H153="","",IF(SUMPRODUCT(--($C$2:$C$501=H153))&gt;0,"",H153))</f>
        <v/>
      </c>
      <c r="L653" s="0" t="str">
        <f aca="false">IF(K653="","",IF(ISNUMBER('List 2'!A153),'List 2'!A153,TRIM('List 2'!A153)))</f>
        <v/>
      </c>
      <c r="M653" s="0" t="str">
        <f aca="false">IF(K653="","",IF(ISNUMBER('List 2'!C153),'List 2'!C153,TRIM('List 2'!C153)))</f>
        <v/>
      </c>
      <c r="N653" s="0" t="str">
        <f aca="false">IF(K653="","",IF(ISNUMBER('List 2'!D153),'List 2'!D153,TRIM('List 2'!D153)))</f>
        <v/>
      </c>
      <c r="O653" s="0" t="str">
        <f aca="false">IF(K653="","",0)</f>
        <v/>
      </c>
      <c r="P653" s="0" t="str">
        <f aca="false">IF(K653="","",I153)</f>
        <v/>
      </c>
      <c r="Q653" s="0" t="str">
        <f aca="false">IF(K653="","",FALSE())</f>
        <v/>
      </c>
      <c r="R653" s="0" t="str">
        <f aca="false">IF(K653="","",TRUE())</f>
        <v/>
      </c>
      <c r="S653" s="0" t="str">
        <f aca="false">IF(K653="","",IF(AND(Q653,R653),IF(O653=P653,"Match","Qty Different"),IF(Q653,"Only in List 1","Only in List 2")))</f>
        <v/>
      </c>
      <c r="T653" s="0" t="str">
        <f aca="false">IF(K653="","",IF(ISNUMBER(--L653),TEXT(--L653,"000000000000.000"),LOWER(L653)))</f>
        <v/>
      </c>
      <c r="U653" s="0" t="str">
        <f aca="false">IF(K653="","",IF(ISNUMBER(--M653),TEXT(--M653,"000000000000.000"),LOWER(M653)))</f>
        <v/>
      </c>
      <c r="V653" s="0" t="str">
        <f aca="false">IF(K653="","",LOWER(N653))</f>
        <v/>
      </c>
      <c r="W653" s="0" t="str">
        <f aca="false">IF(K653="","",G153)</f>
        <v/>
      </c>
      <c r="X653" s="0" t="str">
        <f aca="false">IF(K653="","",1+SUMPRODUCT(($K$2:$K$1001&lt;&gt;"")*(($T$2:$T$1001&lt;T653)+($T$2:$T$1001=T653)*(($U$2:$U$1001&lt;U653)+($U$2:$U$1001=U653)*(($V$2:$V$1001&lt;V653)+($V$2:$V$1001=V653)*(($W$2:$W$1001&lt;W653)+($W$2:$W$1001=W653)*(ROW($K$2:$K$1001)&lt;ROW(K653))))))))</f>
        <v/>
      </c>
    </row>
    <row r="654" customFormat="false" ht="15" hidden="false" customHeight="false" outlineLevel="0" collapsed="false">
      <c r="K654" s="0" t="str">
        <f aca="false">IF(H154="","",IF(SUMPRODUCT(--($C$2:$C$501=H154))&gt;0,"",H154))</f>
        <v/>
      </c>
      <c r="L654" s="0" t="str">
        <f aca="false">IF(K654="","",IF(ISNUMBER('List 2'!A154),'List 2'!A154,TRIM('List 2'!A154)))</f>
        <v/>
      </c>
      <c r="M654" s="0" t="str">
        <f aca="false">IF(K654="","",IF(ISNUMBER('List 2'!C154),'List 2'!C154,TRIM('List 2'!C154)))</f>
        <v/>
      </c>
      <c r="N654" s="0" t="str">
        <f aca="false">IF(K654="","",IF(ISNUMBER('List 2'!D154),'List 2'!D154,TRIM('List 2'!D154)))</f>
        <v/>
      </c>
      <c r="O654" s="0" t="str">
        <f aca="false">IF(K654="","",0)</f>
        <v/>
      </c>
      <c r="P654" s="0" t="str">
        <f aca="false">IF(K654="","",I154)</f>
        <v/>
      </c>
      <c r="Q654" s="0" t="str">
        <f aca="false">IF(K654="","",FALSE())</f>
        <v/>
      </c>
      <c r="R654" s="0" t="str">
        <f aca="false">IF(K654="","",TRUE())</f>
        <v/>
      </c>
      <c r="S654" s="0" t="str">
        <f aca="false">IF(K654="","",IF(AND(Q654,R654),IF(O654=P654,"Match","Qty Different"),IF(Q654,"Only in List 1","Only in List 2")))</f>
        <v/>
      </c>
      <c r="T654" s="0" t="str">
        <f aca="false">IF(K654="","",IF(ISNUMBER(--L654),TEXT(--L654,"000000000000.000"),LOWER(L654)))</f>
        <v/>
      </c>
      <c r="U654" s="0" t="str">
        <f aca="false">IF(K654="","",IF(ISNUMBER(--M654),TEXT(--M654,"000000000000.000"),LOWER(M654)))</f>
        <v/>
      </c>
      <c r="V654" s="0" t="str">
        <f aca="false">IF(K654="","",LOWER(N654))</f>
        <v/>
      </c>
      <c r="W654" s="0" t="str">
        <f aca="false">IF(K654="","",G154)</f>
        <v/>
      </c>
      <c r="X654" s="0" t="str">
        <f aca="false">IF(K654="","",1+SUMPRODUCT(($K$2:$K$1001&lt;&gt;"")*(($T$2:$T$1001&lt;T654)+($T$2:$T$1001=T654)*(($U$2:$U$1001&lt;U654)+($U$2:$U$1001=U654)*(($V$2:$V$1001&lt;V654)+($V$2:$V$1001=V654)*(($W$2:$W$1001&lt;W654)+($W$2:$W$1001=W654)*(ROW($K$2:$K$1001)&lt;ROW(K654))))))))</f>
        <v/>
      </c>
    </row>
    <row r="655" customFormat="false" ht="15" hidden="false" customHeight="false" outlineLevel="0" collapsed="false">
      <c r="K655" s="0" t="str">
        <f aca="false">IF(H155="","",IF(SUMPRODUCT(--($C$2:$C$501=H155))&gt;0,"",H155))</f>
        <v/>
      </c>
      <c r="L655" s="0" t="str">
        <f aca="false">IF(K655="","",IF(ISNUMBER('List 2'!A155),'List 2'!A155,TRIM('List 2'!A155)))</f>
        <v/>
      </c>
      <c r="M655" s="0" t="str">
        <f aca="false">IF(K655="","",IF(ISNUMBER('List 2'!C155),'List 2'!C155,TRIM('List 2'!C155)))</f>
        <v/>
      </c>
      <c r="N655" s="0" t="str">
        <f aca="false">IF(K655="","",IF(ISNUMBER('List 2'!D155),'List 2'!D155,TRIM('List 2'!D155)))</f>
        <v/>
      </c>
      <c r="O655" s="0" t="str">
        <f aca="false">IF(K655="","",0)</f>
        <v/>
      </c>
      <c r="P655" s="0" t="str">
        <f aca="false">IF(K655="","",I155)</f>
        <v/>
      </c>
      <c r="Q655" s="0" t="str">
        <f aca="false">IF(K655="","",FALSE())</f>
        <v/>
      </c>
      <c r="R655" s="0" t="str">
        <f aca="false">IF(K655="","",TRUE())</f>
        <v/>
      </c>
      <c r="S655" s="0" t="str">
        <f aca="false">IF(K655="","",IF(AND(Q655,R655),IF(O655=P655,"Match","Qty Different"),IF(Q655,"Only in List 1","Only in List 2")))</f>
        <v/>
      </c>
      <c r="T655" s="0" t="str">
        <f aca="false">IF(K655="","",IF(ISNUMBER(--L655),TEXT(--L655,"000000000000.000"),LOWER(L655)))</f>
        <v/>
      </c>
      <c r="U655" s="0" t="str">
        <f aca="false">IF(K655="","",IF(ISNUMBER(--M655),TEXT(--M655,"000000000000.000"),LOWER(M655)))</f>
        <v/>
      </c>
      <c r="V655" s="0" t="str">
        <f aca="false">IF(K655="","",LOWER(N655))</f>
        <v/>
      </c>
      <c r="W655" s="0" t="str">
        <f aca="false">IF(K655="","",G155)</f>
        <v/>
      </c>
      <c r="X655" s="0" t="str">
        <f aca="false">IF(K655="","",1+SUMPRODUCT(($K$2:$K$1001&lt;&gt;"")*(($T$2:$T$1001&lt;T655)+($T$2:$T$1001=T655)*(($U$2:$U$1001&lt;U655)+($U$2:$U$1001=U655)*(($V$2:$V$1001&lt;V655)+($V$2:$V$1001=V655)*(($W$2:$W$1001&lt;W655)+($W$2:$W$1001=W655)*(ROW($K$2:$K$1001)&lt;ROW(K655))))))))</f>
        <v/>
      </c>
    </row>
    <row r="656" customFormat="false" ht="15" hidden="false" customHeight="false" outlineLevel="0" collapsed="false">
      <c r="K656" s="0" t="str">
        <f aca="false">IF(H156="","",IF(SUMPRODUCT(--($C$2:$C$501=H156))&gt;0,"",H156))</f>
        <v/>
      </c>
      <c r="L656" s="0" t="str">
        <f aca="false">IF(K656="","",IF(ISNUMBER('List 2'!A156),'List 2'!A156,TRIM('List 2'!A156)))</f>
        <v/>
      </c>
      <c r="M656" s="0" t="str">
        <f aca="false">IF(K656="","",IF(ISNUMBER('List 2'!C156),'List 2'!C156,TRIM('List 2'!C156)))</f>
        <v/>
      </c>
      <c r="N656" s="0" t="str">
        <f aca="false">IF(K656="","",IF(ISNUMBER('List 2'!D156),'List 2'!D156,TRIM('List 2'!D156)))</f>
        <v/>
      </c>
      <c r="O656" s="0" t="str">
        <f aca="false">IF(K656="","",0)</f>
        <v/>
      </c>
      <c r="P656" s="0" t="str">
        <f aca="false">IF(K656="","",I156)</f>
        <v/>
      </c>
      <c r="Q656" s="0" t="str">
        <f aca="false">IF(K656="","",FALSE())</f>
        <v/>
      </c>
      <c r="R656" s="0" t="str">
        <f aca="false">IF(K656="","",TRUE())</f>
        <v/>
      </c>
      <c r="S656" s="0" t="str">
        <f aca="false">IF(K656="","",IF(AND(Q656,R656),IF(O656=P656,"Match","Qty Different"),IF(Q656,"Only in List 1","Only in List 2")))</f>
        <v/>
      </c>
      <c r="T656" s="0" t="str">
        <f aca="false">IF(K656="","",IF(ISNUMBER(--L656),TEXT(--L656,"000000000000.000"),LOWER(L656)))</f>
        <v/>
      </c>
      <c r="U656" s="0" t="str">
        <f aca="false">IF(K656="","",IF(ISNUMBER(--M656),TEXT(--M656,"000000000000.000"),LOWER(M656)))</f>
        <v/>
      </c>
      <c r="V656" s="0" t="str">
        <f aca="false">IF(K656="","",LOWER(N656))</f>
        <v/>
      </c>
      <c r="W656" s="0" t="str">
        <f aca="false">IF(K656="","",G156)</f>
        <v/>
      </c>
      <c r="X656" s="0" t="str">
        <f aca="false">IF(K656="","",1+SUMPRODUCT(($K$2:$K$1001&lt;&gt;"")*(($T$2:$T$1001&lt;T656)+($T$2:$T$1001=T656)*(($U$2:$U$1001&lt;U656)+($U$2:$U$1001=U656)*(($V$2:$V$1001&lt;V656)+($V$2:$V$1001=V656)*(($W$2:$W$1001&lt;W656)+($W$2:$W$1001=W656)*(ROW($K$2:$K$1001)&lt;ROW(K656))))))))</f>
        <v/>
      </c>
    </row>
    <row r="657" customFormat="false" ht="15" hidden="false" customHeight="false" outlineLevel="0" collapsed="false">
      <c r="K657" s="0" t="str">
        <f aca="false">IF(H157="","",IF(SUMPRODUCT(--($C$2:$C$501=H157))&gt;0,"",H157))</f>
        <v/>
      </c>
      <c r="L657" s="0" t="str">
        <f aca="false">IF(K657="","",IF(ISNUMBER('List 2'!A157),'List 2'!A157,TRIM('List 2'!A157)))</f>
        <v/>
      </c>
      <c r="M657" s="0" t="str">
        <f aca="false">IF(K657="","",IF(ISNUMBER('List 2'!C157),'List 2'!C157,TRIM('List 2'!C157)))</f>
        <v/>
      </c>
      <c r="N657" s="0" t="str">
        <f aca="false">IF(K657="","",IF(ISNUMBER('List 2'!D157),'List 2'!D157,TRIM('List 2'!D157)))</f>
        <v/>
      </c>
      <c r="O657" s="0" t="str">
        <f aca="false">IF(K657="","",0)</f>
        <v/>
      </c>
      <c r="P657" s="0" t="str">
        <f aca="false">IF(K657="","",I157)</f>
        <v/>
      </c>
      <c r="Q657" s="0" t="str">
        <f aca="false">IF(K657="","",FALSE())</f>
        <v/>
      </c>
      <c r="R657" s="0" t="str">
        <f aca="false">IF(K657="","",TRUE())</f>
        <v/>
      </c>
      <c r="S657" s="0" t="str">
        <f aca="false">IF(K657="","",IF(AND(Q657,R657),IF(O657=P657,"Match","Qty Different"),IF(Q657,"Only in List 1","Only in List 2")))</f>
        <v/>
      </c>
      <c r="T657" s="0" t="str">
        <f aca="false">IF(K657="","",IF(ISNUMBER(--L657),TEXT(--L657,"000000000000.000"),LOWER(L657)))</f>
        <v/>
      </c>
      <c r="U657" s="0" t="str">
        <f aca="false">IF(K657="","",IF(ISNUMBER(--M657),TEXT(--M657,"000000000000.000"),LOWER(M657)))</f>
        <v/>
      </c>
      <c r="V657" s="0" t="str">
        <f aca="false">IF(K657="","",LOWER(N657))</f>
        <v/>
      </c>
      <c r="W657" s="0" t="str">
        <f aca="false">IF(K657="","",G157)</f>
        <v/>
      </c>
      <c r="X657" s="0" t="str">
        <f aca="false">IF(K657="","",1+SUMPRODUCT(($K$2:$K$1001&lt;&gt;"")*(($T$2:$T$1001&lt;T657)+($T$2:$T$1001=T657)*(($U$2:$U$1001&lt;U657)+($U$2:$U$1001=U657)*(($V$2:$V$1001&lt;V657)+($V$2:$V$1001=V657)*(($W$2:$W$1001&lt;W657)+($W$2:$W$1001=W657)*(ROW($K$2:$K$1001)&lt;ROW(K657))))))))</f>
        <v/>
      </c>
    </row>
    <row r="658" customFormat="false" ht="15" hidden="false" customHeight="false" outlineLevel="0" collapsed="false">
      <c r="K658" s="0" t="str">
        <f aca="false">IF(H158="","",IF(SUMPRODUCT(--($C$2:$C$501=H158))&gt;0,"",H158))</f>
        <v/>
      </c>
      <c r="L658" s="0" t="str">
        <f aca="false">IF(K658="","",IF(ISNUMBER('List 2'!A158),'List 2'!A158,TRIM('List 2'!A158)))</f>
        <v/>
      </c>
      <c r="M658" s="0" t="str">
        <f aca="false">IF(K658="","",IF(ISNUMBER('List 2'!C158),'List 2'!C158,TRIM('List 2'!C158)))</f>
        <v/>
      </c>
      <c r="N658" s="0" t="str">
        <f aca="false">IF(K658="","",IF(ISNUMBER('List 2'!D158),'List 2'!D158,TRIM('List 2'!D158)))</f>
        <v/>
      </c>
      <c r="O658" s="0" t="str">
        <f aca="false">IF(K658="","",0)</f>
        <v/>
      </c>
      <c r="P658" s="0" t="str">
        <f aca="false">IF(K658="","",I158)</f>
        <v/>
      </c>
      <c r="Q658" s="0" t="str">
        <f aca="false">IF(K658="","",FALSE())</f>
        <v/>
      </c>
      <c r="R658" s="0" t="str">
        <f aca="false">IF(K658="","",TRUE())</f>
        <v/>
      </c>
      <c r="S658" s="0" t="str">
        <f aca="false">IF(K658="","",IF(AND(Q658,R658),IF(O658=P658,"Match","Qty Different"),IF(Q658,"Only in List 1","Only in List 2")))</f>
        <v/>
      </c>
      <c r="T658" s="0" t="str">
        <f aca="false">IF(K658="","",IF(ISNUMBER(--L658),TEXT(--L658,"000000000000.000"),LOWER(L658)))</f>
        <v/>
      </c>
      <c r="U658" s="0" t="str">
        <f aca="false">IF(K658="","",IF(ISNUMBER(--M658),TEXT(--M658,"000000000000.000"),LOWER(M658)))</f>
        <v/>
      </c>
      <c r="V658" s="0" t="str">
        <f aca="false">IF(K658="","",LOWER(N658))</f>
        <v/>
      </c>
      <c r="W658" s="0" t="str">
        <f aca="false">IF(K658="","",G158)</f>
        <v/>
      </c>
      <c r="X658" s="0" t="str">
        <f aca="false">IF(K658="","",1+SUMPRODUCT(($K$2:$K$1001&lt;&gt;"")*(($T$2:$T$1001&lt;T658)+($T$2:$T$1001=T658)*(($U$2:$U$1001&lt;U658)+($U$2:$U$1001=U658)*(($V$2:$V$1001&lt;V658)+($V$2:$V$1001=V658)*(($W$2:$W$1001&lt;W658)+($W$2:$W$1001=W658)*(ROW($K$2:$K$1001)&lt;ROW(K658))))))))</f>
        <v/>
      </c>
    </row>
    <row r="659" customFormat="false" ht="15" hidden="false" customHeight="false" outlineLevel="0" collapsed="false">
      <c r="K659" s="0" t="str">
        <f aca="false">IF(H159="","",IF(SUMPRODUCT(--($C$2:$C$501=H159))&gt;0,"",H159))</f>
        <v/>
      </c>
      <c r="L659" s="0" t="str">
        <f aca="false">IF(K659="","",IF(ISNUMBER('List 2'!A159),'List 2'!A159,TRIM('List 2'!A159)))</f>
        <v/>
      </c>
      <c r="M659" s="0" t="str">
        <f aca="false">IF(K659="","",IF(ISNUMBER('List 2'!C159),'List 2'!C159,TRIM('List 2'!C159)))</f>
        <v/>
      </c>
      <c r="N659" s="0" t="str">
        <f aca="false">IF(K659="","",IF(ISNUMBER('List 2'!D159),'List 2'!D159,TRIM('List 2'!D159)))</f>
        <v/>
      </c>
      <c r="O659" s="0" t="str">
        <f aca="false">IF(K659="","",0)</f>
        <v/>
      </c>
      <c r="P659" s="0" t="str">
        <f aca="false">IF(K659="","",I159)</f>
        <v/>
      </c>
      <c r="Q659" s="0" t="str">
        <f aca="false">IF(K659="","",FALSE())</f>
        <v/>
      </c>
      <c r="R659" s="0" t="str">
        <f aca="false">IF(K659="","",TRUE())</f>
        <v/>
      </c>
      <c r="S659" s="0" t="str">
        <f aca="false">IF(K659="","",IF(AND(Q659,R659),IF(O659=P659,"Match","Qty Different"),IF(Q659,"Only in List 1","Only in List 2")))</f>
        <v/>
      </c>
      <c r="T659" s="0" t="str">
        <f aca="false">IF(K659="","",IF(ISNUMBER(--L659),TEXT(--L659,"000000000000.000"),LOWER(L659)))</f>
        <v/>
      </c>
      <c r="U659" s="0" t="str">
        <f aca="false">IF(K659="","",IF(ISNUMBER(--M659),TEXT(--M659,"000000000000.000"),LOWER(M659)))</f>
        <v/>
      </c>
      <c r="V659" s="0" t="str">
        <f aca="false">IF(K659="","",LOWER(N659))</f>
        <v/>
      </c>
      <c r="W659" s="0" t="str">
        <f aca="false">IF(K659="","",G159)</f>
        <v/>
      </c>
      <c r="X659" s="0" t="str">
        <f aca="false">IF(K659="","",1+SUMPRODUCT(($K$2:$K$1001&lt;&gt;"")*(($T$2:$T$1001&lt;T659)+($T$2:$T$1001=T659)*(($U$2:$U$1001&lt;U659)+($U$2:$U$1001=U659)*(($V$2:$V$1001&lt;V659)+($V$2:$V$1001=V659)*(($W$2:$W$1001&lt;W659)+($W$2:$W$1001=W659)*(ROW($K$2:$K$1001)&lt;ROW(K659))))))))</f>
        <v/>
      </c>
    </row>
    <row r="660" customFormat="false" ht="15" hidden="false" customHeight="false" outlineLevel="0" collapsed="false">
      <c r="K660" s="0" t="str">
        <f aca="false">IF(H160="","",IF(SUMPRODUCT(--($C$2:$C$501=H160))&gt;0,"",H160))</f>
        <v/>
      </c>
      <c r="L660" s="0" t="str">
        <f aca="false">IF(K660="","",IF(ISNUMBER('List 2'!A160),'List 2'!A160,TRIM('List 2'!A160)))</f>
        <v/>
      </c>
      <c r="M660" s="0" t="str">
        <f aca="false">IF(K660="","",IF(ISNUMBER('List 2'!C160),'List 2'!C160,TRIM('List 2'!C160)))</f>
        <v/>
      </c>
      <c r="N660" s="0" t="str">
        <f aca="false">IF(K660="","",IF(ISNUMBER('List 2'!D160),'List 2'!D160,TRIM('List 2'!D160)))</f>
        <v/>
      </c>
      <c r="O660" s="0" t="str">
        <f aca="false">IF(K660="","",0)</f>
        <v/>
      </c>
      <c r="P660" s="0" t="str">
        <f aca="false">IF(K660="","",I160)</f>
        <v/>
      </c>
      <c r="Q660" s="0" t="str">
        <f aca="false">IF(K660="","",FALSE())</f>
        <v/>
      </c>
      <c r="R660" s="0" t="str">
        <f aca="false">IF(K660="","",TRUE())</f>
        <v/>
      </c>
      <c r="S660" s="0" t="str">
        <f aca="false">IF(K660="","",IF(AND(Q660,R660),IF(O660=P660,"Match","Qty Different"),IF(Q660,"Only in List 1","Only in List 2")))</f>
        <v/>
      </c>
      <c r="T660" s="0" t="str">
        <f aca="false">IF(K660="","",IF(ISNUMBER(--L660),TEXT(--L660,"000000000000.000"),LOWER(L660)))</f>
        <v/>
      </c>
      <c r="U660" s="0" t="str">
        <f aca="false">IF(K660="","",IF(ISNUMBER(--M660),TEXT(--M660,"000000000000.000"),LOWER(M660)))</f>
        <v/>
      </c>
      <c r="V660" s="0" t="str">
        <f aca="false">IF(K660="","",LOWER(N660))</f>
        <v/>
      </c>
      <c r="W660" s="0" t="str">
        <f aca="false">IF(K660="","",G160)</f>
        <v/>
      </c>
      <c r="X660" s="0" t="str">
        <f aca="false">IF(K660="","",1+SUMPRODUCT(($K$2:$K$1001&lt;&gt;"")*(($T$2:$T$1001&lt;T660)+($T$2:$T$1001=T660)*(($U$2:$U$1001&lt;U660)+($U$2:$U$1001=U660)*(($V$2:$V$1001&lt;V660)+($V$2:$V$1001=V660)*(($W$2:$W$1001&lt;W660)+($W$2:$W$1001=W660)*(ROW($K$2:$K$1001)&lt;ROW(K660))))))))</f>
        <v/>
      </c>
    </row>
    <row r="661" customFormat="false" ht="15" hidden="false" customHeight="false" outlineLevel="0" collapsed="false">
      <c r="K661" s="0" t="str">
        <f aca="false">IF(H161="","",IF(SUMPRODUCT(--($C$2:$C$501=H161))&gt;0,"",H161))</f>
        <v/>
      </c>
      <c r="L661" s="0" t="str">
        <f aca="false">IF(K661="","",IF(ISNUMBER('List 2'!A161),'List 2'!A161,TRIM('List 2'!A161)))</f>
        <v/>
      </c>
      <c r="M661" s="0" t="str">
        <f aca="false">IF(K661="","",IF(ISNUMBER('List 2'!C161),'List 2'!C161,TRIM('List 2'!C161)))</f>
        <v/>
      </c>
      <c r="N661" s="0" t="str">
        <f aca="false">IF(K661="","",IF(ISNUMBER('List 2'!D161),'List 2'!D161,TRIM('List 2'!D161)))</f>
        <v/>
      </c>
      <c r="O661" s="0" t="str">
        <f aca="false">IF(K661="","",0)</f>
        <v/>
      </c>
      <c r="P661" s="0" t="str">
        <f aca="false">IF(K661="","",I161)</f>
        <v/>
      </c>
      <c r="Q661" s="0" t="str">
        <f aca="false">IF(K661="","",FALSE())</f>
        <v/>
      </c>
      <c r="R661" s="0" t="str">
        <f aca="false">IF(K661="","",TRUE())</f>
        <v/>
      </c>
      <c r="S661" s="0" t="str">
        <f aca="false">IF(K661="","",IF(AND(Q661,R661),IF(O661=P661,"Match","Qty Different"),IF(Q661,"Only in List 1","Only in List 2")))</f>
        <v/>
      </c>
      <c r="T661" s="0" t="str">
        <f aca="false">IF(K661="","",IF(ISNUMBER(--L661),TEXT(--L661,"000000000000.000"),LOWER(L661)))</f>
        <v/>
      </c>
      <c r="U661" s="0" t="str">
        <f aca="false">IF(K661="","",IF(ISNUMBER(--M661),TEXT(--M661,"000000000000.000"),LOWER(M661)))</f>
        <v/>
      </c>
      <c r="V661" s="0" t="str">
        <f aca="false">IF(K661="","",LOWER(N661))</f>
        <v/>
      </c>
      <c r="W661" s="0" t="str">
        <f aca="false">IF(K661="","",G161)</f>
        <v/>
      </c>
      <c r="X661" s="0" t="str">
        <f aca="false">IF(K661="","",1+SUMPRODUCT(($K$2:$K$1001&lt;&gt;"")*(($T$2:$T$1001&lt;T661)+($T$2:$T$1001=T661)*(($U$2:$U$1001&lt;U661)+($U$2:$U$1001=U661)*(($V$2:$V$1001&lt;V661)+($V$2:$V$1001=V661)*(($W$2:$W$1001&lt;W661)+($W$2:$W$1001=W661)*(ROW($K$2:$K$1001)&lt;ROW(K661))))))))</f>
        <v/>
      </c>
    </row>
    <row r="662" customFormat="false" ht="15" hidden="false" customHeight="false" outlineLevel="0" collapsed="false">
      <c r="K662" s="0" t="str">
        <f aca="false">IF(H162="","",IF(SUMPRODUCT(--($C$2:$C$501=H162))&gt;0,"",H162))</f>
        <v/>
      </c>
      <c r="L662" s="0" t="str">
        <f aca="false">IF(K662="","",IF(ISNUMBER('List 2'!A162),'List 2'!A162,TRIM('List 2'!A162)))</f>
        <v/>
      </c>
      <c r="M662" s="0" t="str">
        <f aca="false">IF(K662="","",IF(ISNUMBER('List 2'!C162),'List 2'!C162,TRIM('List 2'!C162)))</f>
        <v/>
      </c>
      <c r="N662" s="0" t="str">
        <f aca="false">IF(K662="","",IF(ISNUMBER('List 2'!D162),'List 2'!D162,TRIM('List 2'!D162)))</f>
        <v/>
      </c>
      <c r="O662" s="0" t="str">
        <f aca="false">IF(K662="","",0)</f>
        <v/>
      </c>
      <c r="P662" s="0" t="str">
        <f aca="false">IF(K662="","",I162)</f>
        <v/>
      </c>
      <c r="Q662" s="0" t="str">
        <f aca="false">IF(K662="","",FALSE())</f>
        <v/>
      </c>
      <c r="R662" s="0" t="str">
        <f aca="false">IF(K662="","",TRUE())</f>
        <v/>
      </c>
      <c r="S662" s="0" t="str">
        <f aca="false">IF(K662="","",IF(AND(Q662,R662),IF(O662=P662,"Match","Qty Different"),IF(Q662,"Only in List 1","Only in List 2")))</f>
        <v/>
      </c>
      <c r="T662" s="0" t="str">
        <f aca="false">IF(K662="","",IF(ISNUMBER(--L662),TEXT(--L662,"000000000000.000"),LOWER(L662)))</f>
        <v/>
      </c>
      <c r="U662" s="0" t="str">
        <f aca="false">IF(K662="","",IF(ISNUMBER(--M662),TEXT(--M662,"000000000000.000"),LOWER(M662)))</f>
        <v/>
      </c>
      <c r="V662" s="0" t="str">
        <f aca="false">IF(K662="","",LOWER(N662))</f>
        <v/>
      </c>
      <c r="W662" s="0" t="str">
        <f aca="false">IF(K662="","",G162)</f>
        <v/>
      </c>
      <c r="X662" s="0" t="str">
        <f aca="false">IF(K662="","",1+SUMPRODUCT(($K$2:$K$1001&lt;&gt;"")*(($T$2:$T$1001&lt;T662)+($T$2:$T$1001=T662)*(($U$2:$U$1001&lt;U662)+($U$2:$U$1001=U662)*(($V$2:$V$1001&lt;V662)+($V$2:$V$1001=V662)*(($W$2:$W$1001&lt;W662)+($W$2:$W$1001=W662)*(ROW($K$2:$K$1001)&lt;ROW(K662))))))))</f>
        <v/>
      </c>
    </row>
    <row r="663" customFormat="false" ht="15" hidden="false" customHeight="false" outlineLevel="0" collapsed="false">
      <c r="K663" s="0" t="str">
        <f aca="false">IF(H163="","",IF(SUMPRODUCT(--($C$2:$C$501=H163))&gt;0,"",H163))</f>
        <v/>
      </c>
      <c r="L663" s="0" t="str">
        <f aca="false">IF(K663="","",IF(ISNUMBER('List 2'!A163),'List 2'!A163,TRIM('List 2'!A163)))</f>
        <v/>
      </c>
      <c r="M663" s="0" t="str">
        <f aca="false">IF(K663="","",IF(ISNUMBER('List 2'!C163),'List 2'!C163,TRIM('List 2'!C163)))</f>
        <v/>
      </c>
      <c r="N663" s="0" t="str">
        <f aca="false">IF(K663="","",IF(ISNUMBER('List 2'!D163),'List 2'!D163,TRIM('List 2'!D163)))</f>
        <v/>
      </c>
      <c r="O663" s="0" t="str">
        <f aca="false">IF(K663="","",0)</f>
        <v/>
      </c>
      <c r="P663" s="0" t="str">
        <f aca="false">IF(K663="","",I163)</f>
        <v/>
      </c>
      <c r="Q663" s="0" t="str">
        <f aca="false">IF(K663="","",FALSE())</f>
        <v/>
      </c>
      <c r="R663" s="0" t="str">
        <f aca="false">IF(K663="","",TRUE())</f>
        <v/>
      </c>
      <c r="S663" s="0" t="str">
        <f aca="false">IF(K663="","",IF(AND(Q663,R663),IF(O663=P663,"Match","Qty Different"),IF(Q663,"Only in List 1","Only in List 2")))</f>
        <v/>
      </c>
      <c r="T663" s="0" t="str">
        <f aca="false">IF(K663="","",IF(ISNUMBER(--L663),TEXT(--L663,"000000000000.000"),LOWER(L663)))</f>
        <v/>
      </c>
      <c r="U663" s="0" t="str">
        <f aca="false">IF(K663="","",IF(ISNUMBER(--M663),TEXT(--M663,"000000000000.000"),LOWER(M663)))</f>
        <v/>
      </c>
      <c r="V663" s="0" t="str">
        <f aca="false">IF(K663="","",LOWER(N663))</f>
        <v/>
      </c>
      <c r="W663" s="0" t="str">
        <f aca="false">IF(K663="","",G163)</f>
        <v/>
      </c>
      <c r="X663" s="0" t="str">
        <f aca="false">IF(K663="","",1+SUMPRODUCT(($K$2:$K$1001&lt;&gt;"")*(($T$2:$T$1001&lt;T663)+($T$2:$T$1001=T663)*(($U$2:$U$1001&lt;U663)+($U$2:$U$1001=U663)*(($V$2:$V$1001&lt;V663)+($V$2:$V$1001=V663)*(($W$2:$W$1001&lt;W663)+($W$2:$W$1001=W663)*(ROW($K$2:$K$1001)&lt;ROW(K663))))))))</f>
        <v/>
      </c>
    </row>
    <row r="664" customFormat="false" ht="15" hidden="false" customHeight="false" outlineLevel="0" collapsed="false">
      <c r="K664" s="0" t="str">
        <f aca="false">IF(H164="","",IF(SUMPRODUCT(--($C$2:$C$501=H164))&gt;0,"",H164))</f>
        <v/>
      </c>
      <c r="L664" s="0" t="str">
        <f aca="false">IF(K664="","",IF(ISNUMBER('List 2'!A164),'List 2'!A164,TRIM('List 2'!A164)))</f>
        <v/>
      </c>
      <c r="M664" s="0" t="str">
        <f aca="false">IF(K664="","",IF(ISNUMBER('List 2'!C164),'List 2'!C164,TRIM('List 2'!C164)))</f>
        <v/>
      </c>
      <c r="N664" s="0" t="str">
        <f aca="false">IF(K664="","",IF(ISNUMBER('List 2'!D164),'List 2'!D164,TRIM('List 2'!D164)))</f>
        <v/>
      </c>
      <c r="O664" s="0" t="str">
        <f aca="false">IF(K664="","",0)</f>
        <v/>
      </c>
      <c r="P664" s="0" t="str">
        <f aca="false">IF(K664="","",I164)</f>
        <v/>
      </c>
      <c r="Q664" s="0" t="str">
        <f aca="false">IF(K664="","",FALSE())</f>
        <v/>
      </c>
      <c r="R664" s="0" t="str">
        <f aca="false">IF(K664="","",TRUE())</f>
        <v/>
      </c>
      <c r="S664" s="0" t="str">
        <f aca="false">IF(K664="","",IF(AND(Q664,R664),IF(O664=P664,"Match","Qty Different"),IF(Q664,"Only in List 1","Only in List 2")))</f>
        <v/>
      </c>
      <c r="T664" s="0" t="str">
        <f aca="false">IF(K664="","",IF(ISNUMBER(--L664),TEXT(--L664,"000000000000.000"),LOWER(L664)))</f>
        <v/>
      </c>
      <c r="U664" s="0" t="str">
        <f aca="false">IF(K664="","",IF(ISNUMBER(--M664),TEXT(--M664,"000000000000.000"),LOWER(M664)))</f>
        <v/>
      </c>
      <c r="V664" s="0" t="str">
        <f aca="false">IF(K664="","",LOWER(N664))</f>
        <v/>
      </c>
      <c r="W664" s="0" t="str">
        <f aca="false">IF(K664="","",G164)</f>
        <v/>
      </c>
      <c r="X664" s="0" t="str">
        <f aca="false">IF(K664="","",1+SUMPRODUCT(($K$2:$K$1001&lt;&gt;"")*(($T$2:$T$1001&lt;T664)+($T$2:$T$1001=T664)*(($U$2:$U$1001&lt;U664)+($U$2:$U$1001=U664)*(($V$2:$V$1001&lt;V664)+($V$2:$V$1001=V664)*(($W$2:$W$1001&lt;W664)+($W$2:$W$1001=W664)*(ROW($K$2:$K$1001)&lt;ROW(K664))))))))</f>
        <v/>
      </c>
    </row>
    <row r="665" customFormat="false" ht="15" hidden="false" customHeight="false" outlineLevel="0" collapsed="false">
      <c r="K665" s="0" t="str">
        <f aca="false">IF(H165="","",IF(SUMPRODUCT(--($C$2:$C$501=H165))&gt;0,"",H165))</f>
        <v/>
      </c>
      <c r="L665" s="0" t="str">
        <f aca="false">IF(K665="","",IF(ISNUMBER('List 2'!A165),'List 2'!A165,TRIM('List 2'!A165)))</f>
        <v/>
      </c>
      <c r="M665" s="0" t="str">
        <f aca="false">IF(K665="","",IF(ISNUMBER('List 2'!C165),'List 2'!C165,TRIM('List 2'!C165)))</f>
        <v/>
      </c>
      <c r="N665" s="0" t="str">
        <f aca="false">IF(K665="","",IF(ISNUMBER('List 2'!D165),'List 2'!D165,TRIM('List 2'!D165)))</f>
        <v/>
      </c>
      <c r="O665" s="0" t="str">
        <f aca="false">IF(K665="","",0)</f>
        <v/>
      </c>
      <c r="P665" s="0" t="str">
        <f aca="false">IF(K665="","",I165)</f>
        <v/>
      </c>
      <c r="Q665" s="0" t="str">
        <f aca="false">IF(K665="","",FALSE())</f>
        <v/>
      </c>
      <c r="R665" s="0" t="str">
        <f aca="false">IF(K665="","",TRUE())</f>
        <v/>
      </c>
      <c r="S665" s="0" t="str">
        <f aca="false">IF(K665="","",IF(AND(Q665,R665),IF(O665=P665,"Match","Qty Different"),IF(Q665,"Only in List 1","Only in List 2")))</f>
        <v/>
      </c>
      <c r="T665" s="0" t="str">
        <f aca="false">IF(K665="","",IF(ISNUMBER(--L665),TEXT(--L665,"000000000000.000"),LOWER(L665)))</f>
        <v/>
      </c>
      <c r="U665" s="0" t="str">
        <f aca="false">IF(K665="","",IF(ISNUMBER(--M665),TEXT(--M665,"000000000000.000"),LOWER(M665)))</f>
        <v/>
      </c>
      <c r="V665" s="0" t="str">
        <f aca="false">IF(K665="","",LOWER(N665))</f>
        <v/>
      </c>
      <c r="W665" s="0" t="str">
        <f aca="false">IF(K665="","",G165)</f>
        <v/>
      </c>
      <c r="X665" s="0" t="str">
        <f aca="false">IF(K665="","",1+SUMPRODUCT(($K$2:$K$1001&lt;&gt;"")*(($T$2:$T$1001&lt;T665)+($T$2:$T$1001=T665)*(($U$2:$U$1001&lt;U665)+($U$2:$U$1001=U665)*(($V$2:$V$1001&lt;V665)+($V$2:$V$1001=V665)*(($W$2:$W$1001&lt;W665)+($W$2:$W$1001=W665)*(ROW($K$2:$K$1001)&lt;ROW(K665))))))))</f>
        <v/>
      </c>
    </row>
    <row r="666" customFormat="false" ht="15" hidden="false" customHeight="false" outlineLevel="0" collapsed="false">
      <c r="K666" s="0" t="str">
        <f aca="false">IF(H166="","",IF(SUMPRODUCT(--($C$2:$C$501=H166))&gt;0,"",H166))</f>
        <v/>
      </c>
      <c r="L666" s="0" t="str">
        <f aca="false">IF(K666="","",IF(ISNUMBER('List 2'!A166),'List 2'!A166,TRIM('List 2'!A166)))</f>
        <v/>
      </c>
      <c r="M666" s="0" t="str">
        <f aca="false">IF(K666="","",IF(ISNUMBER('List 2'!C166),'List 2'!C166,TRIM('List 2'!C166)))</f>
        <v/>
      </c>
      <c r="N666" s="0" t="str">
        <f aca="false">IF(K666="","",IF(ISNUMBER('List 2'!D166),'List 2'!D166,TRIM('List 2'!D166)))</f>
        <v/>
      </c>
      <c r="O666" s="0" t="str">
        <f aca="false">IF(K666="","",0)</f>
        <v/>
      </c>
      <c r="P666" s="0" t="str">
        <f aca="false">IF(K666="","",I166)</f>
        <v/>
      </c>
      <c r="Q666" s="0" t="str">
        <f aca="false">IF(K666="","",FALSE())</f>
        <v/>
      </c>
      <c r="R666" s="0" t="str">
        <f aca="false">IF(K666="","",TRUE())</f>
        <v/>
      </c>
      <c r="S666" s="0" t="str">
        <f aca="false">IF(K666="","",IF(AND(Q666,R666),IF(O666=P666,"Match","Qty Different"),IF(Q666,"Only in List 1","Only in List 2")))</f>
        <v/>
      </c>
      <c r="T666" s="0" t="str">
        <f aca="false">IF(K666="","",IF(ISNUMBER(--L666),TEXT(--L666,"000000000000.000"),LOWER(L666)))</f>
        <v/>
      </c>
      <c r="U666" s="0" t="str">
        <f aca="false">IF(K666="","",IF(ISNUMBER(--M666),TEXT(--M666,"000000000000.000"),LOWER(M666)))</f>
        <v/>
      </c>
      <c r="V666" s="0" t="str">
        <f aca="false">IF(K666="","",LOWER(N666))</f>
        <v/>
      </c>
      <c r="W666" s="0" t="str">
        <f aca="false">IF(K666="","",G166)</f>
        <v/>
      </c>
      <c r="X666" s="0" t="str">
        <f aca="false">IF(K666="","",1+SUMPRODUCT(($K$2:$K$1001&lt;&gt;"")*(($T$2:$T$1001&lt;T666)+($T$2:$T$1001=T666)*(($U$2:$U$1001&lt;U666)+($U$2:$U$1001=U666)*(($V$2:$V$1001&lt;V666)+($V$2:$V$1001=V666)*(($W$2:$W$1001&lt;W666)+($W$2:$W$1001=W666)*(ROW($K$2:$K$1001)&lt;ROW(K666))))))))</f>
        <v/>
      </c>
    </row>
    <row r="667" customFormat="false" ht="15" hidden="false" customHeight="false" outlineLevel="0" collapsed="false">
      <c r="K667" s="0" t="str">
        <f aca="false">IF(H167="","",IF(SUMPRODUCT(--($C$2:$C$501=H167))&gt;0,"",H167))</f>
        <v/>
      </c>
      <c r="L667" s="0" t="str">
        <f aca="false">IF(K667="","",IF(ISNUMBER('List 2'!A167),'List 2'!A167,TRIM('List 2'!A167)))</f>
        <v/>
      </c>
      <c r="M667" s="0" t="str">
        <f aca="false">IF(K667="","",IF(ISNUMBER('List 2'!C167),'List 2'!C167,TRIM('List 2'!C167)))</f>
        <v/>
      </c>
      <c r="N667" s="0" t="str">
        <f aca="false">IF(K667="","",IF(ISNUMBER('List 2'!D167),'List 2'!D167,TRIM('List 2'!D167)))</f>
        <v/>
      </c>
      <c r="O667" s="0" t="str">
        <f aca="false">IF(K667="","",0)</f>
        <v/>
      </c>
      <c r="P667" s="0" t="str">
        <f aca="false">IF(K667="","",I167)</f>
        <v/>
      </c>
      <c r="Q667" s="0" t="str">
        <f aca="false">IF(K667="","",FALSE())</f>
        <v/>
      </c>
      <c r="R667" s="0" t="str">
        <f aca="false">IF(K667="","",TRUE())</f>
        <v/>
      </c>
      <c r="S667" s="0" t="str">
        <f aca="false">IF(K667="","",IF(AND(Q667,R667),IF(O667=P667,"Match","Qty Different"),IF(Q667,"Only in List 1","Only in List 2")))</f>
        <v/>
      </c>
      <c r="T667" s="0" t="str">
        <f aca="false">IF(K667="","",IF(ISNUMBER(--L667),TEXT(--L667,"000000000000.000"),LOWER(L667)))</f>
        <v/>
      </c>
      <c r="U667" s="0" t="str">
        <f aca="false">IF(K667="","",IF(ISNUMBER(--M667),TEXT(--M667,"000000000000.000"),LOWER(M667)))</f>
        <v/>
      </c>
      <c r="V667" s="0" t="str">
        <f aca="false">IF(K667="","",LOWER(N667))</f>
        <v/>
      </c>
      <c r="W667" s="0" t="str">
        <f aca="false">IF(K667="","",G167)</f>
        <v/>
      </c>
      <c r="X667" s="0" t="str">
        <f aca="false">IF(K667="","",1+SUMPRODUCT(($K$2:$K$1001&lt;&gt;"")*(($T$2:$T$1001&lt;T667)+($T$2:$T$1001=T667)*(($U$2:$U$1001&lt;U667)+($U$2:$U$1001=U667)*(($V$2:$V$1001&lt;V667)+($V$2:$V$1001=V667)*(($W$2:$W$1001&lt;W667)+($W$2:$W$1001=W667)*(ROW($K$2:$K$1001)&lt;ROW(K667))))))))</f>
        <v/>
      </c>
    </row>
    <row r="668" customFormat="false" ht="15" hidden="false" customHeight="false" outlineLevel="0" collapsed="false">
      <c r="K668" s="0" t="str">
        <f aca="false">IF(H168="","",IF(SUMPRODUCT(--($C$2:$C$501=H168))&gt;0,"",H168))</f>
        <v/>
      </c>
      <c r="L668" s="0" t="str">
        <f aca="false">IF(K668="","",IF(ISNUMBER('List 2'!A168),'List 2'!A168,TRIM('List 2'!A168)))</f>
        <v/>
      </c>
      <c r="M668" s="0" t="str">
        <f aca="false">IF(K668="","",IF(ISNUMBER('List 2'!C168),'List 2'!C168,TRIM('List 2'!C168)))</f>
        <v/>
      </c>
      <c r="N668" s="0" t="str">
        <f aca="false">IF(K668="","",IF(ISNUMBER('List 2'!D168),'List 2'!D168,TRIM('List 2'!D168)))</f>
        <v/>
      </c>
      <c r="O668" s="0" t="str">
        <f aca="false">IF(K668="","",0)</f>
        <v/>
      </c>
      <c r="P668" s="0" t="str">
        <f aca="false">IF(K668="","",I168)</f>
        <v/>
      </c>
      <c r="Q668" s="0" t="str">
        <f aca="false">IF(K668="","",FALSE())</f>
        <v/>
      </c>
      <c r="R668" s="0" t="str">
        <f aca="false">IF(K668="","",TRUE())</f>
        <v/>
      </c>
      <c r="S668" s="0" t="str">
        <f aca="false">IF(K668="","",IF(AND(Q668,R668),IF(O668=P668,"Match","Qty Different"),IF(Q668,"Only in List 1","Only in List 2")))</f>
        <v/>
      </c>
      <c r="T668" s="0" t="str">
        <f aca="false">IF(K668="","",IF(ISNUMBER(--L668),TEXT(--L668,"000000000000.000"),LOWER(L668)))</f>
        <v/>
      </c>
      <c r="U668" s="0" t="str">
        <f aca="false">IF(K668="","",IF(ISNUMBER(--M668),TEXT(--M668,"000000000000.000"),LOWER(M668)))</f>
        <v/>
      </c>
      <c r="V668" s="0" t="str">
        <f aca="false">IF(K668="","",LOWER(N668))</f>
        <v/>
      </c>
      <c r="W668" s="0" t="str">
        <f aca="false">IF(K668="","",G168)</f>
        <v/>
      </c>
      <c r="X668" s="0" t="str">
        <f aca="false">IF(K668="","",1+SUMPRODUCT(($K$2:$K$1001&lt;&gt;"")*(($T$2:$T$1001&lt;T668)+($T$2:$T$1001=T668)*(($U$2:$U$1001&lt;U668)+($U$2:$U$1001=U668)*(($V$2:$V$1001&lt;V668)+($V$2:$V$1001=V668)*(($W$2:$W$1001&lt;W668)+($W$2:$W$1001=W668)*(ROW($K$2:$K$1001)&lt;ROW(K668))))))))</f>
        <v/>
      </c>
    </row>
    <row r="669" customFormat="false" ht="15" hidden="false" customHeight="false" outlineLevel="0" collapsed="false">
      <c r="K669" s="0" t="str">
        <f aca="false">IF(H169="","",IF(SUMPRODUCT(--($C$2:$C$501=H169))&gt;0,"",H169))</f>
        <v/>
      </c>
      <c r="L669" s="0" t="str">
        <f aca="false">IF(K669="","",IF(ISNUMBER('List 2'!A169),'List 2'!A169,TRIM('List 2'!A169)))</f>
        <v/>
      </c>
      <c r="M669" s="0" t="str">
        <f aca="false">IF(K669="","",IF(ISNUMBER('List 2'!C169),'List 2'!C169,TRIM('List 2'!C169)))</f>
        <v/>
      </c>
      <c r="N669" s="0" t="str">
        <f aca="false">IF(K669="","",IF(ISNUMBER('List 2'!D169),'List 2'!D169,TRIM('List 2'!D169)))</f>
        <v/>
      </c>
      <c r="O669" s="0" t="str">
        <f aca="false">IF(K669="","",0)</f>
        <v/>
      </c>
      <c r="P669" s="0" t="str">
        <f aca="false">IF(K669="","",I169)</f>
        <v/>
      </c>
      <c r="Q669" s="0" t="str">
        <f aca="false">IF(K669="","",FALSE())</f>
        <v/>
      </c>
      <c r="R669" s="0" t="str">
        <f aca="false">IF(K669="","",TRUE())</f>
        <v/>
      </c>
      <c r="S669" s="0" t="str">
        <f aca="false">IF(K669="","",IF(AND(Q669,R669),IF(O669=P669,"Match","Qty Different"),IF(Q669,"Only in List 1","Only in List 2")))</f>
        <v/>
      </c>
      <c r="T669" s="0" t="str">
        <f aca="false">IF(K669="","",IF(ISNUMBER(--L669),TEXT(--L669,"000000000000.000"),LOWER(L669)))</f>
        <v/>
      </c>
      <c r="U669" s="0" t="str">
        <f aca="false">IF(K669="","",IF(ISNUMBER(--M669),TEXT(--M669,"000000000000.000"),LOWER(M669)))</f>
        <v/>
      </c>
      <c r="V669" s="0" t="str">
        <f aca="false">IF(K669="","",LOWER(N669))</f>
        <v/>
      </c>
      <c r="W669" s="0" t="str">
        <f aca="false">IF(K669="","",G169)</f>
        <v/>
      </c>
      <c r="X669" s="0" t="str">
        <f aca="false">IF(K669="","",1+SUMPRODUCT(($K$2:$K$1001&lt;&gt;"")*(($T$2:$T$1001&lt;T669)+($T$2:$T$1001=T669)*(($U$2:$U$1001&lt;U669)+($U$2:$U$1001=U669)*(($V$2:$V$1001&lt;V669)+($V$2:$V$1001=V669)*(($W$2:$W$1001&lt;W669)+($W$2:$W$1001=W669)*(ROW($K$2:$K$1001)&lt;ROW(K669))))))))</f>
        <v/>
      </c>
    </row>
    <row r="670" customFormat="false" ht="15" hidden="false" customHeight="false" outlineLevel="0" collapsed="false">
      <c r="K670" s="0" t="str">
        <f aca="false">IF(H170="","",IF(SUMPRODUCT(--($C$2:$C$501=H170))&gt;0,"",H170))</f>
        <v/>
      </c>
      <c r="L670" s="0" t="str">
        <f aca="false">IF(K670="","",IF(ISNUMBER('List 2'!A170),'List 2'!A170,TRIM('List 2'!A170)))</f>
        <v/>
      </c>
      <c r="M670" s="0" t="str">
        <f aca="false">IF(K670="","",IF(ISNUMBER('List 2'!C170),'List 2'!C170,TRIM('List 2'!C170)))</f>
        <v/>
      </c>
      <c r="N670" s="0" t="str">
        <f aca="false">IF(K670="","",IF(ISNUMBER('List 2'!D170),'List 2'!D170,TRIM('List 2'!D170)))</f>
        <v/>
      </c>
      <c r="O670" s="0" t="str">
        <f aca="false">IF(K670="","",0)</f>
        <v/>
      </c>
      <c r="P670" s="0" t="str">
        <f aca="false">IF(K670="","",I170)</f>
        <v/>
      </c>
      <c r="Q670" s="0" t="str">
        <f aca="false">IF(K670="","",FALSE())</f>
        <v/>
      </c>
      <c r="R670" s="0" t="str">
        <f aca="false">IF(K670="","",TRUE())</f>
        <v/>
      </c>
      <c r="S670" s="0" t="str">
        <f aca="false">IF(K670="","",IF(AND(Q670,R670),IF(O670=P670,"Match","Qty Different"),IF(Q670,"Only in List 1","Only in List 2")))</f>
        <v/>
      </c>
      <c r="T670" s="0" t="str">
        <f aca="false">IF(K670="","",IF(ISNUMBER(--L670),TEXT(--L670,"000000000000.000"),LOWER(L670)))</f>
        <v/>
      </c>
      <c r="U670" s="0" t="str">
        <f aca="false">IF(K670="","",IF(ISNUMBER(--M670),TEXT(--M670,"000000000000.000"),LOWER(M670)))</f>
        <v/>
      </c>
      <c r="V670" s="0" t="str">
        <f aca="false">IF(K670="","",LOWER(N670))</f>
        <v/>
      </c>
      <c r="W670" s="0" t="str">
        <f aca="false">IF(K670="","",G170)</f>
        <v/>
      </c>
      <c r="X670" s="0" t="str">
        <f aca="false">IF(K670="","",1+SUMPRODUCT(($K$2:$K$1001&lt;&gt;"")*(($T$2:$T$1001&lt;T670)+($T$2:$T$1001=T670)*(($U$2:$U$1001&lt;U670)+($U$2:$U$1001=U670)*(($V$2:$V$1001&lt;V670)+($V$2:$V$1001=V670)*(($W$2:$W$1001&lt;W670)+($W$2:$W$1001=W670)*(ROW($K$2:$K$1001)&lt;ROW(K670))))))))</f>
        <v/>
      </c>
    </row>
    <row r="671" customFormat="false" ht="15" hidden="false" customHeight="false" outlineLevel="0" collapsed="false">
      <c r="K671" s="0" t="str">
        <f aca="false">IF(H171="","",IF(SUMPRODUCT(--($C$2:$C$501=H171))&gt;0,"",H171))</f>
        <v/>
      </c>
      <c r="L671" s="0" t="str">
        <f aca="false">IF(K671="","",IF(ISNUMBER('List 2'!A171),'List 2'!A171,TRIM('List 2'!A171)))</f>
        <v/>
      </c>
      <c r="M671" s="0" t="str">
        <f aca="false">IF(K671="","",IF(ISNUMBER('List 2'!C171),'List 2'!C171,TRIM('List 2'!C171)))</f>
        <v/>
      </c>
      <c r="N671" s="0" t="str">
        <f aca="false">IF(K671="","",IF(ISNUMBER('List 2'!D171),'List 2'!D171,TRIM('List 2'!D171)))</f>
        <v/>
      </c>
      <c r="O671" s="0" t="str">
        <f aca="false">IF(K671="","",0)</f>
        <v/>
      </c>
      <c r="P671" s="0" t="str">
        <f aca="false">IF(K671="","",I171)</f>
        <v/>
      </c>
      <c r="Q671" s="0" t="str">
        <f aca="false">IF(K671="","",FALSE())</f>
        <v/>
      </c>
      <c r="R671" s="0" t="str">
        <f aca="false">IF(K671="","",TRUE())</f>
        <v/>
      </c>
      <c r="S671" s="0" t="str">
        <f aca="false">IF(K671="","",IF(AND(Q671,R671),IF(O671=P671,"Match","Qty Different"),IF(Q671,"Only in List 1","Only in List 2")))</f>
        <v/>
      </c>
      <c r="T671" s="0" t="str">
        <f aca="false">IF(K671="","",IF(ISNUMBER(--L671),TEXT(--L671,"000000000000.000"),LOWER(L671)))</f>
        <v/>
      </c>
      <c r="U671" s="0" t="str">
        <f aca="false">IF(K671="","",IF(ISNUMBER(--M671),TEXT(--M671,"000000000000.000"),LOWER(M671)))</f>
        <v/>
      </c>
      <c r="V671" s="0" t="str">
        <f aca="false">IF(K671="","",LOWER(N671))</f>
        <v/>
      </c>
      <c r="W671" s="0" t="str">
        <f aca="false">IF(K671="","",G171)</f>
        <v/>
      </c>
      <c r="X671" s="0" t="str">
        <f aca="false">IF(K671="","",1+SUMPRODUCT(($K$2:$K$1001&lt;&gt;"")*(($T$2:$T$1001&lt;T671)+($T$2:$T$1001=T671)*(($U$2:$U$1001&lt;U671)+($U$2:$U$1001=U671)*(($V$2:$V$1001&lt;V671)+($V$2:$V$1001=V671)*(($W$2:$W$1001&lt;W671)+($W$2:$W$1001=W671)*(ROW($K$2:$K$1001)&lt;ROW(K671))))))))</f>
        <v/>
      </c>
    </row>
    <row r="672" customFormat="false" ht="15" hidden="false" customHeight="false" outlineLevel="0" collapsed="false">
      <c r="K672" s="0" t="str">
        <f aca="false">IF(H172="","",IF(SUMPRODUCT(--($C$2:$C$501=H172))&gt;0,"",H172))</f>
        <v/>
      </c>
      <c r="L672" s="0" t="str">
        <f aca="false">IF(K672="","",IF(ISNUMBER('List 2'!A172),'List 2'!A172,TRIM('List 2'!A172)))</f>
        <v/>
      </c>
      <c r="M672" s="0" t="str">
        <f aca="false">IF(K672="","",IF(ISNUMBER('List 2'!C172),'List 2'!C172,TRIM('List 2'!C172)))</f>
        <v/>
      </c>
      <c r="N672" s="0" t="str">
        <f aca="false">IF(K672="","",IF(ISNUMBER('List 2'!D172),'List 2'!D172,TRIM('List 2'!D172)))</f>
        <v/>
      </c>
      <c r="O672" s="0" t="str">
        <f aca="false">IF(K672="","",0)</f>
        <v/>
      </c>
      <c r="P672" s="0" t="str">
        <f aca="false">IF(K672="","",I172)</f>
        <v/>
      </c>
      <c r="Q672" s="0" t="str">
        <f aca="false">IF(K672="","",FALSE())</f>
        <v/>
      </c>
      <c r="R672" s="0" t="str">
        <f aca="false">IF(K672="","",TRUE())</f>
        <v/>
      </c>
      <c r="S672" s="0" t="str">
        <f aca="false">IF(K672="","",IF(AND(Q672,R672),IF(O672=P672,"Match","Qty Different"),IF(Q672,"Only in List 1","Only in List 2")))</f>
        <v/>
      </c>
      <c r="T672" s="0" t="str">
        <f aca="false">IF(K672="","",IF(ISNUMBER(--L672),TEXT(--L672,"000000000000.000"),LOWER(L672)))</f>
        <v/>
      </c>
      <c r="U672" s="0" t="str">
        <f aca="false">IF(K672="","",IF(ISNUMBER(--M672),TEXT(--M672,"000000000000.000"),LOWER(M672)))</f>
        <v/>
      </c>
      <c r="V672" s="0" t="str">
        <f aca="false">IF(K672="","",LOWER(N672))</f>
        <v/>
      </c>
      <c r="W672" s="0" t="str">
        <f aca="false">IF(K672="","",G172)</f>
        <v/>
      </c>
      <c r="X672" s="0" t="str">
        <f aca="false">IF(K672="","",1+SUMPRODUCT(($K$2:$K$1001&lt;&gt;"")*(($T$2:$T$1001&lt;T672)+($T$2:$T$1001=T672)*(($U$2:$U$1001&lt;U672)+($U$2:$U$1001=U672)*(($V$2:$V$1001&lt;V672)+($V$2:$V$1001=V672)*(($W$2:$W$1001&lt;W672)+($W$2:$W$1001=W672)*(ROW($K$2:$K$1001)&lt;ROW(K672))))))))</f>
        <v/>
      </c>
    </row>
    <row r="673" customFormat="false" ht="15" hidden="false" customHeight="false" outlineLevel="0" collapsed="false">
      <c r="K673" s="0" t="str">
        <f aca="false">IF(H173="","",IF(SUMPRODUCT(--($C$2:$C$501=H173))&gt;0,"",H173))</f>
        <v/>
      </c>
      <c r="L673" s="0" t="str">
        <f aca="false">IF(K673="","",IF(ISNUMBER('List 2'!A173),'List 2'!A173,TRIM('List 2'!A173)))</f>
        <v/>
      </c>
      <c r="M673" s="0" t="str">
        <f aca="false">IF(K673="","",IF(ISNUMBER('List 2'!C173),'List 2'!C173,TRIM('List 2'!C173)))</f>
        <v/>
      </c>
      <c r="N673" s="0" t="str">
        <f aca="false">IF(K673="","",IF(ISNUMBER('List 2'!D173),'List 2'!D173,TRIM('List 2'!D173)))</f>
        <v/>
      </c>
      <c r="O673" s="0" t="str">
        <f aca="false">IF(K673="","",0)</f>
        <v/>
      </c>
      <c r="P673" s="0" t="str">
        <f aca="false">IF(K673="","",I173)</f>
        <v/>
      </c>
      <c r="Q673" s="0" t="str">
        <f aca="false">IF(K673="","",FALSE())</f>
        <v/>
      </c>
      <c r="R673" s="0" t="str">
        <f aca="false">IF(K673="","",TRUE())</f>
        <v/>
      </c>
      <c r="S673" s="0" t="str">
        <f aca="false">IF(K673="","",IF(AND(Q673,R673),IF(O673=P673,"Match","Qty Different"),IF(Q673,"Only in List 1","Only in List 2")))</f>
        <v/>
      </c>
      <c r="T673" s="0" t="str">
        <f aca="false">IF(K673="","",IF(ISNUMBER(--L673),TEXT(--L673,"000000000000.000"),LOWER(L673)))</f>
        <v/>
      </c>
      <c r="U673" s="0" t="str">
        <f aca="false">IF(K673="","",IF(ISNUMBER(--M673),TEXT(--M673,"000000000000.000"),LOWER(M673)))</f>
        <v/>
      </c>
      <c r="V673" s="0" t="str">
        <f aca="false">IF(K673="","",LOWER(N673))</f>
        <v/>
      </c>
      <c r="W673" s="0" t="str">
        <f aca="false">IF(K673="","",G173)</f>
        <v/>
      </c>
      <c r="X673" s="0" t="str">
        <f aca="false">IF(K673="","",1+SUMPRODUCT(($K$2:$K$1001&lt;&gt;"")*(($T$2:$T$1001&lt;T673)+($T$2:$T$1001=T673)*(($U$2:$U$1001&lt;U673)+($U$2:$U$1001=U673)*(($V$2:$V$1001&lt;V673)+($V$2:$V$1001=V673)*(($W$2:$W$1001&lt;W673)+($W$2:$W$1001=W673)*(ROW($K$2:$K$1001)&lt;ROW(K673))))))))</f>
        <v/>
      </c>
    </row>
    <row r="674" customFormat="false" ht="15" hidden="false" customHeight="false" outlineLevel="0" collapsed="false">
      <c r="K674" s="0" t="str">
        <f aca="false">IF(H174="","",IF(SUMPRODUCT(--($C$2:$C$501=H174))&gt;0,"",H174))</f>
        <v/>
      </c>
      <c r="L674" s="0" t="str">
        <f aca="false">IF(K674="","",IF(ISNUMBER('List 2'!A174),'List 2'!A174,TRIM('List 2'!A174)))</f>
        <v/>
      </c>
      <c r="M674" s="0" t="str">
        <f aca="false">IF(K674="","",IF(ISNUMBER('List 2'!C174),'List 2'!C174,TRIM('List 2'!C174)))</f>
        <v/>
      </c>
      <c r="N674" s="0" t="str">
        <f aca="false">IF(K674="","",IF(ISNUMBER('List 2'!D174),'List 2'!D174,TRIM('List 2'!D174)))</f>
        <v/>
      </c>
      <c r="O674" s="0" t="str">
        <f aca="false">IF(K674="","",0)</f>
        <v/>
      </c>
      <c r="P674" s="0" t="str">
        <f aca="false">IF(K674="","",I174)</f>
        <v/>
      </c>
      <c r="Q674" s="0" t="str">
        <f aca="false">IF(K674="","",FALSE())</f>
        <v/>
      </c>
      <c r="R674" s="0" t="str">
        <f aca="false">IF(K674="","",TRUE())</f>
        <v/>
      </c>
      <c r="S674" s="0" t="str">
        <f aca="false">IF(K674="","",IF(AND(Q674,R674),IF(O674=P674,"Match","Qty Different"),IF(Q674,"Only in List 1","Only in List 2")))</f>
        <v/>
      </c>
      <c r="T674" s="0" t="str">
        <f aca="false">IF(K674="","",IF(ISNUMBER(--L674),TEXT(--L674,"000000000000.000"),LOWER(L674)))</f>
        <v/>
      </c>
      <c r="U674" s="0" t="str">
        <f aca="false">IF(K674="","",IF(ISNUMBER(--M674),TEXT(--M674,"000000000000.000"),LOWER(M674)))</f>
        <v/>
      </c>
      <c r="V674" s="0" t="str">
        <f aca="false">IF(K674="","",LOWER(N674))</f>
        <v/>
      </c>
      <c r="W674" s="0" t="str">
        <f aca="false">IF(K674="","",G174)</f>
        <v/>
      </c>
      <c r="X674" s="0" t="str">
        <f aca="false">IF(K674="","",1+SUMPRODUCT(($K$2:$K$1001&lt;&gt;"")*(($T$2:$T$1001&lt;T674)+($T$2:$T$1001=T674)*(($U$2:$U$1001&lt;U674)+($U$2:$U$1001=U674)*(($V$2:$V$1001&lt;V674)+($V$2:$V$1001=V674)*(($W$2:$W$1001&lt;W674)+($W$2:$W$1001=W674)*(ROW($K$2:$K$1001)&lt;ROW(K674))))))))</f>
        <v/>
      </c>
    </row>
    <row r="675" customFormat="false" ht="15" hidden="false" customHeight="false" outlineLevel="0" collapsed="false">
      <c r="K675" s="0" t="str">
        <f aca="false">IF(H175="","",IF(SUMPRODUCT(--($C$2:$C$501=H175))&gt;0,"",H175))</f>
        <v/>
      </c>
      <c r="L675" s="0" t="str">
        <f aca="false">IF(K675="","",IF(ISNUMBER('List 2'!A175),'List 2'!A175,TRIM('List 2'!A175)))</f>
        <v/>
      </c>
      <c r="M675" s="0" t="str">
        <f aca="false">IF(K675="","",IF(ISNUMBER('List 2'!C175),'List 2'!C175,TRIM('List 2'!C175)))</f>
        <v/>
      </c>
      <c r="N675" s="0" t="str">
        <f aca="false">IF(K675="","",IF(ISNUMBER('List 2'!D175),'List 2'!D175,TRIM('List 2'!D175)))</f>
        <v/>
      </c>
      <c r="O675" s="0" t="str">
        <f aca="false">IF(K675="","",0)</f>
        <v/>
      </c>
      <c r="P675" s="0" t="str">
        <f aca="false">IF(K675="","",I175)</f>
        <v/>
      </c>
      <c r="Q675" s="0" t="str">
        <f aca="false">IF(K675="","",FALSE())</f>
        <v/>
      </c>
      <c r="R675" s="0" t="str">
        <f aca="false">IF(K675="","",TRUE())</f>
        <v/>
      </c>
      <c r="S675" s="0" t="str">
        <f aca="false">IF(K675="","",IF(AND(Q675,R675),IF(O675=P675,"Match","Qty Different"),IF(Q675,"Only in List 1","Only in List 2")))</f>
        <v/>
      </c>
      <c r="T675" s="0" t="str">
        <f aca="false">IF(K675="","",IF(ISNUMBER(--L675),TEXT(--L675,"000000000000.000"),LOWER(L675)))</f>
        <v/>
      </c>
      <c r="U675" s="0" t="str">
        <f aca="false">IF(K675="","",IF(ISNUMBER(--M675),TEXT(--M675,"000000000000.000"),LOWER(M675)))</f>
        <v/>
      </c>
      <c r="V675" s="0" t="str">
        <f aca="false">IF(K675="","",LOWER(N675))</f>
        <v/>
      </c>
      <c r="W675" s="0" t="str">
        <f aca="false">IF(K675="","",G175)</f>
        <v/>
      </c>
      <c r="X675" s="0" t="str">
        <f aca="false">IF(K675="","",1+SUMPRODUCT(($K$2:$K$1001&lt;&gt;"")*(($T$2:$T$1001&lt;T675)+($T$2:$T$1001=T675)*(($U$2:$U$1001&lt;U675)+($U$2:$U$1001=U675)*(($V$2:$V$1001&lt;V675)+($V$2:$V$1001=V675)*(($W$2:$W$1001&lt;W675)+($W$2:$W$1001=W675)*(ROW($K$2:$K$1001)&lt;ROW(K675))))))))</f>
        <v/>
      </c>
    </row>
    <row r="676" customFormat="false" ht="15" hidden="false" customHeight="false" outlineLevel="0" collapsed="false">
      <c r="K676" s="0" t="str">
        <f aca="false">IF(H176="","",IF(SUMPRODUCT(--($C$2:$C$501=H176))&gt;0,"",H176))</f>
        <v/>
      </c>
      <c r="L676" s="0" t="str">
        <f aca="false">IF(K676="","",IF(ISNUMBER('List 2'!A176),'List 2'!A176,TRIM('List 2'!A176)))</f>
        <v/>
      </c>
      <c r="M676" s="0" t="str">
        <f aca="false">IF(K676="","",IF(ISNUMBER('List 2'!C176),'List 2'!C176,TRIM('List 2'!C176)))</f>
        <v/>
      </c>
      <c r="N676" s="0" t="str">
        <f aca="false">IF(K676="","",IF(ISNUMBER('List 2'!D176),'List 2'!D176,TRIM('List 2'!D176)))</f>
        <v/>
      </c>
      <c r="O676" s="0" t="str">
        <f aca="false">IF(K676="","",0)</f>
        <v/>
      </c>
      <c r="P676" s="0" t="str">
        <f aca="false">IF(K676="","",I176)</f>
        <v/>
      </c>
      <c r="Q676" s="0" t="str">
        <f aca="false">IF(K676="","",FALSE())</f>
        <v/>
      </c>
      <c r="R676" s="0" t="str">
        <f aca="false">IF(K676="","",TRUE())</f>
        <v/>
      </c>
      <c r="S676" s="0" t="str">
        <f aca="false">IF(K676="","",IF(AND(Q676,R676),IF(O676=P676,"Match","Qty Different"),IF(Q676,"Only in List 1","Only in List 2")))</f>
        <v/>
      </c>
      <c r="T676" s="0" t="str">
        <f aca="false">IF(K676="","",IF(ISNUMBER(--L676),TEXT(--L676,"000000000000.000"),LOWER(L676)))</f>
        <v/>
      </c>
      <c r="U676" s="0" t="str">
        <f aca="false">IF(K676="","",IF(ISNUMBER(--M676),TEXT(--M676,"000000000000.000"),LOWER(M676)))</f>
        <v/>
      </c>
      <c r="V676" s="0" t="str">
        <f aca="false">IF(K676="","",LOWER(N676))</f>
        <v/>
      </c>
      <c r="W676" s="0" t="str">
        <f aca="false">IF(K676="","",G176)</f>
        <v/>
      </c>
      <c r="X676" s="0" t="str">
        <f aca="false">IF(K676="","",1+SUMPRODUCT(($K$2:$K$1001&lt;&gt;"")*(($T$2:$T$1001&lt;T676)+($T$2:$T$1001=T676)*(($U$2:$U$1001&lt;U676)+($U$2:$U$1001=U676)*(($V$2:$V$1001&lt;V676)+($V$2:$V$1001=V676)*(($W$2:$W$1001&lt;W676)+($W$2:$W$1001=W676)*(ROW($K$2:$K$1001)&lt;ROW(K676))))))))</f>
        <v/>
      </c>
    </row>
    <row r="677" customFormat="false" ht="15" hidden="false" customHeight="false" outlineLevel="0" collapsed="false">
      <c r="K677" s="0" t="str">
        <f aca="false">IF(H177="","",IF(SUMPRODUCT(--($C$2:$C$501=H177))&gt;0,"",H177))</f>
        <v/>
      </c>
      <c r="L677" s="0" t="str">
        <f aca="false">IF(K677="","",IF(ISNUMBER('List 2'!A177),'List 2'!A177,TRIM('List 2'!A177)))</f>
        <v/>
      </c>
      <c r="M677" s="0" t="str">
        <f aca="false">IF(K677="","",IF(ISNUMBER('List 2'!C177),'List 2'!C177,TRIM('List 2'!C177)))</f>
        <v/>
      </c>
      <c r="N677" s="0" t="str">
        <f aca="false">IF(K677="","",IF(ISNUMBER('List 2'!D177),'List 2'!D177,TRIM('List 2'!D177)))</f>
        <v/>
      </c>
      <c r="O677" s="0" t="str">
        <f aca="false">IF(K677="","",0)</f>
        <v/>
      </c>
      <c r="P677" s="0" t="str">
        <f aca="false">IF(K677="","",I177)</f>
        <v/>
      </c>
      <c r="Q677" s="0" t="str">
        <f aca="false">IF(K677="","",FALSE())</f>
        <v/>
      </c>
      <c r="R677" s="0" t="str">
        <f aca="false">IF(K677="","",TRUE())</f>
        <v/>
      </c>
      <c r="S677" s="0" t="str">
        <f aca="false">IF(K677="","",IF(AND(Q677,R677),IF(O677=P677,"Match","Qty Different"),IF(Q677,"Only in List 1","Only in List 2")))</f>
        <v/>
      </c>
      <c r="T677" s="0" t="str">
        <f aca="false">IF(K677="","",IF(ISNUMBER(--L677),TEXT(--L677,"000000000000.000"),LOWER(L677)))</f>
        <v/>
      </c>
      <c r="U677" s="0" t="str">
        <f aca="false">IF(K677="","",IF(ISNUMBER(--M677),TEXT(--M677,"000000000000.000"),LOWER(M677)))</f>
        <v/>
      </c>
      <c r="V677" s="0" t="str">
        <f aca="false">IF(K677="","",LOWER(N677))</f>
        <v/>
      </c>
      <c r="W677" s="0" t="str">
        <f aca="false">IF(K677="","",G177)</f>
        <v/>
      </c>
      <c r="X677" s="0" t="str">
        <f aca="false">IF(K677="","",1+SUMPRODUCT(($K$2:$K$1001&lt;&gt;"")*(($T$2:$T$1001&lt;T677)+($T$2:$T$1001=T677)*(($U$2:$U$1001&lt;U677)+($U$2:$U$1001=U677)*(($V$2:$V$1001&lt;V677)+($V$2:$V$1001=V677)*(($W$2:$W$1001&lt;W677)+($W$2:$W$1001=W677)*(ROW($K$2:$K$1001)&lt;ROW(K677))))))))</f>
        <v/>
      </c>
    </row>
    <row r="678" customFormat="false" ht="15" hidden="false" customHeight="false" outlineLevel="0" collapsed="false">
      <c r="K678" s="0" t="str">
        <f aca="false">IF(H178="","",IF(SUMPRODUCT(--($C$2:$C$501=H178))&gt;0,"",H178))</f>
        <v/>
      </c>
      <c r="L678" s="0" t="str">
        <f aca="false">IF(K678="","",IF(ISNUMBER('List 2'!A178),'List 2'!A178,TRIM('List 2'!A178)))</f>
        <v/>
      </c>
      <c r="M678" s="0" t="str">
        <f aca="false">IF(K678="","",IF(ISNUMBER('List 2'!C178),'List 2'!C178,TRIM('List 2'!C178)))</f>
        <v/>
      </c>
      <c r="N678" s="0" t="str">
        <f aca="false">IF(K678="","",IF(ISNUMBER('List 2'!D178),'List 2'!D178,TRIM('List 2'!D178)))</f>
        <v/>
      </c>
      <c r="O678" s="0" t="str">
        <f aca="false">IF(K678="","",0)</f>
        <v/>
      </c>
      <c r="P678" s="0" t="str">
        <f aca="false">IF(K678="","",I178)</f>
        <v/>
      </c>
      <c r="Q678" s="0" t="str">
        <f aca="false">IF(K678="","",FALSE())</f>
        <v/>
      </c>
      <c r="R678" s="0" t="str">
        <f aca="false">IF(K678="","",TRUE())</f>
        <v/>
      </c>
      <c r="S678" s="0" t="str">
        <f aca="false">IF(K678="","",IF(AND(Q678,R678),IF(O678=P678,"Match","Qty Different"),IF(Q678,"Only in List 1","Only in List 2")))</f>
        <v/>
      </c>
      <c r="T678" s="0" t="str">
        <f aca="false">IF(K678="","",IF(ISNUMBER(--L678),TEXT(--L678,"000000000000.000"),LOWER(L678)))</f>
        <v/>
      </c>
      <c r="U678" s="0" t="str">
        <f aca="false">IF(K678="","",IF(ISNUMBER(--M678),TEXT(--M678,"000000000000.000"),LOWER(M678)))</f>
        <v/>
      </c>
      <c r="V678" s="0" t="str">
        <f aca="false">IF(K678="","",LOWER(N678))</f>
        <v/>
      </c>
      <c r="W678" s="0" t="str">
        <f aca="false">IF(K678="","",G178)</f>
        <v/>
      </c>
      <c r="X678" s="0" t="str">
        <f aca="false">IF(K678="","",1+SUMPRODUCT(($K$2:$K$1001&lt;&gt;"")*(($T$2:$T$1001&lt;T678)+($T$2:$T$1001=T678)*(($U$2:$U$1001&lt;U678)+($U$2:$U$1001=U678)*(($V$2:$V$1001&lt;V678)+($V$2:$V$1001=V678)*(($W$2:$W$1001&lt;W678)+($W$2:$W$1001=W678)*(ROW($K$2:$K$1001)&lt;ROW(K678))))))))</f>
        <v/>
      </c>
    </row>
    <row r="679" customFormat="false" ht="15" hidden="false" customHeight="false" outlineLevel="0" collapsed="false">
      <c r="K679" s="0" t="str">
        <f aca="false">IF(H179="","",IF(SUMPRODUCT(--($C$2:$C$501=H179))&gt;0,"",H179))</f>
        <v/>
      </c>
      <c r="L679" s="0" t="str">
        <f aca="false">IF(K679="","",IF(ISNUMBER('List 2'!A179),'List 2'!A179,TRIM('List 2'!A179)))</f>
        <v/>
      </c>
      <c r="M679" s="0" t="str">
        <f aca="false">IF(K679="","",IF(ISNUMBER('List 2'!C179),'List 2'!C179,TRIM('List 2'!C179)))</f>
        <v/>
      </c>
      <c r="N679" s="0" t="str">
        <f aca="false">IF(K679="","",IF(ISNUMBER('List 2'!D179),'List 2'!D179,TRIM('List 2'!D179)))</f>
        <v/>
      </c>
      <c r="O679" s="0" t="str">
        <f aca="false">IF(K679="","",0)</f>
        <v/>
      </c>
      <c r="P679" s="0" t="str">
        <f aca="false">IF(K679="","",I179)</f>
        <v/>
      </c>
      <c r="Q679" s="0" t="str">
        <f aca="false">IF(K679="","",FALSE())</f>
        <v/>
      </c>
      <c r="R679" s="0" t="str">
        <f aca="false">IF(K679="","",TRUE())</f>
        <v/>
      </c>
      <c r="S679" s="0" t="str">
        <f aca="false">IF(K679="","",IF(AND(Q679,R679),IF(O679=P679,"Match","Qty Different"),IF(Q679,"Only in List 1","Only in List 2")))</f>
        <v/>
      </c>
      <c r="T679" s="0" t="str">
        <f aca="false">IF(K679="","",IF(ISNUMBER(--L679),TEXT(--L679,"000000000000.000"),LOWER(L679)))</f>
        <v/>
      </c>
      <c r="U679" s="0" t="str">
        <f aca="false">IF(K679="","",IF(ISNUMBER(--M679),TEXT(--M679,"000000000000.000"),LOWER(M679)))</f>
        <v/>
      </c>
      <c r="V679" s="0" t="str">
        <f aca="false">IF(K679="","",LOWER(N679))</f>
        <v/>
      </c>
      <c r="W679" s="0" t="str">
        <f aca="false">IF(K679="","",G179)</f>
        <v/>
      </c>
      <c r="X679" s="0" t="str">
        <f aca="false">IF(K679="","",1+SUMPRODUCT(($K$2:$K$1001&lt;&gt;"")*(($T$2:$T$1001&lt;T679)+($T$2:$T$1001=T679)*(($U$2:$U$1001&lt;U679)+($U$2:$U$1001=U679)*(($V$2:$V$1001&lt;V679)+($V$2:$V$1001=V679)*(($W$2:$W$1001&lt;W679)+($W$2:$W$1001=W679)*(ROW($K$2:$K$1001)&lt;ROW(K679))))))))</f>
        <v/>
      </c>
    </row>
    <row r="680" customFormat="false" ht="15" hidden="false" customHeight="false" outlineLevel="0" collapsed="false">
      <c r="K680" s="0" t="str">
        <f aca="false">IF(H180="","",IF(SUMPRODUCT(--($C$2:$C$501=H180))&gt;0,"",H180))</f>
        <v/>
      </c>
      <c r="L680" s="0" t="str">
        <f aca="false">IF(K680="","",IF(ISNUMBER('List 2'!A180),'List 2'!A180,TRIM('List 2'!A180)))</f>
        <v/>
      </c>
      <c r="M680" s="0" t="str">
        <f aca="false">IF(K680="","",IF(ISNUMBER('List 2'!C180),'List 2'!C180,TRIM('List 2'!C180)))</f>
        <v/>
      </c>
      <c r="N680" s="0" t="str">
        <f aca="false">IF(K680="","",IF(ISNUMBER('List 2'!D180),'List 2'!D180,TRIM('List 2'!D180)))</f>
        <v/>
      </c>
      <c r="O680" s="0" t="str">
        <f aca="false">IF(K680="","",0)</f>
        <v/>
      </c>
      <c r="P680" s="0" t="str">
        <f aca="false">IF(K680="","",I180)</f>
        <v/>
      </c>
      <c r="Q680" s="0" t="str">
        <f aca="false">IF(K680="","",FALSE())</f>
        <v/>
      </c>
      <c r="R680" s="0" t="str">
        <f aca="false">IF(K680="","",TRUE())</f>
        <v/>
      </c>
      <c r="S680" s="0" t="str">
        <f aca="false">IF(K680="","",IF(AND(Q680,R680),IF(O680=P680,"Match","Qty Different"),IF(Q680,"Only in List 1","Only in List 2")))</f>
        <v/>
      </c>
      <c r="T680" s="0" t="str">
        <f aca="false">IF(K680="","",IF(ISNUMBER(--L680),TEXT(--L680,"000000000000.000"),LOWER(L680)))</f>
        <v/>
      </c>
      <c r="U680" s="0" t="str">
        <f aca="false">IF(K680="","",IF(ISNUMBER(--M680),TEXT(--M680,"000000000000.000"),LOWER(M680)))</f>
        <v/>
      </c>
      <c r="V680" s="0" t="str">
        <f aca="false">IF(K680="","",LOWER(N680))</f>
        <v/>
      </c>
      <c r="W680" s="0" t="str">
        <f aca="false">IF(K680="","",G180)</f>
        <v/>
      </c>
      <c r="X680" s="0" t="str">
        <f aca="false">IF(K680="","",1+SUMPRODUCT(($K$2:$K$1001&lt;&gt;"")*(($T$2:$T$1001&lt;T680)+($T$2:$T$1001=T680)*(($U$2:$U$1001&lt;U680)+($U$2:$U$1001=U680)*(($V$2:$V$1001&lt;V680)+($V$2:$V$1001=V680)*(($W$2:$W$1001&lt;W680)+($W$2:$W$1001=W680)*(ROW($K$2:$K$1001)&lt;ROW(K680))))))))</f>
        <v/>
      </c>
    </row>
    <row r="681" customFormat="false" ht="15" hidden="false" customHeight="false" outlineLevel="0" collapsed="false">
      <c r="K681" s="0" t="str">
        <f aca="false">IF(H181="","",IF(SUMPRODUCT(--($C$2:$C$501=H181))&gt;0,"",H181))</f>
        <v/>
      </c>
      <c r="L681" s="0" t="str">
        <f aca="false">IF(K681="","",IF(ISNUMBER('List 2'!A181),'List 2'!A181,TRIM('List 2'!A181)))</f>
        <v/>
      </c>
      <c r="M681" s="0" t="str">
        <f aca="false">IF(K681="","",IF(ISNUMBER('List 2'!C181),'List 2'!C181,TRIM('List 2'!C181)))</f>
        <v/>
      </c>
      <c r="N681" s="0" t="str">
        <f aca="false">IF(K681="","",IF(ISNUMBER('List 2'!D181),'List 2'!D181,TRIM('List 2'!D181)))</f>
        <v/>
      </c>
      <c r="O681" s="0" t="str">
        <f aca="false">IF(K681="","",0)</f>
        <v/>
      </c>
      <c r="P681" s="0" t="str">
        <f aca="false">IF(K681="","",I181)</f>
        <v/>
      </c>
      <c r="Q681" s="0" t="str">
        <f aca="false">IF(K681="","",FALSE())</f>
        <v/>
      </c>
      <c r="R681" s="0" t="str">
        <f aca="false">IF(K681="","",TRUE())</f>
        <v/>
      </c>
      <c r="S681" s="0" t="str">
        <f aca="false">IF(K681="","",IF(AND(Q681,R681),IF(O681=P681,"Match","Qty Different"),IF(Q681,"Only in List 1","Only in List 2")))</f>
        <v/>
      </c>
      <c r="T681" s="0" t="str">
        <f aca="false">IF(K681="","",IF(ISNUMBER(--L681),TEXT(--L681,"000000000000.000"),LOWER(L681)))</f>
        <v/>
      </c>
      <c r="U681" s="0" t="str">
        <f aca="false">IF(K681="","",IF(ISNUMBER(--M681),TEXT(--M681,"000000000000.000"),LOWER(M681)))</f>
        <v/>
      </c>
      <c r="V681" s="0" t="str">
        <f aca="false">IF(K681="","",LOWER(N681))</f>
        <v/>
      </c>
      <c r="W681" s="0" t="str">
        <f aca="false">IF(K681="","",G181)</f>
        <v/>
      </c>
      <c r="X681" s="0" t="str">
        <f aca="false">IF(K681="","",1+SUMPRODUCT(($K$2:$K$1001&lt;&gt;"")*(($T$2:$T$1001&lt;T681)+($T$2:$T$1001=T681)*(($U$2:$U$1001&lt;U681)+($U$2:$U$1001=U681)*(($V$2:$V$1001&lt;V681)+($V$2:$V$1001=V681)*(($W$2:$W$1001&lt;W681)+($W$2:$W$1001=W681)*(ROW($K$2:$K$1001)&lt;ROW(K681))))))))</f>
        <v/>
      </c>
    </row>
    <row r="682" customFormat="false" ht="15" hidden="false" customHeight="false" outlineLevel="0" collapsed="false">
      <c r="K682" s="0" t="str">
        <f aca="false">IF(H182="","",IF(SUMPRODUCT(--($C$2:$C$501=H182))&gt;0,"",H182))</f>
        <v/>
      </c>
      <c r="L682" s="0" t="str">
        <f aca="false">IF(K682="","",IF(ISNUMBER('List 2'!A182),'List 2'!A182,TRIM('List 2'!A182)))</f>
        <v/>
      </c>
      <c r="M682" s="0" t="str">
        <f aca="false">IF(K682="","",IF(ISNUMBER('List 2'!C182),'List 2'!C182,TRIM('List 2'!C182)))</f>
        <v/>
      </c>
      <c r="N682" s="0" t="str">
        <f aca="false">IF(K682="","",IF(ISNUMBER('List 2'!D182),'List 2'!D182,TRIM('List 2'!D182)))</f>
        <v/>
      </c>
      <c r="O682" s="0" t="str">
        <f aca="false">IF(K682="","",0)</f>
        <v/>
      </c>
      <c r="P682" s="0" t="str">
        <f aca="false">IF(K682="","",I182)</f>
        <v/>
      </c>
      <c r="Q682" s="0" t="str">
        <f aca="false">IF(K682="","",FALSE())</f>
        <v/>
      </c>
      <c r="R682" s="0" t="str">
        <f aca="false">IF(K682="","",TRUE())</f>
        <v/>
      </c>
      <c r="S682" s="0" t="str">
        <f aca="false">IF(K682="","",IF(AND(Q682,R682),IF(O682=P682,"Match","Qty Different"),IF(Q682,"Only in List 1","Only in List 2")))</f>
        <v/>
      </c>
      <c r="T682" s="0" t="str">
        <f aca="false">IF(K682="","",IF(ISNUMBER(--L682),TEXT(--L682,"000000000000.000"),LOWER(L682)))</f>
        <v/>
      </c>
      <c r="U682" s="0" t="str">
        <f aca="false">IF(K682="","",IF(ISNUMBER(--M682),TEXT(--M682,"000000000000.000"),LOWER(M682)))</f>
        <v/>
      </c>
      <c r="V682" s="0" t="str">
        <f aca="false">IF(K682="","",LOWER(N682))</f>
        <v/>
      </c>
      <c r="W682" s="0" t="str">
        <f aca="false">IF(K682="","",G182)</f>
        <v/>
      </c>
      <c r="X682" s="0" t="str">
        <f aca="false">IF(K682="","",1+SUMPRODUCT(($K$2:$K$1001&lt;&gt;"")*(($T$2:$T$1001&lt;T682)+($T$2:$T$1001=T682)*(($U$2:$U$1001&lt;U682)+($U$2:$U$1001=U682)*(($V$2:$V$1001&lt;V682)+($V$2:$V$1001=V682)*(($W$2:$W$1001&lt;W682)+($W$2:$W$1001=W682)*(ROW($K$2:$K$1001)&lt;ROW(K682))))))))</f>
        <v/>
      </c>
    </row>
    <row r="683" customFormat="false" ht="15" hidden="false" customHeight="false" outlineLevel="0" collapsed="false">
      <c r="K683" s="0" t="str">
        <f aca="false">IF(H183="","",IF(SUMPRODUCT(--($C$2:$C$501=H183))&gt;0,"",H183))</f>
        <v/>
      </c>
      <c r="L683" s="0" t="str">
        <f aca="false">IF(K683="","",IF(ISNUMBER('List 2'!A183),'List 2'!A183,TRIM('List 2'!A183)))</f>
        <v/>
      </c>
      <c r="M683" s="0" t="str">
        <f aca="false">IF(K683="","",IF(ISNUMBER('List 2'!C183),'List 2'!C183,TRIM('List 2'!C183)))</f>
        <v/>
      </c>
      <c r="N683" s="0" t="str">
        <f aca="false">IF(K683="","",IF(ISNUMBER('List 2'!D183),'List 2'!D183,TRIM('List 2'!D183)))</f>
        <v/>
      </c>
      <c r="O683" s="0" t="str">
        <f aca="false">IF(K683="","",0)</f>
        <v/>
      </c>
      <c r="P683" s="0" t="str">
        <f aca="false">IF(K683="","",I183)</f>
        <v/>
      </c>
      <c r="Q683" s="0" t="str">
        <f aca="false">IF(K683="","",FALSE())</f>
        <v/>
      </c>
      <c r="R683" s="0" t="str">
        <f aca="false">IF(K683="","",TRUE())</f>
        <v/>
      </c>
      <c r="S683" s="0" t="str">
        <f aca="false">IF(K683="","",IF(AND(Q683,R683),IF(O683=P683,"Match","Qty Different"),IF(Q683,"Only in List 1","Only in List 2")))</f>
        <v/>
      </c>
      <c r="T683" s="0" t="str">
        <f aca="false">IF(K683="","",IF(ISNUMBER(--L683),TEXT(--L683,"000000000000.000"),LOWER(L683)))</f>
        <v/>
      </c>
      <c r="U683" s="0" t="str">
        <f aca="false">IF(K683="","",IF(ISNUMBER(--M683),TEXT(--M683,"000000000000.000"),LOWER(M683)))</f>
        <v/>
      </c>
      <c r="V683" s="0" t="str">
        <f aca="false">IF(K683="","",LOWER(N683))</f>
        <v/>
      </c>
      <c r="W683" s="0" t="str">
        <f aca="false">IF(K683="","",G183)</f>
        <v/>
      </c>
      <c r="X683" s="0" t="str">
        <f aca="false">IF(K683="","",1+SUMPRODUCT(($K$2:$K$1001&lt;&gt;"")*(($T$2:$T$1001&lt;T683)+($T$2:$T$1001=T683)*(($U$2:$U$1001&lt;U683)+($U$2:$U$1001=U683)*(($V$2:$V$1001&lt;V683)+($V$2:$V$1001=V683)*(($W$2:$W$1001&lt;W683)+($W$2:$W$1001=W683)*(ROW($K$2:$K$1001)&lt;ROW(K683))))))))</f>
        <v/>
      </c>
    </row>
    <row r="684" customFormat="false" ht="15" hidden="false" customHeight="false" outlineLevel="0" collapsed="false">
      <c r="K684" s="0" t="str">
        <f aca="false">IF(H184="","",IF(SUMPRODUCT(--($C$2:$C$501=H184))&gt;0,"",H184))</f>
        <v/>
      </c>
      <c r="L684" s="0" t="str">
        <f aca="false">IF(K684="","",IF(ISNUMBER('List 2'!A184),'List 2'!A184,TRIM('List 2'!A184)))</f>
        <v/>
      </c>
      <c r="M684" s="0" t="str">
        <f aca="false">IF(K684="","",IF(ISNUMBER('List 2'!C184),'List 2'!C184,TRIM('List 2'!C184)))</f>
        <v/>
      </c>
      <c r="N684" s="0" t="str">
        <f aca="false">IF(K684="","",IF(ISNUMBER('List 2'!D184),'List 2'!D184,TRIM('List 2'!D184)))</f>
        <v/>
      </c>
      <c r="O684" s="0" t="str">
        <f aca="false">IF(K684="","",0)</f>
        <v/>
      </c>
      <c r="P684" s="0" t="str">
        <f aca="false">IF(K684="","",I184)</f>
        <v/>
      </c>
      <c r="Q684" s="0" t="str">
        <f aca="false">IF(K684="","",FALSE())</f>
        <v/>
      </c>
      <c r="R684" s="0" t="str">
        <f aca="false">IF(K684="","",TRUE())</f>
        <v/>
      </c>
      <c r="S684" s="0" t="str">
        <f aca="false">IF(K684="","",IF(AND(Q684,R684),IF(O684=P684,"Match","Qty Different"),IF(Q684,"Only in List 1","Only in List 2")))</f>
        <v/>
      </c>
      <c r="T684" s="0" t="str">
        <f aca="false">IF(K684="","",IF(ISNUMBER(--L684),TEXT(--L684,"000000000000.000"),LOWER(L684)))</f>
        <v/>
      </c>
      <c r="U684" s="0" t="str">
        <f aca="false">IF(K684="","",IF(ISNUMBER(--M684),TEXT(--M684,"000000000000.000"),LOWER(M684)))</f>
        <v/>
      </c>
      <c r="V684" s="0" t="str">
        <f aca="false">IF(K684="","",LOWER(N684))</f>
        <v/>
      </c>
      <c r="W684" s="0" t="str">
        <f aca="false">IF(K684="","",G184)</f>
        <v/>
      </c>
      <c r="X684" s="0" t="str">
        <f aca="false">IF(K684="","",1+SUMPRODUCT(($K$2:$K$1001&lt;&gt;"")*(($T$2:$T$1001&lt;T684)+($T$2:$T$1001=T684)*(($U$2:$U$1001&lt;U684)+($U$2:$U$1001=U684)*(($V$2:$V$1001&lt;V684)+($V$2:$V$1001=V684)*(($W$2:$W$1001&lt;W684)+($W$2:$W$1001=W684)*(ROW($K$2:$K$1001)&lt;ROW(K684))))))))</f>
        <v/>
      </c>
    </row>
    <row r="685" customFormat="false" ht="15" hidden="false" customHeight="false" outlineLevel="0" collapsed="false">
      <c r="K685" s="0" t="str">
        <f aca="false">IF(H185="","",IF(SUMPRODUCT(--($C$2:$C$501=H185))&gt;0,"",H185))</f>
        <v/>
      </c>
      <c r="L685" s="0" t="str">
        <f aca="false">IF(K685="","",IF(ISNUMBER('List 2'!A185),'List 2'!A185,TRIM('List 2'!A185)))</f>
        <v/>
      </c>
      <c r="M685" s="0" t="str">
        <f aca="false">IF(K685="","",IF(ISNUMBER('List 2'!C185),'List 2'!C185,TRIM('List 2'!C185)))</f>
        <v/>
      </c>
      <c r="N685" s="0" t="str">
        <f aca="false">IF(K685="","",IF(ISNUMBER('List 2'!D185),'List 2'!D185,TRIM('List 2'!D185)))</f>
        <v/>
      </c>
      <c r="O685" s="0" t="str">
        <f aca="false">IF(K685="","",0)</f>
        <v/>
      </c>
      <c r="P685" s="0" t="str">
        <f aca="false">IF(K685="","",I185)</f>
        <v/>
      </c>
      <c r="Q685" s="0" t="str">
        <f aca="false">IF(K685="","",FALSE())</f>
        <v/>
      </c>
      <c r="R685" s="0" t="str">
        <f aca="false">IF(K685="","",TRUE())</f>
        <v/>
      </c>
      <c r="S685" s="0" t="str">
        <f aca="false">IF(K685="","",IF(AND(Q685,R685),IF(O685=P685,"Match","Qty Different"),IF(Q685,"Only in List 1","Only in List 2")))</f>
        <v/>
      </c>
      <c r="T685" s="0" t="str">
        <f aca="false">IF(K685="","",IF(ISNUMBER(--L685),TEXT(--L685,"000000000000.000"),LOWER(L685)))</f>
        <v/>
      </c>
      <c r="U685" s="0" t="str">
        <f aca="false">IF(K685="","",IF(ISNUMBER(--M685),TEXT(--M685,"000000000000.000"),LOWER(M685)))</f>
        <v/>
      </c>
      <c r="V685" s="0" t="str">
        <f aca="false">IF(K685="","",LOWER(N685))</f>
        <v/>
      </c>
      <c r="W685" s="0" t="str">
        <f aca="false">IF(K685="","",G185)</f>
        <v/>
      </c>
      <c r="X685" s="0" t="str">
        <f aca="false">IF(K685="","",1+SUMPRODUCT(($K$2:$K$1001&lt;&gt;"")*(($T$2:$T$1001&lt;T685)+($T$2:$T$1001=T685)*(($U$2:$U$1001&lt;U685)+($U$2:$U$1001=U685)*(($V$2:$V$1001&lt;V685)+($V$2:$V$1001=V685)*(($W$2:$W$1001&lt;W685)+($W$2:$W$1001=W685)*(ROW($K$2:$K$1001)&lt;ROW(K685))))))))</f>
        <v/>
      </c>
    </row>
    <row r="686" customFormat="false" ht="15" hidden="false" customHeight="false" outlineLevel="0" collapsed="false">
      <c r="K686" s="0" t="str">
        <f aca="false">IF(H186="","",IF(SUMPRODUCT(--($C$2:$C$501=H186))&gt;0,"",H186))</f>
        <v/>
      </c>
      <c r="L686" s="0" t="str">
        <f aca="false">IF(K686="","",IF(ISNUMBER('List 2'!A186),'List 2'!A186,TRIM('List 2'!A186)))</f>
        <v/>
      </c>
      <c r="M686" s="0" t="str">
        <f aca="false">IF(K686="","",IF(ISNUMBER('List 2'!C186),'List 2'!C186,TRIM('List 2'!C186)))</f>
        <v/>
      </c>
      <c r="N686" s="0" t="str">
        <f aca="false">IF(K686="","",IF(ISNUMBER('List 2'!D186),'List 2'!D186,TRIM('List 2'!D186)))</f>
        <v/>
      </c>
      <c r="O686" s="0" t="str">
        <f aca="false">IF(K686="","",0)</f>
        <v/>
      </c>
      <c r="P686" s="0" t="str">
        <f aca="false">IF(K686="","",I186)</f>
        <v/>
      </c>
      <c r="Q686" s="0" t="str">
        <f aca="false">IF(K686="","",FALSE())</f>
        <v/>
      </c>
      <c r="R686" s="0" t="str">
        <f aca="false">IF(K686="","",TRUE())</f>
        <v/>
      </c>
      <c r="S686" s="0" t="str">
        <f aca="false">IF(K686="","",IF(AND(Q686,R686),IF(O686=P686,"Match","Qty Different"),IF(Q686,"Only in List 1","Only in List 2")))</f>
        <v/>
      </c>
      <c r="T686" s="0" t="str">
        <f aca="false">IF(K686="","",IF(ISNUMBER(--L686),TEXT(--L686,"000000000000.000"),LOWER(L686)))</f>
        <v/>
      </c>
      <c r="U686" s="0" t="str">
        <f aca="false">IF(K686="","",IF(ISNUMBER(--M686),TEXT(--M686,"000000000000.000"),LOWER(M686)))</f>
        <v/>
      </c>
      <c r="V686" s="0" t="str">
        <f aca="false">IF(K686="","",LOWER(N686))</f>
        <v/>
      </c>
      <c r="W686" s="0" t="str">
        <f aca="false">IF(K686="","",G186)</f>
        <v/>
      </c>
      <c r="X686" s="0" t="str">
        <f aca="false">IF(K686="","",1+SUMPRODUCT(($K$2:$K$1001&lt;&gt;"")*(($T$2:$T$1001&lt;T686)+($T$2:$T$1001=T686)*(($U$2:$U$1001&lt;U686)+($U$2:$U$1001=U686)*(($V$2:$V$1001&lt;V686)+($V$2:$V$1001=V686)*(($W$2:$W$1001&lt;W686)+($W$2:$W$1001=W686)*(ROW($K$2:$K$1001)&lt;ROW(K686))))))))</f>
        <v/>
      </c>
    </row>
    <row r="687" customFormat="false" ht="15" hidden="false" customHeight="false" outlineLevel="0" collapsed="false">
      <c r="K687" s="0" t="str">
        <f aca="false">IF(H187="","",IF(SUMPRODUCT(--($C$2:$C$501=H187))&gt;0,"",H187))</f>
        <v/>
      </c>
      <c r="L687" s="0" t="str">
        <f aca="false">IF(K687="","",IF(ISNUMBER('List 2'!A187),'List 2'!A187,TRIM('List 2'!A187)))</f>
        <v/>
      </c>
      <c r="M687" s="0" t="str">
        <f aca="false">IF(K687="","",IF(ISNUMBER('List 2'!C187),'List 2'!C187,TRIM('List 2'!C187)))</f>
        <v/>
      </c>
      <c r="N687" s="0" t="str">
        <f aca="false">IF(K687="","",IF(ISNUMBER('List 2'!D187),'List 2'!D187,TRIM('List 2'!D187)))</f>
        <v/>
      </c>
      <c r="O687" s="0" t="str">
        <f aca="false">IF(K687="","",0)</f>
        <v/>
      </c>
      <c r="P687" s="0" t="str">
        <f aca="false">IF(K687="","",I187)</f>
        <v/>
      </c>
      <c r="Q687" s="0" t="str">
        <f aca="false">IF(K687="","",FALSE())</f>
        <v/>
      </c>
      <c r="R687" s="0" t="str">
        <f aca="false">IF(K687="","",TRUE())</f>
        <v/>
      </c>
      <c r="S687" s="0" t="str">
        <f aca="false">IF(K687="","",IF(AND(Q687,R687),IF(O687=P687,"Match","Qty Different"),IF(Q687,"Only in List 1","Only in List 2")))</f>
        <v/>
      </c>
      <c r="T687" s="0" t="str">
        <f aca="false">IF(K687="","",IF(ISNUMBER(--L687),TEXT(--L687,"000000000000.000"),LOWER(L687)))</f>
        <v/>
      </c>
      <c r="U687" s="0" t="str">
        <f aca="false">IF(K687="","",IF(ISNUMBER(--M687),TEXT(--M687,"000000000000.000"),LOWER(M687)))</f>
        <v/>
      </c>
      <c r="V687" s="0" t="str">
        <f aca="false">IF(K687="","",LOWER(N687))</f>
        <v/>
      </c>
      <c r="W687" s="0" t="str">
        <f aca="false">IF(K687="","",G187)</f>
        <v/>
      </c>
      <c r="X687" s="0" t="str">
        <f aca="false">IF(K687="","",1+SUMPRODUCT(($K$2:$K$1001&lt;&gt;"")*(($T$2:$T$1001&lt;T687)+($T$2:$T$1001=T687)*(($U$2:$U$1001&lt;U687)+($U$2:$U$1001=U687)*(($V$2:$V$1001&lt;V687)+($V$2:$V$1001=V687)*(($W$2:$W$1001&lt;W687)+($W$2:$W$1001=W687)*(ROW($K$2:$K$1001)&lt;ROW(K687))))))))</f>
        <v/>
      </c>
    </row>
    <row r="688" customFormat="false" ht="15" hidden="false" customHeight="false" outlineLevel="0" collapsed="false">
      <c r="K688" s="0" t="str">
        <f aca="false">IF(H188="","",IF(SUMPRODUCT(--($C$2:$C$501=H188))&gt;0,"",H188))</f>
        <v/>
      </c>
      <c r="L688" s="0" t="str">
        <f aca="false">IF(K688="","",IF(ISNUMBER('List 2'!A188),'List 2'!A188,TRIM('List 2'!A188)))</f>
        <v/>
      </c>
      <c r="M688" s="0" t="str">
        <f aca="false">IF(K688="","",IF(ISNUMBER('List 2'!C188),'List 2'!C188,TRIM('List 2'!C188)))</f>
        <v/>
      </c>
      <c r="N688" s="0" t="str">
        <f aca="false">IF(K688="","",IF(ISNUMBER('List 2'!D188),'List 2'!D188,TRIM('List 2'!D188)))</f>
        <v/>
      </c>
      <c r="O688" s="0" t="str">
        <f aca="false">IF(K688="","",0)</f>
        <v/>
      </c>
      <c r="P688" s="0" t="str">
        <f aca="false">IF(K688="","",I188)</f>
        <v/>
      </c>
      <c r="Q688" s="0" t="str">
        <f aca="false">IF(K688="","",FALSE())</f>
        <v/>
      </c>
      <c r="R688" s="0" t="str">
        <f aca="false">IF(K688="","",TRUE())</f>
        <v/>
      </c>
      <c r="S688" s="0" t="str">
        <f aca="false">IF(K688="","",IF(AND(Q688,R688),IF(O688=P688,"Match","Qty Different"),IF(Q688,"Only in List 1","Only in List 2")))</f>
        <v/>
      </c>
      <c r="T688" s="0" t="str">
        <f aca="false">IF(K688="","",IF(ISNUMBER(--L688),TEXT(--L688,"000000000000.000"),LOWER(L688)))</f>
        <v/>
      </c>
      <c r="U688" s="0" t="str">
        <f aca="false">IF(K688="","",IF(ISNUMBER(--M688),TEXT(--M688,"000000000000.000"),LOWER(M688)))</f>
        <v/>
      </c>
      <c r="V688" s="0" t="str">
        <f aca="false">IF(K688="","",LOWER(N688))</f>
        <v/>
      </c>
      <c r="W688" s="0" t="str">
        <f aca="false">IF(K688="","",G188)</f>
        <v/>
      </c>
      <c r="X688" s="0" t="str">
        <f aca="false">IF(K688="","",1+SUMPRODUCT(($K$2:$K$1001&lt;&gt;"")*(($T$2:$T$1001&lt;T688)+($T$2:$T$1001=T688)*(($U$2:$U$1001&lt;U688)+($U$2:$U$1001=U688)*(($V$2:$V$1001&lt;V688)+($V$2:$V$1001=V688)*(($W$2:$W$1001&lt;W688)+($W$2:$W$1001=W688)*(ROW($K$2:$K$1001)&lt;ROW(K688))))))))</f>
        <v/>
      </c>
    </row>
    <row r="689" customFormat="false" ht="15" hidden="false" customHeight="false" outlineLevel="0" collapsed="false">
      <c r="K689" s="0" t="str">
        <f aca="false">IF(H189="","",IF(SUMPRODUCT(--($C$2:$C$501=H189))&gt;0,"",H189))</f>
        <v/>
      </c>
      <c r="L689" s="0" t="str">
        <f aca="false">IF(K689="","",IF(ISNUMBER('List 2'!A189),'List 2'!A189,TRIM('List 2'!A189)))</f>
        <v/>
      </c>
      <c r="M689" s="0" t="str">
        <f aca="false">IF(K689="","",IF(ISNUMBER('List 2'!C189),'List 2'!C189,TRIM('List 2'!C189)))</f>
        <v/>
      </c>
      <c r="N689" s="0" t="str">
        <f aca="false">IF(K689="","",IF(ISNUMBER('List 2'!D189),'List 2'!D189,TRIM('List 2'!D189)))</f>
        <v/>
      </c>
      <c r="O689" s="0" t="str">
        <f aca="false">IF(K689="","",0)</f>
        <v/>
      </c>
      <c r="P689" s="0" t="str">
        <f aca="false">IF(K689="","",I189)</f>
        <v/>
      </c>
      <c r="Q689" s="0" t="str">
        <f aca="false">IF(K689="","",FALSE())</f>
        <v/>
      </c>
      <c r="R689" s="0" t="str">
        <f aca="false">IF(K689="","",TRUE())</f>
        <v/>
      </c>
      <c r="S689" s="0" t="str">
        <f aca="false">IF(K689="","",IF(AND(Q689,R689),IF(O689=P689,"Match","Qty Different"),IF(Q689,"Only in List 1","Only in List 2")))</f>
        <v/>
      </c>
      <c r="T689" s="0" t="str">
        <f aca="false">IF(K689="","",IF(ISNUMBER(--L689),TEXT(--L689,"000000000000.000"),LOWER(L689)))</f>
        <v/>
      </c>
      <c r="U689" s="0" t="str">
        <f aca="false">IF(K689="","",IF(ISNUMBER(--M689),TEXT(--M689,"000000000000.000"),LOWER(M689)))</f>
        <v/>
      </c>
      <c r="V689" s="0" t="str">
        <f aca="false">IF(K689="","",LOWER(N689))</f>
        <v/>
      </c>
      <c r="W689" s="0" t="str">
        <f aca="false">IF(K689="","",G189)</f>
        <v/>
      </c>
      <c r="X689" s="0" t="str">
        <f aca="false">IF(K689="","",1+SUMPRODUCT(($K$2:$K$1001&lt;&gt;"")*(($T$2:$T$1001&lt;T689)+($T$2:$T$1001=T689)*(($U$2:$U$1001&lt;U689)+($U$2:$U$1001=U689)*(($V$2:$V$1001&lt;V689)+($V$2:$V$1001=V689)*(($W$2:$W$1001&lt;W689)+($W$2:$W$1001=W689)*(ROW($K$2:$K$1001)&lt;ROW(K689))))))))</f>
        <v/>
      </c>
    </row>
    <row r="690" customFormat="false" ht="15" hidden="false" customHeight="false" outlineLevel="0" collapsed="false">
      <c r="K690" s="0" t="str">
        <f aca="false">IF(H190="","",IF(SUMPRODUCT(--($C$2:$C$501=H190))&gt;0,"",H190))</f>
        <v/>
      </c>
      <c r="L690" s="0" t="str">
        <f aca="false">IF(K690="","",IF(ISNUMBER('List 2'!A190),'List 2'!A190,TRIM('List 2'!A190)))</f>
        <v/>
      </c>
      <c r="M690" s="0" t="str">
        <f aca="false">IF(K690="","",IF(ISNUMBER('List 2'!C190),'List 2'!C190,TRIM('List 2'!C190)))</f>
        <v/>
      </c>
      <c r="N690" s="0" t="str">
        <f aca="false">IF(K690="","",IF(ISNUMBER('List 2'!D190),'List 2'!D190,TRIM('List 2'!D190)))</f>
        <v/>
      </c>
      <c r="O690" s="0" t="str">
        <f aca="false">IF(K690="","",0)</f>
        <v/>
      </c>
      <c r="P690" s="0" t="str">
        <f aca="false">IF(K690="","",I190)</f>
        <v/>
      </c>
      <c r="Q690" s="0" t="str">
        <f aca="false">IF(K690="","",FALSE())</f>
        <v/>
      </c>
      <c r="R690" s="0" t="str">
        <f aca="false">IF(K690="","",TRUE())</f>
        <v/>
      </c>
      <c r="S690" s="0" t="str">
        <f aca="false">IF(K690="","",IF(AND(Q690,R690),IF(O690=P690,"Match","Qty Different"),IF(Q690,"Only in List 1","Only in List 2")))</f>
        <v/>
      </c>
      <c r="T690" s="0" t="str">
        <f aca="false">IF(K690="","",IF(ISNUMBER(--L690),TEXT(--L690,"000000000000.000"),LOWER(L690)))</f>
        <v/>
      </c>
      <c r="U690" s="0" t="str">
        <f aca="false">IF(K690="","",IF(ISNUMBER(--M690),TEXT(--M690,"000000000000.000"),LOWER(M690)))</f>
        <v/>
      </c>
      <c r="V690" s="0" t="str">
        <f aca="false">IF(K690="","",LOWER(N690))</f>
        <v/>
      </c>
      <c r="W690" s="0" t="str">
        <f aca="false">IF(K690="","",G190)</f>
        <v/>
      </c>
      <c r="X690" s="0" t="str">
        <f aca="false">IF(K690="","",1+SUMPRODUCT(($K$2:$K$1001&lt;&gt;"")*(($T$2:$T$1001&lt;T690)+($T$2:$T$1001=T690)*(($U$2:$U$1001&lt;U690)+($U$2:$U$1001=U690)*(($V$2:$V$1001&lt;V690)+($V$2:$V$1001=V690)*(($W$2:$W$1001&lt;W690)+($W$2:$W$1001=W690)*(ROW($K$2:$K$1001)&lt;ROW(K690))))))))</f>
        <v/>
      </c>
    </row>
    <row r="691" customFormat="false" ht="15" hidden="false" customHeight="false" outlineLevel="0" collapsed="false">
      <c r="K691" s="0" t="str">
        <f aca="false">IF(H191="","",IF(SUMPRODUCT(--($C$2:$C$501=H191))&gt;0,"",H191))</f>
        <v/>
      </c>
      <c r="L691" s="0" t="str">
        <f aca="false">IF(K691="","",IF(ISNUMBER('List 2'!A191),'List 2'!A191,TRIM('List 2'!A191)))</f>
        <v/>
      </c>
      <c r="M691" s="0" t="str">
        <f aca="false">IF(K691="","",IF(ISNUMBER('List 2'!C191),'List 2'!C191,TRIM('List 2'!C191)))</f>
        <v/>
      </c>
      <c r="N691" s="0" t="str">
        <f aca="false">IF(K691="","",IF(ISNUMBER('List 2'!D191),'List 2'!D191,TRIM('List 2'!D191)))</f>
        <v/>
      </c>
      <c r="O691" s="0" t="str">
        <f aca="false">IF(K691="","",0)</f>
        <v/>
      </c>
      <c r="P691" s="0" t="str">
        <f aca="false">IF(K691="","",I191)</f>
        <v/>
      </c>
      <c r="Q691" s="0" t="str">
        <f aca="false">IF(K691="","",FALSE())</f>
        <v/>
      </c>
      <c r="R691" s="0" t="str">
        <f aca="false">IF(K691="","",TRUE())</f>
        <v/>
      </c>
      <c r="S691" s="0" t="str">
        <f aca="false">IF(K691="","",IF(AND(Q691,R691),IF(O691=P691,"Match","Qty Different"),IF(Q691,"Only in List 1","Only in List 2")))</f>
        <v/>
      </c>
      <c r="T691" s="0" t="str">
        <f aca="false">IF(K691="","",IF(ISNUMBER(--L691),TEXT(--L691,"000000000000.000"),LOWER(L691)))</f>
        <v/>
      </c>
      <c r="U691" s="0" t="str">
        <f aca="false">IF(K691="","",IF(ISNUMBER(--M691),TEXT(--M691,"000000000000.000"),LOWER(M691)))</f>
        <v/>
      </c>
      <c r="V691" s="0" t="str">
        <f aca="false">IF(K691="","",LOWER(N691))</f>
        <v/>
      </c>
      <c r="W691" s="0" t="str">
        <f aca="false">IF(K691="","",G191)</f>
        <v/>
      </c>
      <c r="X691" s="0" t="str">
        <f aca="false">IF(K691="","",1+SUMPRODUCT(($K$2:$K$1001&lt;&gt;"")*(($T$2:$T$1001&lt;T691)+($T$2:$T$1001=T691)*(($U$2:$U$1001&lt;U691)+($U$2:$U$1001=U691)*(($V$2:$V$1001&lt;V691)+($V$2:$V$1001=V691)*(($W$2:$W$1001&lt;W691)+($W$2:$W$1001=W691)*(ROW($K$2:$K$1001)&lt;ROW(K691))))))))</f>
        <v/>
      </c>
    </row>
    <row r="692" customFormat="false" ht="15" hidden="false" customHeight="false" outlineLevel="0" collapsed="false">
      <c r="K692" s="0" t="str">
        <f aca="false">IF(H192="","",IF(SUMPRODUCT(--($C$2:$C$501=H192))&gt;0,"",H192))</f>
        <v/>
      </c>
      <c r="L692" s="0" t="str">
        <f aca="false">IF(K692="","",IF(ISNUMBER('List 2'!A192),'List 2'!A192,TRIM('List 2'!A192)))</f>
        <v/>
      </c>
      <c r="M692" s="0" t="str">
        <f aca="false">IF(K692="","",IF(ISNUMBER('List 2'!C192),'List 2'!C192,TRIM('List 2'!C192)))</f>
        <v/>
      </c>
      <c r="N692" s="0" t="str">
        <f aca="false">IF(K692="","",IF(ISNUMBER('List 2'!D192),'List 2'!D192,TRIM('List 2'!D192)))</f>
        <v/>
      </c>
      <c r="O692" s="0" t="str">
        <f aca="false">IF(K692="","",0)</f>
        <v/>
      </c>
      <c r="P692" s="0" t="str">
        <f aca="false">IF(K692="","",I192)</f>
        <v/>
      </c>
      <c r="Q692" s="0" t="str">
        <f aca="false">IF(K692="","",FALSE())</f>
        <v/>
      </c>
      <c r="R692" s="0" t="str">
        <f aca="false">IF(K692="","",TRUE())</f>
        <v/>
      </c>
      <c r="S692" s="0" t="str">
        <f aca="false">IF(K692="","",IF(AND(Q692,R692),IF(O692=P692,"Match","Qty Different"),IF(Q692,"Only in List 1","Only in List 2")))</f>
        <v/>
      </c>
      <c r="T692" s="0" t="str">
        <f aca="false">IF(K692="","",IF(ISNUMBER(--L692),TEXT(--L692,"000000000000.000"),LOWER(L692)))</f>
        <v/>
      </c>
      <c r="U692" s="0" t="str">
        <f aca="false">IF(K692="","",IF(ISNUMBER(--M692),TEXT(--M692,"000000000000.000"),LOWER(M692)))</f>
        <v/>
      </c>
      <c r="V692" s="0" t="str">
        <f aca="false">IF(K692="","",LOWER(N692))</f>
        <v/>
      </c>
      <c r="W692" s="0" t="str">
        <f aca="false">IF(K692="","",G192)</f>
        <v/>
      </c>
      <c r="X692" s="0" t="str">
        <f aca="false">IF(K692="","",1+SUMPRODUCT(($K$2:$K$1001&lt;&gt;"")*(($T$2:$T$1001&lt;T692)+($T$2:$T$1001=T692)*(($U$2:$U$1001&lt;U692)+($U$2:$U$1001=U692)*(($V$2:$V$1001&lt;V692)+($V$2:$V$1001=V692)*(($W$2:$W$1001&lt;W692)+($W$2:$W$1001=W692)*(ROW($K$2:$K$1001)&lt;ROW(K692))))))))</f>
        <v/>
      </c>
    </row>
    <row r="693" customFormat="false" ht="15" hidden="false" customHeight="false" outlineLevel="0" collapsed="false">
      <c r="K693" s="0" t="str">
        <f aca="false">IF(H193="","",IF(SUMPRODUCT(--($C$2:$C$501=H193))&gt;0,"",H193))</f>
        <v/>
      </c>
      <c r="L693" s="0" t="str">
        <f aca="false">IF(K693="","",IF(ISNUMBER('List 2'!A193),'List 2'!A193,TRIM('List 2'!A193)))</f>
        <v/>
      </c>
      <c r="M693" s="0" t="str">
        <f aca="false">IF(K693="","",IF(ISNUMBER('List 2'!C193),'List 2'!C193,TRIM('List 2'!C193)))</f>
        <v/>
      </c>
      <c r="N693" s="0" t="str">
        <f aca="false">IF(K693="","",IF(ISNUMBER('List 2'!D193),'List 2'!D193,TRIM('List 2'!D193)))</f>
        <v/>
      </c>
      <c r="O693" s="0" t="str">
        <f aca="false">IF(K693="","",0)</f>
        <v/>
      </c>
      <c r="P693" s="0" t="str">
        <f aca="false">IF(K693="","",I193)</f>
        <v/>
      </c>
      <c r="Q693" s="0" t="str">
        <f aca="false">IF(K693="","",FALSE())</f>
        <v/>
      </c>
      <c r="R693" s="0" t="str">
        <f aca="false">IF(K693="","",TRUE())</f>
        <v/>
      </c>
      <c r="S693" s="0" t="str">
        <f aca="false">IF(K693="","",IF(AND(Q693,R693),IF(O693=P693,"Match","Qty Different"),IF(Q693,"Only in List 1","Only in List 2")))</f>
        <v/>
      </c>
      <c r="T693" s="0" t="str">
        <f aca="false">IF(K693="","",IF(ISNUMBER(--L693),TEXT(--L693,"000000000000.000"),LOWER(L693)))</f>
        <v/>
      </c>
      <c r="U693" s="0" t="str">
        <f aca="false">IF(K693="","",IF(ISNUMBER(--M693),TEXT(--M693,"000000000000.000"),LOWER(M693)))</f>
        <v/>
      </c>
      <c r="V693" s="0" t="str">
        <f aca="false">IF(K693="","",LOWER(N693))</f>
        <v/>
      </c>
      <c r="W693" s="0" t="str">
        <f aca="false">IF(K693="","",G193)</f>
        <v/>
      </c>
      <c r="X693" s="0" t="str">
        <f aca="false">IF(K693="","",1+SUMPRODUCT(($K$2:$K$1001&lt;&gt;"")*(($T$2:$T$1001&lt;T693)+($T$2:$T$1001=T693)*(($U$2:$U$1001&lt;U693)+($U$2:$U$1001=U693)*(($V$2:$V$1001&lt;V693)+($V$2:$V$1001=V693)*(($W$2:$W$1001&lt;W693)+($W$2:$W$1001=W693)*(ROW($K$2:$K$1001)&lt;ROW(K693))))))))</f>
        <v/>
      </c>
    </row>
    <row r="694" customFormat="false" ht="15" hidden="false" customHeight="false" outlineLevel="0" collapsed="false">
      <c r="K694" s="0" t="str">
        <f aca="false">IF(H194="","",IF(SUMPRODUCT(--($C$2:$C$501=H194))&gt;0,"",H194))</f>
        <v/>
      </c>
      <c r="L694" s="0" t="str">
        <f aca="false">IF(K694="","",IF(ISNUMBER('List 2'!A194),'List 2'!A194,TRIM('List 2'!A194)))</f>
        <v/>
      </c>
      <c r="M694" s="0" t="str">
        <f aca="false">IF(K694="","",IF(ISNUMBER('List 2'!C194),'List 2'!C194,TRIM('List 2'!C194)))</f>
        <v/>
      </c>
      <c r="N694" s="0" t="str">
        <f aca="false">IF(K694="","",IF(ISNUMBER('List 2'!D194),'List 2'!D194,TRIM('List 2'!D194)))</f>
        <v/>
      </c>
      <c r="O694" s="0" t="str">
        <f aca="false">IF(K694="","",0)</f>
        <v/>
      </c>
      <c r="P694" s="0" t="str">
        <f aca="false">IF(K694="","",I194)</f>
        <v/>
      </c>
      <c r="Q694" s="0" t="str">
        <f aca="false">IF(K694="","",FALSE())</f>
        <v/>
      </c>
      <c r="R694" s="0" t="str">
        <f aca="false">IF(K694="","",TRUE())</f>
        <v/>
      </c>
      <c r="S694" s="0" t="str">
        <f aca="false">IF(K694="","",IF(AND(Q694,R694),IF(O694=P694,"Match","Qty Different"),IF(Q694,"Only in List 1","Only in List 2")))</f>
        <v/>
      </c>
      <c r="T694" s="0" t="str">
        <f aca="false">IF(K694="","",IF(ISNUMBER(--L694),TEXT(--L694,"000000000000.000"),LOWER(L694)))</f>
        <v/>
      </c>
      <c r="U694" s="0" t="str">
        <f aca="false">IF(K694="","",IF(ISNUMBER(--M694),TEXT(--M694,"000000000000.000"),LOWER(M694)))</f>
        <v/>
      </c>
      <c r="V694" s="0" t="str">
        <f aca="false">IF(K694="","",LOWER(N694))</f>
        <v/>
      </c>
      <c r="W694" s="0" t="str">
        <f aca="false">IF(K694="","",G194)</f>
        <v/>
      </c>
      <c r="X694" s="0" t="str">
        <f aca="false">IF(K694="","",1+SUMPRODUCT(($K$2:$K$1001&lt;&gt;"")*(($T$2:$T$1001&lt;T694)+($T$2:$T$1001=T694)*(($U$2:$U$1001&lt;U694)+($U$2:$U$1001=U694)*(($V$2:$V$1001&lt;V694)+($V$2:$V$1001=V694)*(($W$2:$W$1001&lt;W694)+($W$2:$W$1001=W694)*(ROW($K$2:$K$1001)&lt;ROW(K694))))))))</f>
        <v/>
      </c>
    </row>
    <row r="695" customFormat="false" ht="15" hidden="false" customHeight="false" outlineLevel="0" collapsed="false">
      <c r="K695" s="0" t="str">
        <f aca="false">IF(H195="","",IF(SUMPRODUCT(--($C$2:$C$501=H195))&gt;0,"",H195))</f>
        <v/>
      </c>
      <c r="L695" s="0" t="str">
        <f aca="false">IF(K695="","",IF(ISNUMBER('List 2'!A195),'List 2'!A195,TRIM('List 2'!A195)))</f>
        <v/>
      </c>
      <c r="M695" s="0" t="str">
        <f aca="false">IF(K695="","",IF(ISNUMBER('List 2'!C195),'List 2'!C195,TRIM('List 2'!C195)))</f>
        <v/>
      </c>
      <c r="N695" s="0" t="str">
        <f aca="false">IF(K695="","",IF(ISNUMBER('List 2'!D195),'List 2'!D195,TRIM('List 2'!D195)))</f>
        <v/>
      </c>
      <c r="O695" s="0" t="str">
        <f aca="false">IF(K695="","",0)</f>
        <v/>
      </c>
      <c r="P695" s="0" t="str">
        <f aca="false">IF(K695="","",I195)</f>
        <v/>
      </c>
      <c r="Q695" s="0" t="str">
        <f aca="false">IF(K695="","",FALSE())</f>
        <v/>
      </c>
      <c r="R695" s="0" t="str">
        <f aca="false">IF(K695="","",TRUE())</f>
        <v/>
      </c>
      <c r="S695" s="0" t="str">
        <f aca="false">IF(K695="","",IF(AND(Q695,R695),IF(O695=P695,"Match","Qty Different"),IF(Q695,"Only in List 1","Only in List 2")))</f>
        <v/>
      </c>
      <c r="T695" s="0" t="str">
        <f aca="false">IF(K695="","",IF(ISNUMBER(--L695),TEXT(--L695,"000000000000.000"),LOWER(L695)))</f>
        <v/>
      </c>
      <c r="U695" s="0" t="str">
        <f aca="false">IF(K695="","",IF(ISNUMBER(--M695),TEXT(--M695,"000000000000.000"),LOWER(M695)))</f>
        <v/>
      </c>
      <c r="V695" s="0" t="str">
        <f aca="false">IF(K695="","",LOWER(N695))</f>
        <v/>
      </c>
      <c r="W695" s="0" t="str">
        <f aca="false">IF(K695="","",G195)</f>
        <v/>
      </c>
      <c r="X695" s="0" t="str">
        <f aca="false">IF(K695="","",1+SUMPRODUCT(($K$2:$K$1001&lt;&gt;"")*(($T$2:$T$1001&lt;T695)+($T$2:$T$1001=T695)*(($U$2:$U$1001&lt;U695)+($U$2:$U$1001=U695)*(($V$2:$V$1001&lt;V695)+($V$2:$V$1001=V695)*(($W$2:$W$1001&lt;W695)+($W$2:$W$1001=W695)*(ROW($K$2:$K$1001)&lt;ROW(K695))))))))</f>
        <v/>
      </c>
    </row>
    <row r="696" customFormat="false" ht="15" hidden="false" customHeight="false" outlineLevel="0" collapsed="false">
      <c r="K696" s="0" t="str">
        <f aca="false">IF(H196="","",IF(SUMPRODUCT(--($C$2:$C$501=H196))&gt;0,"",H196))</f>
        <v/>
      </c>
      <c r="L696" s="0" t="str">
        <f aca="false">IF(K696="","",IF(ISNUMBER('List 2'!A196),'List 2'!A196,TRIM('List 2'!A196)))</f>
        <v/>
      </c>
      <c r="M696" s="0" t="str">
        <f aca="false">IF(K696="","",IF(ISNUMBER('List 2'!C196),'List 2'!C196,TRIM('List 2'!C196)))</f>
        <v/>
      </c>
      <c r="N696" s="0" t="str">
        <f aca="false">IF(K696="","",IF(ISNUMBER('List 2'!D196),'List 2'!D196,TRIM('List 2'!D196)))</f>
        <v/>
      </c>
      <c r="O696" s="0" t="str">
        <f aca="false">IF(K696="","",0)</f>
        <v/>
      </c>
      <c r="P696" s="0" t="str">
        <f aca="false">IF(K696="","",I196)</f>
        <v/>
      </c>
      <c r="Q696" s="0" t="str">
        <f aca="false">IF(K696="","",FALSE())</f>
        <v/>
      </c>
      <c r="R696" s="0" t="str">
        <f aca="false">IF(K696="","",TRUE())</f>
        <v/>
      </c>
      <c r="S696" s="0" t="str">
        <f aca="false">IF(K696="","",IF(AND(Q696,R696),IF(O696=P696,"Match","Qty Different"),IF(Q696,"Only in List 1","Only in List 2")))</f>
        <v/>
      </c>
      <c r="T696" s="0" t="str">
        <f aca="false">IF(K696="","",IF(ISNUMBER(--L696),TEXT(--L696,"000000000000.000"),LOWER(L696)))</f>
        <v/>
      </c>
      <c r="U696" s="0" t="str">
        <f aca="false">IF(K696="","",IF(ISNUMBER(--M696),TEXT(--M696,"000000000000.000"),LOWER(M696)))</f>
        <v/>
      </c>
      <c r="V696" s="0" t="str">
        <f aca="false">IF(K696="","",LOWER(N696))</f>
        <v/>
      </c>
      <c r="W696" s="0" t="str">
        <f aca="false">IF(K696="","",G196)</f>
        <v/>
      </c>
      <c r="X696" s="0" t="str">
        <f aca="false">IF(K696="","",1+SUMPRODUCT(($K$2:$K$1001&lt;&gt;"")*(($T$2:$T$1001&lt;T696)+($T$2:$T$1001=T696)*(($U$2:$U$1001&lt;U696)+($U$2:$U$1001=U696)*(($V$2:$V$1001&lt;V696)+($V$2:$V$1001=V696)*(($W$2:$W$1001&lt;W696)+($W$2:$W$1001=W696)*(ROW($K$2:$K$1001)&lt;ROW(K696))))))))</f>
        <v/>
      </c>
    </row>
    <row r="697" customFormat="false" ht="15" hidden="false" customHeight="false" outlineLevel="0" collapsed="false">
      <c r="K697" s="0" t="str">
        <f aca="false">IF(H197="","",IF(SUMPRODUCT(--($C$2:$C$501=H197))&gt;0,"",H197))</f>
        <v/>
      </c>
      <c r="L697" s="0" t="str">
        <f aca="false">IF(K697="","",IF(ISNUMBER('List 2'!A197),'List 2'!A197,TRIM('List 2'!A197)))</f>
        <v/>
      </c>
      <c r="M697" s="0" t="str">
        <f aca="false">IF(K697="","",IF(ISNUMBER('List 2'!C197),'List 2'!C197,TRIM('List 2'!C197)))</f>
        <v/>
      </c>
      <c r="N697" s="0" t="str">
        <f aca="false">IF(K697="","",IF(ISNUMBER('List 2'!D197),'List 2'!D197,TRIM('List 2'!D197)))</f>
        <v/>
      </c>
      <c r="O697" s="0" t="str">
        <f aca="false">IF(K697="","",0)</f>
        <v/>
      </c>
      <c r="P697" s="0" t="str">
        <f aca="false">IF(K697="","",I197)</f>
        <v/>
      </c>
      <c r="Q697" s="0" t="str">
        <f aca="false">IF(K697="","",FALSE())</f>
        <v/>
      </c>
      <c r="R697" s="0" t="str">
        <f aca="false">IF(K697="","",TRUE())</f>
        <v/>
      </c>
      <c r="S697" s="0" t="str">
        <f aca="false">IF(K697="","",IF(AND(Q697,R697),IF(O697=P697,"Match","Qty Different"),IF(Q697,"Only in List 1","Only in List 2")))</f>
        <v/>
      </c>
      <c r="T697" s="0" t="str">
        <f aca="false">IF(K697="","",IF(ISNUMBER(--L697),TEXT(--L697,"000000000000.000"),LOWER(L697)))</f>
        <v/>
      </c>
      <c r="U697" s="0" t="str">
        <f aca="false">IF(K697="","",IF(ISNUMBER(--M697),TEXT(--M697,"000000000000.000"),LOWER(M697)))</f>
        <v/>
      </c>
      <c r="V697" s="0" t="str">
        <f aca="false">IF(K697="","",LOWER(N697))</f>
        <v/>
      </c>
      <c r="W697" s="0" t="str">
        <f aca="false">IF(K697="","",G197)</f>
        <v/>
      </c>
      <c r="X697" s="0" t="str">
        <f aca="false">IF(K697="","",1+SUMPRODUCT(($K$2:$K$1001&lt;&gt;"")*(($T$2:$T$1001&lt;T697)+($T$2:$T$1001=T697)*(($U$2:$U$1001&lt;U697)+($U$2:$U$1001=U697)*(($V$2:$V$1001&lt;V697)+($V$2:$V$1001=V697)*(($W$2:$W$1001&lt;W697)+($W$2:$W$1001=W697)*(ROW($K$2:$K$1001)&lt;ROW(K697))))))))</f>
        <v/>
      </c>
    </row>
    <row r="698" customFormat="false" ht="15" hidden="false" customHeight="false" outlineLevel="0" collapsed="false">
      <c r="K698" s="0" t="str">
        <f aca="false">IF(H198="","",IF(SUMPRODUCT(--($C$2:$C$501=H198))&gt;0,"",H198))</f>
        <v/>
      </c>
      <c r="L698" s="0" t="str">
        <f aca="false">IF(K698="","",IF(ISNUMBER('List 2'!A198),'List 2'!A198,TRIM('List 2'!A198)))</f>
        <v/>
      </c>
      <c r="M698" s="0" t="str">
        <f aca="false">IF(K698="","",IF(ISNUMBER('List 2'!C198),'List 2'!C198,TRIM('List 2'!C198)))</f>
        <v/>
      </c>
      <c r="N698" s="0" t="str">
        <f aca="false">IF(K698="","",IF(ISNUMBER('List 2'!D198),'List 2'!D198,TRIM('List 2'!D198)))</f>
        <v/>
      </c>
      <c r="O698" s="0" t="str">
        <f aca="false">IF(K698="","",0)</f>
        <v/>
      </c>
      <c r="P698" s="0" t="str">
        <f aca="false">IF(K698="","",I198)</f>
        <v/>
      </c>
      <c r="Q698" s="0" t="str">
        <f aca="false">IF(K698="","",FALSE())</f>
        <v/>
      </c>
      <c r="R698" s="0" t="str">
        <f aca="false">IF(K698="","",TRUE())</f>
        <v/>
      </c>
      <c r="S698" s="0" t="str">
        <f aca="false">IF(K698="","",IF(AND(Q698,R698),IF(O698=P698,"Match","Qty Different"),IF(Q698,"Only in List 1","Only in List 2")))</f>
        <v/>
      </c>
      <c r="T698" s="0" t="str">
        <f aca="false">IF(K698="","",IF(ISNUMBER(--L698),TEXT(--L698,"000000000000.000"),LOWER(L698)))</f>
        <v/>
      </c>
      <c r="U698" s="0" t="str">
        <f aca="false">IF(K698="","",IF(ISNUMBER(--M698),TEXT(--M698,"000000000000.000"),LOWER(M698)))</f>
        <v/>
      </c>
      <c r="V698" s="0" t="str">
        <f aca="false">IF(K698="","",LOWER(N698))</f>
        <v/>
      </c>
      <c r="W698" s="0" t="str">
        <f aca="false">IF(K698="","",G198)</f>
        <v/>
      </c>
      <c r="X698" s="0" t="str">
        <f aca="false">IF(K698="","",1+SUMPRODUCT(($K$2:$K$1001&lt;&gt;"")*(($T$2:$T$1001&lt;T698)+($T$2:$T$1001=T698)*(($U$2:$U$1001&lt;U698)+($U$2:$U$1001=U698)*(($V$2:$V$1001&lt;V698)+($V$2:$V$1001=V698)*(($W$2:$W$1001&lt;W698)+($W$2:$W$1001=W698)*(ROW($K$2:$K$1001)&lt;ROW(K698))))))))</f>
        <v/>
      </c>
    </row>
    <row r="699" customFormat="false" ht="15" hidden="false" customHeight="false" outlineLevel="0" collapsed="false">
      <c r="K699" s="0" t="str">
        <f aca="false">IF(H199="","",IF(SUMPRODUCT(--($C$2:$C$501=H199))&gt;0,"",H199))</f>
        <v/>
      </c>
      <c r="L699" s="0" t="str">
        <f aca="false">IF(K699="","",IF(ISNUMBER('List 2'!A199),'List 2'!A199,TRIM('List 2'!A199)))</f>
        <v/>
      </c>
      <c r="M699" s="0" t="str">
        <f aca="false">IF(K699="","",IF(ISNUMBER('List 2'!C199),'List 2'!C199,TRIM('List 2'!C199)))</f>
        <v/>
      </c>
      <c r="N699" s="0" t="str">
        <f aca="false">IF(K699="","",IF(ISNUMBER('List 2'!D199),'List 2'!D199,TRIM('List 2'!D199)))</f>
        <v/>
      </c>
      <c r="O699" s="0" t="str">
        <f aca="false">IF(K699="","",0)</f>
        <v/>
      </c>
      <c r="P699" s="0" t="str">
        <f aca="false">IF(K699="","",I199)</f>
        <v/>
      </c>
      <c r="Q699" s="0" t="str">
        <f aca="false">IF(K699="","",FALSE())</f>
        <v/>
      </c>
      <c r="R699" s="0" t="str">
        <f aca="false">IF(K699="","",TRUE())</f>
        <v/>
      </c>
      <c r="S699" s="0" t="str">
        <f aca="false">IF(K699="","",IF(AND(Q699,R699),IF(O699=P699,"Match","Qty Different"),IF(Q699,"Only in List 1","Only in List 2")))</f>
        <v/>
      </c>
      <c r="T699" s="0" t="str">
        <f aca="false">IF(K699="","",IF(ISNUMBER(--L699),TEXT(--L699,"000000000000.000"),LOWER(L699)))</f>
        <v/>
      </c>
      <c r="U699" s="0" t="str">
        <f aca="false">IF(K699="","",IF(ISNUMBER(--M699),TEXT(--M699,"000000000000.000"),LOWER(M699)))</f>
        <v/>
      </c>
      <c r="V699" s="0" t="str">
        <f aca="false">IF(K699="","",LOWER(N699))</f>
        <v/>
      </c>
      <c r="W699" s="0" t="str">
        <f aca="false">IF(K699="","",G199)</f>
        <v/>
      </c>
      <c r="X699" s="0" t="str">
        <f aca="false">IF(K699="","",1+SUMPRODUCT(($K$2:$K$1001&lt;&gt;"")*(($T$2:$T$1001&lt;T699)+($T$2:$T$1001=T699)*(($U$2:$U$1001&lt;U699)+($U$2:$U$1001=U699)*(($V$2:$V$1001&lt;V699)+($V$2:$V$1001=V699)*(($W$2:$W$1001&lt;W699)+($W$2:$W$1001=W699)*(ROW($K$2:$K$1001)&lt;ROW(K699))))))))</f>
        <v/>
      </c>
    </row>
    <row r="700" customFormat="false" ht="15" hidden="false" customHeight="false" outlineLevel="0" collapsed="false">
      <c r="K700" s="0" t="str">
        <f aca="false">IF(H200="","",IF(SUMPRODUCT(--($C$2:$C$501=H200))&gt;0,"",H200))</f>
        <v/>
      </c>
      <c r="L700" s="0" t="str">
        <f aca="false">IF(K700="","",IF(ISNUMBER('List 2'!A200),'List 2'!A200,TRIM('List 2'!A200)))</f>
        <v/>
      </c>
      <c r="M700" s="0" t="str">
        <f aca="false">IF(K700="","",IF(ISNUMBER('List 2'!C200),'List 2'!C200,TRIM('List 2'!C200)))</f>
        <v/>
      </c>
      <c r="N700" s="0" t="str">
        <f aca="false">IF(K700="","",IF(ISNUMBER('List 2'!D200),'List 2'!D200,TRIM('List 2'!D200)))</f>
        <v/>
      </c>
      <c r="O700" s="0" t="str">
        <f aca="false">IF(K700="","",0)</f>
        <v/>
      </c>
      <c r="P700" s="0" t="str">
        <f aca="false">IF(K700="","",I200)</f>
        <v/>
      </c>
      <c r="Q700" s="0" t="str">
        <f aca="false">IF(K700="","",FALSE())</f>
        <v/>
      </c>
      <c r="R700" s="0" t="str">
        <f aca="false">IF(K700="","",TRUE())</f>
        <v/>
      </c>
      <c r="S700" s="0" t="str">
        <f aca="false">IF(K700="","",IF(AND(Q700,R700),IF(O700=P700,"Match","Qty Different"),IF(Q700,"Only in List 1","Only in List 2")))</f>
        <v/>
      </c>
      <c r="T700" s="0" t="str">
        <f aca="false">IF(K700="","",IF(ISNUMBER(--L700),TEXT(--L700,"000000000000.000"),LOWER(L700)))</f>
        <v/>
      </c>
      <c r="U700" s="0" t="str">
        <f aca="false">IF(K700="","",IF(ISNUMBER(--M700),TEXT(--M700,"000000000000.000"),LOWER(M700)))</f>
        <v/>
      </c>
      <c r="V700" s="0" t="str">
        <f aca="false">IF(K700="","",LOWER(N700))</f>
        <v/>
      </c>
      <c r="W700" s="0" t="str">
        <f aca="false">IF(K700="","",G200)</f>
        <v/>
      </c>
      <c r="X700" s="0" t="str">
        <f aca="false">IF(K700="","",1+SUMPRODUCT(($K$2:$K$1001&lt;&gt;"")*(($T$2:$T$1001&lt;T700)+($T$2:$T$1001=T700)*(($U$2:$U$1001&lt;U700)+($U$2:$U$1001=U700)*(($V$2:$V$1001&lt;V700)+($V$2:$V$1001=V700)*(($W$2:$W$1001&lt;W700)+($W$2:$W$1001=W700)*(ROW($K$2:$K$1001)&lt;ROW(K700))))))))</f>
        <v/>
      </c>
    </row>
    <row r="701" customFormat="false" ht="15" hidden="false" customHeight="false" outlineLevel="0" collapsed="false">
      <c r="K701" s="0" t="str">
        <f aca="false">IF(H201="","",IF(SUMPRODUCT(--($C$2:$C$501=H201))&gt;0,"",H201))</f>
        <v/>
      </c>
      <c r="L701" s="0" t="str">
        <f aca="false">IF(K701="","",IF(ISNUMBER('List 2'!A201),'List 2'!A201,TRIM('List 2'!A201)))</f>
        <v/>
      </c>
      <c r="M701" s="0" t="str">
        <f aca="false">IF(K701="","",IF(ISNUMBER('List 2'!C201),'List 2'!C201,TRIM('List 2'!C201)))</f>
        <v/>
      </c>
      <c r="N701" s="0" t="str">
        <f aca="false">IF(K701="","",IF(ISNUMBER('List 2'!D201),'List 2'!D201,TRIM('List 2'!D201)))</f>
        <v/>
      </c>
      <c r="O701" s="0" t="str">
        <f aca="false">IF(K701="","",0)</f>
        <v/>
      </c>
      <c r="P701" s="0" t="str">
        <f aca="false">IF(K701="","",I201)</f>
        <v/>
      </c>
      <c r="Q701" s="0" t="str">
        <f aca="false">IF(K701="","",FALSE())</f>
        <v/>
      </c>
      <c r="R701" s="0" t="str">
        <f aca="false">IF(K701="","",TRUE())</f>
        <v/>
      </c>
      <c r="S701" s="0" t="str">
        <f aca="false">IF(K701="","",IF(AND(Q701,R701),IF(O701=P701,"Match","Qty Different"),IF(Q701,"Only in List 1","Only in List 2")))</f>
        <v/>
      </c>
      <c r="T701" s="0" t="str">
        <f aca="false">IF(K701="","",IF(ISNUMBER(--L701),TEXT(--L701,"000000000000.000"),LOWER(L701)))</f>
        <v/>
      </c>
      <c r="U701" s="0" t="str">
        <f aca="false">IF(K701="","",IF(ISNUMBER(--M701),TEXT(--M701,"000000000000.000"),LOWER(M701)))</f>
        <v/>
      </c>
      <c r="V701" s="0" t="str">
        <f aca="false">IF(K701="","",LOWER(N701))</f>
        <v/>
      </c>
      <c r="W701" s="0" t="str">
        <f aca="false">IF(K701="","",G201)</f>
        <v/>
      </c>
      <c r="X701" s="0" t="str">
        <f aca="false">IF(K701="","",1+SUMPRODUCT(($K$2:$K$1001&lt;&gt;"")*(($T$2:$T$1001&lt;T701)+($T$2:$T$1001=T701)*(($U$2:$U$1001&lt;U701)+($U$2:$U$1001=U701)*(($V$2:$V$1001&lt;V701)+($V$2:$V$1001=V701)*(($W$2:$W$1001&lt;W701)+($W$2:$W$1001=W701)*(ROW($K$2:$K$1001)&lt;ROW(K701))))))))</f>
        <v/>
      </c>
    </row>
    <row r="702" customFormat="false" ht="15" hidden="false" customHeight="false" outlineLevel="0" collapsed="false">
      <c r="K702" s="0" t="str">
        <f aca="false">IF(H202="","",IF(SUMPRODUCT(--($C$2:$C$501=H202))&gt;0,"",H202))</f>
        <v/>
      </c>
      <c r="L702" s="0" t="str">
        <f aca="false">IF(K702="","",IF(ISNUMBER('List 2'!A202),'List 2'!A202,TRIM('List 2'!A202)))</f>
        <v/>
      </c>
      <c r="M702" s="0" t="str">
        <f aca="false">IF(K702="","",IF(ISNUMBER('List 2'!C202),'List 2'!C202,TRIM('List 2'!C202)))</f>
        <v/>
      </c>
      <c r="N702" s="0" t="str">
        <f aca="false">IF(K702="","",IF(ISNUMBER('List 2'!D202),'List 2'!D202,TRIM('List 2'!D202)))</f>
        <v/>
      </c>
      <c r="O702" s="0" t="str">
        <f aca="false">IF(K702="","",0)</f>
        <v/>
      </c>
      <c r="P702" s="0" t="str">
        <f aca="false">IF(K702="","",I202)</f>
        <v/>
      </c>
      <c r="Q702" s="0" t="str">
        <f aca="false">IF(K702="","",FALSE())</f>
        <v/>
      </c>
      <c r="R702" s="0" t="str">
        <f aca="false">IF(K702="","",TRUE())</f>
        <v/>
      </c>
      <c r="S702" s="0" t="str">
        <f aca="false">IF(K702="","",IF(AND(Q702,R702),IF(O702=P702,"Match","Qty Different"),IF(Q702,"Only in List 1","Only in List 2")))</f>
        <v/>
      </c>
      <c r="T702" s="0" t="str">
        <f aca="false">IF(K702="","",IF(ISNUMBER(--L702),TEXT(--L702,"000000000000.000"),LOWER(L702)))</f>
        <v/>
      </c>
      <c r="U702" s="0" t="str">
        <f aca="false">IF(K702="","",IF(ISNUMBER(--M702),TEXT(--M702,"000000000000.000"),LOWER(M702)))</f>
        <v/>
      </c>
      <c r="V702" s="0" t="str">
        <f aca="false">IF(K702="","",LOWER(N702))</f>
        <v/>
      </c>
      <c r="W702" s="0" t="str">
        <f aca="false">IF(K702="","",G202)</f>
        <v/>
      </c>
      <c r="X702" s="0" t="str">
        <f aca="false">IF(K702="","",1+SUMPRODUCT(($K$2:$K$1001&lt;&gt;"")*(($T$2:$T$1001&lt;T702)+($T$2:$T$1001=T702)*(($U$2:$U$1001&lt;U702)+($U$2:$U$1001=U702)*(($V$2:$V$1001&lt;V702)+($V$2:$V$1001=V702)*(($W$2:$W$1001&lt;W702)+($W$2:$W$1001=W702)*(ROW($K$2:$K$1001)&lt;ROW(K702))))))))</f>
        <v/>
      </c>
    </row>
    <row r="703" customFormat="false" ht="15" hidden="false" customHeight="false" outlineLevel="0" collapsed="false">
      <c r="K703" s="0" t="str">
        <f aca="false">IF(H203="","",IF(SUMPRODUCT(--($C$2:$C$501=H203))&gt;0,"",H203))</f>
        <v/>
      </c>
      <c r="L703" s="0" t="str">
        <f aca="false">IF(K703="","",IF(ISNUMBER('List 2'!A203),'List 2'!A203,TRIM('List 2'!A203)))</f>
        <v/>
      </c>
      <c r="M703" s="0" t="str">
        <f aca="false">IF(K703="","",IF(ISNUMBER('List 2'!C203),'List 2'!C203,TRIM('List 2'!C203)))</f>
        <v/>
      </c>
      <c r="N703" s="0" t="str">
        <f aca="false">IF(K703="","",IF(ISNUMBER('List 2'!D203),'List 2'!D203,TRIM('List 2'!D203)))</f>
        <v/>
      </c>
      <c r="O703" s="0" t="str">
        <f aca="false">IF(K703="","",0)</f>
        <v/>
      </c>
      <c r="P703" s="0" t="str">
        <f aca="false">IF(K703="","",I203)</f>
        <v/>
      </c>
      <c r="Q703" s="0" t="str">
        <f aca="false">IF(K703="","",FALSE())</f>
        <v/>
      </c>
      <c r="R703" s="0" t="str">
        <f aca="false">IF(K703="","",TRUE())</f>
        <v/>
      </c>
      <c r="S703" s="0" t="str">
        <f aca="false">IF(K703="","",IF(AND(Q703,R703),IF(O703=P703,"Match","Qty Different"),IF(Q703,"Only in List 1","Only in List 2")))</f>
        <v/>
      </c>
      <c r="T703" s="0" t="str">
        <f aca="false">IF(K703="","",IF(ISNUMBER(--L703),TEXT(--L703,"000000000000.000"),LOWER(L703)))</f>
        <v/>
      </c>
      <c r="U703" s="0" t="str">
        <f aca="false">IF(K703="","",IF(ISNUMBER(--M703),TEXT(--M703,"000000000000.000"),LOWER(M703)))</f>
        <v/>
      </c>
      <c r="V703" s="0" t="str">
        <f aca="false">IF(K703="","",LOWER(N703))</f>
        <v/>
      </c>
      <c r="W703" s="0" t="str">
        <f aca="false">IF(K703="","",G203)</f>
        <v/>
      </c>
      <c r="X703" s="0" t="str">
        <f aca="false">IF(K703="","",1+SUMPRODUCT(($K$2:$K$1001&lt;&gt;"")*(($T$2:$T$1001&lt;T703)+($T$2:$T$1001=T703)*(($U$2:$U$1001&lt;U703)+($U$2:$U$1001=U703)*(($V$2:$V$1001&lt;V703)+($V$2:$V$1001=V703)*(($W$2:$W$1001&lt;W703)+($W$2:$W$1001=W703)*(ROW($K$2:$K$1001)&lt;ROW(K703))))))))</f>
        <v/>
      </c>
    </row>
    <row r="704" customFormat="false" ht="15" hidden="false" customHeight="false" outlineLevel="0" collapsed="false">
      <c r="K704" s="0" t="str">
        <f aca="false">IF(H204="","",IF(SUMPRODUCT(--($C$2:$C$501=H204))&gt;0,"",H204))</f>
        <v/>
      </c>
      <c r="L704" s="0" t="str">
        <f aca="false">IF(K704="","",IF(ISNUMBER('List 2'!A204),'List 2'!A204,TRIM('List 2'!A204)))</f>
        <v/>
      </c>
      <c r="M704" s="0" t="str">
        <f aca="false">IF(K704="","",IF(ISNUMBER('List 2'!C204),'List 2'!C204,TRIM('List 2'!C204)))</f>
        <v/>
      </c>
      <c r="N704" s="0" t="str">
        <f aca="false">IF(K704="","",IF(ISNUMBER('List 2'!D204),'List 2'!D204,TRIM('List 2'!D204)))</f>
        <v/>
      </c>
      <c r="O704" s="0" t="str">
        <f aca="false">IF(K704="","",0)</f>
        <v/>
      </c>
      <c r="P704" s="0" t="str">
        <f aca="false">IF(K704="","",I204)</f>
        <v/>
      </c>
      <c r="Q704" s="0" t="str">
        <f aca="false">IF(K704="","",FALSE())</f>
        <v/>
      </c>
      <c r="R704" s="0" t="str">
        <f aca="false">IF(K704="","",TRUE())</f>
        <v/>
      </c>
      <c r="S704" s="0" t="str">
        <f aca="false">IF(K704="","",IF(AND(Q704,R704),IF(O704=P704,"Match","Qty Different"),IF(Q704,"Only in List 1","Only in List 2")))</f>
        <v/>
      </c>
      <c r="T704" s="0" t="str">
        <f aca="false">IF(K704="","",IF(ISNUMBER(--L704),TEXT(--L704,"000000000000.000"),LOWER(L704)))</f>
        <v/>
      </c>
      <c r="U704" s="0" t="str">
        <f aca="false">IF(K704="","",IF(ISNUMBER(--M704),TEXT(--M704,"000000000000.000"),LOWER(M704)))</f>
        <v/>
      </c>
      <c r="V704" s="0" t="str">
        <f aca="false">IF(K704="","",LOWER(N704))</f>
        <v/>
      </c>
      <c r="W704" s="0" t="str">
        <f aca="false">IF(K704="","",G204)</f>
        <v/>
      </c>
      <c r="X704" s="0" t="str">
        <f aca="false">IF(K704="","",1+SUMPRODUCT(($K$2:$K$1001&lt;&gt;"")*(($T$2:$T$1001&lt;T704)+($T$2:$T$1001=T704)*(($U$2:$U$1001&lt;U704)+($U$2:$U$1001=U704)*(($V$2:$V$1001&lt;V704)+($V$2:$V$1001=V704)*(($W$2:$W$1001&lt;W704)+($W$2:$W$1001=W704)*(ROW($K$2:$K$1001)&lt;ROW(K704))))))))</f>
        <v/>
      </c>
    </row>
    <row r="705" customFormat="false" ht="15" hidden="false" customHeight="false" outlineLevel="0" collapsed="false">
      <c r="K705" s="0" t="str">
        <f aca="false">IF(H205="","",IF(SUMPRODUCT(--($C$2:$C$501=H205))&gt;0,"",H205))</f>
        <v/>
      </c>
      <c r="L705" s="0" t="str">
        <f aca="false">IF(K705="","",IF(ISNUMBER('List 2'!A205),'List 2'!A205,TRIM('List 2'!A205)))</f>
        <v/>
      </c>
      <c r="M705" s="0" t="str">
        <f aca="false">IF(K705="","",IF(ISNUMBER('List 2'!C205),'List 2'!C205,TRIM('List 2'!C205)))</f>
        <v/>
      </c>
      <c r="N705" s="0" t="str">
        <f aca="false">IF(K705="","",IF(ISNUMBER('List 2'!D205),'List 2'!D205,TRIM('List 2'!D205)))</f>
        <v/>
      </c>
      <c r="O705" s="0" t="str">
        <f aca="false">IF(K705="","",0)</f>
        <v/>
      </c>
      <c r="P705" s="0" t="str">
        <f aca="false">IF(K705="","",I205)</f>
        <v/>
      </c>
      <c r="Q705" s="0" t="str">
        <f aca="false">IF(K705="","",FALSE())</f>
        <v/>
      </c>
      <c r="R705" s="0" t="str">
        <f aca="false">IF(K705="","",TRUE())</f>
        <v/>
      </c>
      <c r="S705" s="0" t="str">
        <f aca="false">IF(K705="","",IF(AND(Q705,R705),IF(O705=P705,"Match","Qty Different"),IF(Q705,"Only in List 1","Only in List 2")))</f>
        <v/>
      </c>
      <c r="T705" s="0" t="str">
        <f aca="false">IF(K705="","",IF(ISNUMBER(--L705),TEXT(--L705,"000000000000.000"),LOWER(L705)))</f>
        <v/>
      </c>
      <c r="U705" s="0" t="str">
        <f aca="false">IF(K705="","",IF(ISNUMBER(--M705),TEXT(--M705,"000000000000.000"),LOWER(M705)))</f>
        <v/>
      </c>
      <c r="V705" s="0" t="str">
        <f aca="false">IF(K705="","",LOWER(N705))</f>
        <v/>
      </c>
      <c r="W705" s="0" t="str">
        <f aca="false">IF(K705="","",G205)</f>
        <v/>
      </c>
      <c r="X705" s="0" t="str">
        <f aca="false">IF(K705="","",1+SUMPRODUCT(($K$2:$K$1001&lt;&gt;"")*(($T$2:$T$1001&lt;T705)+($T$2:$T$1001=T705)*(($U$2:$U$1001&lt;U705)+($U$2:$U$1001=U705)*(($V$2:$V$1001&lt;V705)+($V$2:$V$1001=V705)*(($W$2:$W$1001&lt;W705)+($W$2:$W$1001=W705)*(ROW($K$2:$K$1001)&lt;ROW(K705))))))))</f>
        <v/>
      </c>
    </row>
    <row r="706" customFormat="false" ht="15" hidden="false" customHeight="false" outlineLevel="0" collapsed="false">
      <c r="K706" s="0" t="str">
        <f aca="false">IF(H206="","",IF(SUMPRODUCT(--($C$2:$C$501=H206))&gt;0,"",H206))</f>
        <v/>
      </c>
      <c r="L706" s="0" t="str">
        <f aca="false">IF(K706="","",IF(ISNUMBER('List 2'!A206),'List 2'!A206,TRIM('List 2'!A206)))</f>
        <v/>
      </c>
      <c r="M706" s="0" t="str">
        <f aca="false">IF(K706="","",IF(ISNUMBER('List 2'!C206),'List 2'!C206,TRIM('List 2'!C206)))</f>
        <v/>
      </c>
      <c r="N706" s="0" t="str">
        <f aca="false">IF(K706="","",IF(ISNUMBER('List 2'!D206),'List 2'!D206,TRIM('List 2'!D206)))</f>
        <v/>
      </c>
      <c r="O706" s="0" t="str">
        <f aca="false">IF(K706="","",0)</f>
        <v/>
      </c>
      <c r="P706" s="0" t="str">
        <f aca="false">IF(K706="","",I206)</f>
        <v/>
      </c>
      <c r="Q706" s="0" t="str">
        <f aca="false">IF(K706="","",FALSE())</f>
        <v/>
      </c>
      <c r="R706" s="0" t="str">
        <f aca="false">IF(K706="","",TRUE())</f>
        <v/>
      </c>
      <c r="S706" s="0" t="str">
        <f aca="false">IF(K706="","",IF(AND(Q706,R706),IF(O706=P706,"Match","Qty Different"),IF(Q706,"Only in List 1","Only in List 2")))</f>
        <v/>
      </c>
      <c r="T706" s="0" t="str">
        <f aca="false">IF(K706="","",IF(ISNUMBER(--L706),TEXT(--L706,"000000000000.000"),LOWER(L706)))</f>
        <v/>
      </c>
      <c r="U706" s="0" t="str">
        <f aca="false">IF(K706="","",IF(ISNUMBER(--M706),TEXT(--M706,"000000000000.000"),LOWER(M706)))</f>
        <v/>
      </c>
      <c r="V706" s="0" t="str">
        <f aca="false">IF(K706="","",LOWER(N706))</f>
        <v/>
      </c>
      <c r="W706" s="0" t="str">
        <f aca="false">IF(K706="","",G206)</f>
        <v/>
      </c>
      <c r="X706" s="0" t="str">
        <f aca="false">IF(K706="","",1+SUMPRODUCT(($K$2:$K$1001&lt;&gt;"")*(($T$2:$T$1001&lt;T706)+($T$2:$T$1001=T706)*(($U$2:$U$1001&lt;U706)+($U$2:$U$1001=U706)*(($V$2:$V$1001&lt;V706)+($V$2:$V$1001=V706)*(($W$2:$W$1001&lt;W706)+($W$2:$W$1001=W706)*(ROW($K$2:$K$1001)&lt;ROW(K706))))))))</f>
        <v/>
      </c>
    </row>
    <row r="707" customFormat="false" ht="15" hidden="false" customHeight="false" outlineLevel="0" collapsed="false">
      <c r="K707" s="0" t="str">
        <f aca="false">IF(H207="","",IF(SUMPRODUCT(--($C$2:$C$501=H207))&gt;0,"",H207))</f>
        <v/>
      </c>
      <c r="L707" s="0" t="str">
        <f aca="false">IF(K707="","",IF(ISNUMBER('List 2'!A207),'List 2'!A207,TRIM('List 2'!A207)))</f>
        <v/>
      </c>
      <c r="M707" s="0" t="str">
        <f aca="false">IF(K707="","",IF(ISNUMBER('List 2'!C207),'List 2'!C207,TRIM('List 2'!C207)))</f>
        <v/>
      </c>
      <c r="N707" s="0" t="str">
        <f aca="false">IF(K707="","",IF(ISNUMBER('List 2'!D207),'List 2'!D207,TRIM('List 2'!D207)))</f>
        <v/>
      </c>
      <c r="O707" s="0" t="str">
        <f aca="false">IF(K707="","",0)</f>
        <v/>
      </c>
      <c r="P707" s="0" t="str">
        <f aca="false">IF(K707="","",I207)</f>
        <v/>
      </c>
      <c r="Q707" s="0" t="str">
        <f aca="false">IF(K707="","",FALSE())</f>
        <v/>
      </c>
      <c r="R707" s="0" t="str">
        <f aca="false">IF(K707="","",TRUE())</f>
        <v/>
      </c>
      <c r="S707" s="0" t="str">
        <f aca="false">IF(K707="","",IF(AND(Q707,R707),IF(O707=P707,"Match","Qty Different"),IF(Q707,"Only in List 1","Only in List 2")))</f>
        <v/>
      </c>
      <c r="T707" s="0" t="str">
        <f aca="false">IF(K707="","",IF(ISNUMBER(--L707),TEXT(--L707,"000000000000.000"),LOWER(L707)))</f>
        <v/>
      </c>
      <c r="U707" s="0" t="str">
        <f aca="false">IF(K707="","",IF(ISNUMBER(--M707),TEXT(--M707,"000000000000.000"),LOWER(M707)))</f>
        <v/>
      </c>
      <c r="V707" s="0" t="str">
        <f aca="false">IF(K707="","",LOWER(N707))</f>
        <v/>
      </c>
      <c r="W707" s="0" t="str">
        <f aca="false">IF(K707="","",G207)</f>
        <v/>
      </c>
      <c r="X707" s="0" t="str">
        <f aca="false">IF(K707="","",1+SUMPRODUCT(($K$2:$K$1001&lt;&gt;"")*(($T$2:$T$1001&lt;T707)+($T$2:$T$1001=T707)*(($U$2:$U$1001&lt;U707)+($U$2:$U$1001=U707)*(($V$2:$V$1001&lt;V707)+($V$2:$V$1001=V707)*(($W$2:$W$1001&lt;W707)+($W$2:$W$1001=W707)*(ROW($K$2:$K$1001)&lt;ROW(K707))))))))</f>
        <v/>
      </c>
    </row>
    <row r="708" customFormat="false" ht="15" hidden="false" customHeight="false" outlineLevel="0" collapsed="false">
      <c r="K708" s="0" t="str">
        <f aca="false">IF(H208="","",IF(SUMPRODUCT(--($C$2:$C$501=H208))&gt;0,"",H208))</f>
        <v/>
      </c>
      <c r="L708" s="0" t="str">
        <f aca="false">IF(K708="","",IF(ISNUMBER('List 2'!A208),'List 2'!A208,TRIM('List 2'!A208)))</f>
        <v/>
      </c>
      <c r="M708" s="0" t="str">
        <f aca="false">IF(K708="","",IF(ISNUMBER('List 2'!C208),'List 2'!C208,TRIM('List 2'!C208)))</f>
        <v/>
      </c>
      <c r="N708" s="0" t="str">
        <f aca="false">IF(K708="","",IF(ISNUMBER('List 2'!D208),'List 2'!D208,TRIM('List 2'!D208)))</f>
        <v/>
      </c>
      <c r="O708" s="0" t="str">
        <f aca="false">IF(K708="","",0)</f>
        <v/>
      </c>
      <c r="P708" s="0" t="str">
        <f aca="false">IF(K708="","",I208)</f>
        <v/>
      </c>
      <c r="Q708" s="0" t="str">
        <f aca="false">IF(K708="","",FALSE())</f>
        <v/>
      </c>
      <c r="R708" s="0" t="str">
        <f aca="false">IF(K708="","",TRUE())</f>
        <v/>
      </c>
      <c r="S708" s="0" t="str">
        <f aca="false">IF(K708="","",IF(AND(Q708,R708),IF(O708=P708,"Match","Qty Different"),IF(Q708,"Only in List 1","Only in List 2")))</f>
        <v/>
      </c>
      <c r="T708" s="0" t="str">
        <f aca="false">IF(K708="","",IF(ISNUMBER(--L708),TEXT(--L708,"000000000000.000"),LOWER(L708)))</f>
        <v/>
      </c>
      <c r="U708" s="0" t="str">
        <f aca="false">IF(K708="","",IF(ISNUMBER(--M708),TEXT(--M708,"000000000000.000"),LOWER(M708)))</f>
        <v/>
      </c>
      <c r="V708" s="0" t="str">
        <f aca="false">IF(K708="","",LOWER(N708))</f>
        <v/>
      </c>
      <c r="W708" s="0" t="str">
        <f aca="false">IF(K708="","",G208)</f>
        <v/>
      </c>
      <c r="X708" s="0" t="str">
        <f aca="false">IF(K708="","",1+SUMPRODUCT(($K$2:$K$1001&lt;&gt;"")*(($T$2:$T$1001&lt;T708)+($T$2:$T$1001=T708)*(($U$2:$U$1001&lt;U708)+($U$2:$U$1001=U708)*(($V$2:$V$1001&lt;V708)+($V$2:$V$1001=V708)*(($W$2:$W$1001&lt;W708)+($W$2:$W$1001=W708)*(ROW($K$2:$K$1001)&lt;ROW(K708))))))))</f>
        <v/>
      </c>
    </row>
    <row r="709" customFormat="false" ht="15" hidden="false" customHeight="false" outlineLevel="0" collapsed="false">
      <c r="K709" s="0" t="str">
        <f aca="false">IF(H209="","",IF(SUMPRODUCT(--($C$2:$C$501=H209))&gt;0,"",H209))</f>
        <v/>
      </c>
      <c r="L709" s="0" t="str">
        <f aca="false">IF(K709="","",IF(ISNUMBER('List 2'!A209),'List 2'!A209,TRIM('List 2'!A209)))</f>
        <v/>
      </c>
      <c r="M709" s="0" t="str">
        <f aca="false">IF(K709="","",IF(ISNUMBER('List 2'!C209),'List 2'!C209,TRIM('List 2'!C209)))</f>
        <v/>
      </c>
      <c r="N709" s="0" t="str">
        <f aca="false">IF(K709="","",IF(ISNUMBER('List 2'!D209),'List 2'!D209,TRIM('List 2'!D209)))</f>
        <v/>
      </c>
      <c r="O709" s="0" t="str">
        <f aca="false">IF(K709="","",0)</f>
        <v/>
      </c>
      <c r="P709" s="0" t="str">
        <f aca="false">IF(K709="","",I209)</f>
        <v/>
      </c>
      <c r="Q709" s="0" t="str">
        <f aca="false">IF(K709="","",FALSE())</f>
        <v/>
      </c>
      <c r="R709" s="0" t="str">
        <f aca="false">IF(K709="","",TRUE())</f>
        <v/>
      </c>
      <c r="S709" s="0" t="str">
        <f aca="false">IF(K709="","",IF(AND(Q709,R709),IF(O709=P709,"Match","Qty Different"),IF(Q709,"Only in List 1","Only in List 2")))</f>
        <v/>
      </c>
      <c r="T709" s="0" t="str">
        <f aca="false">IF(K709="","",IF(ISNUMBER(--L709),TEXT(--L709,"000000000000.000"),LOWER(L709)))</f>
        <v/>
      </c>
      <c r="U709" s="0" t="str">
        <f aca="false">IF(K709="","",IF(ISNUMBER(--M709),TEXT(--M709,"000000000000.000"),LOWER(M709)))</f>
        <v/>
      </c>
      <c r="V709" s="0" t="str">
        <f aca="false">IF(K709="","",LOWER(N709))</f>
        <v/>
      </c>
      <c r="W709" s="0" t="str">
        <f aca="false">IF(K709="","",G209)</f>
        <v/>
      </c>
      <c r="X709" s="0" t="str">
        <f aca="false">IF(K709="","",1+SUMPRODUCT(($K$2:$K$1001&lt;&gt;"")*(($T$2:$T$1001&lt;T709)+($T$2:$T$1001=T709)*(($U$2:$U$1001&lt;U709)+($U$2:$U$1001=U709)*(($V$2:$V$1001&lt;V709)+($V$2:$V$1001=V709)*(($W$2:$W$1001&lt;W709)+($W$2:$W$1001=W709)*(ROW($K$2:$K$1001)&lt;ROW(K709))))))))</f>
        <v/>
      </c>
    </row>
    <row r="710" customFormat="false" ht="15" hidden="false" customHeight="false" outlineLevel="0" collapsed="false">
      <c r="K710" s="0" t="str">
        <f aca="false">IF(H210="","",IF(SUMPRODUCT(--($C$2:$C$501=H210))&gt;0,"",H210))</f>
        <v/>
      </c>
      <c r="L710" s="0" t="str">
        <f aca="false">IF(K710="","",IF(ISNUMBER('List 2'!A210),'List 2'!A210,TRIM('List 2'!A210)))</f>
        <v/>
      </c>
      <c r="M710" s="0" t="str">
        <f aca="false">IF(K710="","",IF(ISNUMBER('List 2'!C210),'List 2'!C210,TRIM('List 2'!C210)))</f>
        <v/>
      </c>
      <c r="N710" s="0" t="str">
        <f aca="false">IF(K710="","",IF(ISNUMBER('List 2'!D210),'List 2'!D210,TRIM('List 2'!D210)))</f>
        <v/>
      </c>
      <c r="O710" s="0" t="str">
        <f aca="false">IF(K710="","",0)</f>
        <v/>
      </c>
      <c r="P710" s="0" t="str">
        <f aca="false">IF(K710="","",I210)</f>
        <v/>
      </c>
      <c r="Q710" s="0" t="str">
        <f aca="false">IF(K710="","",FALSE())</f>
        <v/>
      </c>
      <c r="R710" s="0" t="str">
        <f aca="false">IF(K710="","",TRUE())</f>
        <v/>
      </c>
      <c r="S710" s="0" t="str">
        <f aca="false">IF(K710="","",IF(AND(Q710,R710),IF(O710=P710,"Match","Qty Different"),IF(Q710,"Only in List 1","Only in List 2")))</f>
        <v/>
      </c>
      <c r="T710" s="0" t="str">
        <f aca="false">IF(K710="","",IF(ISNUMBER(--L710),TEXT(--L710,"000000000000.000"),LOWER(L710)))</f>
        <v/>
      </c>
      <c r="U710" s="0" t="str">
        <f aca="false">IF(K710="","",IF(ISNUMBER(--M710),TEXT(--M710,"000000000000.000"),LOWER(M710)))</f>
        <v/>
      </c>
      <c r="V710" s="0" t="str">
        <f aca="false">IF(K710="","",LOWER(N710))</f>
        <v/>
      </c>
      <c r="W710" s="0" t="str">
        <f aca="false">IF(K710="","",G210)</f>
        <v/>
      </c>
      <c r="X710" s="0" t="str">
        <f aca="false">IF(K710="","",1+SUMPRODUCT(($K$2:$K$1001&lt;&gt;"")*(($T$2:$T$1001&lt;T710)+($T$2:$T$1001=T710)*(($U$2:$U$1001&lt;U710)+($U$2:$U$1001=U710)*(($V$2:$V$1001&lt;V710)+($V$2:$V$1001=V710)*(($W$2:$W$1001&lt;W710)+($W$2:$W$1001=W710)*(ROW($K$2:$K$1001)&lt;ROW(K710))))))))</f>
        <v/>
      </c>
    </row>
    <row r="711" customFormat="false" ht="15" hidden="false" customHeight="false" outlineLevel="0" collapsed="false">
      <c r="K711" s="0" t="str">
        <f aca="false">IF(H211="","",IF(SUMPRODUCT(--($C$2:$C$501=H211))&gt;0,"",H211))</f>
        <v/>
      </c>
      <c r="L711" s="0" t="str">
        <f aca="false">IF(K711="","",IF(ISNUMBER('List 2'!A211),'List 2'!A211,TRIM('List 2'!A211)))</f>
        <v/>
      </c>
      <c r="M711" s="0" t="str">
        <f aca="false">IF(K711="","",IF(ISNUMBER('List 2'!C211),'List 2'!C211,TRIM('List 2'!C211)))</f>
        <v/>
      </c>
      <c r="N711" s="0" t="str">
        <f aca="false">IF(K711="","",IF(ISNUMBER('List 2'!D211),'List 2'!D211,TRIM('List 2'!D211)))</f>
        <v/>
      </c>
      <c r="O711" s="0" t="str">
        <f aca="false">IF(K711="","",0)</f>
        <v/>
      </c>
      <c r="P711" s="0" t="str">
        <f aca="false">IF(K711="","",I211)</f>
        <v/>
      </c>
      <c r="Q711" s="0" t="str">
        <f aca="false">IF(K711="","",FALSE())</f>
        <v/>
      </c>
      <c r="R711" s="0" t="str">
        <f aca="false">IF(K711="","",TRUE())</f>
        <v/>
      </c>
      <c r="S711" s="0" t="str">
        <f aca="false">IF(K711="","",IF(AND(Q711,R711),IF(O711=P711,"Match","Qty Different"),IF(Q711,"Only in List 1","Only in List 2")))</f>
        <v/>
      </c>
      <c r="T711" s="0" t="str">
        <f aca="false">IF(K711="","",IF(ISNUMBER(--L711),TEXT(--L711,"000000000000.000"),LOWER(L711)))</f>
        <v/>
      </c>
      <c r="U711" s="0" t="str">
        <f aca="false">IF(K711="","",IF(ISNUMBER(--M711),TEXT(--M711,"000000000000.000"),LOWER(M711)))</f>
        <v/>
      </c>
      <c r="V711" s="0" t="str">
        <f aca="false">IF(K711="","",LOWER(N711))</f>
        <v/>
      </c>
      <c r="W711" s="0" t="str">
        <f aca="false">IF(K711="","",G211)</f>
        <v/>
      </c>
      <c r="X711" s="0" t="str">
        <f aca="false">IF(K711="","",1+SUMPRODUCT(($K$2:$K$1001&lt;&gt;"")*(($T$2:$T$1001&lt;T711)+($T$2:$T$1001=T711)*(($U$2:$U$1001&lt;U711)+($U$2:$U$1001=U711)*(($V$2:$V$1001&lt;V711)+($V$2:$V$1001=V711)*(($W$2:$W$1001&lt;W711)+($W$2:$W$1001=W711)*(ROW($K$2:$K$1001)&lt;ROW(K711))))))))</f>
        <v/>
      </c>
    </row>
    <row r="712" customFormat="false" ht="15" hidden="false" customHeight="false" outlineLevel="0" collapsed="false">
      <c r="K712" s="0" t="str">
        <f aca="false">IF(H212="","",IF(SUMPRODUCT(--($C$2:$C$501=H212))&gt;0,"",H212))</f>
        <v/>
      </c>
      <c r="L712" s="0" t="str">
        <f aca="false">IF(K712="","",IF(ISNUMBER('List 2'!A212),'List 2'!A212,TRIM('List 2'!A212)))</f>
        <v/>
      </c>
      <c r="M712" s="0" t="str">
        <f aca="false">IF(K712="","",IF(ISNUMBER('List 2'!C212),'List 2'!C212,TRIM('List 2'!C212)))</f>
        <v/>
      </c>
      <c r="N712" s="0" t="str">
        <f aca="false">IF(K712="","",IF(ISNUMBER('List 2'!D212),'List 2'!D212,TRIM('List 2'!D212)))</f>
        <v/>
      </c>
      <c r="O712" s="0" t="str">
        <f aca="false">IF(K712="","",0)</f>
        <v/>
      </c>
      <c r="P712" s="0" t="str">
        <f aca="false">IF(K712="","",I212)</f>
        <v/>
      </c>
      <c r="Q712" s="0" t="str">
        <f aca="false">IF(K712="","",FALSE())</f>
        <v/>
      </c>
      <c r="R712" s="0" t="str">
        <f aca="false">IF(K712="","",TRUE())</f>
        <v/>
      </c>
      <c r="S712" s="0" t="str">
        <f aca="false">IF(K712="","",IF(AND(Q712,R712),IF(O712=P712,"Match","Qty Different"),IF(Q712,"Only in List 1","Only in List 2")))</f>
        <v/>
      </c>
      <c r="T712" s="0" t="str">
        <f aca="false">IF(K712="","",IF(ISNUMBER(--L712),TEXT(--L712,"000000000000.000"),LOWER(L712)))</f>
        <v/>
      </c>
      <c r="U712" s="0" t="str">
        <f aca="false">IF(K712="","",IF(ISNUMBER(--M712),TEXT(--M712,"000000000000.000"),LOWER(M712)))</f>
        <v/>
      </c>
      <c r="V712" s="0" t="str">
        <f aca="false">IF(K712="","",LOWER(N712))</f>
        <v/>
      </c>
      <c r="W712" s="0" t="str">
        <f aca="false">IF(K712="","",G212)</f>
        <v/>
      </c>
      <c r="X712" s="0" t="str">
        <f aca="false">IF(K712="","",1+SUMPRODUCT(($K$2:$K$1001&lt;&gt;"")*(($T$2:$T$1001&lt;T712)+($T$2:$T$1001=T712)*(($U$2:$U$1001&lt;U712)+($U$2:$U$1001=U712)*(($V$2:$V$1001&lt;V712)+($V$2:$V$1001=V712)*(($W$2:$W$1001&lt;W712)+($W$2:$W$1001=W712)*(ROW($K$2:$K$1001)&lt;ROW(K712))))))))</f>
        <v/>
      </c>
    </row>
    <row r="713" customFormat="false" ht="15" hidden="false" customHeight="false" outlineLevel="0" collapsed="false">
      <c r="K713" s="0" t="str">
        <f aca="false">IF(H213="","",IF(SUMPRODUCT(--($C$2:$C$501=H213))&gt;0,"",H213))</f>
        <v/>
      </c>
      <c r="L713" s="0" t="str">
        <f aca="false">IF(K713="","",IF(ISNUMBER('List 2'!A213),'List 2'!A213,TRIM('List 2'!A213)))</f>
        <v/>
      </c>
      <c r="M713" s="0" t="str">
        <f aca="false">IF(K713="","",IF(ISNUMBER('List 2'!C213),'List 2'!C213,TRIM('List 2'!C213)))</f>
        <v/>
      </c>
      <c r="N713" s="0" t="str">
        <f aca="false">IF(K713="","",IF(ISNUMBER('List 2'!D213),'List 2'!D213,TRIM('List 2'!D213)))</f>
        <v/>
      </c>
      <c r="O713" s="0" t="str">
        <f aca="false">IF(K713="","",0)</f>
        <v/>
      </c>
      <c r="P713" s="0" t="str">
        <f aca="false">IF(K713="","",I213)</f>
        <v/>
      </c>
      <c r="Q713" s="0" t="str">
        <f aca="false">IF(K713="","",FALSE())</f>
        <v/>
      </c>
      <c r="R713" s="0" t="str">
        <f aca="false">IF(K713="","",TRUE())</f>
        <v/>
      </c>
      <c r="S713" s="0" t="str">
        <f aca="false">IF(K713="","",IF(AND(Q713,R713),IF(O713=P713,"Match","Qty Different"),IF(Q713,"Only in List 1","Only in List 2")))</f>
        <v/>
      </c>
      <c r="T713" s="0" t="str">
        <f aca="false">IF(K713="","",IF(ISNUMBER(--L713),TEXT(--L713,"000000000000.000"),LOWER(L713)))</f>
        <v/>
      </c>
      <c r="U713" s="0" t="str">
        <f aca="false">IF(K713="","",IF(ISNUMBER(--M713),TEXT(--M713,"000000000000.000"),LOWER(M713)))</f>
        <v/>
      </c>
      <c r="V713" s="0" t="str">
        <f aca="false">IF(K713="","",LOWER(N713))</f>
        <v/>
      </c>
      <c r="W713" s="0" t="str">
        <f aca="false">IF(K713="","",G213)</f>
        <v/>
      </c>
      <c r="X713" s="0" t="str">
        <f aca="false">IF(K713="","",1+SUMPRODUCT(($K$2:$K$1001&lt;&gt;"")*(($T$2:$T$1001&lt;T713)+($T$2:$T$1001=T713)*(($U$2:$U$1001&lt;U713)+($U$2:$U$1001=U713)*(($V$2:$V$1001&lt;V713)+($V$2:$V$1001=V713)*(($W$2:$W$1001&lt;W713)+($W$2:$W$1001=W713)*(ROW($K$2:$K$1001)&lt;ROW(K713))))))))</f>
        <v/>
      </c>
    </row>
    <row r="714" customFormat="false" ht="15" hidden="false" customHeight="false" outlineLevel="0" collapsed="false">
      <c r="K714" s="0" t="str">
        <f aca="false">IF(H214="","",IF(SUMPRODUCT(--($C$2:$C$501=H214))&gt;0,"",H214))</f>
        <v/>
      </c>
      <c r="L714" s="0" t="str">
        <f aca="false">IF(K714="","",IF(ISNUMBER('List 2'!A214),'List 2'!A214,TRIM('List 2'!A214)))</f>
        <v/>
      </c>
      <c r="M714" s="0" t="str">
        <f aca="false">IF(K714="","",IF(ISNUMBER('List 2'!C214),'List 2'!C214,TRIM('List 2'!C214)))</f>
        <v/>
      </c>
      <c r="N714" s="0" t="str">
        <f aca="false">IF(K714="","",IF(ISNUMBER('List 2'!D214),'List 2'!D214,TRIM('List 2'!D214)))</f>
        <v/>
      </c>
      <c r="O714" s="0" t="str">
        <f aca="false">IF(K714="","",0)</f>
        <v/>
      </c>
      <c r="P714" s="0" t="str">
        <f aca="false">IF(K714="","",I214)</f>
        <v/>
      </c>
      <c r="Q714" s="0" t="str">
        <f aca="false">IF(K714="","",FALSE())</f>
        <v/>
      </c>
      <c r="R714" s="0" t="str">
        <f aca="false">IF(K714="","",TRUE())</f>
        <v/>
      </c>
      <c r="S714" s="0" t="str">
        <f aca="false">IF(K714="","",IF(AND(Q714,R714),IF(O714=P714,"Match","Qty Different"),IF(Q714,"Only in List 1","Only in List 2")))</f>
        <v/>
      </c>
      <c r="T714" s="0" t="str">
        <f aca="false">IF(K714="","",IF(ISNUMBER(--L714),TEXT(--L714,"000000000000.000"),LOWER(L714)))</f>
        <v/>
      </c>
      <c r="U714" s="0" t="str">
        <f aca="false">IF(K714="","",IF(ISNUMBER(--M714),TEXT(--M714,"000000000000.000"),LOWER(M714)))</f>
        <v/>
      </c>
      <c r="V714" s="0" t="str">
        <f aca="false">IF(K714="","",LOWER(N714))</f>
        <v/>
      </c>
      <c r="W714" s="0" t="str">
        <f aca="false">IF(K714="","",G214)</f>
        <v/>
      </c>
      <c r="X714" s="0" t="str">
        <f aca="false">IF(K714="","",1+SUMPRODUCT(($K$2:$K$1001&lt;&gt;"")*(($T$2:$T$1001&lt;T714)+($T$2:$T$1001=T714)*(($U$2:$U$1001&lt;U714)+($U$2:$U$1001=U714)*(($V$2:$V$1001&lt;V714)+($V$2:$V$1001=V714)*(($W$2:$W$1001&lt;W714)+($W$2:$W$1001=W714)*(ROW($K$2:$K$1001)&lt;ROW(K714))))))))</f>
        <v/>
      </c>
    </row>
    <row r="715" customFormat="false" ht="15" hidden="false" customHeight="false" outlineLevel="0" collapsed="false">
      <c r="K715" s="0" t="str">
        <f aca="false">IF(H215="","",IF(SUMPRODUCT(--($C$2:$C$501=H215))&gt;0,"",H215))</f>
        <v/>
      </c>
      <c r="L715" s="0" t="str">
        <f aca="false">IF(K715="","",IF(ISNUMBER('List 2'!A215),'List 2'!A215,TRIM('List 2'!A215)))</f>
        <v/>
      </c>
      <c r="M715" s="0" t="str">
        <f aca="false">IF(K715="","",IF(ISNUMBER('List 2'!C215),'List 2'!C215,TRIM('List 2'!C215)))</f>
        <v/>
      </c>
      <c r="N715" s="0" t="str">
        <f aca="false">IF(K715="","",IF(ISNUMBER('List 2'!D215),'List 2'!D215,TRIM('List 2'!D215)))</f>
        <v/>
      </c>
      <c r="O715" s="0" t="str">
        <f aca="false">IF(K715="","",0)</f>
        <v/>
      </c>
      <c r="P715" s="0" t="str">
        <f aca="false">IF(K715="","",I215)</f>
        <v/>
      </c>
      <c r="Q715" s="0" t="str">
        <f aca="false">IF(K715="","",FALSE())</f>
        <v/>
      </c>
      <c r="R715" s="0" t="str">
        <f aca="false">IF(K715="","",TRUE())</f>
        <v/>
      </c>
      <c r="S715" s="0" t="str">
        <f aca="false">IF(K715="","",IF(AND(Q715,R715),IF(O715=P715,"Match","Qty Different"),IF(Q715,"Only in List 1","Only in List 2")))</f>
        <v/>
      </c>
      <c r="T715" s="0" t="str">
        <f aca="false">IF(K715="","",IF(ISNUMBER(--L715),TEXT(--L715,"000000000000.000"),LOWER(L715)))</f>
        <v/>
      </c>
      <c r="U715" s="0" t="str">
        <f aca="false">IF(K715="","",IF(ISNUMBER(--M715),TEXT(--M715,"000000000000.000"),LOWER(M715)))</f>
        <v/>
      </c>
      <c r="V715" s="0" t="str">
        <f aca="false">IF(K715="","",LOWER(N715))</f>
        <v/>
      </c>
      <c r="W715" s="0" t="str">
        <f aca="false">IF(K715="","",G215)</f>
        <v/>
      </c>
      <c r="X715" s="0" t="str">
        <f aca="false">IF(K715="","",1+SUMPRODUCT(($K$2:$K$1001&lt;&gt;"")*(($T$2:$T$1001&lt;T715)+($T$2:$T$1001=T715)*(($U$2:$U$1001&lt;U715)+($U$2:$U$1001=U715)*(($V$2:$V$1001&lt;V715)+($V$2:$V$1001=V715)*(($W$2:$W$1001&lt;W715)+($W$2:$W$1001=W715)*(ROW($K$2:$K$1001)&lt;ROW(K715))))))))</f>
        <v/>
      </c>
    </row>
    <row r="716" customFormat="false" ht="15" hidden="false" customHeight="false" outlineLevel="0" collapsed="false">
      <c r="K716" s="0" t="str">
        <f aca="false">IF(H216="","",IF(SUMPRODUCT(--($C$2:$C$501=H216))&gt;0,"",H216))</f>
        <v/>
      </c>
      <c r="L716" s="0" t="str">
        <f aca="false">IF(K716="","",IF(ISNUMBER('List 2'!A216),'List 2'!A216,TRIM('List 2'!A216)))</f>
        <v/>
      </c>
      <c r="M716" s="0" t="str">
        <f aca="false">IF(K716="","",IF(ISNUMBER('List 2'!C216),'List 2'!C216,TRIM('List 2'!C216)))</f>
        <v/>
      </c>
      <c r="N716" s="0" t="str">
        <f aca="false">IF(K716="","",IF(ISNUMBER('List 2'!D216),'List 2'!D216,TRIM('List 2'!D216)))</f>
        <v/>
      </c>
      <c r="O716" s="0" t="str">
        <f aca="false">IF(K716="","",0)</f>
        <v/>
      </c>
      <c r="P716" s="0" t="str">
        <f aca="false">IF(K716="","",I216)</f>
        <v/>
      </c>
      <c r="Q716" s="0" t="str">
        <f aca="false">IF(K716="","",FALSE())</f>
        <v/>
      </c>
      <c r="R716" s="0" t="str">
        <f aca="false">IF(K716="","",TRUE())</f>
        <v/>
      </c>
      <c r="S716" s="0" t="str">
        <f aca="false">IF(K716="","",IF(AND(Q716,R716),IF(O716=P716,"Match","Qty Different"),IF(Q716,"Only in List 1","Only in List 2")))</f>
        <v/>
      </c>
      <c r="T716" s="0" t="str">
        <f aca="false">IF(K716="","",IF(ISNUMBER(--L716),TEXT(--L716,"000000000000.000"),LOWER(L716)))</f>
        <v/>
      </c>
      <c r="U716" s="0" t="str">
        <f aca="false">IF(K716="","",IF(ISNUMBER(--M716),TEXT(--M716,"000000000000.000"),LOWER(M716)))</f>
        <v/>
      </c>
      <c r="V716" s="0" t="str">
        <f aca="false">IF(K716="","",LOWER(N716))</f>
        <v/>
      </c>
      <c r="W716" s="0" t="str">
        <f aca="false">IF(K716="","",G216)</f>
        <v/>
      </c>
      <c r="X716" s="0" t="str">
        <f aca="false">IF(K716="","",1+SUMPRODUCT(($K$2:$K$1001&lt;&gt;"")*(($T$2:$T$1001&lt;T716)+($T$2:$T$1001=T716)*(($U$2:$U$1001&lt;U716)+($U$2:$U$1001=U716)*(($V$2:$V$1001&lt;V716)+($V$2:$V$1001=V716)*(($W$2:$W$1001&lt;W716)+($W$2:$W$1001=W716)*(ROW($K$2:$K$1001)&lt;ROW(K716))))))))</f>
        <v/>
      </c>
    </row>
    <row r="717" customFormat="false" ht="15" hidden="false" customHeight="false" outlineLevel="0" collapsed="false">
      <c r="K717" s="0" t="str">
        <f aca="false">IF(H217="","",IF(SUMPRODUCT(--($C$2:$C$501=H217))&gt;0,"",H217))</f>
        <v/>
      </c>
      <c r="L717" s="0" t="str">
        <f aca="false">IF(K717="","",IF(ISNUMBER('List 2'!A217),'List 2'!A217,TRIM('List 2'!A217)))</f>
        <v/>
      </c>
      <c r="M717" s="0" t="str">
        <f aca="false">IF(K717="","",IF(ISNUMBER('List 2'!C217),'List 2'!C217,TRIM('List 2'!C217)))</f>
        <v/>
      </c>
      <c r="N717" s="0" t="str">
        <f aca="false">IF(K717="","",IF(ISNUMBER('List 2'!D217),'List 2'!D217,TRIM('List 2'!D217)))</f>
        <v/>
      </c>
      <c r="O717" s="0" t="str">
        <f aca="false">IF(K717="","",0)</f>
        <v/>
      </c>
      <c r="P717" s="0" t="str">
        <f aca="false">IF(K717="","",I217)</f>
        <v/>
      </c>
      <c r="Q717" s="0" t="str">
        <f aca="false">IF(K717="","",FALSE())</f>
        <v/>
      </c>
      <c r="R717" s="0" t="str">
        <f aca="false">IF(K717="","",TRUE())</f>
        <v/>
      </c>
      <c r="S717" s="0" t="str">
        <f aca="false">IF(K717="","",IF(AND(Q717,R717),IF(O717=P717,"Match","Qty Different"),IF(Q717,"Only in List 1","Only in List 2")))</f>
        <v/>
      </c>
      <c r="T717" s="0" t="str">
        <f aca="false">IF(K717="","",IF(ISNUMBER(--L717),TEXT(--L717,"000000000000.000"),LOWER(L717)))</f>
        <v/>
      </c>
      <c r="U717" s="0" t="str">
        <f aca="false">IF(K717="","",IF(ISNUMBER(--M717),TEXT(--M717,"000000000000.000"),LOWER(M717)))</f>
        <v/>
      </c>
      <c r="V717" s="0" t="str">
        <f aca="false">IF(K717="","",LOWER(N717))</f>
        <v/>
      </c>
      <c r="W717" s="0" t="str">
        <f aca="false">IF(K717="","",G217)</f>
        <v/>
      </c>
      <c r="X717" s="0" t="str">
        <f aca="false">IF(K717="","",1+SUMPRODUCT(($K$2:$K$1001&lt;&gt;"")*(($T$2:$T$1001&lt;T717)+($T$2:$T$1001=T717)*(($U$2:$U$1001&lt;U717)+($U$2:$U$1001=U717)*(($V$2:$V$1001&lt;V717)+($V$2:$V$1001=V717)*(($W$2:$W$1001&lt;W717)+($W$2:$W$1001=W717)*(ROW($K$2:$K$1001)&lt;ROW(K717))))))))</f>
        <v/>
      </c>
    </row>
    <row r="718" customFormat="false" ht="15" hidden="false" customHeight="false" outlineLevel="0" collapsed="false">
      <c r="K718" s="0" t="str">
        <f aca="false">IF(H218="","",IF(SUMPRODUCT(--($C$2:$C$501=H218))&gt;0,"",H218))</f>
        <v/>
      </c>
      <c r="L718" s="0" t="str">
        <f aca="false">IF(K718="","",IF(ISNUMBER('List 2'!A218),'List 2'!A218,TRIM('List 2'!A218)))</f>
        <v/>
      </c>
      <c r="M718" s="0" t="str">
        <f aca="false">IF(K718="","",IF(ISNUMBER('List 2'!C218),'List 2'!C218,TRIM('List 2'!C218)))</f>
        <v/>
      </c>
      <c r="N718" s="0" t="str">
        <f aca="false">IF(K718="","",IF(ISNUMBER('List 2'!D218),'List 2'!D218,TRIM('List 2'!D218)))</f>
        <v/>
      </c>
      <c r="O718" s="0" t="str">
        <f aca="false">IF(K718="","",0)</f>
        <v/>
      </c>
      <c r="P718" s="0" t="str">
        <f aca="false">IF(K718="","",I218)</f>
        <v/>
      </c>
      <c r="Q718" s="0" t="str">
        <f aca="false">IF(K718="","",FALSE())</f>
        <v/>
      </c>
      <c r="R718" s="0" t="str">
        <f aca="false">IF(K718="","",TRUE())</f>
        <v/>
      </c>
      <c r="S718" s="0" t="str">
        <f aca="false">IF(K718="","",IF(AND(Q718,R718),IF(O718=P718,"Match","Qty Different"),IF(Q718,"Only in List 1","Only in List 2")))</f>
        <v/>
      </c>
      <c r="T718" s="0" t="str">
        <f aca="false">IF(K718="","",IF(ISNUMBER(--L718),TEXT(--L718,"000000000000.000"),LOWER(L718)))</f>
        <v/>
      </c>
      <c r="U718" s="0" t="str">
        <f aca="false">IF(K718="","",IF(ISNUMBER(--M718),TEXT(--M718,"000000000000.000"),LOWER(M718)))</f>
        <v/>
      </c>
      <c r="V718" s="0" t="str">
        <f aca="false">IF(K718="","",LOWER(N718))</f>
        <v/>
      </c>
      <c r="W718" s="0" t="str">
        <f aca="false">IF(K718="","",G218)</f>
        <v/>
      </c>
      <c r="X718" s="0" t="str">
        <f aca="false">IF(K718="","",1+SUMPRODUCT(($K$2:$K$1001&lt;&gt;"")*(($T$2:$T$1001&lt;T718)+($T$2:$T$1001=T718)*(($U$2:$U$1001&lt;U718)+($U$2:$U$1001=U718)*(($V$2:$V$1001&lt;V718)+($V$2:$V$1001=V718)*(($W$2:$W$1001&lt;W718)+($W$2:$W$1001=W718)*(ROW($K$2:$K$1001)&lt;ROW(K718))))))))</f>
        <v/>
      </c>
    </row>
    <row r="719" customFormat="false" ht="15" hidden="false" customHeight="false" outlineLevel="0" collapsed="false">
      <c r="K719" s="0" t="str">
        <f aca="false">IF(H219="","",IF(SUMPRODUCT(--($C$2:$C$501=H219))&gt;0,"",H219))</f>
        <v/>
      </c>
      <c r="L719" s="0" t="str">
        <f aca="false">IF(K719="","",IF(ISNUMBER('List 2'!A219),'List 2'!A219,TRIM('List 2'!A219)))</f>
        <v/>
      </c>
      <c r="M719" s="0" t="str">
        <f aca="false">IF(K719="","",IF(ISNUMBER('List 2'!C219),'List 2'!C219,TRIM('List 2'!C219)))</f>
        <v/>
      </c>
      <c r="N719" s="0" t="str">
        <f aca="false">IF(K719="","",IF(ISNUMBER('List 2'!D219),'List 2'!D219,TRIM('List 2'!D219)))</f>
        <v/>
      </c>
      <c r="O719" s="0" t="str">
        <f aca="false">IF(K719="","",0)</f>
        <v/>
      </c>
      <c r="P719" s="0" t="str">
        <f aca="false">IF(K719="","",I219)</f>
        <v/>
      </c>
      <c r="Q719" s="0" t="str">
        <f aca="false">IF(K719="","",FALSE())</f>
        <v/>
      </c>
      <c r="R719" s="0" t="str">
        <f aca="false">IF(K719="","",TRUE())</f>
        <v/>
      </c>
      <c r="S719" s="0" t="str">
        <f aca="false">IF(K719="","",IF(AND(Q719,R719),IF(O719=P719,"Match","Qty Different"),IF(Q719,"Only in List 1","Only in List 2")))</f>
        <v/>
      </c>
      <c r="T719" s="0" t="str">
        <f aca="false">IF(K719="","",IF(ISNUMBER(--L719),TEXT(--L719,"000000000000.000"),LOWER(L719)))</f>
        <v/>
      </c>
      <c r="U719" s="0" t="str">
        <f aca="false">IF(K719="","",IF(ISNUMBER(--M719),TEXT(--M719,"000000000000.000"),LOWER(M719)))</f>
        <v/>
      </c>
      <c r="V719" s="0" t="str">
        <f aca="false">IF(K719="","",LOWER(N719))</f>
        <v/>
      </c>
      <c r="W719" s="0" t="str">
        <f aca="false">IF(K719="","",G219)</f>
        <v/>
      </c>
      <c r="X719" s="0" t="str">
        <f aca="false">IF(K719="","",1+SUMPRODUCT(($K$2:$K$1001&lt;&gt;"")*(($T$2:$T$1001&lt;T719)+($T$2:$T$1001=T719)*(($U$2:$U$1001&lt;U719)+($U$2:$U$1001=U719)*(($V$2:$V$1001&lt;V719)+($V$2:$V$1001=V719)*(($W$2:$W$1001&lt;W719)+($W$2:$W$1001=W719)*(ROW($K$2:$K$1001)&lt;ROW(K719))))))))</f>
        <v/>
      </c>
    </row>
    <row r="720" customFormat="false" ht="15" hidden="false" customHeight="false" outlineLevel="0" collapsed="false">
      <c r="K720" s="0" t="str">
        <f aca="false">IF(H220="","",IF(SUMPRODUCT(--($C$2:$C$501=H220))&gt;0,"",H220))</f>
        <v/>
      </c>
      <c r="L720" s="0" t="str">
        <f aca="false">IF(K720="","",IF(ISNUMBER('List 2'!A220),'List 2'!A220,TRIM('List 2'!A220)))</f>
        <v/>
      </c>
      <c r="M720" s="0" t="str">
        <f aca="false">IF(K720="","",IF(ISNUMBER('List 2'!C220),'List 2'!C220,TRIM('List 2'!C220)))</f>
        <v/>
      </c>
      <c r="N720" s="0" t="str">
        <f aca="false">IF(K720="","",IF(ISNUMBER('List 2'!D220),'List 2'!D220,TRIM('List 2'!D220)))</f>
        <v/>
      </c>
      <c r="O720" s="0" t="str">
        <f aca="false">IF(K720="","",0)</f>
        <v/>
      </c>
      <c r="P720" s="0" t="str">
        <f aca="false">IF(K720="","",I220)</f>
        <v/>
      </c>
      <c r="Q720" s="0" t="str">
        <f aca="false">IF(K720="","",FALSE())</f>
        <v/>
      </c>
      <c r="R720" s="0" t="str">
        <f aca="false">IF(K720="","",TRUE())</f>
        <v/>
      </c>
      <c r="S720" s="0" t="str">
        <f aca="false">IF(K720="","",IF(AND(Q720,R720),IF(O720=P720,"Match","Qty Different"),IF(Q720,"Only in List 1","Only in List 2")))</f>
        <v/>
      </c>
      <c r="T720" s="0" t="str">
        <f aca="false">IF(K720="","",IF(ISNUMBER(--L720),TEXT(--L720,"000000000000.000"),LOWER(L720)))</f>
        <v/>
      </c>
      <c r="U720" s="0" t="str">
        <f aca="false">IF(K720="","",IF(ISNUMBER(--M720),TEXT(--M720,"000000000000.000"),LOWER(M720)))</f>
        <v/>
      </c>
      <c r="V720" s="0" t="str">
        <f aca="false">IF(K720="","",LOWER(N720))</f>
        <v/>
      </c>
      <c r="W720" s="0" t="str">
        <f aca="false">IF(K720="","",G220)</f>
        <v/>
      </c>
      <c r="X720" s="0" t="str">
        <f aca="false">IF(K720="","",1+SUMPRODUCT(($K$2:$K$1001&lt;&gt;"")*(($T$2:$T$1001&lt;T720)+($T$2:$T$1001=T720)*(($U$2:$U$1001&lt;U720)+($U$2:$U$1001=U720)*(($V$2:$V$1001&lt;V720)+($V$2:$V$1001=V720)*(($W$2:$W$1001&lt;W720)+($W$2:$W$1001=W720)*(ROW($K$2:$K$1001)&lt;ROW(K720))))))))</f>
        <v/>
      </c>
    </row>
    <row r="721" customFormat="false" ht="15" hidden="false" customHeight="false" outlineLevel="0" collapsed="false">
      <c r="K721" s="0" t="str">
        <f aca="false">IF(H221="","",IF(SUMPRODUCT(--($C$2:$C$501=H221))&gt;0,"",H221))</f>
        <v/>
      </c>
      <c r="L721" s="0" t="str">
        <f aca="false">IF(K721="","",IF(ISNUMBER('List 2'!A221),'List 2'!A221,TRIM('List 2'!A221)))</f>
        <v/>
      </c>
      <c r="M721" s="0" t="str">
        <f aca="false">IF(K721="","",IF(ISNUMBER('List 2'!C221),'List 2'!C221,TRIM('List 2'!C221)))</f>
        <v/>
      </c>
      <c r="N721" s="0" t="str">
        <f aca="false">IF(K721="","",IF(ISNUMBER('List 2'!D221),'List 2'!D221,TRIM('List 2'!D221)))</f>
        <v/>
      </c>
      <c r="O721" s="0" t="str">
        <f aca="false">IF(K721="","",0)</f>
        <v/>
      </c>
      <c r="P721" s="0" t="str">
        <f aca="false">IF(K721="","",I221)</f>
        <v/>
      </c>
      <c r="Q721" s="0" t="str">
        <f aca="false">IF(K721="","",FALSE())</f>
        <v/>
      </c>
      <c r="R721" s="0" t="str">
        <f aca="false">IF(K721="","",TRUE())</f>
        <v/>
      </c>
      <c r="S721" s="0" t="str">
        <f aca="false">IF(K721="","",IF(AND(Q721,R721),IF(O721=P721,"Match","Qty Different"),IF(Q721,"Only in List 1","Only in List 2")))</f>
        <v/>
      </c>
      <c r="T721" s="0" t="str">
        <f aca="false">IF(K721="","",IF(ISNUMBER(--L721),TEXT(--L721,"000000000000.000"),LOWER(L721)))</f>
        <v/>
      </c>
      <c r="U721" s="0" t="str">
        <f aca="false">IF(K721="","",IF(ISNUMBER(--M721),TEXT(--M721,"000000000000.000"),LOWER(M721)))</f>
        <v/>
      </c>
      <c r="V721" s="0" t="str">
        <f aca="false">IF(K721="","",LOWER(N721))</f>
        <v/>
      </c>
      <c r="W721" s="0" t="str">
        <f aca="false">IF(K721="","",G221)</f>
        <v/>
      </c>
      <c r="X721" s="0" t="str">
        <f aca="false">IF(K721="","",1+SUMPRODUCT(($K$2:$K$1001&lt;&gt;"")*(($T$2:$T$1001&lt;T721)+($T$2:$T$1001=T721)*(($U$2:$U$1001&lt;U721)+($U$2:$U$1001=U721)*(($V$2:$V$1001&lt;V721)+($V$2:$V$1001=V721)*(($W$2:$W$1001&lt;W721)+($W$2:$W$1001=W721)*(ROW($K$2:$K$1001)&lt;ROW(K721))))))))</f>
        <v/>
      </c>
    </row>
    <row r="722" customFormat="false" ht="15" hidden="false" customHeight="false" outlineLevel="0" collapsed="false">
      <c r="K722" s="0" t="str">
        <f aca="false">IF(H222="","",IF(SUMPRODUCT(--($C$2:$C$501=H222))&gt;0,"",H222))</f>
        <v/>
      </c>
      <c r="L722" s="0" t="str">
        <f aca="false">IF(K722="","",IF(ISNUMBER('List 2'!A222),'List 2'!A222,TRIM('List 2'!A222)))</f>
        <v/>
      </c>
      <c r="M722" s="0" t="str">
        <f aca="false">IF(K722="","",IF(ISNUMBER('List 2'!C222),'List 2'!C222,TRIM('List 2'!C222)))</f>
        <v/>
      </c>
      <c r="N722" s="0" t="str">
        <f aca="false">IF(K722="","",IF(ISNUMBER('List 2'!D222),'List 2'!D222,TRIM('List 2'!D222)))</f>
        <v/>
      </c>
      <c r="O722" s="0" t="str">
        <f aca="false">IF(K722="","",0)</f>
        <v/>
      </c>
      <c r="P722" s="0" t="str">
        <f aca="false">IF(K722="","",I222)</f>
        <v/>
      </c>
      <c r="Q722" s="0" t="str">
        <f aca="false">IF(K722="","",FALSE())</f>
        <v/>
      </c>
      <c r="R722" s="0" t="str">
        <f aca="false">IF(K722="","",TRUE())</f>
        <v/>
      </c>
      <c r="S722" s="0" t="str">
        <f aca="false">IF(K722="","",IF(AND(Q722,R722),IF(O722=P722,"Match","Qty Different"),IF(Q722,"Only in List 1","Only in List 2")))</f>
        <v/>
      </c>
      <c r="T722" s="0" t="str">
        <f aca="false">IF(K722="","",IF(ISNUMBER(--L722),TEXT(--L722,"000000000000.000"),LOWER(L722)))</f>
        <v/>
      </c>
      <c r="U722" s="0" t="str">
        <f aca="false">IF(K722="","",IF(ISNUMBER(--M722),TEXT(--M722,"000000000000.000"),LOWER(M722)))</f>
        <v/>
      </c>
      <c r="V722" s="0" t="str">
        <f aca="false">IF(K722="","",LOWER(N722))</f>
        <v/>
      </c>
      <c r="W722" s="0" t="str">
        <f aca="false">IF(K722="","",G222)</f>
        <v/>
      </c>
      <c r="X722" s="0" t="str">
        <f aca="false">IF(K722="","",1+SUMPRODUCT(($K$2:$K$1001&lt;&gt;"")*(($T$2:$T$1001&lt;T722)+($T$2:$T$1001=T722)*(($U$2:$U$1001&lt;U722)+($U$2:$U$1001=U722)*(($V$2:$V$1001&lt;V722)+($V$2:$V$1001=V722)*(($W$2:$W$1001&lt;W722)+($W$2:$W$1001=W722)*(ROW($K$2:$K$1001)&lt;ROW(K722))))))))</f>
        <v/>
      </c>
    </row>
    <row r="723" customFormat="false" ht="15" hidden="false" customHeight="false" outlineLevel="0" collapsed="false">
      <c r="K723" s="0" t="str">
        <f aca="false">IF(H223="","",IF(SUMPRODUCT(--($C$2:$C$501=H223))&gt;0,"",H223))</f>
        <v/>
      </c>
      <c r="L723" s="0" t="str">
        <f aca="false">IF(K723="","",IF(ISNUMBER('List 2'!A223),'List 2'!A223,TRIM('List 2'!A223)))</f>
        <v/>
      </c>
      <c r="M723" s="0" t="str">
        <f aca="false">IF(K723="","",IF(ISNUMBER('List 2'!C223),'List 2'!C223,TRIM('List 2'!C223)))</f>
        <v/>
      </c>
      <c r="N723" s="0" t="str">
        <f aca="false">IF(K723="","",IF(ISNUMBER('List 2'!D223),'List 2'!D223,TRIM('List 2'!D223)))</f>
        <v/>
      </c>
      <c r="O723" s="0" t="str">
        <f aca="false">IF(K723="","",0)</f>
        <v/>
      </c>
      <c r="P723" s="0" t="str">
        <f aca="false">IF(K723="","",I223)</f>
        <v/>
      </c>
      <c r="Q723" s="0" t="str">
        <f aca="false">IF(K723="","",FALSE())</f>
        <v/>
      </c>
      <c r="R723" s="0" t="str">
        <f aca="false">IF(K723="","",TRUE())</f>
        <v/>
      </c>
      <c r="S723" s="0" t="str">
        <f aca="false">IF(K723="","",IF(AND(Q723,R723),IF(O723=P723,"Match","Qty Different"),IF(Q723,"Only in List 1","Only in List 2")))</f>
        <v/>
      </c>
      <c r="T723" s="0" t="str">
        <f aca="false">IF(K723="","",IF(ISNUMBER(--L723),TEXT(--L723,"000000000000.000"),LOWER(L723)))</f>
        <v/>
      </c>
      <c r="U723" s="0" t="str">
        <f aca="false">IF(K723="","",IF(ISNUMBER(--M723),TEXT(--M723,"000000000000.000"),LOWER(M723)))</f>
        <v/>
      </c>
      <c r="V723" s="0" t="str">
        <f aca="false">IF(K723="","",LOWER(N723))</f>
        <v/>
      </c>
      <c r="W723" s="0" t="str">
        <f aca="false">IF(K723="","",G223)</f>
        <v/>
      </c>
      <c r="X723" s="0" t="str">
        <f aca="false">IF(K723="","",1+SUMPRODUCT(($K$2:$K$1001&lt;&gt;"")*(($T$2:$T$1001&lt;T723)+($T$2:$T$1001=T723)*(($U$2:$U$1001&lt;U723)+($U$2:$U$1001=U723)*(($V$2:$V$1001&lt;V723)+($V$2:$V$1001=V723)*(($W$2:$W$1001&lt;W723)+($W$2:$W$1001=W723)*(ROW($K$2:$K$1001)&lt;ROW(K723))))))))</f>
        <v/>
      </c>
    </row>
    <row r="724" customFormat="false" ht="15" hidden="false" customHeight="false" outlineLevel="0" collapsed="false">
      <c r="K724" s="0" t="str">
        <f aca="false">IF(H224="","",IF(SUMPRODUCT(--($C$2:$C$501=H224))&gt;0,"",H224))</f>
        <v/>
      </c>
      <c r="L724" s="0" t="str">
        <f aca="false">IF(K724="","",IF(ISNUMBER('List 2'!A224),'List 2'!A224,TRIM('List 2'!A224)))</f>
        <v/>
      </c>
      <c r="M724" s="0" t="str">
        <f aca="false">IF(K724="","",IF(ISNUMBER('List 2'!C224),'List 2'!C224,TRIM('List 2'!C224)))</f>
        <v/>
      </c>
      <c r="N724" s="0" t="str">
        <f aca="false">IF(K724="","",IF(ISNUMBER('List 2'!D224),'List 2'!D224,TRIM('List 2'!D224)))</f>
        <v/>
      </c>
      <c r="O724" s="0" t="str">
        <f aca="false">IF(K724="","",0)</f>
        <v/>
      </c>
      <c r="P724" s="0" t="str">
        <f aca="false">IF(K724="","",I224)</f>
        <v/>
      </c>
      <c r="Q724" s="0" t="str">
        <f aca="false">IF(K724="","",FALSE())</f>
        <v/>
      </c>
      <c r="R724" s="0" t="str">
        <f aca="false">IF(K724="","",TRUE())</f>
        <v/>
      </c>
      <c r="S724" s="0" t="str">
        <f aca="false">IF(K724="","",IF(AND(Q724,R724),IF(O724=P724,"Match","Qty Different"),IF(Q724,"Only in List 1","Only in List 2")))</f>
        <v/>
      </c>
      <c r="T724" s="0" t="str">
        <f aca="false">IF(K724="","",IF(ISNUMBER(--L724),TEXT(--L724,"000000000000.000"),LOWER(L724)))</f>
        <v/>
      </c>
      <c r="U724" s="0" t="str">
        <f aca="false">IF(K724="","",IF(ISNUMBER(--M724),TEXT(--M724,"000000000000.000"),LOWER(M724)))</f>
        <v/>
      </c>
      <c r="V724" s="0" t="str">
        <f aca="false">IF(K724="","",LOWER(N724))</f>
        <v/>
      </c>
      <c r="W724" s="0" t="str">
        <f aca="false">IF(K724="","",G224)</f>
        <v/>
      </c>
      <c r="X724" s="0" t="str">
        <f aca="false">IF(K724="","",1+SUMPRODUCT(($K$2:$K$1001&lt;&gt;"")*(($T$2:$T$1001&lt;T724)+($T$2:$T$1001=T724)*(($U$2:$U$1001&lt;U724)+($U$2:$U$1001=U724)*(($V$2:$V$1001&lt;V724)+($V$2:$V$1001=V724)*(($W$2:$W$1001&lt;W724)+($W$2:$W$1001=W724)*(ROW($K$2:$K$1001)&lt;ROW(K724))))))))</f>
        <v/>
      </c>
    </row>
    <row r="725" customFormat="false" ht="15" hidden="false" customHeight="false" outlineLevel="0" collapsed="false">
      <c r="K725" s="0" t="str">
        <f aca="false">IF(H225="","",IF(SUMPRODUCT(--($C$2:$C$501=H225))&gt;0,"",H225))</f>
        <v/>
      </c>
      <c r="L725" s="0" t="str">
        <f aca="false">IF(K725="","",IF(ISNUMBER('List 2'!A225),'List 2'!A225,TRIM('List 2'!A225)))</f>
        <v/>
      </c>
      <c r="M725" s="0" t="str">
        <f aca="false">IF(K725="","",IF(ISNUMBER('List 2'!C225),'List 2'!C225,TRIM('List 2'!C225)))</f>
        <v/>
      </c>
      <c r="N725" s="0" t="str">
        <f aca="false">IF(K725="","",IF(ISNUMBER('List 2'!D225),'List 2'!D225,TRIM('List 2'!D225)))</f>
        <v/>
      </c>
      <c r="O725" s="0" t="str">
        <f aca="false">IF(K725="","",0)</f>
        <v/>
      </c>
      <c r="P725" s="0" t="str">
        <f aca="false">IF(K725="","",I225)</f>
        <v/>
      </c>
      <c r="Q725" s="0" t="str">
        <f aca="false">IF(K725="","",FALSE())</f>
        <v/>
      </c>
      <c r="R725" s="0" t="str">
        <f aca="false">IF(K725="","",TRUE())</f>
        <v/>
      </c>
      <c r="S725" s="0" t="str">
        <f aca="false">IF(K725="","",IF(AND(Q725,R725),IF(O725=P725,"Match","Qty Different"),IF(Q725,"Only in List 1","Only in List 2")))</f>
        <v/>
      </c>
      <c r="T725" s="0" t="str">
        <f aca="false">IF(K725="","",IF(ISNUMBER(--L725),TEXT(--L725,"000000000000.000"),LOWER(L725)))</f>
        <v/>
      </c>
      <c r="U725" s="0" t="str">
        <f aca="false">IF(K725="","",IF(ISNUMBER(--M725),TEXT(--M725,"000000000000.000"),LOWER(M725)))</f>
        <v/>
      </c>
      <c r="V725" s="0" t="str">
        <f aca="false">IF(K725="","",LOWER(N725))</f>
        <v/>
      </c>
      <c r="W725" s="0" t="str">
        <f aca="false">IF(K725="","",G225)</f>
        <v/>
      </c>
      <c r="X725" s="0" t="str">
        <f aca="false">IF(K725="","",1+SUMPRODUCT(($K$2:$K$1001&lt;&gt;"")*(($T$2:$T$1001&lt;T725)+($T$2:$T$1001=T725)*(($U$2:$U$1001&lt;U725)+($U$2:$U$1001=U725)*(($V$2:$V$1001&lt;V725)+($V$2:$V$1001=V725)*(($W$2:$W$1001&lt;W725)+($W$2:$W$1001=W725)*(ROW($K$2:$K$1001)&lt;ROW(K725))))))))</f>
        <v/>
      </c>
    </row>
    <row r="726" customFormat="false" ht="15" hidden="false" customHeight="false" outlineLevel="0" collapsed="false">
      <c r="K726" s="0" t="str">
        <f aca="false">IF(H226="","",IF(SUMPRODUCT(--($C$2:$C$501=H226))&gt;0,"",H226))</f>
        <v/>
      </c>
      <c r="L726" s="0" t="str">
        <f aca="false">IF(K726="","",IF(ISNUMBER('List 2'!A226),'List 2'!A226,TRIM('List 2'!A226)))</f>
        <v/>
      </c>
      <c r="M726" s="0" t="str">
        <f aca="false">IF(K726="","",IF(ISNUMBER('List 2'!C226),'List 2'!C226,TRIM('List 2'!C226)))</f>
        <v/>
      </c>
      <c r="N726" s="0" t="str">
        <f aca="false">IF(K726="","",IF(ISNUMBER('List 2'!D226),'List 2'!D226,TRIM('List 2'!D226)))</f>
        <v/>
      </c>
      <c r="O726" s="0" t="str">
        <f aca="false">IF(K726="","",0)</f>
        <v/>
      </c>
      <c r="P726" s="0" t="str">
        <f aca="false">IF(K726="","",I226)</f>
        <v/>
      </c>
      <c r="Q726" s="0" t="str">
        <f aca="false">IF(K726="","",FALSE())</f>
        <v/>
      </c>
      <c r="R726" s="0" t="str">
        <f aca="false">IF(K726="","",TRUE())</f>
        <v/>
      </c>
      <c r="S726" s="0" t="str">
        <f aca="false">IF(K726="","",IF(AND(Q726,R726),IF(O726=P726,"Match","Qty Different"),IF(Q726,"Only in List 1","Only in List 2")))</f>
        <v/>
      </c>
      <c r="T726" s="0" t="str">
        <f aca="false">IF(K726="","",IF(ISNUMBER(--L726),TEXT(--L726,"000000000000.000"),LOWER(L726)))</f>
        <v/>
      </c>
      <c r="U726" s="0" t="str">
        <f aca="false">IF(K726="","",IF(ISNUMBER(--M726),TEXT(--M726,"000000000000.000"),LOWER(M726)))</f>
        <v/>
      </c>
      <c r="V726" s="0" t="str">
        <f aca="false">IF(K726="","",LOWER(N726))</f>
        <v/>
      </c>
      <c r="W726" s="0" t="str">
        <f aca="false">IF(K726="","",G226)</f>
        <v/>
      </c>
      <c r="X726" s="0" t="str">
        <f aca="false">IF(K726="","",1+SUMPRODUCT(($K$2:$K$1001&lt;&gt;"")*(($T$2:$T$1001&lt;T726)+($T$2:$T$1001=T726)*(($U$2:$U$1001&lt;U726)+($U$2:$U$1001=U726)*(($V$2:$V$1001&lt;V726)+($V$2:$V$1001=V726)*(($W$2:$W$1001&lt;W726)+($W$2:$W$1001=W726)*(ROW($K$2:$K$1001)&lt;ROW(K726))))))))</f>
        <v/>
      </c>
    </row>
    <row r="727" customFormat="false" ht="15" hidden="false" customHeight="false" outlineLevel="0" collapsed="false">
      <c r="K727" s="0" t="str">
        <f aca="false">IF(H227="","",IF(SUMPRODUCT(--($C$2:$C$501=H227))&gt;0,"",H227))</f>
        <v/>
      </c>
      <c r="L727" s="0" t="str">
        <f aca="false">IF(K727="","",IF(ISNUMBER('List 2'!A227),'List 2'!A227,TRIM('List 2'!A227)))</f>
        <v/>
      </c>
      <c r="M727" s="0" t="str">
        <f aca="false">IF(K727="","",IF(ISNUMBER('List 2'!C227),'List 2'!C227,TRIM('List 2'!C227)))</f>
        <v/>
      </c>
      <c r="N727" s="0" t="str">
        <f aca="false">IF(K727="","",IF(ISNUMBER('List 2'!D227),'List 2'!D227,TRIM('List 2'!D227)))</f>
        <v/>
      </c>
      <c r="O727" s="0" t="str">
        <f aca="false">IF(K727="","",0)</f>
        <v/>
      </c>
      <c r="P727" s="0" t="str">
        <f aca="false">IF(K727="","",I227)</f>
        <v/>
      </c>
      <c r="Q727" s="0" t="str">
        <f aca="false">IF(K727="","",FALSE())</f>
        <v/>
      </c>
      <c r="R727" s="0" t="str">
        <f aca="false">IF(K727="","",TRUE())</f>
        <v/>
      </c>
      <c r="S727" s="0" t="str">
        <f aca="false">IF(K727="","",IF(AND(Q727,R727),IF(O727=P727,"Match","Qty Different"),IF(Q727,"Only in List 1","Only in List 2")))</f>
        <v/>
      </c>
      <c r="T727" s="0" t="str">
        <f aca="false">IF(K727="","",IF(ISNUMBER(--L727),TEXT(--L727,"000000000000.000"),LOWER(L727)))</f>
        <v/>
      </c>
      <c r="U727" s="0" t="str">
        <f aca="false">IF(K727="","",IF(ISNUMBER(--M727),TEXT(--M727,"000000000000.000"),LOWER(M727)))</f>
        <v/>
      </c>
      <c r="V727" s="0" t="str">
        <f aca="false">IF(K727="","",LOWER(N727))</f>
        <v/>
      </c>
      <c r="W727" s="0" t="str">
        <f aca="false">IF(K727="","",G227)</f>
        <v/>
      </c>
      <c r="X727" s="0" t="str">
        <f aca="false">IF(K727="","",1+SUMPRODUCT(($K$2:$K$1001&lt;&gt;"")*(($T$2:$T$1001&lt;T727)+($T$2:$T$1001=T727)*(($U$2:$U$1001&lt;U727)+($U$2:$U$1001=U727)*(($V$2:$V$1001&lt;V727)+($V$2:$V$1001=V727)*(($W$2:$W$1001&lt;W727)+($W$2:$W$1001=W727)*(ROW($K$2:$K$1001)&lt;ROW(K727))))))))</f>
        <v/>
      </c>
    </row>
    <row r="728" customFormat="false" ht="15" hidden="false" customHeight="false" outlineLevel="0" collapsed="false">
      <c r="K728" s="0" t="str">
        <f aca="false">IF(H228="","",IF(SUMPRODUCT(--($C$2:$C$501=H228))&gt;0,"",H228))</f>
        <v/>
      </c>
      <c r="L728" s="0" t="str">
        <f aca="false">IF(K728="","",IF(ISNUMBER('List 2'!A228),'List 2'!A228,TRIM('List 2'!A228)))</f>
        <v/>
      </c>
      <c r="M728" s="0" t="str">
        <f aca="false">IF(K728="","",IF(ISNUMBER('List 2'!C228),'List 2'!C228,TRIM('List 2'!C228)))</f>
        <v/>
      </c>
      <c r="N728" s="0" t="str">
        <f aca="false">IF(K728="","",IF(ISNUMBER('List 2'!D228),'List 2'!D228,TRIM('List 2'!D228)))</f>
        <v/>
      </c>
      <c r="O728" s="0" t="str">
        <f aca="false">IF(K728="","",0)</f>
        <v/>
      </c>
      <c r="P728" s="0" t="str">
        <f aca="false">IF(K728="","",I228)</f>
        <v/>
      </c>
      <c r="Q728" s="0" t="str">
        <f aca="false">IF(K728="","",FALSE())</f>
        <v/>
      </c>
      <c r="R728" s="0" t="str">
        <f aca="false">IF(K728="","",TRUE())</f>
        <v/>
      </c>
      <c r="S728" s="0" t="str">
        <f aca="false">IF(K728="","",IF(AND(Q728,R728),IF(O728=P728,"Match","Qty Different"),IF(Q728,"Only in List 1","Only in List 2")))</f>
        <v/>
      </c>
      <c r="T728" s="0" t="str">
        <f aca="false">IF(K728="","",IF(ISNUMBER(--L728),TEXT(--L728,"000000000000.000"),LOWER(L728)))</f>
        <v/>
      </c>
      <c r="U728" s="0" t="str">
        <f aca="false">IF(K728="","",IF(ISNUMBER(--M728),TEXT(--M728,"000000000000.000"),LOWER(M728)))</f>
        <v/>
      </c>
      <c r="V728" s="0" t="str">
        <f aca="false">IF(K728="","",LOWER(N728))</f>
        <v/>
      </c>
      <c r="W728" s="0" t="str">
        <f aca="false">IF(K728="","",G228)</f>
        <v/>
      </c>
      <c r="X728" s="0" t="str">
        <f aca="false">IF(K728="","",1+SUMPRODUCT(($K$2:$K$1001&lt;&gt;"")*(($T$2:$T$1001&lt;T728)+($T$2:$T$1001=T728)*(($U$2:$U$1001&lt;U728)+($U$2:$U$1001=U728)*(($V$2:$V$1001&lt;V728)+($V$2:$V$1001=V728)*(($W$2:$W$1001&lt;W728)+($W$2:$W$1001=W728)*(ROW($K$2:$K$1001)&lt;ROW(K728))))))))</f>
        <v/>
      </c>
    </row>
    <row r="729" customFormat="false" ht="15" hidden="false" customHeight="false" outlineLevel="0" collapsed="false">
      <c r="K729" s="0" t="str">
        <f aca="false">IF(H229="","",IF(SUMPRODUCT(--($C$2:$C$501=H229))&gt;0,"",H229))</f>
        <v/>
      </c>
      <c r="L729" s="0" t="str">
        <f aca="false">IF(K729="","",IF(ISNUMBER('List 2'!A229),'List 2'!A229,TRIM('List 2'!A229)))</f>
        <v/>
      </c>
      <c r="M729" s="0" t="str">
        <f aca="false">IF(K729="","",IF(ISNUMBER('List 2'!C229),'List 2'!C229,TRIM('List 2'!C229)))</f>
        <v/>
      </c>
      <c r="N729" s="0" t="str">
        <f aca="false">IF(K729="","",IF(ISNUMBER('List 2'!D229),'List 2'!D229,TRIM('List 2'!D229)))</f>
        <v/>
      </c>
      <c r="O729" s="0" t="str">
        <f aca="false">IF(K729="","",0)</f>
        <v/>
      </c>
      <c r="P729" s="0" t="str">
        <f aca="false">IF(K729="","",I229)</f>
        <v/>
      </c>
      <c r="Q729" s="0" t="str">
        <f aca="false">IF(K729="","",FALSE())</f>
        <v/>
      </c>
      <c r="R729" s="0" t="str">
        <f aca="false">IF(K729="","",TRUE())</f>
        <v/>
      </c>
      <c r="S729" s="0" t="str">
        <f aca="false">IF(K729="","",IF(AND(Q729,R729),IF(O729=P729,"Match","Qty Different"),IF(Q729,"Only in List 1","Only in List 2")))</f>
        <v/>
      </c>
      <c r="T729" s="0" t="str">
        <f aca="false">IF(K729="","",IF(ISNUMBER(--L729),TEXT(--L729,"000000000000.000"),LOWER(L729)))</f>
        <v/>
      </c>
      <c r="U729" s="0" t="str">
        <f aca="false">IF(K729="","",IF(ISNUMBER(--M729),TEXT(--M729,"000000000000.000"),LOWER(M729)))</f>
        <v/>
      </c>
      <c r="V729" s="0" t="str">
        <f aca="false">IF(K729="","",LOWER(N729))</f>
        <v/>
      </c>
      <c r="W729" s="0" t="str">
        <f aca="false">IF(K729="","",G229)</f>
        <v/>
      </c>
      <c r="X729" s="0" t="str">
        <f aca="false">IF(K729="","",1+SUMPRODUCT(($K$2:$K$1001&lt;&gt;"")*(($T$2:$T$1001&lt;T729)+($T$2:$T$1001=T729)*(($U$2:$U$1001&lt;U729)+($U$2:$U$1001=U729)*(($V$2:$V$1001&lt;V729)+($V$2:$V$1001=V729)*(($W$2:$W$1001&lt;W729)+($W$2:$W$1001=W729)*(ROW($K$2:$K$1001)&lt;ROW(K729))))))))</f>
        <v/>
      </c>
    </row>
    <row r="730" customFormat="false" ht="15" hidden="false" customHeight="false" outlineLevel="0" collapsed="false">
      <c r="K730" s="0" t="str">
        <f aca="false">IF(H230="","",IF(SUMPRODUCT(--($C$2:$C$501=H230))&gt;0,"",H230))</f>
        <v/>
      </c>
      <c r="L730" s="0" t="str">
        <f aca="false">IF(K730="","",IF(ISNUMBER('List 2'!A230),'List 2'!A230,TRIM('List 2'!A230)))</f>
        <v/>
      </c>
      <c r="M730" s="0" t="str">
        <f aca="false">IF(K730="","",IF(ISNUMBER('List 2'!C230),'List 2'!C230,TRIM('List 2'!C230)))</f>
        <v/>
      </c>
      <c r="N730" s="0" t="str">
        <f aca="false">IF(K730="","",IF(ISNUMBER('List 2'!D230),'List 2'!D230,TRIM('List 2'!D230)))</f>
        <v/>
      </c>
      <c r="O730" s="0" t="str">
        <f aca="false">IF(K730="","",0)</f>
        <v/>
      </c>
      <c r="P730" s="0" t="str">
        <f aca="false">IF(K730="","",I230)</f>
        <v/>
      </c>
      <c r="Q730" s="0" t="str">
        <f aca="false">IF(K730="","",FALSE())</f>
        <v/>
      </c>
      <c r="R730" s="0" t="str">
        <f aca="false">IF(K730="","",TRUE())</f>
        <v/>
      </c>
      <c r="S730" s="0" t="str">
        <f aca="false">IF(K730="","",IF(AND(Q730,R730),IF(O730=P730,"Match","Qty Different"),IF(Q730,"Only in List 1","Only in List 2")))</f>
        <v/>
      </c>
      <c r="T730" s="0" t="str">
        <f aca="false">IF(K730="","",IF(ISNUMBER(--L730),TEXT(--L730,"000000000000.000"),LOWER(L730)))</f>
        <v/>
      </c>
      <c r="U730" s="0" t="str">
        <f aca="false">IF(K730="","",IF(ISNUMBER(--M730),TEXT(--M730,"000000000000.000"),LOWER(M730)))</f>
        <v/>
      </c>
      <c r="V730" s="0" t="str">
        <f aca="false">IF(K730="","",LOWER(N730))</f>
        <v/>
      </c>
      <c r="W730" s="0" t="str">
        <f aca="false">IF(K730="","",G230)</f>
        <v/>
      </c>
      <c r="X730" s="0" t="str">
        <f aca="false">IF(K730="","",1+SUMPRODUCT(($K$2:$K$1001&lt;&gt;"")*(($T$2:$T$1001&lt;T730)+($T$2:$T$1001=T730)*(($U$2:$U$1001&lt;U730)+($U$2:$U$1001=U730)*(($V$2:$V$1001&lt;V730)+($V$2:$V$1001=V730)*(($W$2:$W$1001&lt;W730)+($W$2:$W$1001=W730)*(ROW($K$2:$K$1001)&lt;ROW(K730))))))))</f>
        <v/>
      </c>
    </row>
    <row r="731" customFormat="false" ht="15" hidden="false" customHeight="false" outlineLevel="0" collapsed="false">
      <c r="K731" s="0" t="str">
        <f aca="false">IF(H231="","",IF(SUMPRODUCT(--($C$2:$C$501=H231))&gt;0,"",H231))</f>
        <v/>
      </c>
      <c r="L731" s="0" t="str">
        <f aca="false">IF(K731="","",IF(ISNUMBER('List 2'!A231),'List 2'!A231,TRIM('List 2'!A231)))</f>
        <v/>
      </c>
      <c r="M731" s="0" t="str">
        <f aca="false">IF(K731="","",IF(ISNUMBER('List 2'!C231),'List 2'!C231,TRIM('List 2'!C231)))</f>
        <v/>
      </c>
      <c r="N731" s="0" t="str">
        <f aca="false">IF(K731="","",IF(ISNUMBER('List 2'!D231),'List 2'!D231,TRIM('List 2'!D231)))</f>
        <v/>
      </c>
      <c r="O731" s="0" t="str">
        <f aca="false">IF(K731="","",0)</f>
        <v/>
      </c>
      <c r="P731" s="0" t="str">
        <f aca="false">IF(K731="","",I231)</f>
        <v/>
      </c>
      <c r="Q731" s="0" t="str">
        <f aca="false">IF(K731="","",FALSE())</f>
        <v/>
      </c>
      <c r="R731" s="0" t="str">
        <f aca="false">IF(K731="","",TRUE())</f>
        <v/>
      </c>
      <c r="S731" s="0" t="str">
        <f aca="false">IF(K731="","",IF(AND(Q731,R731),IF(O731=P731,"Match","Qty Different"),IF(Q731,"Only in List 1","Only in List 2")))</f>
        <v/>
      </c>
      <c r="T731" s="0" t="str">
        <f aca="false">IF(K731="","",IF(ISNUMBER(--L731),TEXT(--L731,"000000000000.000"),LOWER(L731)))</f>
        <v/>
      </c>
      <c r="U731" s="0" t="str">
        <f aca="false">IF(K731="","",IF(ISNUMBER(--M731),TEXT(--M731,"000000000000.000"),LOWER(M731)))</f>
        <v/>
      </c>
      <c r="V731" s="0" t="str">
        <f aca="false">IF(K731="","",LOWER(N731))</f>
        <v/>
      </c>
      <c r="W731" s="0" t="str">
        <f aca="false">IF(K731="","",G231)</f>
        <v/>
      </c>
      <c r="X731" s="0" t="str">
        <f aca="false">IF(K731="","",1+SUMPRODUCT(($K$2:$K$1001&lt;&gt;"")*(($T$2:$T$1001&lt;T731)+($T$2:$T$1001=T731)*(($U$2:$U$1001&lt;U731)+($U$2:$U$1001=U731)*(($V$2:$V$1001&lt;V731)+($V$2:$V$1001=V731)*(($W$2:$W$1001&lt;W731)+($W$2:$W$1001=W731)*(ROW($K$2:$K$1001)&lt;ROW(K731))))))))</f>
        <v/>
      </c>
    </row>
    <row r="732" customFormat="false" ht="15" hidden="false" customHeight="false" outlineLevel="0" collapsed="false">
      <c r="K732" s="0" t="str">
        <f aca="false">IF(H232="","",IF(SUMPRODUCT(--($C$2:$C$501=H232))&gt;0,"",H232))</f>
        <v/>
      </c>
      <c r="L732" s="0" t="str">
        <f aca="false">IF(K732="","",IF(ISNUMBER('List 2'!A232),'List 2'!A232,TRIM('List 2'!A232)))</f>
        <v/>
      </c>
      <c r="M732" s="0" t="str">
        <f aca="false">IF(K732="","",IF(ISNUMBER('List 2'!C232),'List 2'!C232,TRIM('List 2'!C232)))</f>
        <v/>
      </c>
      <c r="N732" s="0" t="str">
        <f aca="false">IF(K732="","",IF(ISNUMBER('List 2'!D232),'List 2'!D232,TRIM('List 2'!D232)))</f>
        <v/>
      </c>
      <c r="O732" s="0" t="str">
        <f aca="false">IF(K732="","",0)</f>
        <v/>
      </c>
      <c r="P732" s="0" t="str">
        <f aca="false">IF(K732="","",I232)</f>
        <v/>
      </c>
      <c r="Q732" s="0" t="str">
        <f aca="false">IF(K732="","",FALSE())</f>
        <v/>
      </c>
      <c r="R732" s="0" t="str">
        <f aca="false">IF(K732="","",TRUE())</f>
        <v/>
      </c>
      <c r="S732" s="0" t="str">
        <f aca="false">IF(K732="","",IF(AND(Q732,R732),IF(O732=P732,"Match","Qty Different"),IF(Q732,"Only in List 1","Only in List 2")))</f>
        <v/>
      </c>
      <c r="T732" s="0" t="str">
        <f aca="false">IF(K732="","",IF(ISNUMBER(--L732),TEXT(--L732,"000000000000.000"),LOWER(L732)))</f>
        <v/>
      </c>
      <c r="U732" s="0" t="str">
        <f aca="false">IF(K732="","",IF(ISNUMBER(--M732),TEXT(--M732,"000000000000.000"),LOWER(M732)))</f>
        <v/>
      </c>
      <c r="V732" s="0" t="str">
        <f aca="false">IF(K732="","",LOWER(N732))</f>
        <v/>
      </c>
      <c r="W732" s="0" t="str">
        <f aca="false">IF(K732="","",G232)</f>
        <v/>
      </c>
      <c r="X732" s="0" t="str">
        <f aca="false">IF(K732="","",1+SUMPRODUCT(($K$2:$K$1001&lt;&gt;"")*(($T$2:$T$1001&lt;T732)+($T$2:$T$1001=T732)*(($U$2:$U$1001&lt;U732)+($U$2:$U$1001=U732)*(($V$2:$V$1001&lt;V732)+($V$2:$V$1001=V732)*(($W$2:$W$1001&lt;W732)+($W$2:$W$1001=W732)*(ROW($K$2:$K$1001)&lt;ROW(K732))))))))</f>
        <v/>
      </c>
    </row>
    <row r="733" customFormat="false" ht="15" hidden="false" customHeight="false" outlineLevel="0" collapsed="false">
      <c r="K733" s="0" t="str">
        <f aca="false">IF(H233="","",IF(SUMPRODUCT(--($C$2:$C$501=H233))&gt;0,"",H233))</f>
        <v/>
      </c>
      <c r="L733" s="0" t="str">
        <f aca="false">IF(K733="","",IF(ISNUMBER('List 2'!A233),'List 2'!A233,TRIM('List 2'!A233)))</f>
        <v/>
      </c>
      <c r="M733" s="0" t="str">
        <f aca="false">IF(K733="","",IF(ISNUMBER('List 2'!C233),'List 2'!C233,TRIM('List 2'!C233)))</f>
        <v/>
      </c>
      <c r="N733" s="0" t="str">
        <f aca="false">IF(K733="","",IF(ISNUMBER('List 2'!D233),'List 2'!D233,TRIM('List 2'!D233)))</f>
        <v/>
      </c>
      <c r="O733" s="0" t="str">
        <f aca="false">IF(K733="","",0)</f>
        <v/>
      </c>
      <c r="P733" s="0" t="str">
        <f aca="false">IF(K733="","",I233)</f>
        <v/>
      </c>
      <c r="Q733" s="0" t="str">
        <f aca="false">IF(K733="","",FALSE())</f>
        <v/>
      </c>
      <c r="R733" s="0" t="str">
        <f aca="false">IF(K733="","",TRUE())</f>
        <v/>
      </c>
      <c r="S733" s="0" t="str">
        <f aca="false">IF(K733="","",IF(AND(Q733,R733),IF(O733=P733,"Match","Qty Different"),IF(Q733,"Only in List 1","Only in List 2")))</f>
        <v/>
      </c>
      <c r="T733" s="0" t="str">
        <f aca="false">IF(K733="","",IF(ISNUMBER(--L733),TEXT(--L733,"000000000000.000"),LOWER(L733)))</f>
        <v/>
      </c>
      <c r="U733" s="0" t="str">
        <f aca="false">IF(K733="","",IF(ISNUMBER(--M733),TEXT(--M733,"000000000000.000"),LOWER(M733)))</f>
        <v/>
      </c>
      <c r="V733" s="0" t="str">
        <f aca="false">IF(K733="","",LOWER(N733))</f>
        <v/>
      </c>
      <c r="W733" s="0" t="str">
        <f aca="false">IF(K733="","",G233)</f>
        <v/>
      </c>
      <c r="X733" s="0" t="str">
        <f aca="false">IF(K733="","",1+SUMPRODUCT(($K$2:$K$1001&lt;&gt;"")*(($T$2:$T$1001&lt;T733)+($T$2:$T$1001=T733)*(($U$2:$U$1001&lt;U733)+($U$2:$U$1001=U733)*(($V$2:$V$1001&lt;V733)+($V$2:$V$1001=V733)*(($W$2:$W$1001&lt;W733)+($W$2:$W$1001=W733)*(ROW($K$2:$K$1001)&lt;ROW(K733))))))))</f>
        <v/>
      </c>
    </row>
    <row r="734" customFormat="false" ht="15" hidden="false" customHeight="false" outlineLevel="0" collapsed="false">
      <c r="K734" s="0" t="str">
        <f aca="false">IF(H234="","",IF(SUMPRODUCT(--($C$2:$C$501=H234))&gt;0,"",H234))</f>
        <v/>
      </c>
      <c r="L734" s="0" t="str">
        <f aca="false">IF(K734="","",IF(ISNUMBER('List 2'!A234),'List 2'!A234,TRIM('List 2'!A234)))</f>
        <v/>
      </c>
      <c r="M734" s="0" t="str">
        <f aca="false">IF(K734="","",IF(ISNUMBER('List 2'!C234),'List 2'!C234,TRIM('List 2'!C234)))</f>
        <v/>
      </c>
      <c r="N734" s="0" t="str">
        <f aca="false">IF(K734="","",IF(ISNUMBER('List 2'!D234),'List 2'!D234,TRIM('List 2'!D234)))</f>
        <v/>
      </c>
      <c r="O734" s="0" t="str">
        <f aca="false">IF(K734="","",0)</f>
        <v/>
      </c>
      <c r="P734" s="0" t="str">
        <f aca="false">IF(K734="","",I234)</f>
        <v/>
      </c>
      <c r="Q734" s="0" t="str">
        <f aca="false">IF(K734="","",FALSE())</f>
        <v/>
      </c>
      <c r="R734" s="0" t="str">
        <f aca="false">IF(K734="","",TRUE())</f>
        <v/>
      </c>
      <c r="S734" s="0" t="str">
        <f aca="false">IF(K734="","",IF(AND(Q734,R734),IF(O734=P734,"Match","Qty Different"),IF(Q734,"Only in List 1","Only in List 2")))</f>
        <v/>
      </c>
      <c r="T734" s="0" t="str">
        <f aca="false">IF(K734="","",IF(ISNUMBER(--L734),TEXT(--L734,"000000000000.000"),LOWER(L734)))</f>
        <v/>
      </c>
      <c r="U734" s="0" t="str">
        <f aca="false">IF(K734="","",IF(ISNUMBER(--M734),TEXT(--M734,"000000000000.000"),LOWER(M734)))</f>
        <v/>
      </c>
      <c r="V734" s="0" t="str">
        <f aca="false">IF(K734="","",LOWER(N734))</f>
        <v/>
      </c>
      <c r="W734" s="0" t="str">
        <f aca="false">IF(K734="","",G234)</f>
        <v/>
      </c>
      <c r="X734" s="0" t="str">
        <f aca="false">IF(K734="","",1+SUMPRODUCT(($K$2:$K$1001&lt;&gt;"")*(($T$2:$T$1001&lt;T734)+($T$2:$T$1001=T734)*(($U$2:$U$1001&lt;U734)+($U$2:$U$1001=U734)*(($V$2:$V$1001&lt;V734)+($V$2:$V$1001=V734)*(($W$2:$W$1001&lt;W734)+($W$2:$W$1001=W734)*(ROW($K$2:$K$1001)&lt;ROW(K734))))))))</f>
        <v/>
      </c>
    </row>
    <row r="735" customFormat="false" ht="15" hidden="false" customHeight="false" outlineLevel="0" collapsed="false">
      <c r="K735" s="0" t="str">
        <f aca="false">IF(H235="","",IF(SUMPRODUCT(--($C$2:$C$501=H235))&gt;0,"",H235))</f>
        <v/>
      </c>
      <c r="L735" s="0" t="str">
        <f aca="false">IF(K735="","",IF(ISNUMBER('List 2'!A235),'List 2'!A235,TRIM('List 2'!A235)))</f>
        <v/>
      </c>
      <c r="M735" s="0" t="str">
        <f aca="false">IF(K735="","",IF(ISNUMBER('List 2'!C235),'List 2'!C235,TRIM('List 2'!C235)))</f>
        <v/>
      </c>
      <c r="N735" s="0" t="str">
        <f aca="false">IF(K735="","",IF(ISNUMBER('List 2'!D235),'List 2'!D235,TRIM('List 2'!D235)))</f>
        <v/>
      </c>
      <c r="O735" s="0" t="str">
        <f aca="false">IF(K735="","",0)</f>
        <v/>
      </c>
      <c r="P735" s="0" t="str">
        <f aca="false">IF(K735="","",I235)</f>
        <v/>
      </c>
      <c r="Q735" s="0" t="str">
        <f aca="false">IF(K735="","",FALSE())</f>
        <v/>
      </c>
      <c r="R735" s="0" t="str">
        <f aca="false">IF(K735="","",TRUE())</f>
        <v/>
      </c>
      <c r="S735" s="0" t="str">
        <f aca="false">IF(K735="","",IF(AND(Q735,R735),IF(O735=P735,"Match","Qty Different"),IF(Q735,"Only in List 1","Only in List 2")))</f>
        <v/>
      </c>
      <c r="T735" s="0" t="str">
        <f aca="false">IF(K735="","",IF(ISNUMBER(--L735),TEXT(--L735,"000000000000.000"),LOWER(L735)))</f>
        <v/>
      </c>
      <c r="U735" s="0" t="str">
        <f aca="false">IF(K735="","",IF(ISNUMBER(--M735),TEXT(--M735,"000000000000.000"),LOWER(M735)))</f>
        <v/>
      </c>
      <c r="V735" s="0" t="str">
        <f aca="false">IF(K735="","",LOWER(N735))</f>
        <v/>
      </c>
      <c r="W735" s="0" t="str">
        <f aca="false">IF(K735="","",G235)</f>
        <v/>
      </c>
      <c r="X735" s="0" t="str">
        <f aca="false">IF(K735="","",1+SUMPRODUCT(($K$2:$K$1001&lt;&gt;"")*(($T$2:$T$1001&lt;T735)+($T$2:$T$1001=T735)*(($U$2:$U$1001&lt;U735)+($U$2:$U$1001=U735)*(($V$2:$V$1001&lt;V735)+($V$2:$V$1001=V735)*(($W$2:$W$1001&lt;W735)+($W$2:$W$1001=W735)*(ROW($K$2:$K$1001)&lt;ROW(K735))))))))</f>
        <v/>
      </c>
    </row>
    <row r="736" customFormat="false" ht="15" hidden="false" customHeight="false" outlineLevel="0" collapsed="false">
      <c r="K736" s="0" t="str">
        <f aca="false">IF(H236="","",IF(SUMPRODUCT(--($C$2:$C$501=H236))&gt;0,"",H236))</f>
        <v/>
      </c>
      <c r="L736" s="0" t="str">
        <f aca="false">IF(K736="","",IF(ISNUMBER('List 2'!A236),'List 2'!A236,TRIM('List 2'!A236)))</f>
        <v/>
      </c>
      <c r="M736" s="0" t="str">
        <f aca="false">IF(K736="","",IF(ISNUMBER('List 2'!C236),'List 2'!C236,TRIM('List 2'!C236)))</f>
        <v/>
      </c>
      <c r="N736" s="0" t="str">
        <f aca="false">IF(K736="","",IF(ISNUMBER('List 2'!D236),'List 2'!D236,TRIM('List 2'!D236)))</f>
        <v/>
      </c>
      <c r="O736" s="0" t="str">
        <f aca="false">IF(K736="","",0)</f>
        <v/>
      </c>
      <c r="P736" s="0" t="str">
        <f aca="false">IF(K736="","",I236)</f>
        <v/>
      </c>
      <c r="Q736" s="0" t="str">
        <f aca="false">IF(K736="","",FALSE())</f>
        <v/>
      </c>
      <c r="R736" s="0" t="str">
        <f aca="false">IF(K736="","",TRUE())</f>
        <v/>
      </c>
      <c r="S736" s="0" t="str">
        <f aca="false">IF(K736="","",IF(AND(Q736,R736),IF(O736=P736,"Match","Qty Different"),IF(Q736,"Only in List 1","Only in List 2")))</f>
        <v/>
      </c>
      <c r="T736" s="0" t="str">
        <f aca="false">IF(K736="","",IF(ISNUMBER(--L736),TEXT(--L736,"000000000000.000"),LOWER(L736)))</f>
        <v/>
      </c>
      <c r="U736" s="0" t="str">
        <f aca="false">IF(K736="","",IF(ISNUMBER(--M736),TEXT(--M736,"000000000000.000"),LOWER(M736)))</f>
        <v/>
      </c>
      <c r="V736" s="0" t="str">
        <f aca="false">IF(K736="","",LOWER(N736))</f>
        <v/>
      </c>
      <c r="W736" s="0" t="str">
        <f aca="false">IF(K736="","",G236)</f>
        <v/>
      </c>
      <c r="X736" s="0" t="str">
        <f aca="false">IF(K736="","",1+SUMPRODUCT(($K$2:$K$1001&lt;&gt;"")*(($T$2:$T$1001&lt;T736)+($T$2:$T$1001=T736)*(($U$2:$U$1001&lt;U736)+($U$2:$U$1001=U736)*(($V$2:$V$1001&lt;V736)+($V$2:$V$1001=V736)*(($W$2:$W$1001&lt;W736)+($W$2:$W$1001=W736)*(ROW($K$2:$K$1001)&lt;ROW(K736))))))))</f>
        <v/>
      </c>
    </row>
    <row r="737" customFormat="false" ht="15" hidden="false" customHeight="false" outlineLevel="0" collapsed="false">
      <c r="K737" s="0" t="str">
        <f aca="false">IF(H237="","",IF(SUMPRODUCT(--($C$2:$C$501=H237))&gt;0,"",H237))</f>
        <v/>
      </c>
      <c r="L737" s="0" t="str">
        <f aca="false">IF(K737="","",IF(ISNUMBER('List 2'!A237),'List 2'!A237,TRIM('List 2'!A237)))</f>
        <v/>
      </c>
      <c r="M737" s="0" t="str">
        <f aca="false">IF(K737="","",IF(ISNUMBER('List 2'!C237),'List 2'!C237,TRIM('List 2'!C237)))</f>
        <v/>
      </c>
      <c r="N737" s="0" t="str">
        <f aca="false">IF(K737="","",IF(ISNUMBER('List 2'!D237),'List 2'!D237,TRIM('List 2'!D237)))</f>
        <v/>
      </c>
      <c r="O737" s="0" t="str">
        <f aca="false">IF(K737="","",0)</f>
        <v/>
      </c>
      <c r="P737" s="0" t="str">
        <f aca="false">IF(K737="","",I237)</f>
        <v/>
      </c>
      <c r="Q737" s="0" t="str">
        <f aca="false">IF(K737="","",FALSE())</f>
        <v/>
      </c>
      <c r="R737" s="0" t="str">
        <f aca="false">IF(K737="","",TRUE())</f>
        <v/>
      </c>
      <c r="S737" s="0" t="str">
        <f aca="false">IF(K737="","",IF(AND(Q737,R737),IF(O737=P737,"Match","Qty Different"),IF(Q737,"Only in List 1","Only in List 2")))</f>
        <v/>
      </c>
      <c r="T737" s="0" t="str">
        <f aca="false">IF(K737="","",IF(ISNUMBER(--L737),TEXT(--L737,"000000000000.000"),LOWER(L737)))</f>
        <v/>
      </c>
      <c r="U737" s="0" t="str">
        <f aca="false">IF(K737="","",IF(ISNUMBER(--M737),TEXT(--M737,"000000000000.000"),LOWER(M737)))</f>
        <v/>
      </c>
      <c r="V737" s="0" t="str">
        <f aca="false">IF(K737="","",LOWER(N737))</f>
        <v/>
      </c>
      <c r="W737" s="0" t="str">
        <f aca="false">IF(K737="","",G237)</f>
        <v/>
      </c>
      <c r="X737" s="0" t="str">
        <f aca="false">IF(K737="","",1+SUMPRODUCT(($K$2:$K$1001&lt;&gt;"")*(($T$2:$T$1001&lt;T737)+($T$2:$T$1001=T737)*(($U$2:$U$1001&lt;U737)+($U$2:$U$1001=U737)*(($V$2:$V$1001&lt;V737)+($V$2:$V$1001=V737)*(($W$2:$W$1001&lt;W737)+($W$2:$W$1001=W737)*(ROW($K$2:$K$1001)&lt;ROW(K737))))))))</f>
        <v/>
      </c>
    </row>
    <row r="738" customFormat="false" ht="15" hidden="false" customHeight="false" outlineLevel="0" collapsed="false">
      <c r="K738" s="0" t="str">
        <f aca="false">IF(H238="","",IF(SUMPRODUCT(--($C$2:$C$501=H238))&gt;0,"",H238))</f>
        <v/>
      </c>
      <c r="L738" s="0" t="str">
        <f aca="false">IF(K738="","",IF(ISNUMBER('List 2'!A238),'List 2'!A238,TRIM('List 2'!A238)))</f>
        <v/>
      </c>
      <c r="M738" s="0" t="str">
        <f aca="false">IF(K738="","",IF(ISNUMBER('List 2'!C238),'List 2'!C238,TRIM('List 2'!C238)))</f>
        <v/>
      </c>
      <c r="N738" s="0" t="str">
        <f aca="false">IF(K738="","",IF(ISNUMBER('List 2'!D238),'List 2'!D238,TRIM('List 2'!D238)))</f>
        <v/>
      </c>
      <c r="O738" s="0" t="str">
        <f aca="false">IF(K738="","",0)</f>
        <v/>
      </c>
      <c r="P738" s="0" t="str">
        <f aca="false">IF(K738="","",I238)</f>
        <v/>
      </c>
      <c r="Q738" s="0" t="str">
        <f aca="false">IF(K738="","",FALSE())</f>
        <v/>
      </c>
      <c r="R738" s="0" t="str">
        <f aca="false">IF(K738="","",TRUE())</f>
        <v/>
      </c>
      <c r="S738" s="0" t="str">
        <f aca="false">IF(K738="","",IF(AND(Q738,R738),IF(O738=P738,"Match","Qty Different"),IF(Q738,"Only in List 1","Only in List 2")))</f>
        <v/>
      </c>
      <c r="T738" s="0" t="str">
        <f aca="false">IF(K738="","",IF(ISNUMBER(--L738),TEXT(--L738,"000000000000.000"),LOWER(L738)))</f>
        <v/>
      </c>
      <c r="U738" s="0" t="str">
        <f aca="false">IF(K738="","",IF(ISNUMBER(--M738),TEXT(--M738,"000000000000.000"),LOWER(M738)))</f>
        <v/>
      </c>
      <c r="V738" s="0" t="str">
        <f aca="false">IF(K738="","",LOWER(N738))</f>
        <v/>
      </c>
      <c r="W738" s="0" t="str">
        <f aca="false">IF(K738="","",G238)</f>
        <v/>
      </c>
      <c r="X738" s="0" t="str">
        <f aca="false">IF(K738="","",1+SUMPRODUCT(($K$2:$K$1001&lt;&gt;"")*(($T$2:$T$1001&lt;T738)+($T$2:$T$1001=T738)*(($U$2:$U$1001&lt;U738)+($U$2:$U$1001=U738)*(($V$2:$V$1001&lt;V738)+($V$2:$V$1001=V738)*(($W$2:$W$1001&lt;W738)+($W$2:$W$1001=W738)*(ROW($K$2:$K$1001)&lt;ROW(K738))))))))</f>
        <v/>
      </c>
    </row>
    <row r="739" customFormat="false" ht="15" hidden="false" customHeight="false" outlineLevel="0" collapsed="false">
      <c r="K739" s="0" t="str">
        <f aca="false">IF(H239="","",IF(SUMPRODUCT(--($C$2:$C$501=H239))&gt;0,"",H239))</f>
        <v/>
      </c>
      <c r="L739" s="0" t="str">
        <f aca="false">IF(K739="","",IF(ISNUMBER('List 2'!A239),'List 2'!A239,TRIM('List 2'!A239)))</f>
        <v/>
      </c>
      <c r="M739" s="0" t="str">
        <f aca="false">IF(K739="","",IF(ISNUMBER('List 2'!C239),'List 2'!C239,TRIM('List 2'!C239)))</f>
        <v/>
      </c>
      <c r="N739" s="0" t="str">
        <f aca="false">IF(K739="","",IF(ISNUMBER('List 2'!D239),'List 2'!D239,TRIM('List 2'!D239)))</f>
        <v/>
      </c>
      <c r="O739" s="0" t="str">
        <f aca="false">IF(K739="","",0)</f>
        <v/>
      </c>
      <c r="P739" s="0" t="str">
        <f aca="false">IF(K739="","",I239)</f>
        <v/>
      </c>
      <c r="Q739" s="0" t="str">
        <f aca="false">IF(K739="","",FALSE())</f>
        <v/>
      </c>
      <c r="R739" s="0" t="str">
        <f aca="false">IF(K739="","",TRUE())</f>
        <v/>
      </c>
      <c r="S739" s="0" t="str">
        <f aca="false">IF(K739="","",IF(AND(Q739,R739),IF(O739=P739,"Match","Qty Different"),IF(Q739,"Only in List 1","Only in List 2")))</f>
        <v/>
      </c>
      <c r="T739" s="0" t="str">
        <f aca="false">IF(K739="","",IF(ISNUMBER(--L739),TEXT(--L739,"000000000000.000"),LOWER(L739)))</f>
        <v/>
      </c>
      <c r="U739" s="0" t="str">
        <f aca="false">IF(K739="","",IF(ISNUMBER(--M739),TEXT(--M739,"000000000000.000"),LOWER(M739)))</f>
        <v/>
      </c>
      <c r="V739" s="0" t="str">
        <f aca="false">IF(K739="","",LOWER(N739))</f>
        <v/>
      </c>
      <c r="W739" s="0" t="str">
        <f aca="false">IF(K739="","",G239)</f>
        <v/>
      </c>
      <c r="X739" s="0" t="str">
        <f aca="false">IF(K739="","",1+SUMPRODUCT(($K$2:$K$1001&lt;&gt;"")*(($T$2:$T$1001&lt;T739)+($T$2:$T$1001=T739)*(($U$2:$U$1001&lt;U739)+($U$2:$U$1001=U739)*(($V$2:$V$1001&lt;V739)+($V$2:$V$1001=V739)*(($W$2:$W$1001&lt;W739)+($W$2:$W$1001=W739)*(ROW($K$2:$K$1001)&lt;ROW(K739))))))))</f>
        <v/>
      </c>
    </row>
    <row r="740" customFormat="false" ht="15" hidden="false" customHeight="false" outlineLevel="0" collapsed="false">
      <c r="K740" s="0" t="str">
        <f aca="false">IF(H240="","",IF(SUMPRODUCT(--($C$2:$C$501=H240))&gt;0,"",H240))</f>
        <v/>
      </c>
      <c r="L740" s="0" t="str">
        <f aca="false">IF(K740="","",IF(ISNUMBER('List 2'!A240),'List 2'!A240,TRIM('List 2'!A240)))</f>
        <v/>
      </c>
      <c r="M740" s="0" t="str">
        <f aca="false">IF(K740="","",IF(ISNUMBER('List 2'!C240),'List 2'!C240,TRIM('List 2'!C240)))</f>
        <v/>
      </c>
      <c r="N740" s="0" t="str">
        <f aca="false">IF(K740="","",IF(ISNUMBER('List 2'!D240),'List 2'!D240,TRIM('List 2'!D240)))</f>
        <v/>
      </c>
      <c r="O740" s="0" t="str">
        <f aca="false">IF(K740="","",0)</f>
        <v/>
      </c>
      <c r="P740" s="0" t="str">
        <f aca="false">IF(K740="","",I240)</f>
        <v/>
      </c>
      <c r="Q740" s="0" t="str">
        <f aca="false">IF(K740="","",FALSE())</f>
        <v/>
      </c>
      <c r="R740" s="0" t="str">
        <f aca="false">IF(K740="","",TRUE())</f>
        <v/>
      </c>
      <c r="S740" s="0" t="str">
        <f aca="false">IF(K740="","",IF(AND(Q740,R740),IF(O740=P740,"Match","Qty Different"),IF(Q740,"Only in List 1","Only in List 2")))</f>
        <v/>
      </c>
      <c r="T740" s="0" t="str">
        <f aca="false">IF(K740="","",IF(ISNUMBER(--L740),TEXT(--L740,"000000000000.000"),LOWER(L740)))</f>
        <v/>
      </c>
      <c r="U740" s="0" t="str">
        <f aca="false">IF(K740="","",IF(ISNUMBER(--M740),TEXT(--M740,"000000000000.000"),LOWER(M740)))</f>
        <v/>
      </c>
      <c r="V740" s="0" t="str">
        <f aca="false">IF(K740="","",LOWER(N740))</f>
        <v/>
      </c>
      <c r="W740" s="0" t="str">
        <f aca="false">IF(K740="","",G240)</f>
        <v/>
      </c>
      <c r="X740" s="0" t="str">
        <f aca="false">IF(K740="","",1+SUMPRODUCT(($K$2:$K$1001&lt;&gt;"")*(($T$2:$T$1001&lt;T740)+($T$2:$T$1001=T740)*(($U$2:$U$1001&lt;U740)+($U$2:$U$1001=U740)*(($V$2:$V$1001&lt;V740)+($V$2:$V$1001=V740)*(($W$2:$W$1001&lt;W740)+($W$2:$W$1001=W740)*(ROW($K$2:$K$1001)&lt;ROW(K740))))))))</f>
        <v/>
      </c>
    </row>
    <row r="741" customFormat="false" ht="15" hidden="false" customHeight="false" outlineLevel="0" collapsed="false">
      <c r="K741" s="0" t="str">
        <f aca="false">IF(H241="","",IF(SUMPRODUCT(--($C$2:$C$501=H241))&gt;0,"",H241))</f>
        <v/>
      </c>
      <c r="L741" s="0" t="str">
        <f aca="false">IF(K741="","",IF(ISNUMBER('List 2'!A241),'List 2'!A241,TRIM('List 2'!A241)))</f>
        <v/>
      </c>
      <c r="M741" s="0" t="str">
        <f aca="false">IF(K741="","",IF(ISNUMBER('List 2'!C241),'List 2'!C241,TRIM('List 2'!C241)))</f>
        <v/>
      </c>
      <c r="N741" s="0" t="str">
        <f aca="false">IF(K741="","",IF(ISNUMBER('List 2'!D241),'List 2'!D241,TRIM('List 2'!D241)))</f>
        <v/>
      </c>
      <c r="O741" s="0" t="str">
        <f aca="false">IF(K741="","",0)</f>
        <v/>
      </c>
      <c r="P741" s="0" t="str">
        <f aca="false">IF(K741="","",I241)</f>
        <v/>
      </c>
      <c r="Q741" s="0" t="str">
        <f aca="false">IF(K741="","",FALSE())</f>
        <v/>
      </c>
      <c r="R741" s="0" t="str">
        <f aca="false">IF(K741="","",TRUE())</f>
        <v/>
      </c>
      <c r="S741" s="0" t="str">
        <f aca="false">IF(K741="","",IF(AND(Q741,R741),IF(O741=P741,"Match","Qty Different"),IF(Q741,"Only in List 1","Only in List 2")))</f>
        <v/>
      </c>
      <c r="T741" s="0" t="str">
        <f aca="false">IF(K741="","",IF(ISNUMBER(--L741),TEXT(--L741,"000000000000.000"),LOWER(L741)))</f>
        <v/>
      </c>
      <c r="U741" s="0" t="str">
        <f aca="false">IF(K741="","",IF(ISNUMBER(--M741),TEXT(--M741,"000000000000.000"),LOWER(M741)))</f>
        <v/>
      </c>
      <c r="V741" s="0" t="str">
        <f aca="false">IF(K741="","",LOWER(N741))</f>
        <v/>
      </c>
      <c r="W741" s="0" t="str">
        <f aca="false">IF(K741="","",G241)</f>
        <v/>
      </c>
      <c r="X741" s="0" t="str">
        <f aca="false">IF(K741="","",1+SUMPRODUCT(($K$2:$K$1001&lt;&gt;"")*(($T$2:$T$1001&lt;T741)+($T$2:$T$1001=T741)*(($U$2:$U$1001&lt;U741)+($U$2:$U$1001=U741)*(($V$2:$V$1001&lt;V741)+($V$2:$V$1001=V741)*(($W$2:$W$1001&lt;W741)+($W$2:$W$1001=W741)*(ROW($K$2:$K$1001)&lt;ROW(K741))))))))</f>
        <v/>
      </c>
    </row>
    <row r="742" customFormat="false" ht="15" hidden="false" customHeight="false" outlineLevel="0" collapsed="false">
      <c r="K742" s="0" t="str">
        <f aca="false">IF(H242="","",IF(SUMPRODUCT(--($C$2:$C$501=H242))&gt;0,"",H242))</f>
        <v/>
      </c>
      <c r="L742" s="0" t="str">
        <f aca="false">IF(K742="","",IF(ISNUMBER('List 2'!A242),'List 2'!A242,TRIM('List 2'!A242)))</f>
        <v/>
      </c>
      <c r="M742" s="0" t="str">
        <f aca="false">IF(K742="","",IF(ISNUMBER('List 2'!C242),'List 2'!C242,TRIM('List 2'!C242)))</f>
        <v/>
      </c>
      <c r="N742" s="0" t="str">
        <f aca="false">IF(K742="","",IF(ISNUMBER('List 2'!D242),'List 2'!D242,TRIM('List 2'!D242)))</f>
        <v/>
      </c>
      <c r="O742" s="0" t="str">
        <f aca="false">IF(K742="","",0)</f>
        <v/>
      </c>
      <c r="P742" s="0" t="str">
        <f aca="false">IF(K742="","",I242)</f>
        <v/>
      </c>
      <c r="Q742" s="0" t="str">
        <f aca="false">IF(K742="","",FALSE())</f>
        <v/>
      </c>
      <c r="R742" s="0" t="str">
        <f aca="false">IF(K742="","",TRUE())</f>
        <v/>
      </c>
      <c r="S742" s="0" t="str">
        <f aca="false">IF(K742="","",IF(AND(Q742,R742),IF(O742=P742,"Match","Qty Different"),IF(Q742,"Only in List 1","Only in List 2")))</f>
        <v/>
      </c>
      <c r="T742" s="0" t="str">
        <f aca="false">IF(K742="","",IF(ISNUMBER(--L742),TEXT(--L742,"000000000000.000"),LOWER(L742)))</f>
        <v/>
      </c>
      <c r="U742" s="0" t="str">
        <f aca="false">IF(K742="","",IF(ISNUMBER(--M742),TEXT(--M742,"000000000000.000"),LOWER(M742)))</f>
        <v/>
      </c>
      <c r="V742" s="0" t="str">
        <f aca="false">IF(K742="","",LOWER(N742))</f>
        <v/>
      </c>
      <c r="W742" s="0" t="str">
        <f aca="false">IF(K742="","",G242)</f>
        <v/>
      </c>
      <c r="X742" s="0" t="str">
        <f aca="false">IF(K742="","",1+SUMPRODUCT(($K$2:$K$1001&lt;&gt;"")*(($T$2:$T$1001&lt;T742)+($T$2:$T$1001=T742)*(($U$2:$U$1001&lt;U742)+($U$2:$U$1001=U742)*(($V$2:$V$1001&lt;V742)+($V$2:$V$1001=V742)*(($W$2:$W$1001&lt;W742)+($W$2:$W$1001=W742)*(ROW($K$2:$K$1001)&lt;ROW(K742))))))))</f>
        <v/>
      </c>
    </row>
    <row r="743" customFormat="false" ht="15" hidden="false" customHeight="false" outlineLevel="0" collapsed="false">
      <c r="K743" s="0" t="str">
        <f aca="false">IF(H243="","",IF(SUMPRODUCT(--($C$2:$C$501=H243))&gt;0,"",H243))</f>
        <v/>
      </c>
      <c r="L743" s="0" t="str">
        <f aca="false">IF(K743="","",IF(ISNUMBER('List 2'!A243),'List 2'!A243,TRIM('List 2'!A243)))</f>
        <v/>
      </c>
      <c r="M743" s="0" t="str">
        <f aca="false">IF(K743="","",IF(ISNUMBER('List 2'!C243),'List 2'!C243,TRIM('List 2'!C243)))</f>
        <v/>
      </c>
      <c r="N743" s="0" t="str">
        <f aca="false">IF(K743="","",IF(ISNUMBER('List 2'!D243),'List 2'!D243,TRIM('List 2'!D243)))</f>
        <v/>
      </c>
      <c r="O743" s="0" t="str">
        <f aca="false">IF(K743="","",0)</f>
        <v/>
      </c>
      <c r="P743" s="0" t="str">
        <f aca="false">IF(K743="","",I243)</f>
        <v/>
      </c>
      <c r="Q743" s="0" t="str">
        <f aca="false">IF(K743="","",FALSE())</f>
        <v/>
      </c>
      <c r="R743" s="0" t="str">
        <f aca="false">IF(K743="","",TRUE())</f>
        <v/>
      </c>
      <c r="S743" s="0" t="str">
        <f aca="false">IF(K743="","",IF(AND(Q743,R743),IF(O743=P743,"Match","Qty Different"),IF(Q743,"Only in List 1","Only in List 2")))</f>
        <v/>
      </c>
      <c r="T743" s="0" t="str">
        <f aca="false">IF(K743="","",IF(ISNUMBER(--L743),TEXT(--L743,"000000000000.000"),LOWER(L743)))</f>
        <v/>
      </c>
      <c r="U743" s="0" t="str">
        <f aca="false">IF(K743="","",IF(ISNUMBER(--M743),TEXT(--M743,"000000000000.000"),LOWER(M743)))</f>
        <v/>
      </c>
      <c r="V743" s="0" t="str">
        <f aca="false">IF(K743="","",LOWER(N743))</f>
        <v/>
      </c>
      <c r="W743" s="0" t="str">
        <f aca="false">IF(K743="","",G243)</f>
        <v/>
      </c>
      <c r="X743" s="0" t="str">
        <f aca="false">IF(K743="","",1+SUMPRODUCT(($K$2:$K$1001&lt;&gt;"")*(($T$2:$T$1001&lt;T743)+($T$2:$T$1001=T743)*(($U$2:$U$1001&lt;U743)+($U$2:$U$1001=U743)*(($V$2:$V$1001&lt;V743)+($V$2:$V$1001=V743)*(($W$2:$W$1001&lt;W743)+($W$2:$W$1001=W743)*(ROW($K$2:$K$1001)&lt;ROW(K743))))))))</f>
        <v/>
      </c>
    </row>
    <row r="744" customFormat="false" ht="15" hidden="false" customHeight="false" outlineLevel="0" collapsed="false">
      <c r="K744" s="0" t="str">
        <f aca="false">IF(H244="","",IF(SUMPRODUCT(--($C$2:$C$501=H244))&gt;0,"",H244))</f>
        <v/>
      </c>
      <c r="L744" s="0" t="str">
        <f aca="false">IF(K744="","",IF(ISNUMBER('List 2'!A244),'List 2'!A244,TRIM('List 2'!A244)))</f>
        <v/>
      </c>
      <c r="M744" s="0" t="str">
        <f aca="false">IF(K744="","",IF(ISNUMBER('List 2'!C244),'List 2'!C244,TRIM('List 2'!C244)))</f>
        <v/>
      </c>
      <c r="N744" s="0" t="str">
        <f aca="false">IF(K744="","",IF(ISNUMBER('List 2'!D244),'List 2'!D244,TRIM('List 2'!D244)))</f>
        <v/>
      </c>
      <c r="O744" s="0" t="str">
        <f aca="false">IF(K744="","",0)</f>
        <v/>
      </c>
      <c r="P744" s="0" t="str">
        <f aca="false">IF(K744="","",I244)</f>
        <v/>
      </c>
      <c r="Q744" s="0" t="str">
        <f aca="false">IF(K744="","",FALSE())</f>
        <v/>
      </c>
      <c r="R744" s="0" t="str">
        <f aca="false">IF(K744="","",TRUE())</f>
        <v/>
      </c>
      <c r="S744" s="0" t="str">
        <f aca="false">IF(K744="","",IF(AND(Q744,R744),IF(O744=P744,"Match","Qty Different"),IF(Q744,"Only in List 1","Only in List 2")))</f>
        <v/>
      </c>
      <c r="T744" s="0" t="str">
        <f aca="false">IF(K744="","",IF(ISNUMBER(--L744),TEXT(--L744,"000000000000.000"),LOWER(L744)))</f>
        <v/>
      </c>
      <c r="U744" s="0" t="str">
        <f aca="false">IF(K744="","",IF(ISNUMBER(--M744),TEXT(--M744,"000000000000.000"),LOWER(M744)))</f>
        <v/>
      </c>
      <c r="V744" s="0" t="str">
        <f aca="false">IF(K744="","",LOWER(N744))</f>
        <v/>
      </c>
      <c r="W744" s="0" t="str">
        <f aca="false">IF(K744="","",G244)</f>
        <v/>
      </c>
      <c r="X744" s="0" t="str">
        <f aca="false">IF(K744="","",1+SUMPRODUCT(($K$2:$K$1001&lt;&gt;"")*(($T$2:$T$1001&lt;T744)+($T$2:$T$1001=T744)*(($U$2:$U$1001&lt;U744)+($U$2:$U$1001=U744)*(($V$2:$V$1001&lt;V744)+($V$2:$V$1001=V744)*(($W$2:$W$1001&lt;W744)+($W$2:$W$1001=W744)*(ROW($K$2:$K$1001)&lt;ROW(K744))))))))</f>
        <v/>
      </c>
    </row>
    <row r="745" customFormat="false" ht="15" hidden="false" customHeight="false" outlineLevel="0" collapsed="false">
      <c r="K745" s="0" t="str">
        <f aca="false">IF(H245="","",IF(SUMPRODUCT(--($C$2:$C$501=H245))&gt;0,"",H245))</f>
        <v/>
      </c>
      <c r="L745" s="0" t="str">
        <f aca="false">IF(K745="","",IF(ISNUMBER('List 2'!A245),'List 2'!A245,TRIM('List 2'!A245)))</f>
        <v/>
      </c>
      <c r="M745" s="0" t="str">
        <f aca="false">IF(K745="","",IF(ISNUMBER('List 2'!C245),'List 2'!C245,TRIM('List 2'!C245)))</f>
        <v/>
      </c>
      <c r="N745" s="0" t="str">
        <f aca="false">IF(K745="","",IF(ISNUMBER('List 2'!D245),'List 2'!D245,TRIM('List 2'!D245)))</f>
        <v/>
      </c>
      <c r="O745" s="0" t="str">
        <f aca="false">IF(K745="","",0)</f>
        <v/>
      </c>
      <c r="P745" s="0" t="str">
        <f aca="false">IF(K745="","",I245)</f>
        <v/>
      </c>
      <c r="Q745" s="0" t="str">
        <f aca="false">IF(K745="","",FALSE())</f>
        <v/>
      </c>
      <c r="R745" s="0" t="str">
        <f aca="false">IF(K745="","",TRUE())</f>
        <v/>
      </c>
      <c r="S745" s="0" t="str">
        <f aca="false">IF(K745="","",IF(AND(Q745,R745),IF(O745=P745,"Match","Qty Different"),IF(Q745,"Only in List 1","Only in List 2")))</f>
        <v/>
      </c>
      <c r="T745" s="0" t="str">
        <f aca="false">IF(K745="","",IF(ISNUMBER(--L745),TEXT(--L745,"000000000000.000"),LOWER(L745)))</f>
        <v/>
      </c>
      <c r="U745" s="0" t="str">
        <f aca="false">IF(K745="","",IF(ISNUMBER(--M745),TEXT(--M745,"000000000000.000"),LOWER(M745)))</f>
        <v/>
      </c>
      <c r="V745" s="0" t="str">
        <f aca="false">IF(K745="","",LOWER(N745))</f>
        <v/>
      </c>
      <c r="W745" s="0" t="str">
        <f aca="false">IF(K745="","",G245)</f>
        <v/>
      </c>
      <c r="X745" s="0" t="str">
        <f aca="false">IF(K745="","",1+SUMPRODUCT(($K$2:$K$1001&lt;&gt;"")*(($T$2:$T$1001&lt;T745)+($T$2:$T$1001=T745)*(($U$2:$U$1001&lt;U745)+($U$2:$U$1001=U745)*(($V$2:$V$1001&lt;V745)+($V$2:$V$1001=V745)*(($W$2:$W$1001&lt;W745)+($W$2:$W$1001=W745)*(ROW($K$2:$K$1001)&lt;ROW(K745))))))))</f>
        <v/>
      </c>
    </row>
    <row r="746" customFormat="false" ht="15" hidden="false" customHeight="false" outlineLevel="0" collapsed="false">
      <c r="K746" s="0" t="str">
        <f aca="false">IF(H246="","",IF(SUMPRODUCT(--($C$2:$C$501=H246))&gt;0,"",H246))</f>
        <v/>
      </c>
      <c r="L746" s="0" t="str">
        <f aca="false">IF(K746="","",IF(ISNUMBER('List 2'!A246),'List 2'!A246,TRIM('List 2'!A246)))</f>
        <v/>
      </c>
      <c r="M746" s="0" t="str">
        <f aca="false">IF(K746="","",IF(ISNUMBER('List 2'!C246),'List 2'!C246,TRIM('List 2'!C246)))</f>
        <v/>
      </c>
      <c r="N746" s="0" t="str">
        <f aca="false">IF(K746="","",IF(ISNUMBER('List 2'!D246),'List 2'!D246,TRIM('List 2'!D246)))</f>
        <v/>
      </c>
      <c r="O746" s="0" t="str">
        <f aca="false">IF(K746="","",0)</f>
        <v/>
      </c>
      <c r="P746" s="0" t="str">
        <f aca="false">IF(K746="","",I246)</f>
        <v/>
      </c>
      <c r="Q746" s="0" t="str">
        <f aca="false">IF(K746="","",FALSE())</f>
        <v/>
      </c>
      <c r="R746" s="0" t="str">
        <f aca="false">IF(K746="","",TRUE())</f>
        <v/>
      </c>
      <c r="S746" s="0" t="str">
        <f aca="false">IF(K746="","",IF(AND(Q746,R746),IF(O746=P746,"Match","Qty Different"),IF(Q746,"Only in List 1","Only in List 2")))</f>
        <v/>
      </c>
      <c r="T746" s="0" t="str">
        <f aca="false">IF(K746="","",IF(ISNUMBER(--L746),TEXT(--L746,"000000000000.000"),LOWER(L746)))</f>
        <v/>
      </c>
      <c r="U746" s="0" t="str">
        <f aca="false">IF(K746="","",IF(ISNUMBER(--M746),TEXT(--M746,"000000000000.000"),LOWER(M746)))</f>
        <v/>
      </c>
      <c r="V746" s="0" t="str">
        <f aca="false">IF(K746="","",LOWER(N746))</f>
        <v/>
      </c>
      <c r="W746" s="0" t="str">
        <f aca="false">IF(K746="","",G246)</f>
        <v/>
      </c>
      <c r="X746" s="0" t="str">
        <f aca="false">IF(K746="","",1+SUMPRODUCT(($K$2:$K$1001&lt;&gt;"")*(($T$2:$T$1001&lt;T746)+($T$2:$T$1001=T746)*(($U$2:$U$1001&lt;U746)+($U$2:$U$1001=U746)*(($V$2:$V$1001&lt;V746)+($V$2:$V$1001=V746)*(($W$2:$W$1001&lt;W746)+($W$2:$W$1001=W746)*(ROW($K$2:$K$1001)&lt;ROW(K746))))))))</f>
        <v/>
      </c>
    </row>
    <row r="747" customFormat="false" ht="15" hidden="false" customHeight="false" outlineLevel="0" collapsed="false">
      <c r="K747" s="0" t="str">
        <f aca="false">IF(H247="","",IF(SUMPRODUCT(--($C$2:$C$501=H247))&gt;0,"",H247))</f>
        <v/>
      </c>
      <c r="L747" s="0" t="str">
        <f aca="false">IF(K747="","",IF(ISNUMBER('List 2'!A247),'List 2'!A247,TRIM('List 2'!A247)))</f>
        <v/>
      </c>
      <c r="M747" s="0" t="str">
        <f aca="false">IF(K747="","",IF(ISNUMBER('List 2'!C247),'List 2'!C247,TRIM('List 2'!C247)))</f>
        <v/>
      </c>
      <c r="N747" s="0" t="str">
        <f aca="false">IF(K747="","",IF(ISNUMBER('List 2'!D247),'List 2'!D247,TRIM('List 2'!D247)))</f>
        <v/>
      </c>
      <c r="O747" s="0" t="str">
        <f aca="false">IF(K747="","",0)</f>
        <v/>
      </c>
      <c r="P747" s="0" t="str">
        <f aca="false">IF(K747="","",I247)</f>
        <v/>
      </c>
      <c r="Q747" s="0" t="str">
        <f aca="false">IF(K747="","",FALSE())</f>
        <v/>
      </c>
      <c r="R747" s="0" t="str">
        <f aca="false">IF(K747="","",TRUE())</f>
        <v/>
      </c>
      <c r="S747" s="0" t="str">
        <f aca="false">IF(K747="","",IF(AND(Q747,R747),IF(O747=P747,"Match","Qty Different"),IF(Q747,"Only in List 1","Only in List 2")))</f>
        <v/>
      </c>
      <c r="T747" s="0" t="str">
        <f aca="false">IF(K747="","",IF(ISNUMBER(--L747),TEXT(--L747,"000000000000.000"),LOWER(L747)))</f>
        <v/>
      </c>
      <c r="U747" s="0" t="str">
        <f aca="false">IF(K747="","",IF(ISNUMBER(--M747),TEXT(--M747,"000000000000.000"),LOWER(M747)))</f>
        <v/>
      </c>
      <c r="V747" s="0" t="str">
        <f aca="false">IF(K747="","",LOWER(N747))</f>
        <v/>
      </c>
      <c r="W747" s="0" t="str">
        <f aca="false">IF(K747="","",G247)</f>
        <v/>
      </c>
      <c r="X747" s="0" t="str">
        <f aca="false">IF(K747="","",1+SUMPRODUCT(($K$2:$K$1001&lt;&gt;"")*(($T$2:$T$1001&lt;T747)+($T$2:$T$1001=T747)*(($U$2:$U$1001&lt;U747)+($U$2:$U$1001=U747)*(($V$2:$V$1001&lt;V747)+($V$2:$V$1001=V747)*(($W$2:$W$1001&lt;W747)+($W$2:$W$1001=W747)*(ROW($K$2:$K$1001)&lt;ROW(K747))))))))</f>
        <v/>
      </c>
    </row>
    <row r="748" customFormat="false" ht="15" hidden="false" customHeight="false" outlineLevel="0" collapsed="false">
      <c r="K748" s="0" t="str">
        <f aca="false">IF(H248="","",IF(SUMPRODUCT(--($C$2:$C$501=H248))&gt;0,"",H248))</f>
        <v/>
      </c>
      <c r="L748" s="0" t="str">
        <f aca="false">IF(K748="","",IF(ISNUMBER('List 2'!A248),'List 2'!A248,TRIM('List 2'!A248)))</f>
        <v/>
      </c>
      <c r="M748" s="0" t="str">
        <f aca="false">IF(K748="","",IF(ISNUMBER('List 2'!C248),'List 2'!C248,TRIM('List 2'!C248)))</f>
        <v/>
      </c>
      <c r="N748" s="0" t="str">
        <f aca="false">IF(K748="","",IF(ISNUMBER('List 2'!D248),'List 2'!D248,TRIM('List 2'!D248)))</f>
        <v/>
      </c>
      <c r="O748" s="0" t="str">
        <f aca="false">IF(K748="","",0)</f>
        <v/>
      </c>
      <c r="P748" s="0" t="str">
        <f aca="false">IF(K748="","",I248)</f>
        <v/>
      </c>
      <c r="Q748" s="0" t="str">
        <f aca="false">IF(K748="","",FALSE())</f>
        <v/>
      </c>
      <c r="R748" s="0" t="str">
        <f aca="false">IF(K748="","",TRUE())</f>
        <v/>
      </c>
      <c r="S748" s="0" t="str">
        <f aca="false">IF(K748="","",IF(AND(Q748,R748),IF(O748=P748,"Match","Qty Different"),IF(Q748,"Only in List 1","Only in List 2")))</f>
        <v/>
      </c>
      <c r="T748" s="0" t="str">
        <f aca="false">IF(K748="","",IF(ISNUMBER(--L748),TEXT(--L748,"000000000000.000"),LOWER(L748)))</f>
        <v/>
      </c>
      <c r="U748" s="0" t="str">
        <f aca="false">IF(K748="","",IF(ISNUMBER(--M748),TEXT(--M748,"000000000000.000"),LOWER(M748)))</f>
        <v/>
      </c>
      <c r="V748" s="0" t="str">
        <f aca="false">IF(K748="","",LOWER(N748))</f>
        <v/>
      </c>
      <c r="W748" s="0" t="str">
        <f aca="false">IF(K748="","",G248)</f>
        <v/>
      </c>
      <c r="X748" s="0" t="str">
        <f aca="false">IF(K748="","",1+SUMPRODUCT(($K$2:$K$1001&lt;&gt;"")*(($T$2:$T$1001&lt;T748)+($T$2:$T$1001=T748)*(($U$2:$U$1001&lt;U748)+($U$2:$U$1001=U748)*(($V$2:$V$1001&lt;V748)+($V$2:$V$1001=V748)*(($W$2:$W$1001&lt;W748)+($W$2:$W$1001=W748)*(ROW($K$2:$K$1001)&lt;ROW(K748))))))))</f>
        <v/>
      </c>
    </row>
    <row r="749" customFormat="false" ht="15" hidden="false" customHeight="false" outlineLevel="0" collapsed="false">
      <c r="K749" s="0" t="str">
        <f aca="false">IF(H249="","",IF(SUMPRODUCT(--($C$2:$C$501=H249))&gt;0,"",H249))</f>
        <v/>
      </c>
      <c r="L749" s="0" t="str">
        <f aca="false">IF(K749="","",IF(ISNUMBER('List 2'!A249),'List 2'!A249,TRIM('List 2'!A249)))</f>
        <v/>
      </c>
      <c r="M749" s="0" t="str">
        <f aca="false">IF(K749="","",IF(ISNUMBER('List 2'!C249),'List 2'!C249,TRIM('List 2'!C249)))</f>
        <v/>
      </c>
      <c r="N749" s="0" t="str">
        <f aca="false">IF(K749="","",IF(ISNUMBER('List 2'!D249),'List 2'!D249,TRIM('List 2'!D249)))</f>
        <v/>
      </c>
      <c r="O749" s="0" t="str">
        <f aca="false">IF(K749="","",0)</f>
        <v/>
      </c>
      <c r="P749" s="0" t="str">
        <f aca="false">IF(K749="","",I249)</f>
        <v/>
      </c>
      <c r="Q749" s="0" t="str">
        <f aca="false">IF(K749="","",FALSE())</f>
        <v/>
      </c>
      <c r="R749" s="0" t="str">
        <f aca="false">IF(K749="","",TRUE())</f>
        <v/>
      </c>
      <c r="S749" s="0" t="str">
        <f aca="false">IF(K749="","",IF(AND(Q749,R749),IF(O749=P749,"Match","Qty Different"),IF(Q749,"Only in List 1","Only in List 2")))</f>
        <v/>
      </c>
      <c r="T749" s="0" t="str">
        <f aca="false">IF(K749="","",IF(ISNUMBER(--L749),TEXT(--L749,"000000000000.000"),LOWER(L749)))</f>
        <v/>
      </c>
      <c r="U749" s="0" t="str">
        <f aca="false">IF(K749="","",IF(ISNUMBER(--M749),TEXT(--M749,"000000000000.000"),LOWER(M749)))</f>
        <v/>
      </c>
      <c r="V749" s="0" t="str">
        <f aca="false">IF(K749="","",LOWER(N749))</f>
        <v/>
      </c>
      <c r="W749" s="0" t="str">
        <f aca="false">IF(K749="","",G249)</f>
        <v/>
      </c>
      <c r="X749" s="0" t="str">
        <f aca="false">IF(K749="","",1+SUMPRODUCT(($K$2:$K$1001&lt;&gt;"")*(($T$2:$T$1001&lt;T749)+($T$2:$T$1001=T749)*(($U$2:$U$1001&lt;U749)+($U$2:$U$1001=U749)*(($V$2:$V$1001&lt;V749)+($V$2:$V$1001=V749)*(($W$2:$W$1001&lt;W749)+($W$2:$W$1001=W749)*(ROW($K$2:$K$1001)&lt;ROW(K749))))))))</f>
        <v/>
      </c>
    </row>
    <row r="750" customFormat="false" ht="15" hidden="false" customHeight="false" outlineLevel="0" collapsed="false">
      <c r="K750" s="0" t="str">
        <f aca="false">IF(H250="","",IF(SUMPRODUCT(--($C$2:$C$501=H250))&gt;0,"",H250))</f>
        <v/>
      </c>
      <c r="L750" s="0" t="str">
        <f aca="false">IF(K750="","",IF(ISNUMBER('List 2'!A250),'List 2'!A250,TRIM('List 2'!A250)))</f>
        <v/>
      </c>
      <c r="M750" s="0" t="str">
        <f aca="false">IF(K750="","",IF(ISNUMBER('List 2'!C250),'List 2'!C250,TRIM('List 2'!C250)))</f>
        <v/>
      </c>
      <c r="N750" s="0" t="str">
        <f aca="false">IF(K750="","",IF(ISNUMBER('List 2'!D250),'List 2'!D250,TRIM('List 2'!D250)))</f>
        <v/>
      </c>
      <c r="O750" s="0" t="str">
        <f aca="false">IF(K750="","",0)</f>
        <v/>
      </c>
      <c r="P750" s="0" t="str">
        <f aca="false">IF(K750="","",I250)</f>
        <v/>
      </c>
      <c r="Q750" s="0" t="str">
        <f aca="false">IF(K750="","",FALSE())</f>
        <v/>
      </c>
      <c r="R750" s="0" t="str">
        <f aca="false">IF(K750="","",TRUE())</f>
        <v/>
      </c>
      <c r="S750" s="0" t="str">
        <f aca="false">IF(K750="","",IF(AND(Q750,R750),IF(O750=P750,"Match","Qty Different"),IF(Q750,"Only in List 1","Only in List 2")))</f>
        <v/>
      </c>
      <c r="T750" s="0" t="str">
        <f aca="false">IF(K750="","",IF(ISNUMBER(--L750),TEXT(--L750,"000000000000.000"),LOWER(L750)))</f>
        <v/>
      </c>
      <c r="U750" s="0" t="str">
        <f aca="false">IF(K750="","",IF(ISNUMBER(--M750),TEXT(--M750,"000000000000.000"),LOWER(M750)))</f>
        <v/>
      </c>
      <c r="V750" s="0" t="str">
        <f aca="false">IF(K750="","",LOWER(N750))</f>
        <v/>
      </c>
      <c r="W750" s="0" t="str">
        <f aca="false">IF(K750="","",G250)</f>
        <v/>
      </c>
      <c r="X750" s="0" t="str">
        <f aca="false">IF(K750="","",1+SUMPRODUCT(($K$2:$K$1001&lt;&gt;"")*(($T$2:$T$1001&lt;T750)+($T$2:$T$1001=T750)*(($U$2:$U$1001&lt;U750)+($U$2:$U$1001=U750)*(($V$2:$V$1001&lt;V750)+($V$2:$V$1001=V750)*(($W$2:$W$1001&lt;W750)+($W$2:$W$1001=W750)*(ROW($K$2:$K$1001)&lt;ROW(K750))))))))</f>
        <v/>
      </c>
    </row>
    <row r="751" customFormat="false" ht="15" hidden="false" customHeight="false" outlineLevel="0" collapsed="false">
      <c r="K751" s="0" t="str">
        <f aca="false">IF(H251="","",IF(SUMPRODUCT(--($C$2:$C$501=H251))&gt;0,"",H251))</f>
        <v/>
      </c>
      <c r="L751" s="0" t="str">
        <f aca="false">IF(K751="","",IF(ISNUMBER('List 2'!A251),'List 2'!A251,TRIM('List 2'!A251)))</f>
        <v/>
      </c>
      <c r="M751" s="0" t="str">
        <f aca="false">IF(K751="","",IF(ISNUMBER('List 2'!C251),'List 2'!C251,TRIM('List 2'!C251)))</f>
        <v/>
      </c>
      <c r="N751" s="0" t="str">
        <f aca="false">IF(K751="","",IF(ISNUMBER('List 2'!D251),'List 2'!D251,TRIM('List 2'!D251)))</f>
        <v/>
      </c>
      <c r="O751" s="0" t="str">
        <f aca="false">IF(K751="","",0)</f>
        <v/>
      </c>
      <c r="P751" s="0" t="str">
        <f aca="false">IF(K751="","",I251)</f>
        <v/>
      </c>
      <c r="Q751" s="0" t="str">
        <f aca="false">IF(K751="","",FALSE())</f>
        <v/>
      </c>
      <c r="R751" s="0" t="str">
        <f aca="false">IF(K751="","",TRUE())</f>
        <v/>
      </c>
      <c r="S751" s="0" t="str">
        <f aca="false">IF(K751="","",IF(AND(Q751,R751),IF(O751=P751,"Match","Qty Different"),IF(Q751,"Only in List 1","Only in List 2")))</f>
        <v/>
      </c>
      <c r="T751" s="0" t="str">
        <f aca="false">IF(K751="","",IF(ISNUMBER(--L751),TEXT(--L751,"000000000000.000"),LOWER(L751)))</f>
        <v/>
      </c>
      <c r="U751" s="0" t="str">
        <f aca="false">IF(K751="","",IF(ISNUMBER(--M751),TEXT(--M751,"000000000000.000"),LOWER(M751)))</f>
        <v/>
      </c>
      <c r="V751" s="0" t="str">
        <f aca="false">IF(K751="","",LOWER(N751))</f>
        <v/>
      </c>
      <c r="W751" s="0" t="str">
        <f aca="false">IF(K751="","",G251)</f>
        <v/>
      </c>
      <c r="X751" s="0" t="str">
        <f aca="false">IF(K751="","",1+SUMPRODUCT(($K$2:$K$1001&lt;&gt;"")*(($T$2:$T$1001&lt;T751)+($T$2:$T$1001=T751)*(($U$2:$U$1001&lt;U751)+($U$2:$U$1001=U751)*(($V$2:$V$1001&lt;V751)+($V$2:$V$1001=V751)*(($W$2:$W$1001&lt;W751)+($W$2:$W$1001=W751)*(ROW($K$2:$K$1001)&lt;ROW(K751))))))))</f>
        <v/>
      </c>
    </row>
    <row r="752" customFormat="false" ht="15" hidden="false" customHeight="false" outlineLevel="0" collapsed="false">
      <c r="K752" s="0" t="str">
        <f aca="false">IF(H252="","",IF(SUMPRODUCT(--($C$2:$C$501=H252))&gt;0,"",H252))</f>
        <v/>
      </c>
      <c r="L752" s="0" t="str">
        <f aca="false">IF(K752="","",IF(ISNUMBER('List 2'!A252),'List 2'!A252,TRIM('List 2'!A252)))</f>
        <v/>
      </c>
      <c r="M752" s="0" t="str">
        <f aca="false">IF(K752="","",IF(ISNUMBER('List 2'!C252),'List 2'!C252,TRIM('List 2'!C252)))</f>
        <v/>
      </c>
      <c r="N752" s="0" t="str">
        <f aca="false">IF(K752="","",IF(ISNUMBER('List 2'!D252),'List 2'!D252,TRIM('List 2'!D252)))</f>
        <v/>
      </c>
      <c r="O752" s="0" t="str">
        <f aca="false">IF(K752="","",0)</f>
        <v/>
      </c>
      <c r="P752" s="0" t="str">
        <f aca="false">IF(K752="","",I252)</f>
        <v/>
      </c>
      <c r="Q752" s="0" t="str">
        <f aca="false">IF(K752="","",FALSE())</f>
        <v/>
      </c>
      <c r="R752" s="0" t="str">
        <f aca="false">IF(K752="","",TRUE())</f>
        <v/>
      </c>
      <c r="S752" s="0" t="str">
        <f aca="false">IF(K752="","",IF(AND(Q752,R752),IF(O752=P752,"Match","Qty Different"),IF(Q752,"Only in List 1","Only in List 2")))</f>
        <v/>
      </c>
      <c r="T752" s="0" t="str">
        <f aca="false">IF(K752="","",IF(ISNUMBER(--L752),TEXT(--L752,"000000000000.000"),LOWER(L752)))</f>
        <v/>
      </c>
      <c r="U752" s="0" t="str">
        <f aca="false">IF(K752="","",IF(ISNUMBER(--M752),TEXT(--M752,"000000000000.000"),LOWER(M752)))</f>
        <v/>
      </c>
      <c r="V752" s="0" t="str">
        <f aca="false">IF(K752="","",LOWER(N752))</f>
        <v/>
      </c>
      <c r="W752" s="0" t="str">
        <f aca="false">IF(K752="","",G252)</f>
        <v/>
      </c>
      <c r="X752" s="0" t="str">
        <f aca="false">IF(K752="","",1+SUMPRODUCT(($K$2:$K$1001&lt;&gt;"")*(($T$2:$T$1001&lt;T752)+($T$2:$T$1001=T752)*(($U$2:$U$1001&lt;U752)+($U$2:$U$1001=U752)*(($V$2:$V$1001&lt;V752)+($V$2:$V$1001=V752)*(($W$2:$W$1001&lt;W752)+($W$2:$W$1001=W752)*(ROW($K$2:$K$1001)&lt;ROW(K752))))))))</f>
        <v/>
      </c>
    </row>
    <row r="753" customFormat="false" ht="15" hidden="false" customHeight="false" outlineLevel="0" collapsed="false">
      <c r="K753" s="0" t="str">
        <f aca="false">IF(H253="","",IF(SUMPRODUCT(--($C$2:$C$501=H253))&gt;0,"",H253))</f>
        <v/>
      </c>
      <c r="L753" s="0" t="str">
        <f aca="false">IF(K753="","",IF(ISNUMBER('List 2'!A253),'List 2'!A253,TRIM('List 2'!A253)))</f>
        <v/>
      </c>
      <c r="M753" s="0" t="str">
        <f aca="false">IF(K753="","",IF(ISNUMBER('List 2'!C253),'List 2'!C253,TRIM('List 2'!C253)))</f>
        <v/>
      </c>
      <c r="N753" s="0" t="str">
        <f aca="false">IF(K753="","",IF(ISNUMBER('List 2'!D253),'List 2'!D253,TRIM('List 2'!D253)))</f>
        <v/>
      </c>
      <c r="O753" s="0" t="str">
        <f aca="false">IF(K753="","",0)</f>
        <v/>
      </c>
      <c r="P753" s="0" t="str">
        <f aca="false">IF(K753="","",I253)</f>
        <v/>
      </c>
      <c r="Q753" s="0" t="str">
        <f aca="false">IF(K753="","",FALSE())</f>
        <v/>
      </c>
      <c r="R753" s="0" t="str">
        <f aca="false">IF(K753="","",TRUE())</f>
        <v/>
      </c>
      <c r="S753" s="0" t="str">
        <f aca="false">IF(K753="","",IF(AND(Q753,R753),IF(O753=P753,"Match","Qty Different"),IF(Q753,"Only in List 1","Only in List 2")))</f>
        <v/>
      </c>
      <c r="T753" s="0" t="str">
        <f aca="false">IF(K753="","",IF(ISNUMBER(--L753),TEXT(--L753,"000000000000.000"),LOWER(L753)))</f>
        <v/>
      </c>
      <c r="U753" s="0" t="str">
        <f aca="false">IF(K753="","",IF(ISNUMBER(--M753),TEXT(--M753,"000000000000.000"),LOWER(M753)))</f>
        <v/>
      </c>
      <c r="V753" s="0" t="str">
        <f aca="false">IF(K753="","",LOWER(N753))</f>
        <v/>
      </c>
      <c r="W753" s="0" t="str">
        <f aca="false">IF(K753="","",G253)</f>
        <v/>
      </c>
      <c r="X753" s="0" t="str">
        <f aca="false">IF(K753="","",1+SUMPRODUCT(($K$2:$K$1001&lt;&gt;"")*(($T$2:$T$1001&lt;T753)+($T$2:$T$1001=T753)*(($U$2:$U$1001&lt;U753)+($U$2:$U$1001=U753)*(($V$2:$V$1001&lt;V753)+($V$2:$V$1001=V753)*(($W$2:$W$1001&lt;W753)+($W$2:$W$1001=W753)*(ROW($K$2:$K$1001)&lt;ROW(K753))))))))</f>
        <v/>
      </c>
    </row>
    <row r="754" customFormat="false" ht="15" hidden="false" customHeight="false" outlineLevel="0" collapsed="false">
      <c r="K754" s="0" t="str">
        <f aca="false">IF(H254="","",IF(SUMPRODUCT(--($C$2:$C$501=H254))&gt;0,"",H254))</f>
        <v/>
      </c>
      <c r="L754" s="0" t="str">
        <f aca="false">IF(K754="","",IF(ISNUMBER('List 2'!A254),'List 2'!A254,TRIM('List 2'!A254)))</f>
        <v/>
      </c>
      <c r="M754" s="0" t="str">
        <f aca="false">IF(K754="","",IF(ISNUMBER('List 2'!C254),'List 2'!C254,TRIM('List 2'!C254)))</f>
        <v/>
      </c>
      <c r="N754" s="0" t="str">
        <f aca="false">IF(K754="","",IF(ISNUMBER('List 2'!D254),'List 2'!D254,TRIM('List 2'!D254)))</f>
        <v/>
      </c>
      <c r="O754" s="0" t="str">
        <f aca="false">IF(K754="","",0)</f>
        <v/>
      </c>
      <c r="P754" s="0" t="str">
        <f aca="false">IF(K754="","",I254)</f>
        <v/>
      </c>
      <c r="Q754" s="0" t="str">
        <f aca="false">IF(K754="","",FALSE())</f>
        <v/>
      </c>
      <c r="R754" s="0" t="str">
        <f aca="false">IF(K754="","",TRUE())</f>
        <v/>
      </c>
      <c r="S754" s="0" t="str">
        <f aca="false">IF(K754="","",IF(AND(Q754,R754),IF(O754=P754,"Match","Qty Different"),IF(Q754,"Only in List 1","Only in List 2")))</f>
        <v/>
      </c>
      <c r="T754" s="0" t="str">
        <f aca="false">IF(K754="","",IF(ISNUMBER(--L754),TEXT(--L754,"000000000000.000"),LOWER(L754)))</f>
        <v/>
      </c>
      <c r="U754" s="0" t="str">
        <f aca="false">IF(K754="","",IF(ISNUMBER(--M754),TEXT(--M754,"000000000000.000"),LOWER(M754)))</f>
        <v/>
      </c>
      <c r="V754" s="0" t="str">
        <f aca="false">IF(K754="","",LOWER(N754))</f>
        <v/>
      </c>
      <c r="W754" s="0" t="str">
        <f aca="false">IF(K754="","",G254)</f>
        <v/>
      </c>
      <c r="X754" s="0" t="str">
        <f aca="false">IF(K754="","",1+SUMPRODUCT(($K$2:$K$1001&lt;&gt;"")*(($T$2:$T$1001&lt;T754)+($T$2:$T$1001=T754)*(($U$2:$U$1001&lt;U754)+($U$2:$U$1001=U754)*(($V$2:$V$1001&lt;V754)+($V$2:$V$1001=V754)*(($W$2:$W$1001&lt;W754)+($W$2:$W$1001=W754)*(ROW($K$2:$K$1001)&lt;ROW(K754))))))))</f>
        <v/>
      </c>
    </row>
    <row r="755" customFormat="false" ht="15" hidden="false" customHeight="false" outlineLevel="0" collapsed="false">
      <c r="K755" s="0" t="str">
        <f aca="false">IF(H255="","",IF(SUMPRODUCT(--($C$2:$C$501=H255))&gt;0,"",H255))</f>
        <v/>
      </c>
      <c r="L755" s="0" t="str">
        <f aca="false">IF(K755="","",IF(ISNUMBER('List 2'!A255),'List 2'!A255,TRIM('List 2'!A255)))</f>
        <v/>
      </c>
      <c r="M755" s="0" t="str">
        <f aca="false">IF(K755="","",IF(ISNUMBER('List 2'!C255),'List 2'!C255,TRIM('List 2'!C255)))</f>
        <v/>
      </c>
      <c r="N755" s="0" t="str">
        <f aca="false">IF(K755="","",IF(ISNUMBER('List 2'!D255),'List 2'!D255,TRIM('List 2'!D255)))</f>
        <v/>
      </c>
      <c r="O755" s="0" t="str">
        <f aca="false">IF(K755="","",0)</f>
        <v/>
      </c>
      <c r="P755" s="0" t="str">
        <f aca="false">IF(K755="","",I255)</f>
        <v/>
      </c>
      <c r="Q755" s="0" t="str">
        <f aca="false">IF(K755="","",FALSE())</f>
        <v/>
      </c>
      <c r="R755" s="0" t="str">
        <f aca="false">IF(K755="","",TRUE())</f>
        <v/>
      </c>
      <c r="S755" s="0" t="str">
        <f aca="false">IF(K755="","",IF(AND(Q755,R755),IF(O755=P755,"Match","Qty Different"),IF(Q755,"Only in List 1","Only in List 2")))</f>
        <v/>
      </c>
      <c r="T755" s="0" t="str">
        <f aca="false">IF(K755="","",IF(ISNUMBER(--L755),TEXT(--L755,"000000000000.000"),LOWER(L755)))</f>
        <v/>
      </c>
      <c r="U755" s="0" t="str">
        <f aca="false">IF(K755="","",IF(ISNUMBER(--M755),TEXT(--M755,"000000000000.000"),LOWER(M755)))</f>
        <v/>
      </c>
      <c r="V755" s="0" t="str">
        <f aca="false">IF(K755="","",LOWER(N755))</f>
        <v/>
      </c>
      <c r="W755" s="0" t="str">
        <f aca="false">IF(K755="","",G255)</f>
        <v/>
      </c>
      <c r="X755" s="0" t="str">
        <f aca="false">IF(K755="","",1+SUMPRODUCT(($K$2:$K$1001&lt;&gt;"")*(($T$2:$T$1001&lt;T755)+($T$2:$T$1001=T755)*(($U$2:$U$1001&lt;U755)+($U$2:$U$1001=U755)*(($V$2:$V$1001&lt;V755)+($V$2:$V$1001=V755)*(($W$2:$W$1001&lt;W755)+($W$2:$W$1001=W755)*(ROW($K$2:$K$1001)&lt;ROW(K755))))))))</f>
        <v/>
      </c>
    </row>
    <row r="756" customFormat="false" ht="15" hidden="false" customHeight="false" outlineLevel="0" collapsed="false">
      <c r="K756" s="0" t="str">
        <f aca="false">IF(H256="","",IF(SUMPRODUCT(--($C$2:$C$501=H256))&gt;0,"",H256))</f>
        <v/>
      </c>
      <c r="L756" s="0" t="str">
        <f aca="false">IF(K756="","",IF(ISNUMBER('List 2'!A256),'List 2'!A256,TRIM('List 2'!A256)))</f>
        <v/>
      </c>
      <c r="M756" s="0" t="str">
        <f aca="false">IF(K756="","",IF(ISNUMBER('List 2'!C256),'List 2'!C256,TRIM('List 2'!C256)))</f>
        <v/>
      </c>
      <c r="N756" s="0" t="str">
        <f aca="false">IF(K756="","",IF(ISNUMBER('List 2'!D256),'List 2'!D256,TRIM('List 2'!D256)))</f>
        <v/>
      </c>
      <c r="O756" s="0" t="str">
        <f aca="false">IF(K756="","",0)</f>
        <v/>
      </c>
      <c r="P756" s="0" t="str">
        <f aca="false">IF(K756="","",I256)</f>
        <v/>
      </c>
      <c r="Q756" s="0" t="str">
        <f aca="false">IF(K756="","",FALSE())</f>
        <v/>
      </c>
      <c r="R756" s="0" t="str">
        <f aca="false">IF(K756="","",TRUE())</f>
        <v/>
      </c>
      <c r="S756" s="0" t="str">
        <f aca="false">IF(K756="","",IF(AND(Q756,R756),IF(O756=P756,"Match","Qty Different"),IF(Q756,"Only in List 1","Only in List 2")))</f>
        <v/>
      </c>
      <c r="T756" s="0" t="str">
        <f aca="false">IF(K756="","",IF(ISNUMBER(--L756),TEXT(--L756,"000000000000.000"),LOWER(L756)))</f>
        <v/>
      </c>
      <c r="U756" s="0" t="str">
        <f aca="false">IF(K756="","",IF(ISNUMBER(--M756),TEXT(--M756,"000000000000.000"),LOWER(M756)))</f>
        <v/>
      </c>
      <c r="V756" s="0" t="str">
        <f aca="false">IF(K756="","",LOWER(N756))</f>
        <v/>
      </c>
      <c r="W756" s="0" t="str">
        <f aca="false">IF(K756="","",G256)</f>
        <v/>
      </c>
      <c r="X756" s="0" t="str">
        <f aca="false">IF(K756="","",1+SUMPRODUCT(($K$2:$K$1001&lt;&gt;"")*(($T$2:$T$1001&lt;T756)+($T$2:$T$1001=T756)*(($U$2:$U$1001&lt;U756)+($U$2:$U$1001=U756)*(($V$2:$V$1001&lt;V756)+($V$2:$V$1001=V756)*(($W$2:$W$1001&lt;W756)+($W$2:$W$1001=W756)*(ROW($K$2:$K$1001)&lt;ROW(K756))))))))</f>
        <v/>
      </c>
    </row>
    <row r="757" customFormat="false" ht="15" hidden="false" customHeight="false" outlineLevel="0" collapsed="false">
      <c r="K757" s="0" t="str">
        <f aca="false">IF(H257="","",IF(SUMPRODUCT(--($C$2:$C$501=H257))&gt;0,"",H257))</f>
        <v/>
      </c>
      <c r="L757" s="0" t="str">
        <f aca="false">IF(K757="","",IF(ISNUMBER('List 2'!A257),'List 2'!A257,TRIM('List 2'!A257)))</f>
        <v/>
      </c>
      <c r="M757" s="0" t="str">
        <f aca="false">IF(K757="","",IF(ISNUMBER('List 2'!C257),'List 2'!C257,TRIM('List 2'!C257)))</f>
        <v/>
      </c>
      <c r="N757" s="0" t="str">
        <f aca="false">IF(K757="","",IF(ISNUMBER('List 2'!D257),'List 2'!D257,TRIM('List 2'!D257)))</f>
        <v/>
      </c>
      <c r="O757" s="0" t="str">
        <f aca="false">IF(K757="","",0)</f>
        <v/>
      </c>
      <c r="P757" s="0" t="str">
        <f aca="false">IF(K757="","",I257)</f>
        <v/>
      </c>
      <c r="Q757" s="0" t="str">
        <f aca="false">IF(K757="","",FALSE())</f>
        <v/>
      </c>
      <c r="R757" s="0" t="str">
        <f aca="false">IF(K757="","",TRUE())</f>
        <v/>
      </c>
      <c r="S757" s="0" t="str">
        <f aca="false">IF(K757="","",IF(AND(Q757,R757),IF(O757=P757,"Match","Qty Different"),IF(Q757,"Only in List 1","Only in List 2")))</f>
        <v/>
      </c>
      <c r="T757" s="0" t="str">
        <f aca="false">IF(K757="","",IF(ISNUMBER(--L757),TEXT(--L757,"000000000000.000"),LOWER(L757)))</f>
        <v/>
      </c>
      <c r="U757" s="0" t="str">
        <f aca="false">IF(K757="","",IF(ISNUMBER(--M757),TEXT(--M757,"000000000000.000"),LOWER(M757)))</f>
        <v/>
      </c>
      <c r="V757" s="0" t="str">
        <f aca="false">IF(K757="","",LOWER(N757))</f>
        <v/>
      </c>
      <c r="W757" s="0" t="str">
        <f aca="false">IF(K757="","",G257)</f>
        <v/>
      </c>
      <c r="X757" s="0" t="str">
        <f aca="false">IF(K757="","",1+SUMPRODUCT(($K$2:$K$1001&lt;&gt;"")*(($T$2:$T$1001&lt;T757)+($T$2:$T$1001=T757)*(($U$2:$U$1001&lt;U757)+($U$2:$U$1001=U757)*(($V$2:$V$1001&lt;V757)+($V$2:$V$1001=V757)*(($W$2:$W$1001&lt;W757)+($W$2:$W$1001=W757)*(ROW($K$2:$K$1001)&lt;ROW(K757))))))))</f>
        <v/>
      </c>
    </row>
    <row r="758" customFormat="false" ht="15" hidden="false" customHeight="false" outlineLevel="0" collapsed="false">
      <c r="K758" s="0" t="str">
        <f aca="false">IF(H258="","",IF(SUMPRODUCT(--($C$2:$C$501=H258))&gt;0,"",H258))</f>
        <v/>
      </c>
      <c r="L758" s="0" t="str">
        <f aca="false">IF(K758="","",IF(ISNUMBER('List 2'!A258),'List 2'!A258,TRIM('List 2'!A258)))</f>
        <v/>
      </c>
      <c r="M758" s="0" t="str">
        <f aca="false">IF(K758="","",IF(ISNUMBER('List 2'!C258),'List 2'!C258,TRIM('List 2'!C258)))</f>
        <v/>
      </c>
      <c r="N758" s="0" t="str">
        <f aca="false">IF(K758="","",IF(ISNUMBER('List 2'!D258),'List 2'!D258,TRIM('List 2'!D258)))</f>
        <v/>
      </c>
      <c r="O758" s="0" t="str">
        <f aca="false">IF(K758="","",0)</f>
        <v/>
      </c>
      <c r="P758" s="0" t="str">
        <f aca="false">IF(K758="","",I258)</f>
        <v/>
      </c>
      <c r="Q758" s="0" t="str">
        <f aca="false">IF(K758="","",FALSE())</f>
        <v/>
      </c>
      <c r="R758" s="0" t="str">
        <f aca="false">IF(K758="","",TRUE())</f>
        <v/>
      </c>
      <c r="S758" s="0" t="str">
        <f aca="false">IF(K758="","",IF(AND(Q758,R758),IF(O758=P758,"Match","Qty Different"),IF(Q758,"Only in List 1","Only in List 2")))</f>
        <v/>
      </c>
      <c r="T758" s="0" t="str">
        <f aca="false">IF(K758="","",IF(ISNUMBER(--L758),TEXT(--L758,"000000000000.000"),LOWER(L758)))</f>
        <v/>
      </c>
      <c r="U758" s="0" t="str">
        <f aca="false">IF(K758="","",IF(ISNUMBER(--M758),TEXT(--M758,"000000000000.000"),LOWER(M758)))</f>
        <v/>
      </c>
      <c r="V758" s="0" t="str">
        <f aca="false">IF(K758="","",LOWER(N758))</f>
        <v/>
      </c>
      <c r="W758" s="0" t="str">
        <f aca="false">IF(K758="","",G258)</f>
        <v/>
      </c>
      <c r="X758" s="0" t="str">
        <f aca="false">IF(K758="","",1+SUMPRODUCT(($K$2:$K$1001&lt;&gt;"")*(($T$2:$T$1001&lt;T758)+($T$2:$T$1001=T758)*(($U$2:$U$1001&lt;U758)+($U$2:$U$1001=U758)*(($V$2:$V$1001&lt;V758)+($V$2:$V$1001=V758)*(($W$2:$W$1001&lt;W758)+($W$2:$W$1001=W758)*(ROW($K$2:$K$1001)&lt;ROW(K758))))))))</f>
        <v/>
      </c>
    </row>
    <row r="759" customFormat="false" ht="15" hidden="false" customHeight="false" outlineLevel="0" collapsed="false">
      <c r="K759" s="0" t="str">
        <f aca="false">IF(H259="","",IF(SUMPRODUCT(--($C$2:$C$501=H259))&gt;0,"",H259))</f>
        <v/>
      </c>
      <c r="L759" s="0" t="str">
        <f aca="false">IF(K759="","",IF(ISNUMBER('List 2'!A259),'List 2'!A259,TRIM('List 2'!A259)))</f>
        <v/>
      </c>
      <c r="M759" s="0" t="str">
        <f aca="false">IF(K759="","",IF(ISNUMBER('List 2'!C259),'List 2'!C259,TRIM('List 2'!C259)))</f>
        <v/>
      </c>
      <c r="N759" s="0" t="str">
        <f aca="false">IF(K759="","",IF(ISNUMBER('List 2'!D259),'List 2'!D259,TRIM('List 2'!D259)))</f>
        <v/>
      </c>
      <c r="O759" s="0" t="str">
        <f aca="false">IF(K759="","",0)</f>
        <v/>
      </c>
      <c r="P759" s="0" t="str">
        <f aca="false">IF(K759="","",I259)</f>
        <v/>
      </c>
      <c r="Q759" s="0" t="str">
        <f aca="false">IF(K759="","",FALSE())</f>
        <v/>
      </c>
      <c r="R759" s="0" t="str">
        <f aca="false">IF(K759="","",TRUE())</f>
        <v/>
      </c>
      <c r="S759" s="0" t="str">
        <f aca="false">IF(K759="","",IF(AND(Q759,R759),IF(O759=P759,"Match","Qty Different"),IF(Q759,"Only in List 1","Only in List 2")))</f>
        <v/>
      </c>
      <c r="T759" s="0" t="str">
        <f aca="false">IF(K759="","",IF(ISNUMBER(--L759),TEXT(--L759,"000000000000.000"),LOWER(L759)))</f>
        <v/>
      </c>
      <c r="U759" s="0" t="str">
        <f aca="false">IF(K759="","",IF(ISNUMBER(--M759),TEXT(--M759,"000000000000.000"),LOWER(M759)))</f>
        <v/>
      </c>
      <c r="V759" s="0" t="str">
        <f aca="false">IF(K759="","",LOWER(N759))</f>
        <v/>
      </c>
      <c r="W759" s="0" t="str">
        <f aca="false">IF(K759="","",G259)</f>
        <v/>
      </c>
      <c r="X759" s="0" t="str">
        <f aca="false">IF(K759="","",1+SUMPRODUCT(($K$2:$K$1001&lt;&gt;"")*(($T$2:$T$1001&lt;T759)+($T$2:$T$1001=T759)*(($U$2:$U$1001&lt;U759)+($U$2:$U$1001=U759)*(($V$2:$V$1001&lt;V759)+($V$2:$V$1001=V759)*(($W$2:$W$1001&lt;W759)+($W$2:$W$1001=W759)*(ROW($K$2:$K$1001)&lt;ROW(K759))))))))</f>
        <v/>
      </c>
    </row>
    <row r="760" customFormat="false" ht="15" hidden="false" customHeight="false" outlineLevel="0" collapsed="false">
      <c r="K760" s="0" t="str">
        <f aca="false">IF(H260="","",IF(SUMPRODUCT(--($C$2:$C$501=H260))&gt;0,"",H260))</f>
        <v/>
      </c>
      <c r="L760" s="0" t="str">
        <f aca="false">IF(K760="","",IF(ISNUMBER('List 2'!A260),'List 2'!A260,TRIM('List 2'!A260)))</f>
        <v/>
      </c>
      <c r="M760" s="0" t="str">
        <f aca="false">IF(K760="","",IF(ISNUMBER('List 2'!C260),'List 2'!C260,TRIM('List 2'!C260)))</f>
        <v/>
      </c>
      <c r="N760" s="0" t="str">
        <f aca="false">IF(K760="","",IF(ISNUMBER('List 2'!D260),'List 2'!D260,TRIM('List 2'!D260)))</f>
        <v/>
      </c>
      <c r="O760" s="0" t="str">
        <f aca="false">IF(K760="","",0)</f>
        <v/>
      </c>
      <c r="P760" s="0" t="str">
        <f aca="false">IF(K760="","",I260)</f>
        <v/>
      </c>
      <c r="Q760" s="0" t="str">
        <f aca="false">IF(K760="","",FALSE())</f>
        <v/>
      </c>
      <c r="R760" s="0" t="str">
        <f aca="false">IF(K760="","",TRUE())</f>
        <v/>
      </c>
      <c r="S760" s="0" t="str">
        <f aca="false">IF(K760="","",IF(AND(Q760,R760),IF(O760=P760,"Match","Qty Different"),IF(Q760,"Only in List 1","Only in List 2")))</f>
        <v/>
      </c>
      <c r="T760" s="0" t="str">
        <f aca="false">IF(K760="","",IF(ISNUMBER(--L760),TEXT(--L760,"000000000000.000"),LOWER(L760)))</f>
        <v/>
      </c>
      <c r="U760" s="0" t="str">
        <f aca="false">IF(K760="","",IF(ISNUMBER(--M760),TEXT(--M760,"000000000000.000"),LOWER(M760)))</f>
        <v/>
      </c>
      <c r="V760" s="0" t="str">
        <f aca="false">IF(K760="","",LOWER(N760))</f>
        <v/>
      </c>
      <c r="W760" s="0" t="str">
        <f aca="false">IF(K760="","",G260)</f>
        <v/>
      </c>
      <c r="X760" s="0" t="str">
        <f aca="false">IF(K760="","",1+SUMPRODUCT(($K$2:$K$1001&lt;&gt;"")*(($T$2:$T$1001&lt;T760)+($T$2:$T$1001=T760)*(($U$2:$U$1001&lt;U760)+($U$2:$U$1001=U760)*(($V$2:$V$1001&lt;V760)+($V$2:$V$1001=V760)*(($W$2:$W$1001&lt;W760)+($W$2:$W$1001=W760)*(ROW($K$2:$K$1001)&lt;ROW(K760))))))))</f>
        <v/>
      </c>
    </row>
    <row r="761" customFormat="false" ht="15" hidden="false" customHeight="false" outlineLevel="0" collapsed="false">
      <c r="K761" s="0" t="str">
        <f aca="false">IF(H261="","",IF(SUMPRODUCT(--($C$2:$C$501=H261))&gt;0,"",H261))</f>
        <v/>
      </c>
      <c r="L761" s="0" t="str">
        <f aca="false">IF(K761="","",IF(ISNUMBER('List 2'!A261),'List 2'!A261,TRIM('List 2'!A261)))</f>
        <v/>
      </c>
      <c r="M761" s="0" t="str">
        <f aca="false">IF(K761="","",IF(ISNUMBER('List 2'!C261),'List 2'!C261,TRIM('List 2'!C261)))</f>
        <v/>
      </c>
      <c r="N761" s="0" t="str">
        <f aca="false">IF(K761="","",IF(ISNUMBER('List 2'!D261),'List 2'!D261,TRIM('List 2'!D261)))</f>
        <v/>
      </c>
      <c r="O761" s="0" t="str">
        <f aca="false">IF(K761="","",0)</f>
        <v/>
      </c>
      <c r="P761" s="0" t="str">
        <f aca="false">IF(K761="","",I261)</f>
        <v/>
      </c>
      <c r="Q761" s="0" t="str">
        <f aca="false">IF(K761="","",FALSE())</f>
        <v/>
      </c>
      <c r="R761" s="0" t="str">
        <f aca="false">IF(K761="","",TRUE())</f>
        <v/>
      </c>
      <c r="S761" s="0" t="str">
        <f aca="false">IF(K761="","",IF(AND(Q761,R761),IF(O761=P761,"Match","Qty Different"),IF(Q761,"Only in List 1","Only in List 2")))</f>
        <v/>
      </c>
      <c r="T761" s="0" t="str">
        <f aca="false">IF(K761="","",IF(ISNUMBER(--L761),TEXT(--L761,"000000000000.000"),LOWER(L761)))</f>
        <v/>
      </c>
      <c r="U761" s="0" t="str">
        <f aca="false">IF(K761="","",IF(ISNUMBER(--M761),TEXT(--M761,"000000000000.000"),LOWER(M761)))</f>
        <v/>
      </c>
      <c r="V761" s="0" t="str">
        <f aca="false">IF(K761="","",LOWER(N761))</f>
        <v/>
      </c>
      <c r="W761" s="0" t="str">
        <f aca="false">IF(K761="","",G261)</f>
        <v/>
      </c>
      <c r="X761" s="0" t="str">
        <f aca="false">IF(K761="","",1+SUMPRODUCT(($K$2:$K$1001&lt;&gt;"")*(($T$2:$T$1001&lt;T761)+($T$2:$T$1001=T761)*(($U$2:$U$1001&lt;U761)+($U$2:$U$1001=U761)*(($V$2:$V$1001&lt;V761)+($V$2:$V$1001=V761)*(($W$2:$W$1001&lt;W761)+($W$2:$W$1001=W761)*(ROW($K$2:$K$1001)&lt;ROW(K761))))))))</f>
        <v/>
      </c>
    </row>
    <row r="762" customFormat="false" ht="15" hidden="false" customHeight="false" outlineLevel="0" collapsed="false">
      <c r="K762" s="0" t="str">
        <f aca="false">IF(H262="","",IF(SUMPRODUCT(--($C$2:$C$501=H262))&gt;0,"",H262))</f>
        <v/>
      </c>
      <c r="L762" s="0" t="str">
        <f aca="false">IF(K762="","",IF(ISNUMBER('List 2'!A262),'List 2'!A262,TRIM('List 2'!A262)))</f>
        <v/>
      </c>
      <c r="M762" s="0" t="str">
        <f aca="false">IF(K762="","",IF(ISNUMBER('List 2'!C262),'List 2'!C262,TRIM('List 2'!C262)))</f>
        <v/>
      </c>
      <c r="N762" s="0" t="str">
        <f aca="false">IF(K762="","",IF(ISNUMBER('List 2'!D262),'List 2'!D262,TRIM('List 2'!D262)))</f>
        <v/>
      </c>
      <c r="O762" s="0" t="str">
        <f aca="false">IF(K762="","",0)</f>
        <v/>
      </c>
      <c r="P762" s="0" t="str">
        <f aca="false">IF(K762="","",I262)</f>
        <v/>
      </c>
      <c r="Q762" s="0" t="str">
        <f aca="false">IF(K762="","",FALSE())</f>
        <v/>
      </c>
      <c r="R762" s="0" t="str">
        <f aca="false">IF(K762="","",TRUE())</f>
        <v/>
      </c>
      <c r="S762" s="0" t="str">
        <f aca="false">IF(K762="","",IF(AND(Q762,R762),IF(O762=P762,"Match","Qty Different"),IF(Q762,"Only in List 1","Only in List 2")))</f>
        <v/>
      </c>
      <c r="T762" s="0" t="str">
        <f aca="false">IF(K762="","",IF(ISNUMBER(--L762),TEXT(--L762,"000000000000.000"),LOWER(L762)))</f>
        <v/>
      </c>
      <c r="U762" s="0" t="str">
        <f aca="false">IF(K762="","",IF(ISNUMBER(--M762),TEXT(--M762,"000000000000.000"),LOWER(M762)))</f>
        <v/>
      </c>
      <c r="V762" s="0" t="str">
        <f aca="false">IF(K762="","",LOWER(N762))</f>
        <v/>
      </c>
      <c r="W762" s="0" t="str">
        <f aca="false">IF(K762="","",G262)</f>
        <v/>
      </c>
      <c r="X762" s="0" t="str">
        <f aca="false">IF(K762="","",1+SUMPRODUCT(($K$2:$K$1001&lt;&gt;"")*(($T$2:$T$1001&lt;T762)+($T$2:$T$1001=T762)*(($U$2:$U$1001&lt;U762)+($U$2:$U$1001=U762)*(($V$2:$V$1001&lt;V762)+($V$2:$V$1001=V762)*(($W$2:$W$1001&lt;W762)+($W$2:$W$1001=W762)*(ROW($K$2:$K$1001)&lt;ROW(K762))))))))</f>
        <v/>
      </c>
    </row>
    <row r="763" customFormat="false" ht="15" hidden="false" customHeight="false" outlineLevel="0" collapsed="false">
      <c r="K763" s="0" t="str">
        <f aca="false">IF(H263="","",IF(SUMPRODUCT(--($C$2:$C$501=H263))&gt;0,"",H263))</f>
        <v/>
      </c>
      <c r="L763" s="0" t="str">
        <f aca="false">IF(K763="","",IF(ISNUMBER('List 2'!A263),'List 2'!A263,TRIM('List 2'!A263)))</f>
        <v/>
      </c>
      <c r="M763" s="0" t="str">
        <f aca="false">IF(K763="","",IF(ISNUMBER('List 2'!C263),'List 2'!C263,TRIM('List 2'!C263)))</f>
        <v/>
      </c>
      <c r="N763" s="0" t="str">
        <f aca="false">IF(K763="","",IF(ISNUMBER('List 2'!D263),'List 2'!D263,TRIM('List 2'!D263)))</f>
        <v/>
      </c>
      <c r="O763" s="0" t="str">
        <f aca="false">IF(K763="","",0)</f>
        <v/>
      </c>
      <c r="P763" s="0" t="str">
        <f aca="false">IF(K763="","",I263)</f>
        <v/>
      </c>
      <c r="Q763" s="0" t="str">
        <f aca="false">IF(K763="","",FALSE())</f>
        <v/>
      </c>
      <c r="R763" s="0" t="str">
        <f aca="false">IF(K763="","",TRUE())</f>
        <v/>
      </c>
      <c r="S763" s="0" t="str">
        <f aca="false">IF(K763="","",IF(AND(Q763,R763),IF(O763=P763,"Match","Qty Different"),IF(Q763,"Only in List 1","Only in List 2")))</f>
        <v/>
      </c>
      <c r="T763" s="0" t="str">
        <f aca="false">IF(K763="","",IF(ISNUMBER(--L763),TEXT(--L763,"000000000000.000"),LOWER(L763)))</f>
        <v/>
      </c>
      <c r="U763" s="0" t="str">
        <f aca="false">IF(K763="","",IF(ISNUMBER(--M763),TEXT(--M763,"000000000000.000"),LOWER(M763)))</f>
        <v/>
      </c>
      <c r="V763" s="0" t="str">
        <f aca="false">IF(K763="","",LOWER(N763))</f>
        <v/>
      </c>
      <c r="W763" s="0" t="str">
        <f aca="false">IF(K763="","",G263)</f>
        <v/>
      </c>
      <c r="X763" s="0" t="str">
        <f aca="false">IF(K763="","",1+SUMPRODUCT(($K$2:$K$1001&lt;&gt;"")*(($T$2:$T$1001&lt;T763)+($T$2:$T$1001=T763)*(($U$2:$U$1001&lt;U763)+($U$2:$U$1001=U763)*(($V$2:$V$1001&lt;V763)+($V$2:$V$1001=V763)*(($W$2:$W$1001&lt;W763)+($W$2:$W$1001=W763)*(ROW($K$2:$K$1001)&lt;ROW(K763))))))))</f>
        <v/>
      </c>
    </row>
    <row r="764" customFormat="false" ht="15" hidden="false" customHeight="false" outlineLevel="0" collapsed="false">
      <c r="K764" s="0" t="str">
        <f aca="false">IF(H264="","",IF(SUMPRODUCT(--($C$2:$C$501=H264))&gt;0,"",H264))</f>
        <v/>
      </c>
      <c r="L764" s="0" t="str">
        <f aca="false">IF(K764="","",IF(ISNUMBER('List 2'!A264),'List 2'!A264,TRIM('List 2'!A264)))</f>
        <v/>
      </c>
      <c r="M764" s="0" t="str">
        <f aca="false">IF(K764="","",IF(ISNUMBER('List 2'!C264),'List 2'!C264,TRIM('List 2'!C264)))</f>
        <v/>
      </c>
      <c r="N764" s="0" t="str">
        <f aca="false">IF(K764="","",IF(ISNUMBER('List 2'!D264),'List 2'!D264,TRIM('List 2'!D264)))</f>
        <v/>
      </c>
      <c r="O764" s="0" t="str">
        <f aca="false">IF(K764="","",0)</f>
        <v/>
      </c>
      <c r="P764" s="0" t="str">
        <f aca="false">IF(K764="","",I264)</f>
        <v/>
      </c>
      <c r="Q764" s="0" t="str">
        <f aca="false">IF(K764="","",FALSE())</f>
        <v/>
      </c>
      <c r="R764" s="0" t="str">
        <f aca="false">IF(K764="","",TRUE())</f>
        <v/>
      </c>
      <c r="S764" s="0" t="str">
        <f aca="false">IF(K764="","",IF(AND(Q764,R764),IF(O764=P764,"Match","Qty Different"),IF(Q764,"Only in List 1","Only in List 2")))</f>
        <v/>
      </c>
      <c r="T764" s="0" t="str">
        <f aca="false">IF(K764="","",IF(ISNUMBER(--L764),TEXT(--L764,"000000000000.000"),LOWER(L764)))</f>
        <v/>
      </c>
      <c r="U764" s="0" t="str">
        <f aca="false">IF(K764="","",IF(ISNUMBER(--M764),TEXT(--M764,"000000000000.000"),LOWER(M764)))</f>
        <v/>
      </c>
      <c r="V764" s="0" t="str">
        <f aca="false">IF(K764="","",LOWER(N764))</f>
        <v/>
      </c>
      <c r="W764" s="0" t="str">
        <f aca="false">IF(K764="","",G264)</f>
        <v/>
      </c>
      <c r="X764" s="0" t="str">
        <f aca="false">IF(K764="","",1+SUMPRODUCT(($K$2:$K$1001&lt;&gt;"")*(($T$2:$T$1001&lt;T764)+($T$2:$T$1001=T764)*(($U$2:$U$1001&lt;U764)+($U$2:$U$1001=U764)*(($V$2:$V$1001&lt;V764)+($V$2:$V$1001=V764)*(($W$2:$W$1001&lt;W764)+($W$2:$W$1001=W764)*(ROW($K$2:$K$1001)&lt;ROW(K764))))))))</f>
        <v/>
      </c>
    </row>
    <row r="765" customFormat="false" ht="15" hidden="false" customHeight="false" outlineLevel="0" collapsed="false">
      <c r="K765" s="0" t="str">
        <f aca="false">IF(H265="","",IF(SUMPRODUCT(--($C$2:$C$501=H265))&gt;0,"",H265))</f>
        <v/>
      </c>
      <c r="L765" s="0" t="str">
        <f aca="false">IF(K765="","",IF(ISNUMBER('List 2'!A265),'List 2'!A265,TRIM('List 2'!A265)))</f>
        <v/>
      </c>
      <c r="M765" s="0" t="str">
        <f aca="false">IF(K765="","",IF(ISNUMBER('List 2'!C265),'List 2'!C265,TRIM('List 2'!C265)))</f>
        <v/>
      </c>
      <c r="N765" s="0" t="str">
        <f aca="false">IF(K765="","",IF(ISNUMBER('List 2'!D265),'List 2'!D265,TRIM('List 2'!D265)))</f>
        <v/>
      </c>
      <c r="O765" s="0" t="str">
        <f aca="false">IF(K765="","",0)</f>
        <v/>
      </c>
      <c r="P765" s="0" t="str">
        <f aca="false">IF(K765="","",I265)</f>
        <v/>
      </c>
      <c r="Q765" s="0" t="str">
        <f aca="false">IF(K765="","",FALSE())</f>
        <v/>
      </c>
      <c r="R765" s="0" t="str">
        <f aca="false">IF(K765="","",TRUE())</f>
        <v/>
      </c>
      <c r="S765" s="0" t="str">
        <f aca="false">IF(K765="","",IF(AND(Q765,R765),IF(O765=P765,"Match","Qty Different"),IF(Q765,"Only in List 1","Only in List 2")))</f>
        <v/>
      </c>
      <c r="T765" s="0" t="str">
        <f aca="false">IF(K765="","",IF(ISNUMBER(--L765),TEXT(--L765,"000000000000.000"),LOWER(L765)))</f>
        <v/>
      </c>
      <c r="U765" s="0" t="str">
        <f aca="false">IF(K765="","",IF(ISNUMBER(--M765),TEXT(--M765,"000000000000.000"),LOWER(M765)))</f>
        <v/>
      </c>
      <c r="V765" s="0" t="str">
        <f aca="false">IF(K765="","",LOWER(N765))</f>
        <v/>
      </c>
      <c r="W765" s="0" t="str">
        <f aca="false">IF(K765="","",G265)</f>
        <v/>
      </c>
      <c r="X765" s="0" t="str">
        <f aca="false">IF(K765="","",1+SUMPRODUCT(($K$2:$K$1001&lt;&gt;"")*(($T$2:$T$1001&lt;T765)+($T$2:$T$1001=T765)*(($U$2:$U$1001&lt;U765)+($U$2:$U$1001=U765)*(($V$2:$V$1001&lt;V765)+($V$2:$V$1001=V765)*(($W$2:$W$1001&lt;W765)+($W$2:$W$1001=W765)*(ROW($K$2:$K$1001)&lt;ROW(K765))))))))</f>
        <v/>
      </c>
    </row>
    <row r="766" customFormat="false" ht="15" hidden="false" customHeight="false" outlineLevel="0" collapsed="false">
      <c r="K766" s="0" t="str">
        <f aca="false">IF(H266="","",IF(SUMPRODUCT(--($C$2:$C$501=H266))&gt;0,"",H266))</f>
        <v/>
      </c>
      <c r="L766" s="0" t="str">
        <f aca="false">IF(K766="","",IF(ISNUMBER('List 2'!A266),'List 2'!A266,TRIM('List 2'!A266)))</f>
        <v/>
      </c>
      <c r="M766" s="0" t="str">
        <f aca="false">IF(K766="","",IF(ISNUMBER('List 2'!C266),'List 2'!C266,TRIM('List 2'!C266)))</f>
        <v/>
      </c>
      <c r="N766" s="0" t="str">
        <f aca="false">IF(K766="","",IF(ISNUMBER('List 2'!D266),'List 2'!D266,TRIM('List 2'!D266)))</f>
        <v/>
      </c>
      <c r="O766" s="0" t="str">
        <f aca="false">IF(K766="","",0)</f>
        <v/>
      </c>
      <c r="P766" s="0" t="str">
        <f aca="false">IF(K766="","",I266)</f>
        <v/>
      </c>
      <c r="Q766" s="0" t="str">
        <f aca="false">IF(K766="","",FALSE())</f>
        <v/>
      </c>
      <c r="R766" s="0" t="str">
        <f aca="false">IF(K766="","",TRUE())</f>
        <v/>
      </c>
      <c r="S766" s="0" t="str">
        <f aca="false">IF(K766="","",IF(AND(Q766,R766),IF(O766=P766,"Match","Qty Different"),IF(Q766,"Only in List 1","Only in List 2")))</f>
        <v/>
      </c>
      <c r="T766" s="0" t="str">
        <f aca="false">IF(K766="","",IF(ISNUMBER(--L766),TEXT(--L766,"000000000000.000"),LOWER(L766)))</f>
        <v/>
      </c>
      <c r="U766" s="0" t="str">
        <f aca="false">IF(K766="","",IF(ISNUMBER(--M766),TEXT(--M766,"000000000000.000"),LOWER(M766)))</f>
        <v/>
      </c>
      <c r="V766" s="0" t="str">
        <f aca="false">IF(K766="","",LOWER(N766))</f>
        <v/>
      </c>
      <c r="W766" s="0" t="str">
        <f aca="false">IF(K766="","",G266)</f>
        <v/>
      </c>
      <c r="X766" s="0" t="str">
        <f aca="false">IF(K766="","",1+SUMPRODUCT(($K$2:$K$1001&lt;&gt;"")*(($T$2:$T$1001&lt;T766)+($T$2:$T$1001=T766)*(($U$2:$U$1001&lt;U766)+($U$2:$U$1001=U766)*(($V$2:$V$1001&lt;V766)+($V$2:$V$1001=V766)*(($W$2:$W$1001&lt;W766)+($W$2:$W$1001=W766)*(ROW($K$2:$K$1001)&lt;ROW(K766))))))))</f>
        <v/>
      </c>
    </row>
    <row r="767" customFormat="false" ht="15" hidden="false" customHeight="false" outlineLevel="0" collapsed="false">
      <c r="K767" s="0" t="str">
        <f aca="false">IF(H267="","",IF(SUMPRODUCT(--($C$2:$C$501=H267))&gt;0,"",H267))</f>
        <v/>
      </c>
      <c r="L767" s="0" t="str">
        <f aca="false">IF(K767="","",IF(ISNUMBER('List 2'!A267),'List 2'!A267,TRIM('List 2'!A267)))</f>
        <v/>
      </c>
      <c r="M767" s="0" t="str">
        <f aca="false">IF(K767="","",IF(ISNUMBER('List 2'!C267),'List 2'!C267,TRIM('List 2'!C267)))</f>
        <v/>
      </c>
      <c r="N767" s="0" t="str">
        <f aca="false">IF(K767="","",IF(ISNUMBER('List 2'!D267),'List 2'!D267,TRIM('List 2'!D267)))</f>
        <v/>
      </c>
      <c r="O767" s="0" t="str">
        <f aca="false">IF(K767="","",0)</f>
        <v/>
      </c>
      <c r="P767" s="0" t="str">
        <f aca="false">IF(K767="","",I267)</f>
        <v/>
      </c>
      <c r="Q767" s="0" t="str">
        <f aca="false">IF(K767="","",FALSE())</f>
        <v/>
      </c>
      <c r="R767" s="0" t="str">
        <f aca="false">IF(K767="","",TRUE())</f>
        <v/>
      </c>
      <c r="S767" s="0" t="str">
        <f aca="false">IF(K767="","",IF(AND(Q767,R767),IF(O767=P767,"Match","Qty Different"),IF(Q767,"Only in List 1","Only in List 2")))</f>
        <v/>
      </c>
      <c r="T767" s="0" t="str">
        <f aca="false">IF(K767="","",IF(ISNUMBER(--L767),TEXT(--L767,"000000000000.000"),LOWER(L767)))</f>
        <v/>
      </c>
      <c r="U767" s="0" t="str">
        <f aca="false">IF(K767="","",IF(ISNUMBER(--M767),TEXT(--M767,"000000000000.000"),LOWER(M767)))</f>
        <v/>
      </c>
      <c r="V767" s="0" t="str">
        <f aca="false">IF(K767="","",LOWER(N767))</f>
        <v/>
      </c>
      <c r="W767" s="0" t="str">
        <f aca="false">IF(K767="","",G267)</f>
        <v/>
      </c>
      <c r="X767" s="0" t="str">
        <f aca="false">IF(K767="","",1+SUMPRODUCT(($K$2:$K$1001&lt;&gt;"")*(($T$2:$T$1001&lt;T767)+($T$2:$T$1001=T767)*(($U$2:$U$1001&lt;U767)+($U$2:$U$1001=U767)*(($V$2:$V$1001&lt;V767)+($V$2:$V$1001=V767)*(($W$2:$W$1001&lt;W767)+($W$2:$W$1001=W767)*(ROW($K$2:$K$1001)&lt;ROW(K767))))))))</f>
        <v/>
      </c>
    </row>
    <row r="768" customFormat="false" ht="15" hidden="false" customHeight="false" outlineLevel="0" collapsed="false">
      <c r="K768" s="0" t="str">
        <f aca="false">IF(H268="","",IF(SUMPRODUCT(--($C$2:$C$501=H268))&gt;0,"",H268))</f>
        <v/>
      </c>
      <c r="L768" s="0" t="str">
        <f aca="false">IF(K768="","",IF(ISNUMBER('List 2'!A268),'List 2'!A268,TRIM('List 2'!A268)))</f>
        <v/>
      </c>
      <c r="M768" s="0" t="str">
        <f aca="false">IF(K768="","",IF(ISNUMBER('List 2'!C268),'List 2'!C268,TRIM('List 2'!C268)))</f>
        <v/>
      </c>
      <c r="N768" s="0" t="str">
        <f aca="false">IF(K768="","",IF(ISNUMBER('List 2'!D268),'List 2'!D268,TRIM('List 2'!D268)))</f>
        <v/>
      </c>
      <c r="O768" s="0" t="str">
        <f aca="false">IF(K768="","",0)</f>
        <v/>
      </c>
      <c r="P768" s="0" t="str">
        <f aca="false">IF(K768="","",I268)</f>
        <v/>
      </c>
      <c r="Q768" s="0" t="str">
        <f aca="false">IF(K768="","",FALSE())</f>
        <v/>
      </c>
      <c r="R768" s="0" t="str">
        <f aca="false">IF(K768="","",TRUE())</f>
        <v/>
      </c>
      <c r="S768" s="0" t="str">
        <f aca="false">IF(K768="","",IF(AND(Q768,R768),IF(O768=P768,"Match","Qty Different"),IF(Q768,"Only in List 1","Only in List 2")))</f>
        <v/>
      </c>
      <c r="T768" s="0" t="str">
        <f aca="false">IF(K768="","",IF(ISNUMBER(--L768),TEXT(--L768,"000000000000.000"),LOWER(L768)))</f>
        <v/>
      </c>
      <c r="U768" s="0" t="str">
        <f aca="false">IF(K768="","",IF(ISNUMBER(--M768),TEXT(--M768,"000000000000.000"),LOWER(M768)))</f>
        <v/>
      </c>
      <c r="V768" s="0" t="str">
        <f aca="false">IF(K768="","",LOWER(N768))</f>
        <v/>
      </c>
      <c r="W768" s="0" t="str">
        <f aca="false">IF(K768="","",G268)</f>
        <v/>
      </c>
      <c r="X768" s="0" t="str">
        <f aca="false">IF(K768="","",1+SUMPRODUCT(($K$2:$K$1001&lt;&gt;"")*(($T$2:$T$1001&lt;T768)+($T$2:$T$1001=T768)*(($U$2:$U$1001&lt;U768)+($U$2:$U$1001=U768)*(($V$2:$V$1001&lt;V768)+($V$2:$V$1001=V768)*(($W$2:$W$1001&lt;W768)+($W$2:$W$1001=W768)*(ROW($K$2:$K$1001)&lt;ROW(K768))))))))</f>
        <v/>
      </c>
    </row>
    <row r="769" customFormat="false" ht="15" hidden="false" customHeight="false" outlineLevel="0" collapsed="false">
      <c r="K769" s="0" t="str">
        <f aca="false">IF(H269="","",IF(SUMPRODUCT(--($C$2:$C$501=H269))&gt;0,"",H269))</f>
        <v/>
      </c>
      <c r="L769" s="0" t="str">
        <f aca="false">IF(K769="","",IF(ISNUMBER('List 2'!A269),'List 2'!A269,TRIM('List 2'!A269)))</f>
        <v/>
      </c>
      <c r="M769" s="0" t="str">
        <f aca="false">IF(K769="","",IF(ISNUMBER('List 2'!C269),'List 2'!C269,TRIM('List 2'!C269)))</f>
        <v/>
      </c>
      <c r="N769" s="0" t="str">
        <f aca="false">IF(K769="","",IF(ISNUMBER('List 2'!D269),'List 2'!D269,TRIM('List 2'!D269)))</f>
        <v/>
      </c>
      <c r="O769" s="0" t="str">
        <f aca="false">IF(K769="","",0)</f>
        <v/>
      </c>
      <c r="P769" s="0" t="str">
        <f aca="false">IF(K769="","",I269)</f>
        <v/>
      </c>
      <c r="Q769" s="0" t="str">
        <f aca="false">IF(K769="","",FALSE())</f>
        <v/>
      </c>
      <c r="R769" s="0" t="str">
        <f aca="false">IF(K769="","",TRUE())</f>
        <v/>
      </c>
      <c r="S769" s="0" t="str">
        <f aca="false">IF(K769="","",IF(AND(Q769,R769),IF(O769=P769,"Match","Qty Different"),IF(Q769,"Only in List 1","Only in List 2")))</f>
        <v/>
      </c>
      <c r="T769" s="0" t="str">
        <f aca="false">IF(K769="","",IF(ISNUMBER(--L769),TEXT(--L769,"000000000000.000"),LOWER(L769)))</f>
        <v/>
      </c>
      <c r="U769" s="0" t="str">
        <f aca="false">IF(K769="","",IF(ISNUMBER(--M769),TEXT(--M769,"000000000000.000"),LOWER(M769)))</f>
        <v/>
      </c>
      <c r="V769" s="0" t="str">
        <f aca="false">IF(K769="","",LOWER(N769))</f>
        <v/>
      </c>
      <c r="W769" s="0" t="str">
        <f aca="false">IF(K769="","",G269)</f>
        <v/>
      </c>
      <c r="X769" s="0" t="str">
        <f aca="false">IF(K769="","",1+SUMPRODUCT(($K$2:$K$1001&lt;&gt;"")*(($T$2:$T$1001&lt;T769)+($T$2:$T$1001=T769)*(($U$2:$U$1001&lt;U769)+($U$2:$U$1001=U769)*(($V$2:$V$1001&lt;V769)+($V$2:$V$1001=V769)*(($W$2:$W$1001&lt;W769)+($W$2:$W$1001=W769)*(ROW($K$2:$K$1001)&lt;ROW(K769))))))))</f>
        <v/>
      </c>
    </row>
    <row r="770" customFormat="false" ht="15" hidden="false" customHeight="false" outlineLevel="0" collapsed="false">
      <c r="K770" s="0" t="str">
        <f aca="false">IF(H270="","",IF(SUMPRODUCT(--($C$2:$C$501=H270))&gt;0,"",H270))</f>
        <v/>
      </c>
      <c r="L770" s="0" t="str">
        <f aca="false">IF(K770="","",IF(ISNUMBER('List 2'!A270),'List 2'!A270,TRIM('List 2'!A270)))</f>
        <v/>
      </c>
      <c r="M770" s="0" t="str">
        <f aca="false">IF(K770="","",IF(ISNUMBER('List 2'!C270),'List 2'!C270,TRIM('List 2'!C270)))</f>
        <v/>
      </c>
      <c r="N770" s="0" t="str">
        <f aca="false">IF(K770="","",IF(ISNUMBER('List 2'!D270),'List 2'!D270,TRIM('List 2'!D270)))</f>
        <v/>
      </c>
      <c r="O770" s="0" t="str">
        <f aca="false">IF(K770="","",0)</f>
        <v/>
      </c>
      <c r="P770" s="0" t="str">
        <f aca="false">IF(K770="","",I270)</f>
        <v/>
      </c>
      <c r="Q770" s="0" t="str">
        <f aca="false">IF(K770="","",FALSE())</f>
        <v/>
      </c>
      <c r="R770" s="0" t="str">
        <f aca="false">IF(K770="","",TRUE())</f>
        <v/>
      </c>
      <c r="S770" s="0" t="str">
        <f aca="false">IF(K770="","",IF(AND(Q770,R770),IF(O770=P770,"Match","Qty Different"),IF(Q770,"Only in List 1","Only in List 2")))</f>
        <v/>
      </c>
      <c r="T770" s="0" t="str">
        <f aca="false">IF(K770="","",IF(ISNUMBER(--L770),TEXT(--L770,"000000000000.000"),LOWER(L770)))</f>
        <v/>
      </c>
      <c r="U770" s="0" t="str">
        <f aca="false">IF(K770="","",IF(ISNUMBER(--M770),TEXT(--M770,"000000000000.000"),LOWER(M770)))</f>
        <v/>
      </c>
      <c r="V770" s="0" t="str">
        <f aca="false">IF(K770="","",LOWER(N770))</f>
        <v/>
      </c>
      <c r="W770" s="0" t="str">
        <f aca="false">IF(K770="","",G270)</f>
        <v/>
      </c>
      <c r="X770" s="0" t="str">
        <f aca="false">IF(K770="","",1+SUMPRODUCT(($K$2:$K$1001&lt;&gt;"")*(($T$2:$T$1001&lt;T770)+($T$2:$T$1001=T770)*(($U$2:$U$1001&lt;U770)+($U$2:$U$1001=U770)*(($V$2:$V$1001&lt;V770)+($V$2:$V$1001=V770)*(($W$2:$W$1001&lt;W770)+($W$2:$W$1001=W770)*(ROW($K$2:$K$1001)&lt;ROW(K770))))))))</f>
        <v/>
      </c>
    </row>
    <row r="771" customFormat="false" ht="15" hidden="false" customHeight="false" outlineLevel="0" collapsed="false">
      <c r="K771" s="0" t="str">
        <f aca="false">IF(H271="","",IF(SUMPRODUCT(--($C$2:$C$501=H271))&gt;0,"",H271))</f>
        <v/>
      </c>
      <c r="L771" s="0" t="str">
        <f aca="false">IF(K771="","",IF(ISNUMBER('List 2'!A271),'List 2'!A271,TRIM('List 2'!A271)))</f>
        <v/>
      </c>
      <c r="M771" s="0" t="str">
        <f aca="false">IF(K771="","",IF(ISNUMBER('List 2'!C271),'List 2'!C271,TRIM('List 2'!C271)))</f>
        <v/>
      </c>
      <c r="N771" s="0" t="str">
        <f aca="false">IF(K771="","",IF(ISNUMBER('List 2'!D271),'List 2'!D271,TRIM('List 2'!D271)))</f>
        <v/>
      </c>
      <c r="O771" s="0" t="str">
        <f aca="false">IF(K771="","",0)</f>
        <v/>
      </c>
      <c r="P771" s="0" t="str">
        <f aca="false">IF(K771="","",I271)</f>
        <v/>
      </c>
      <c r="Q771" s="0" t="str">
        <f aca="false">IF(K771="","",FALSE())</f>
        <v/>
      </c>
      <c r="R771" s="0" t="str">
        <f aca="false">IF(K771="","",TRUE())</f>
        <v/>
      </c>
      <c r="S771" s="0" t="str">
        <f aca="false">IF(K771="","",IF(AND(Q771,R771),IF(O771=P771,"Match","Qty Different"),IF(Q771,"Only in List 1","Only in List 2")))</f>
        <v/>
      </c>
      <c r="T771" s="0" t="str">
        <f aca="false">IF(K771="","",IF(ISNUMBER(--L771),TEXT(--L771,"000000000000.000"),LOWER(L771)))</f>
        <v/>
      </c>
      <c r="U771" s="0" t="str">
        <f aca="false">IF(K771="","",IF(ISNUMBER(--M771),TEXT(--M771,"000000000000.000"),LOWER(M771)))</f>
        <v/>
      </c>
      <c r="V771" s="0" t="str">
        <f aca="false">IF(K771="","",LOWER(N771))</f>
        <v/>
      </c>
      <c r="W771" s="0" t="str">
        <f aca="false">IF(K771="","",G271)</f>
        <v/>
      </c>
      <c r="X771" s="0" t="str">
        <f aca="false">IF(K771="","",1+SUMPRODUCT(($K$2:$K$1001&lt;&gt;"")*(($T$2:$T$1001&lt;T771)+($T$2:$T$1001=T771)*(($U$2:$U$1001&lt;U771)+($U$2:$U$1001=U771)*(($V$2:$V$1001&lt;V771)+($V$2:$V$1001=V771)*(($W$2:$W$1001&lt;W771)+($W$2:$W$1001=W771)*(ROW($K$2:$K$1001)&lt;ROW(K771))))))))</f>
        <v/>
      </c>
    </row>
    <row r="772" customFormat="false" ht="15" hidden="false" customHeight="false" outlineLevel="0" collapsed="false">
      <c r="K772" s="0" t="str">
        <f aca="false">IF(H272="","",IF(SUMPRODUCT(--($C$2:$C$501=H272))&gt;0,"",H272))</f>
        <v/>
      </c>
      <c r="L772" s="0" t="str">
        <f aca="false">IF(K772="","",IF(ISNUMBER('List 2'!A272),'List 2'!A272,TRIM('List 2'!A272)))</f>
        <v/>
      </c>
      <c r="M772" s="0" t="str">
        <f aca="false">IF(K772="","",IF(ISNUMBER('List 2'!C272),'List 2'!C272,TRIM('List 2'!C272)))</f>
        <v/>
      </c>
      <c r="N772" s="0" t="str">
        <f aca="false">IF(K772="","",IF(ISNUMBER('List 2'!D272),'List 2'!D272,TRIM('List 2'!D272)))</f>
        <v/>
      </c>
      <c r="O772" s="0" t="str">
        <f aca="false">IF(K772="","",0)</f>
        <v/>
      </c>
      <c r="P772" s="0" t="str">
        <f aca="false">IF(K772="","",I272)</f>
        <v/>
      </c>
      <c r="Q772" s="0" t="str">
        <f aca="false">IF(K772="","",FALSE())</f>
        <v/>
      </c>
      <c r="R772" s="0" t="str">
        <f aca="false">IF(K772="","",TRUE())</f>
        <v/>
      </c>
      <c r="S772" s="0" t="str">
        <f aca="false">IF(K772="","",IF(AND(Q772,R772),IF(O772=P772,"Match","Qty Different"),IF(Q772,"Only in List 1","Only in List 2")))</f>
        <v/>
      </c>
      <c r="T772" s="0" t="str">
        <f aca="false">IF(K772="","",IF(ISNUMBER(--L772),TEXT(--L772,"000000000000.000"),LOWER(L772)))</f>
        <v/>
      </c>
      <c r="U772" s="0" t="str">
        <f aca="false">IF(K772="","",IF(ISNUMBER(--M772),TEXT(--M772,"000000000000.000"),LOWER(M772)))</f>
        <v/>
      </c>
      <c r="V772" s="0" t="str">
        <f aca="false">IF(K772="","",LOWER(N772))</f>
        <v/>
      </c>
      <c r="W772" s="0" t="str">
        <f aca="false">IF(K772="","",G272)</f>
        <v/>
      </c>
      <c r="X772" s="0" t="str">
        <f aca="false">IF(K772="","",1+SUMPRODUCT(($K$2:$K$1001&lt;&gt;"")*(($T$2:$T$1001&lt;T772)+($T$2:$T$1001=T772)*(($U$2:$U$1001&lt;U772)+($U$2:$U$1001=U772)*(($V$2:$V$1001&lt;V772)+($V$2:$V$1001=V772)*(($W$2:$W$1001&lt;W772)+($W$2:$W$1001=W772)*(ROW($K$2:$K$1001)&lt;ROW(K772))))))))</f>
        <v/>
      </c>
    </row>
    <row r="773" customFormat="false" ht="15" hidden="false" customHeight="false" outlineLevel="0" collapsed="false">
      <c r="K773" s="0" t="str">
        <f aca="false">IF(H273="","",IF(SUMPRODUCT(--($C$2:$C$501=H273))&gt;0,"",H273))</f>
        <v/>
      </c>
      <c r="L773" s="0" t="str">
        <f aca="false">IF(K773="","",IF(ISNUMBER('List 2'!A273),'List 2'!A273,TRIM('List 2'!A273)))</f>
        <v/>
      </c>
      <c r="M773" s="0" t="str">
        <f aca="false">IF(K773="","",IF(ISNUMBER('List 2'!C273),'List 2'!C273,TRIM('List 2'!C273)))</f>
        <v/>
      </c>
      <c r="N773" s="0" t="str">
        <f aca="false">IF(K773="","",IF(ISNUMBER('List 2'!D273),'List 2'!D273,TRIM('List 2'!D273)))</f>
        <v/>
      </c>
      <c r="O773" s="0" t="str">
        <f aca="false">IF(K773="","",0)</f>
        <v/>
      </c>
      <c r="P773" s="0" t="str">
        <f aca="false">IF(K773="","",I273)</f>
        <v/>
      </c>
      <c r="Q773" s="0" t="str">
        <f aca="false">IF(K773="","",FALSE())</f>
        <v/>
      </c>
      <c r="R773" s="0" t="str">
        <f aca="false">IF(K773="","",TRUE())</f>
        <v/>
      </c>
      <c r="S773" s="0" t="str">
        <f aca="false">IF(K773="","",IF(AND(Q773,R773),IF(O773=P773,"Match","Qty Different"),IF(Q773,"Only in List 1","Only in List 2")))</f>
        <v/>
      </c>
      <c r="T773" s="0" t="str">
        <f aca="false">IF(K773="","",IF(ISNUMBER(--L773),TEXT(--L773,"000000000000.000"),LOWER(L773)))</f>
        <v/>
      </c>
      <c r="U773" s="0" t="str">
        <f aca="false">IF(K773="","",IF(ISNUMBER(--M773),TEXT(--M773,"000000000000.000"),LOWER(M773)))</f>
        <v/>
      </c>
      <c r="V773" s="0" t="str">
        <f aca="false">IF(K773="","",LOWER(N773))</f>
        <v/>
      </c>
      <c r="W773" s="0" t="str">
        <f aca="false">IF(K773="","",G273)</f>
        <v/>
      </c>
      <c r="X773" s="0" t="str">
        <f aca="false">IF(K773="","",1+SUMPRODUCT(($K$2:$K$1001&lt;&gt;"")*(($T$2:$T$1001&lt;T773)+($T$2:$T$1001=T773)*(($U$2:$U$1001&lt;U773)+($U$2:$U$1001=U773)*(($V$2:$V$1001&lt;V773)+($V$2:$V$1001=V773)*(($W$2:$W$1001&lt;W773)+($W$2:$W$1001=W773)*(ROW($K$2:$K$1001)&lt;ROW(K773))))))))</f>
        <v/>
      </c>
    </row>
    <row r="774" customFormat="false" ht="15" hidden="false" customHeight="false" outlineLevel="0" collapsed="false">
      <c r="K774" s="0" t="str">
        <f aca="false">IF(H274="","",IF(SUMPRODUCT(--($C$2:$C$501=H274))&gt;0,"",H274))</f>
        <v/>
      </c>
      <c r="L774" s="0" t="str">
        <f aca="false">IF(K774="","",IF(ISNUMBER('List 2'!A274),'List 2'!A274,TRIM('List 2'!A274)))</f>
        <v/>
      </c>
      <c r="M774" s="0" t="str">
        <f aca="false">IF(K774="","",IF(ISNUMBER('List 2'!C274),'List 2'!C274,TRIM('List 2'!C274)))</f>
        <v/>
      </c>
      <c r="N774" s="0" t="str">
        <f aca="false">IF(K774="","",IF(ISNUMBER('List 2'!D274),'List 2'!D274,TRIM('List 2'!D274)))</f>
        <v/>
      </c>
      <c r="O774" s="0" t="str">
        <f aca="false">IF(K774="","",0)</f>
        <v/>
      </c>
      <c r="P774" s="0" t="str">
        <f aca="false">IF(K774="","",I274)</f>
        <v/>
      </c>
      <c r="Q774" s="0" t="str">
        <f aca="false">IF(K774="","",FALSE())</f>
        <v/>
      </c>
      <c r="R774" s="0" t="str">
        <f aca="false">IF(K774="","",TRUE())</f>
        <v/>
      </c>
      <c r="S774" s="0" t="str">
        <f aca="false">IF(K774="","",IF(AND(Q774,R774),IF(O774=P774,"Match","Qty Different"),IF(Q774,"Only in List 1","Only in List 2")))</f>
        <v/>
      </c>
      <c r="T774" s="0" t="str">
        <f aca="false">IF(K774="","",IF(ISNUMBER(--L774),TEXT(--L774,"000000000000.000"),LOWER(L774)))</f>
        <v/>
      </c>
      <c r="U774" s="0" t="str">
        <f aca="false">IF(K774="","",IF(ISNUMBER(--M774),TEXT(--M774,"000000000000.000"),LOWER(M774)))</f>
        <v/>
      </c>
      <c r="V774" s="0" t="str">
        <f aca="false">IF(K774="","",LOWER(N774))</f>
        <v/>
      </c>
      <c r="W774" s="0" t="str">
        <f aca="false">IF(K774="","",G274)</f>
        <v/>
      </c>
      <c r="X774" s="0" t="str">
        <f aca="false">IF(K774="","",1+SUMPRODUCT(($K$2:$K$1001&lt;&gt;"")*(($T$2:$T$1001&lt;T774)+($T$2:$T$1001=T774)*(($U$2:$U$1001&lt;U774)+($U$2:$U$1001=U774)*(($V$2:$V$1001&lt;V774)+($V$2:$V$1001=V774)*(($W$2:$W$1001&lt;W774)+($W$2:$W$1001=W774)*(ROW($K$2:$K$1001)&lt;ROW(K774))))))))</f>
        <v/>
      </c>
    </row>
    <row r="775" customFormat="false" ht="15" hidden="false" customHeight="false" outlineLevel="0" collapsed="false">
      <c r="K775" s="0" t="str">
        <f aca="false">IF(H275="","",IF(SUMPRODUCT(--($C$2:$C$501=H275))&gt;0,"",H275))</f>
        <v/>
      </c>
      <c r="L775" s="0" t="str">
        <f aca="false">IF(K775="","",IF(ISNUMBER('List 2'!A275),'List 2'!A275,TRIM('List 2'!A275)))</f>
        <v/>
      </c>
      <c r="M775" s="0" t="str">
        <f aca="false">IF(K775="","",IF(ISNUMBER('List 2'!C275),'List 2'!C275,TRIM('List 2'!C275)))</f>
        <v/>
      </c>
      <c r="N775" s="0" t="str">
        <f aca="false">IF(K775="","",IF(ISNUMBER('List 2'!D275),'List 2'!D275,TRIM('List 2'!D275)))</f>
        <v/>
      </c>
      <c r="O775" s="0" t="str">
        <f aca="false">IF(K775="","",0)</f>
        <v/>
      </c>
      <c r="P775" s="0" t="str">
        <f aca="false">IF(K775="","",I275)</f>
        <v/>
      </c>
      <c r="Q775" s="0" t="str">
        <f aca="false">IF(K775="","",FALSE())</f>
        <v/>
      </c>
      <c r="R775" s="0" t="str">
        <f aca="false">IF(K775="","",TRUE())</f>
        <v/>
      </c>
      <c r="S775" s="0" t="str">
        <f aca="false">IF(K775="","",IF(AND(Q775,R775),IF(O775=P775,"Match","Qty Different"),IF(Q775,"Only in List 1","Only in List 2")))</f>
        <v/>
      </c>
      <c r="T775" s="0" t="str">
        <f aca="false">IF(K775="","",IF(ISNUMBER(--L775),TEXT(--L775,"000000000000.000"),LOWER(L775)))</f>
        <v/>
      </c>
      <c r="U775" s="0" t="str">
        <f aca="false">IF(K775="","",IF(ISNUMBER(--M775),TEXT(--M775,"000000000000.000"),LOWER(M775)))</f>
        <v/>
      </c>
      <c r="V775" s="0" t="str">
        <f aca="false">IF(K775="","",LOWER(N775))</f>
        <v/>
      </c>
      <c r="W775" s="0" t="str">
        <f aca="false">IF(K775="","",G275)</f>
        <v/>
      </c>
      <c r="X775" s="0" t="str">
        <f aca="false">IF(K775="","",1+SUMPRODUCT(($K$2:$K$1001&lt;&gt;"")*(($T$2:$T$1001&lt;T775)+($T$2:$T$1001=T775)*(($U$2:$U$1001&lt;U775)+($U$2:$U$1001=U775)*(($V$2:$V$1001&lt;V775)+($V$2:$V$1001=V775)*(($W$2:$W$1001&lt;W775)+($W$2:$W$1001=W775)*(ROW($K$2:$K$1001)&lt;ROW(K775))))))))</f>
        <v/>
      </c>
    </row>
    <row r="776" customFormat="false" ht="15" hidden="false" customHeight="false" outlineLevel="0" collapsed="false">
      <c r="K776" s="0" t="str">
        <f aca="false">IF(H276="","",IF(SUMPRODUCT(--($C$2:$C$501=H276))&gt;0,"",H276))</f>
        <v/>
      </c>
      <c r="L776" s="0" t="str">
        <f aca="false">IF(K776="","",IF(ISNUMBER('List 2'!A276),'List 2'!A276,TRIM('List 2'!A276)))</f>
        <v/>
      </c>
      <c r="M776" s="0" t="str">
        <f aca="false">IF(K776="","",IF(ISNUMBER('List 2'!C276),'List 2'!C276,TRIM('List 2'!C276)))</f>
        <v/>
      </c>
      <c r="N776" s="0" t="str">
        <f aca="false">IF(K776="","",IF(ISNUMBER('List 2'!D276),'List 2'!D276,TRIM('List 2'!D276)))</f>
        <v/>
      </c>
      <c r="O776" s="0" t="str">
        <f aca="false">IF(K776="","",0)</f>
        <v/>
      </c>
      <c r="P776" s="0" t="str">
        <f aca="false">IF(K776="","",I276)</f>
        <v/>
      </c>
      <c r="Q776" s="0" t="str">
        <f aca="false">IF(K776="","",FALSE())</f>
        <v/>
      </c>
      <c r="R776" s="0" t="str">
        <f aca="false">IF(K776="","",TRUE())</f>
        <v/>
      </c>
      <c r="S776" s="0" t="str">
        <f aca="false">IF(K776="","",IF(AND(Q776,R776),IF(O776=P776,"Match","Qty Different"),IF(Q776,"Only in List 1","Only in List 2")))</f>
        <v/>
      </c>
      <c r="T776" s="0" t="str">
        <f aca="false">IF(K776="","",IF(ISNUMBER(--L776),TEXT(--L776,"000000000000.000"),LOWER(L776)))</f>
        <v/>
      </c>
      <c r="U776" s="0" t="str">
        <f aca="false">IF(K776="","",IF(ISNUMBER(--M776),TEXT(--M776,"000000000000.000"),LOWER(M776)))</f>
        <v/>
      </c>
      <c r="V776" s="0" t="str">
        <f aca="false">IF(K776="","",LOWER(N776))</f>
        <v/>
      </c>
      <c r="W776" s="0" t="str">
        <f aca="false">IF(K776="","",G276)</f>
        <v/>
      </c>
      <c r="X776" s="0" t="str">
        <f aca="false">IF(K776="","",1+SUMPRODUCT(($K$2:$K$1001&lt;&gt;"")*(($T$2:$T$1001&lt;T776)+($T$2:$T$1001=T776)*(($U$2:$U$1001&lt;U776)+($U$2:$U$1001=U776)*(($V$2:$V$1001&lt;V776)+($V$2:$V$1001=V776)*(($W$2:$W$1001&lt;W776)+($W$2:$W$1001=W776)*(ROW($K$2:$K$1001)&lt;ROW(K776))))))))</f>
        <v/>
      </c>
    </row>
    <row r="777" customFormat="false" ht="15" hidden="false" customHeight="false" outlineLevel="0" collapsed="false">
      <c r="K777" s="0" t="str">
        <f aca="false">IF(H277="","",IF(SUMPRODUCT(--($C$2:$C$501=H277))&gt;0,"",H277))</f>
        <v/>
      </c>
      <c r="L777" s="0" t="str">
        <f aca="false">IF(K777="","",IF(ISNUMBER('List 2'!A277),'List 2'!A277,TRIM('List 2'!A277)))</f>
        <v/>
      </c>
      <c r="M777" s="0" t="str">
        <f aca="false">IF(K777="","",IF(ISNUMBER('List 2'!C277),'List 2'!C277,TRIM('List 2'!C277)))</f>
        <v/>
      </c>
      <c r="N777" s="0" t="str">
        <f aca="false">IF(K777="","",IF(ISNUMBER('List 2'!D277),'List 2'!D277,TRIM('List 2'!D277)))</f>
        <v/>
      </c>
      <c r="O777" s="0" t="str">
        <f aca="false">IF(K777="","",0)</f>
        <v/>
      </c>
      <c r="P777" s="0" t="str">
        <f aca="false">IF(K777="","",I277)</f>
        <v/>
      </c>
      <c r="Q777" s="0" t="str">
        <f aca="false">IF(K777="","",FALSE())</f>
        <v/>
      </c>
      <c r="R777" s="0" t="str">
        <f aca="false">IF(K777="","",TRUE())</f>
        <v/>
      </c>
      <c r="S777" s="0" t="str">
        <f aca="false">IF(K777="","",IF(AND(Q777,R777),IF(O777=P777,"Match","Qty Different"),IF(Q777,"Only in List 1","Only in List 2")))</f>
        <v/>
      </c>
      <c r="T777" s="0" t="str">
        <f aca="false">IF(K777="","",IF(ISNUMBER(--L777),TEXT(--L777,"000000000000.000"),LOWER(L777)))</f>
        <v/>
      </c>
      <c r="U777" s="0" t="str">
        <f aca="false">IF(K777="","",IF(ISNUMBER(--M777),TEXT(--M777,"000000000000.000"),LOWER(M777)))</f>
        <v/>
      </c>
      <c r="V777" s="0" t="str">
        <f aca="false">IF(K777="","",LOWER(N777))</f>
        <v/>
      </c>
      <c r="W777" s="0" t="str">
        <f aca="false">IF(K777="","",G277)</f>
        <v/>
      </c>
      <c r="X777" s="0" t="str">
        <f aca="false">IF(K777="","",1+SUMPRODUCT(($K$2:$K$1001&lt;&gt;"")*(($T$2:$T$1001&lt;T777)+($T$2:$T$1001=T777)*(($U$2:$U$1001&lt;U777)+($U$2:$U$1001=U777)*(($V$2:$V$1001&lt;V777)+($V$2:$V$1001=V777)*(($W$2:$W$1001&lt;W777)+($W$2:$W$1001=W777)*(ROW($K$2:$K$1001)&lt;ROW(K777))))))))</f>
        <v/>
      </c>
    </row>
    <row r="778" customFormat="false" ht="15" hidden="false" customHeight="false" outlineLevel="0" collapsed="false">
      <c r="K778" s="0" t="str">
        <f aca="false">IF(H278="","",IF(SUMPRODUCT(--($C$2:$C$501=H278))&gt;0,"",H278))</f>
        <v/>
      </c>
      <c r="L778" s="0" t="str">
        <f aca="false">IF(K778="","",IF(ISNUMBER('List 2'!A278),'List 2'!A278,TRIM('List 2'!A278)))</f>
        <v/>
      </c>
      <c r="M778" s="0" t="str">
        <f aca="false">IF(K778="","",IF(ISNUMBER('List 2'!C278),'List 2'!C278,TRIM('List 2'!C278)))</f>
        <v/>
      </c>
      <c r="N778" s="0" t="str">
        <f aca="false">IF(K778="","",IF(ISNUMBER('List 2'!D278),'List 2'!D278,TRIM('List 2'!D278)))</f>
        <v/>
      </c>
      <c r="O778" s="0" t="str">
        <f aca="false">IF(K778="","",0)</f>
        <v/>
      </c>
      <c r="P778" s="0" t="str">
        <f aca="false">IF(K778="","",I278)</f>
        <v/>
      </c>
      <c r="Q778" s="0" t="str">
        <f aca="false">IF(K778="","",FALSE())</f>
        <v/>
      </c>
      <c r="R778" s="0" t="str">
        <f aca="false">IF(K778="","",TRUE())</f>
        <v/>
      </c>
      <c r="S778" s="0" t="str">
        <f aca="false">IF(K778="","",IF(AND(Q778,R778),IF(O778=P778,"Match","Qty Different"),IF(Q778,"Only in List 1","Only in List 2")))</f>
        <v/>
      </c>
      <c r="T778" s="0" t="str">
        <f aca="false">IF(K778="","",IF(ISNUMBER(--L778),TEXT(--L778,"000000000000.000"),LOWER(L778)))</f>
        <v/>
      </c>
      <c r="U778" s="0" t="str">
        <f aca="false">IF(K778="","",IF(ISNUMBER(--M778),TEXT(--M778,"000000000000.000"),LOWER(M778)))</f>
        <v/>
      </c>
      <c r="V778" s="0" t="str">
        <f aca="false">IF(K778="","",LOWER(N778))</f>
        <v/>
      </c>
      <c r="W778" s="0" t="str">
        <f aca="false">IF(K778="","",G278)</f>
        <v/>
      </c>
      <c r="X778" s="0" t="str">
        <f aca="false">IF(K778="","",1+SUMPRODUCT(($K$2:$K$1001&lt;&gt;"")*(($T$2:$T$1001&lt;T778)+($T$2:$T$1001=T778)*(($U$2:$U$1001&lt;U778)+($U$2:$U$1001=U778)*(($V$2:$V$1001&lt;V778)+($V$2:$V$1001=V778)*(($W$2:$W$1001&lt;W778)+($W$2:$W$1001=W778)*(ROW($K$2:$K$1001)&lt;ROW(K778))))))))</f>
        <v/>
      </c>
    </row>
    <row r="779" customFormat="false" ht="15" hidden="false" customHeight="false" outlineLevel="0" collapsed="false">
      <c r="K779" s="0" t="str">
        <f aca="false">IF(H279="","",IF(SUMPRODUCT(--($C$2:$C$501=H279))&gt;0,"",H279))</f>
        <v/>
      </c>
      <c r="L779" s="0" t="str">
        <f aca="false">IF(K779="","",IF(ISNUMBER('List 2'!A279),'List 2'!A279,TRIM('List 2'!A279)))</f>
        <v/>
      </c>
      <c r="M779" s="0" t="str">
        <f aca="false">IF(K779="","",IF(ISNUMBER('List 2'!C279),'List 2'!C279,TRIM('List 2'!C279)))</f>
        <v/>
      </c>
      <c r="N779" s="0" t="str">
        <f aca="false">IF(K779="","",IF(ISNUMBER('List 2'!D279),'List 2'!D279,TRIM('List 2'!D279)))</f>
        <v/>
      </c>
      <c r="O779" s="0" t="str">
        <f aca="false">IF(K779="","",0)</f>
        <v/>
      </c>
      <c r="P779" s="0" t="str">
        <f aca="false">IF(K779="","",I279)</f>
        <v/>
      </c>
      <c r="Q779" s="0" t="str">
        <f aca="false">IF(K779="","",FALSE())</f>
        <v/>
      </c>
      <c r="R779" s="0" t="str">
        <f aca="false">IF(K779="","",TRUE())</f>
        <v/>
      </c>
      <c r="S779" s="0" t="str">
        <f aca="false">IF(K779="","",IF(AND(Q779,R779),IF(O779=P779,"Match","Qty Different"),IF(Q779,"Only in List 1","Only in List 2")))</f>
        <v/>
      </c>
      <c r="T779" s="0" t="str">
        <f aca="false">IF(K779="","",IF(ISNUMBER(--L779),TEXT(--L779,"000000000000.000"),LOWER(L779)))</f>
        <v/>
      </c>
      <c r="U779" s="0" t="str">
        <f aca="false">IF(K779="","",IF(ISNUMBER(--M779),TEXT(--M779,"000000000000.000"),LOWER(M779)))</f>
        <v/>
      </c>
      <c r="V779" s="0" t="str">
        <f aca="false">IF(K779="","",LOWER(N779))</f>
        <v/>
      </c>
      <c r="W779" s="0" t="str">
        <f aca="false">IF(K779="","",G279)</f>
        <v/>
      </c>
      <c r="X779" s="0" t="str">
        <f aca="false">IF(K779="","",1+SUMPRODUCT(($K$2:$K$1001&lt;&gt;"")*(($T$2:$T$1001&lt;T779)+($T$2:$T$1001=T779)*(($U$2:$U$1001&lt;U779)+($U$2:$U$1001=U779)*(($V$2:$V$1001&lt;V779)+($V$2:$V$1001=V779)*(($W$2:$W$1001&lt;W779)+($W$2:$W$1001=W779)*(ROW($K$2:$K$1001)&lt;ROW(K779))))))))</f>
        <v/>
      </c>
    </row>
    <row r="780" customFormat="false" ht="15" hidden="false" customHeight="false" outlineLevel="0" collapsed="false">
      <c r="K780" s="0" t="str">
        <f aca="false">IF(H280="","",IF(SUMPRODUCT(--($C$2:$C$501=H280))&gt;0,"",H280))</f>
        <v/>
      </c>
      <c r="L780" s="0" t="str">
        <f aca="false">IF(K780="","",IF(ISNUMBER('List 2'!A280),'List 2'!A280,TRIM('List 2'!A280)))</f>
        <v/>
      </c>
      <c r="M780" s="0" t="str">
        <f aca="false">IF(K780="","",IF(ISNUMBER('List 2'!C280),'List 2'!C280,TRIM('List 2'!C280)))</f>
        <v/>
      </c>
      <c r="N780" s="0" t="str">
        <f aca="false">IF(K780="","",IF(ISNUMBER('List 2'!D280),'List 2'!D280,TRIM('List 2'!D280)))</f>
        <v/>
      </c>
      <c r="O780" s="0" t="str">
        <f aca="false">IF(K780="","",0)</f>
        <v/>
      </c>
      <c r="P780" s="0" t="str">
        <f aca="false">IF(K780="","",I280)</f>
        <v/>
      </c>
      <c r="Q780" s="0" t="str">
        <f aca="false">IF(K780="","",FALSE())</f>
        <v/>
      </c>
      <c r="R780" s="0" t="str">
        <f aca="false">IF(K780="","",TRUE())</f>
        <v/>
      </c>
      <c r="S780" s="0" t="str">
        <f aca="false">IF(K780="","",IF(AND(Q780,R780),IF(O780=P780,"Match","Qty Different"),IF(Q780,"Only in List 1","Only in List 2")))</f>
        <v/>
      </c>
      <c r="T780" s="0" t="str">
        <f aca="false">IF(K780="","",IF(ISNUMBER(--L780),TEXT(--L780,"000000000000.000"),LOWER(L780)))</f>
        <v/>
      </c>
      <c r="U780" s="0" t="str">
        <f aca="false">IF(K780="","",IF(ISNUMBER(--M780),TEXT(--M780,"000000000000.000"),LOWER(M780)))</f>
        <v/>
      </c>
      <c r="V780" s="0" t="str">
        <f aca="false">IF(K780="","",LOWER(N780))</f>
        <v/>
      </c>
      <c r="W780" s="0" t="str">
        <f aca="false">IF(K780="","",G280)</f>
        <v/>
      </c>
      <c r="X780" s="0" t="str">
        <f aca="false">IF(K780="","",1+SUMPRODUCT(($K$2:$K$1001&lt;&gt;"")*(($T$2:$T$1001&lt;T780)+($T$2:$T$1001=T780)*(($U$2:$U$1001&lt;U780)+($U$2:$U$1001=U780)*(($V$2:$V$1001&lt;V780)+($V$2:$V$1001=V780)*(($W$2:$W$1001&lt;W780)+($W$2:$W$1001=W780)*(ROW($K$2:$K$1001)&lt;ROW(K780))))))))</f>
        <v/>
      </c>
    </row>
    <row r="781" customFormat="false" ht="15" hidden="false" customHeight="false" outlineLevel="0" collapsed="false">
      <c r="K781" s="0" t="str">
        <f aca="false">IF(H281="","",IF(SUMPRODUCT(--($C$2:$C$501=H281))&gt;0,"",H281))</f>
        <v/>
      </c>
      <c r="L781" s="0" t="str">
        <f aca="false">IF(K781="","",IF(ISNUMBER('List 2'!A281),'List 2'!A281,TRIM('List 2'!A281)))</f>
        <v/>
      </c>
      <c r="M781" s="0" t="str">
        <f aca="false">IF(K781="","",IF(ISNUMBER('List 2'!C281),'List 2'!C281,TRIM('List 2'!C281)))</f>
        <v/>
      </c>
      <c r="N781" s="0" t="str">
        <f aca="false">IF(K781="","",IF(ISNUMBER('List 2'!D281),'List 2'!D281,TRIM('List 2'!D281)))</f>
        <v/>
      </c>
      <c r="O781" s="0" t="str">
        <f aca="false">IF(K781="","",0)</f>
        <v/>
      </c>
      <c r="P781" s="0" t="str">
        <f aca="false">IF(K781="","",I281)</f>
        <v/>
      </c>
      <c r="Q781" s="0" t="str">
        <f aca="false">IF(K781="","",FALSE())</f>
        <v/>
      </c>
      <c r="R781" s="0" t="str">
        <f aca="false">IF(K781="","",TRUE())</f>
        <v/>
      </c>
      <c r="S781" s="0" t="str">
        <f aca="false">IF(K781="","",IF(AND(Q781,R781),IF(O781=P781,"Match","Qty Different"),IF(Q781,"Only in List 1","Only in List 2")))</f>
        <v/>
      </c>
      <c r="T781" s="0" t="str">
        <f aca="false">IF(K781="","",IF(ISNUMBER(--L781),TEXT(--L781,"000000000000.000"),LOWER(L781)))</f>
        <v/>
      </c>
      <c r="U781" s="0" t="str">
        <f aca="false">IF(K781="","",IF(ISNUMBER(--M781),TEXT(--M781,"000000000000.000"),LOWER(M781)))</f>
        <v/>
      </c>
      <c r="V781" s="0" t="str">
        <f aca="false">IF(K781="","",LOWER(N781))</f>
        <v/>
      </c>
      <c r="W781" s="0" t="str">
        <f aca="false">IF(K781="","",G281)</f>
        <v/>
      </c>
      <c r="X781" s="0" t="str">
        <f aca="false">IF(K781="","",1+SUMPRODUCT(($K$2:$K$1001&lt;&gt;"")*(($T$2:$T$1001&lt;T781)+($T$2:$T$1001=T781)*(($U$2:$U$1001&lt;U781)+($U$2:$U$1001=U781)*(($V$2:$V$1001&lt;V781)+($V$2:$V$1001=V781)*(($W$2:$W$1001&lt;W781)+($W$2:$W$1001=W781)*(ROW($K$2:$K$1001)&lt;ROW(K781))))))))</f>
        <v/>
      </c>
    </row>
    <row r="782" customFormat="false" ht="15" hidden="false" customHeight="false" outlineLevel="0" collapsed="false">
      <c r="K782" s="0" t="str">
        <f aca="false">IF(H282="","",IF(SUMPRODUCT(--($C$2:$C$501=H282))&gt;0,"",H282))</f>
        <v/>
      </c>
      <c r="L782" s="0" t="str">
        <f aca="false">IF(K782="","",IF(ISNUMBER('List 2'!A282),'List 2'!A282,TRIM('List 2'!A282)))</f>
        <v/>
      </c>
      <c r="M782" s="0" t="str">
        <f aca="false">IF(K782="","",IF(ISNUMBER('List 2'!C282),'List 2'!C282,TRIM('List 2'!C282)))</f>
        <v/>
      </c>
      <c r="N782" s="0" t="str">
        <f aca="false">IF(K782="","",IF(ISNUMBER('List 2'!D282),'List 2'!D282,TRIM('List 2'!D282)))</f>
        <v/>
      </c>
      <c r="O782" s="0" t="str">
        <f aca="false">IF(K782="","",0)</f>
        <v/>
      </c>
      <c r="P782" s="0" t="str">
        <f aca="false">IF(K782="","",I282)</f>
        <v/>
      </c>
      <c r="Q782" s="0" t="str">
        <f aca="false">IF(K782="","",FALSE())</f>
        <v/>
      </c>
      <c r="R782" s="0" t="str">
        <f aca="false">IF(K782="","",TRUE())</f>
        <v/>
      </c>
      <c r="S782" s="0" t="str">
        <f aca="false">IF(K782="","",IF(AND(Q782,R782),IF(O782=P782,"Match","Qty Different"),IF(Q782,"Only in List 1","Only in List 2")))</f>
        <v/>
      </c>
      <c r="T782" s="0" t="str">
        <f aca="false">IF(K782="","",IF(ISNUMBER(--L782),TEXT(--L782,"000000000000.000"),LOWER(L782)))</f>
        <v/>
      </c>
      <c r="U782" s="0" t="str">
        <f aca="false">IF(K782="","",IF(ISNUMBER(--M782),TEXT(--M782,"000000000000.000"),LOWER(M782)))</f>
        <v/>
      </c>
      <c r="V782" s="0" t="str">
        <f aca="false">IF(K782="","",LOWER(N782))</f>
        <v/>
      </c>
      <c r="W782" s="0" t="str">
        <f aca="false">IF(K782="","",G282)</f>
        <v/>
      </c>
      <c r="X782" s="0" t="str">
        <f aca="false">IF(K782="","",1+SUMPRODUCT(($K$2:$K$1001&lt;&gt;"")*(($T$2:$T$1001&lt;T782)+($T$2:$T$1001=T782)*(($U$2:$U$1001&lt;U782)+($U$2:$U$1001=U782)*(($V$2:$V$1001&lt;V782)+($V$2:$V$1001=V782)*(($W$2:$W$1001&lt;W782)+($W$2:$W$1001=W782)*(ROW($K$2:$K$1001)&lt;ROW(K782))))))))</f>
        <v/>
      </c>
    </row>
    <row r="783" customFormat="false" ht="15" hidden="false" customHeight="false" outlineLevel="0" collapsed="false">
      <c r="K783" s="0" t="str">
        <f aca="false">IF(H283="","",IF(SUMPRODUCT(--($C$2:$C$501=H283))&gt;0,"",H283))</f>
        <v/>
      </c>
      <c r="L783" s="0" t="str">
        <f aca="false">IF(K783="","",IF(ISNUMBER('List 2'!A283),'List 2'!A283,TRIM('List 2'!A283)))</f>
        <v/>
      </c>
      <c r="M783" s="0" t="str">
        <f aca="false">IF(K783="","",IF(ISNUMBER('List 2'!C283),'List 2'!C283,TRIM('List 2'!C283)))</f>
        <v/>
      </c>
      <c r="N783" s="0" t="str">
        <f aca="false">IF(K783="","",IF(ISNUMBER('List 2'!D283),'List 2'!D283,TRIM('List 2'!D283)))</f>
        <v/>
      </c>
      <c r="O783" s="0" t="str">
        <f aca="false">IF(K783="","",0)</f>
        <v/>
      </c>
      <c r="P783" s="0" t="str">
        <f aca="false">IF(K783="","",I283)</f>
        <v/>
      </c>
      <c r="Q783" s="0" t="str">
        <f aca="false">IF(K783="","",FALSE())</f>
        <v/>
      </c>
      <c r="R783" s="0" t="str">
        <f aca="false">IF(K783="","",TRUE())</f>
        <v/>
      </c>
      <c r="S783" s="0" t="str">
        <f aca="false">IF(K783="","",IF(AND(Q783,R783),IF(O783=P783,"Match","Qty Different"),IF(Q783,"Only in List 1","Only in List 2")))</f>
        <v/>
      </c>
      <c r="T783" s="0" t="str">
        <f aca="false">IF(K783="","",IF(ISNUMBER(--L783),TEXT(--L783,"000000000000.000"),LOWER(L783)))</f>
        <v/>
      </c>
      <c r="U783" s="0" t="str">
        <f aca="false">IF(K783="","",IF(ISNUMBER(--M783),TEXT(--M783,"000000000000.000"),LOWER(M783)))</f>
        <v/>
      </c>
      <c r="V783" s="0" t="str">
        <f aca="false">IF(K783="","",LOWER(N783))</f>
        <v/>
      </c>
      <c r="W783" s="0" t="str">
        <f aca="false">IF(K783="","",G283)</f>
        <v/>
      </c>
      <c r="X783" s="0" t="str">
        <f aca="false">IF(K783="","",1+SUMPRODUCT(($K$2:$K$1001&lt;&gt;"")*(($T$2:$T$1001&lt;T783)+($T$2:$T$1001=T783)*(($U$2:$U$1001&lt;U783)+($U$2:$U$1001=U783)*(($V$2:$V$1001&lt;V783)+($V$2:$V$1001=V783)*(($W$2:$W$1001&lt;W783)+($W$2:$W$1001=W783)*(ROW($K$2:$K$1001)&lt;ROW(K783))))))))</f>
        <v/>
      </c>
    </row>
    <row r="784" customFormat="false" ht="15" hidden="false" customHeight="false" outlineLevel="0" collapsed="false">
      <c r="K784" s="0" t="str">
        <f aca="false">IF(H284="","",IF(SUMPRODUCT(--($C$2:$C$501=H284))&gt;0,"",H284))</f>
        <v/>
      </c>
      <c r="L784" s="0" t="str">
        <f aca="false">IF(K784="","",IF(ISNUMBER('List 2'!A284),'List 2'!A284,TRIM('List 2'!A284)))</f>
        <v/>
      </c>
      <c r="M784" s="0" t="str">
        <f aca="false">IF(K784="","",IF(ISNUMBER('List 2'!C284),'List 2'!C284,TRIM('List 2'!C284)))</f>
        <v/>
      </c>
      <c r="N784" s="0" t="str">
        <f aca="false">IF(K784="","",IF(ISNUMBER('List 2'!D284),'List 2'!D284,TRIM('List 2'!D284)))</f>
        <v/>
      </c>
      <c r="O784" s="0" t="str">
        <f aca="false">IF(K784="","",0)</f>
        <v/>
      </c>
      <c r="P784" s="0" t="str">
        <f aca="false">IF(K784="","",I284)</f>
        <v/>
      </c>
      <c r="Q784" s="0" t="str">
        <f aca="false">IF(K784="","",FALSE())</f>
        <v/>
      </c>
      <c r="R784" s="0" t="str">
        <f aca="false">IF(K784="","",TRUE())</f>
        <v/>
      </c>
      <c r="S784" s="0" t="str">
        <f aca="false">IF(K784="","",IF(AND(Q784,R784),IF(O784=P784,"Match","Qty Different"),IF(Q784,"Only in List 1","Only in List 2")))</f>
        <v/>
      </c>
      <c r="T784" s="0" t="str">
        <f aca="false">IF(K784="","",IF(ISNUMBER(--L784),TEXT(--L784,"000000000000.000"),LOWER(L784)))</f>
        <v/>
      </c>
      <c r="U784" s="0" t="str">
        <f aca="false">IF(K784="","",IF(ISNUMBER(--M784),TEXT(--M784,"000000000000.000"),LOWER(M784)))</f>
        <v/>
      </c>
      <c r="V784" s="0" t="str">
        <f aca="false">IF(K784="","",LOWER(N784))</f>
        <v/>
      </c>
      <c r="W784" s="0" t="str">
        <f aca="false">IF(K784="","",G284)</f>
        <v/>
      </c>
      <c r="X784" s="0" t="str">
        <f aca="false">IF(K784="","",1+SUMPRODUCT(($K$2:$K$1001&lt;&gt;"")*(($T$2:$T$1001&lt;T784)+($T$2:$T$1001=T784)*(($U$2:$U$1001&lt;U784)+($U$2:$U$1001=U784)*(($V$2:$V$1001&lt;V784)+($V$2:$V$1001=V784)*(($W$2:$W$1001&lt;W784)+($W$2:$W$1001=W784)*(ROW($K$2:$K$1001)&lt;ROW(K784))))))))</f>
        <v/>
      </c>
    </row>
    <row r="785" customFormat="false" ht="15" hidden="false" customHeight="false" outlineLevel="0" collapsed="false">
      <c r="K785" s="0" t="str">
        <f aca="false">IF(H285="","",IF(SUMPRODUCT(--($C$2:$C$501=H285))&gt;0,"",H285))</f>
        <v/>
      </c>
      <c r="L785" s="0" t="str">
        <f aca="false">IF(K785="","",IF(ISNUMBER('List 2'!A285),'List 2'!A285,TRIM('List 2'!A285)))</f>
        <v/>
      </c>
      <c r="M785" s="0" t="str">
        <f aca="false">IF(K785="","",IF(ISNUMBER('List 2'!C285),'List 2'!C285,TRIM('List 2'!C285)))</f>
        <v/>
      </c>
      <c r="N785" s="0" t="str">
        <f aca="false">IF(K785="","",IF(ISNUMBER('List 2'!D285),'List 2'!D285,TRIM('List 2'!D285)))</f>
        <v/>
      </c>
      <c r="O785" s="0" t="str">
        <f aca="false">IF(K785="","",0)</f>
        <v/>
      </c>
      <c r="P785" s="0" t="str">
        <f aca="false">IF(K785="","",I285)</f>
        <v/>
      </c>
      <c r="Q785" s="0" t="str">
        <f aca="false">IF(K785="","",FALSE())</f>
        <v/>
      </c>
      <c r="R785" s="0" t="str">
        <f aca="false">IF(K785="","",TRUE())</f>
        <v/>
      </c>
      <c r="S785" s="0" t="str">
        <f aca="false">IF(K785="","",IF(AND(Q785,R785),IF(O785=P785,"Match","Qty Different"),IF(Q785,"Only in List 1","Only in List 2")))</f>
        <v/>
      </c>
      <c r="T785" s="0" t="str">
        <f aca="false">IF(K785="","",IF(ISNUMBER(--L785),TEXT(--L785,"000000000000.000"),LOWER(L785)))</f>
        <v/>
      </c>
      <c r="U785" s="0" t="str">
        <f aca="false">IF(K785="","",IF(ISNUMBER(--M785),TEXT(--M785,"000000000000.000"),LOWER(M785)))</f>
        <v/>
      </c>
      <c r="V785" s="0" t="str">
        <f aca="false">IF(K785="","",LOWER(N785))</f>
        <v/>
      </c>
      <c r="W785" s="0" t="str">
        <f aca="false">IF(K785="","",G285)</f>
        <v/>
      </c>
      <c r="X785" s="0" t="str">
        <f aca="false">IF(K785="","",1+SUMPRODUCT(($K$2:$K$1001&lt;&gt;"")*(($T$2:$T$1001&lt;T785)+($T$2:$T$1001=T785)*(($U$2:$U$1001&lt;U785)+($U$2:$U$1001=U785)*(($V$2:$V$1001&lt;V785)+($V$2:$V$1001=V785)*(($W$2:$W$1001&lt;W785)+($W$2:$W$1001=W785)*(ROW($K$2:$K$1001)&lt;ROW(K785))))))))</f>
        <v/>
      </c>
    </row>
    <row r="786" customFormat="false" ht="15" hidden="false" customHeight="false" outlineLevel="0" collapsed="false">
      <c r="K786" s="0" t="str">
        <f aca="false">IF(H286="","",IF(SUMPRODUCT(--($C$2:$C$501=H286))&gt;0,"",H286))</f>
        <v/>
      </c>
      <c r="L786" s="0" t="str">
        <f aca="false">IF(K786="","",IF(ISNUMBER('List 2'!A286),'List 2'!A286,TRIM('List 2'!A286)))</f>
        <v/>
      </c>
      <c r="M786" s="0" t="str">
        <f aca="false">IF(K786="","",IF(ISNUMBER('List 2'!C286),'List 2'!C286,TRIM('List 2'!C286)))</f>
        <v/>
      </c>
      <c r="N786" s="0" t="str">
        <f aca="false">IF(K786="","",IF(ISNUMBER('List 2'!D286),'List 2'!D286,TRIM('List 2'!D286)))</f>
        <v/>
      </c>
      <c r="O786" s="0" t="str">
        <f aca="false">IF(K786="","",0)</f>
        <v/>
      </c>
      <c r="P786" s="0" t="str">
        <f aca="false">IF(K786="","",I286)</f>
        <v/>
      </c>
      <c r="Q786" s="0" t="str">
        <f aca="false">IF(K786="","",FALSE())</f>
        <v/>
      </c>
      <c r="R786" s="0" t="str">
        <f aca="false">IF(K786="","",TRUE())</f>
        <v/>
      </c>
      <c r="S786" s="0" t="str">
        <f aca="false">IF(K786="","",IF(AND(Q786,R786),IF(O786=P786,"Match","Qty Different"),IF(Q786,"Only in List 1","Only in List 2")))</f>
        <v/>
      </c>
      <c r="T786" s="0" t="str">
        <f aca="false">IF(K786="","",IF(ISNUMBER(--L786),TEXT(--L786,"000000000000.000"),LOWER(L786)))</f>
        <v/>
      </c>
      <c r="U786" s="0" t="str">
        <f aca="false">IF(K786="","",IF(ISNUMBER(--M786),TEXT(--M786,"000000000000.000"),LOWER(M786)))</f>
        <v/>
      </c>
      <c r="V786" s="0" t="str">
        <f aca="false">IF(K786="","",LOWER(N786))</f>
        <v/>
      </c>
      <c r="W786" s="0" t="str">
        <f aca="false">IF(K786="","",G286)</f>
        <v/>
      </c>
      <c r="X786" s="0" t="str">
        <f aca="false">IF(K786="","",1+SUMPRODUCT(($K$2:$K$1001&lt;&gt;"")*(($T$2:$T$1001&lt;T786)+($T$2:$T$1001=T786)*(($U$2:$U$1001&lt;U786)+($U$2:$U$1001=U786)*(($V$2:$V$1001&lt;V786)+($V$2:$V$1001=V786)*(($W$2:$W$1001&lt;W786)+($W$2:$W$1001=W786)*(ROW($K$2:$K$1001)&lt;ROW(K786))))))))</f>
        <v/>
      </c>
    </row>
    <row r="787" customFormat="false" ht="15" hidden="false" customHeight="false" outlineLevel="0" collapsed="false">
      <c r="K787" s="0" t="str">
        <f aca="false">IF(H287="","",IF(SUMPRODUCT(--($C$2:$C$501=H287))&gt;0,"",H287))</f>
        <v/>
      </c>
      <c r="L787" s="0" t="str">
        <f aca="false">IF(K787="","",IF(ISNUMBER('List 2'!A287),'List 2'!A287,TRIM('List 2'!A287)))</f>
        <v/>
      </c>
      <c r="M787" s="0" t="str">
        <f aca="false">IF(K787="","",IF(ISNUMBER('List 2'!C287),'List 2'!C287,TRIM('List 2'!C287)))</f>
        <v/>
      </c>
      <c r="N787" s="0" t="str">
        <f aca="false">IF(K787="","",IF(ISNUMBER('List 2'!D287),'List 2'!D287,TRIM('List 2'!D287)))</f>
        <v/>
      </c>
      <c r="O787" s="0" t="str">
        <f aca="false">IF(K787="","",0)</f>
        <v/>
      </c>
      <c r="P787" s="0" t="str">
        <f aca="false">IF(K787="","",I287)</f>
        <v/>
      </c>
      <c r="Q787" s="0" t="str">
        <f aca="false">IF(K787="","",FALSE())</f>
        <v/>
      </c>
      <c r="R787" s="0" t="str">
        <f aca="false">IF(K787="","",TRUE())</f>
        <v/>
      </c>
      <c r="S787" s="0" t="str">
        <f aca="false">IF(K787="","",IF(AND(Q787,R787),IF(O787=P787,"Match","Qty Different"),IF(Q787,"Only in List 1","Only in List 2")))</f>
        <v/>
      </c>
      <c r="T787" s="0" t="str">
        <f aca="false">IF(K787="","",IF(ISNUMBER(--L787),TEXT(--L787,"000000000000.000"),LOWER(L787)))</f>
        <v/>
      </c>
      <c r="U787" s="0" t="str">
        <f aca="false">IF(K787="","",IF(ISNUMBER(--M787),TEXT(--M787,"000000000000.000"),LOWER(M787)))</f>
        <v/>
      </c>
      <c r="V787" s="0" t="str">
        <f aca="false">IF(K787="","",LOWER(N787))</f>
        <v/>
      </c>
      <c r="W787" s="0" t="str">
        <f aca="false">IF(K787="","",G287)</f>
        <v/>
      </c>
      <c r="X787" s="0" t="str">
        <f aca="false">IF(K787="","",1+SUMPRODUCT(($K$2:$K$1001&lt;&gt;"")*(($T$2:$T$1001&lt;T787)+($T$2:$T$1001=T787)*(($U$2:$U$1001&lt;U787)+($U$2:$U$1001=U787)*(($V$2:$V$1001&lt;V787)+($V$2:$V$1001=V787)*(($W$2:$W$1001&lt;W787)+($W$2:$W$1001=W787)*(ROW($K$2:$K$1001)&lt;ROW(K787))))))))</f>
        <v/>
      </c>
    </row>
    <row r="788" customFormat="false" ht="15" hidden="false" customHeight="false" outlineLevel="0" collapsed="false">
      <c r="K788" s="0" t="str">
        <f aca="false">IF(H288="","",IF(SUMPRODUCT(--($C$2:$C$501=H288))&gt;0,"",H288))</f>
        <v/>
      </c>
      <c r="L788" s="0" t="str">
        <f aca="false">IF(K788="","",IF(ISNUMBER('List 2'!A288),'List 2'!A288,TRIM('List 2'!A288)))</f>
        <v/>
      </c>
      <c r="M788" s="0" t="str">
        <f aca="false">IF(K788="","",IF(ISNUMBER('List 2'!C288),'List 2'!C288,TRIM('List 2'!C288)))</f>
        <v/>
      </c>
      <c r="N788" s="0" t="str">
        <f aca="false">IF(K788="","",IF(ISNUMBER('List 2'!D288),'List 2'!D288,TRIM('List 2'!D288)))</f>
        <v/>
      </c>
      <c r="O788" s="0" t="str">
        <f aca="false">IF(K788="","",0)</f>
        <v/>
      </c>
      <c r="P788" s="0" t="str">
        <f aca="false">IF(K788="","",I288)</f>
        <v/>
      </c>
      <c r="Q788" s="0" t="str">
        <f aca="false">IF(K788="","",FALSE())</f>
        <v/>
      </c>
      <c r="R788" s="0" t="str">
        <f aca="false">IF(K788="","",TRUE())</f>
        <v/>
      </c>
      <c r="S788" s="0" t="str">
        <f aca="false">IF(K788="","",IF(AND(Q788,R788),IF(O788=P788,"Match","Qty Different"),IF(Q788,"Only in List 1","Only in List 2")))</f>
        <v/>
      </c>
      <c r="T788" s="0" t="str">
        <f aca="false">IF(K788="","",IF(ISNUMBER(--L788),TEXT(--L788,"000000000000.000"),LOWER(L788)))</f>
        <v/>
      </c>
      <c r="U788" s="0" t="str">
        <f aca="false">IF(K788="","",IF(ISNUMBER(--M788),TEXT(--M788,"000000000000.000"),LOWER(M788)))</f>
        <v/>
      </c>
      <c r="V788" s="0" t="str">
        <f aca="false">IF(K788="","",LOWER(N788))</f>
        <v/>
      </c>
      <c r="W788" s="0" t="str">
        <f aca="false">IF(K788="","",G288)</f>
        <v/>
      </c>
      <c r="X788" s="0" t="str">
        <f aca="false">IF(K788="","",1+SUMPRODUCT(($K$2:$K$1001&lt;&gt;"")*(($T$2:$T$1001&lt;T788)+($T$2:$T$1001=T788)*(($U$2:$U$1001&lt;U788)+($U$2:$U$1001=U788)*(($V$2:$V$1001&lt;V788)+($V$2:$V$1001=V788)*(($W$2:$W$1001&lt;W788)+($W$2:$W$1001=W788)*(ROW($K$2:$K$1001)&lt;ROW(K788))))))))</f>
        <v/>
      </c>
    </row>
    <row r="789" customFormat="false" ht="15" hidden="false" customHeight="false" outlineLevel="0" collapsed="false">
      <c r="K789" s="0" t="str">
        <f aca="false">IF(H289="","",IF(SUMPRODUCT(--($C$2:$C$501=H289))&gt;0,"",H289))</f>
        <v/>
      </c>
      <c r="L789" s="0" t="str">
        <f aca="false">IF(K789="","",IF(ISNUMBER('List 2'!A289),'List 2'!A289,TRIM('List 2'!A289)))</f>
        <v/>
      </c>
      <c r="M789" s="0" t="str">
        <f aca="false">IF(K789="","",IF(ISNUMBER('List 2'!C289),'List 2'!C289,TRIM('List 2'!C289)))</f>
        <v/>
      </c>
      <c r="N789" s="0" t="str">
        <f aca="false">IF(K789="","",IF(ISNUMBER('List 2'!D289),'List 2'!D289,TRIM('List 2'!D289)))</f>
        <v/>
      </c>
      <c r="O789" s="0" t="str">
        <f aca="false">IF(K789="","",0)</f>
        <v/>
      </c>
      <c r="P789" s="0" t="str">
        <f aca="false">IF(K789="","",I289)</f>
        <v/>
      </c>
      <c r="Q789" s="0" t="str">
        <f aca="false">IF(K789="","",FALSE())</f>
        <v/>
      </c>
      <c r="R789" s="0" t="str">
        <f aca="false">IF(K789="","",TRUE())</f>
        <v/>
      </c>
      <c r="S789" s="0" t="str">
        <f aca="false">IF(K789="","",IF(AND(Q789,R789),IF(O789=P789,"Match","Qty Different"),IF(Q789,"Only in List 1","Only in List 2")))</f>
        <v/>
      </c>
      <c r="T789" s="0" t="str">
        <f aca="false">IF(K789="","",IF(ISNUMBER(--L789),TEXT(--L789,"000000000000.000"),LOWER(L789)))</f>
        <v/>
      </c>
      <c r="U789" s="0" t="str">
        <f aca="false">IF(K789="","",IF(ISNUMBER(--M789),TEXT(--M789,"000000000000.000"),LOWER(M789)))</f>
        <v/>
      </c>
      <c r="V789" s="0" t="str">
        <f aca="false">IF(K789="","",LOWER(N789))</f>
        <v/>
      </c>
      <c r="W789" s="0" t="str">
        <f aca="false">IF(K789="","",G289)</f>
        <v/>
      </c>
      <c r="X789" s="0" t="str">
        <f aca="false">IF(K789="","",1+SUMPRODUCT(($K$2:$K$1001&lt;&gt;"")*(($T$2:$T$1001&lt;T789)+($T$2:$T$1001=T789)*(($U$2:$U$1001&lt;U789)+($U$2:$U$1001=U789)*(($V$2:$V$1001&lt;V789)+($V$2:$V$1001=V789)*(($W$2:$W$1001&lt;W789)+($W$2:$W$1001=W789)*(ROW($K$2:$K$1001)&lt;ROW(K789))))))))</f>
        <v/>
      </c>
    </row>
    <row r="790" customFormat="false" ht="15" hidden="false" customHeight="false" outlineLevel="0" collapsed="false">
      <c r="K790" s="0" t="str">
        <f aca="false">IF(H290="","",IF(SUMPRODUCT(--($C$2:$C$501=H290))&gt;0,"",H290))</f>
        <v/>
      </c>
      <c r="L790" s="0" t="str">
        <f aca="false">IF(K790="","",IF(ISNUMBER('List 2'!A290),'List 2'!A290,TRIM('List 2'!A290)))</f>
        <v/>
      </c>
      <c r="M790" s="0" t="str">
        <f aca="false">IF(K790="","",IF(ISNUMBER('List 2'!C290),'List 2'!C290,TRIM('List 2'!C290)))</f>
        <v/>
      </c>
      <c r="N790" s="0" t="str">
        <f aca="false">IF(K790="","",IF(ISNUMBER('List 2'!D290),'List 2'!D290,TRIM('List 2'!D290)))</f>
        <v/>
      </c>
      <c r="O790" s="0" t="str">
        <f aca="false">IF(K790="","",0)</f>
        <v/>
      </c>
      <c r="P790" s="0" t="str">
        <f aca="false">IF(K790="","",I290)</f>
        <v/>
      </c>
      <c r="Q790" s="0" t="str">
        <f aca="false">IF(K790="","",FALSE())</f>
        <v/>
      </c>
      <c r="R790" s="0" t="str">
        <f aca="false">IF(K790="","",TRUE())</f>
        <v/>
      </c>
      <c r="S790" s="0" t="str">
        <f aca="false">IF(K790="","",IF(AND(Q790,R790),IF(O790=P790,"Match","Qty Different"),IF(Q790,"Only in List 1","Only in List 2")))</f>
        <v/>
      </c>
      <c r="T790" s="0" t="str">
        <f aca="false">IF(K790="","",IF(ISNUMBER(--L790),TEXT(--L790,"000000000000.000"),LOWER(L790)))</f>
        <v/>
      </c>
      <c r="U790" s="0" t="str">
        <f aca="false">IF(K790="","",IF(ISNUMBER(--M790),TEXT(--M790,"000000000000.000"),LOWER(M790)))</f>
        <v/>
      </c>
      <c r="V790" s="0" t="str">
        <f aca="false">IF(K790="","",LOWER(N790))</f>
        <v/>
      </c>
      <c r="W790" s="0" t="str">
        <f aca="false">IF(K790="","",G290)</f>
        <v/>
      </c>
      <c r="X790" s="0" t="str">
        <f aca="false">IF(K790="","",1+SUMPRODUCT(($K$2:$K$1001&lt;&gt;"")*(($T$2:$T$1001&lt;T790)+($T$2:$T$1001=T790)*(($U$2:$U$1001&lt;U790)+($U$2:$U$1001=U790)*(($V$2:$V$1001&lt;V790)+($V$2:$V$1001=V790)*(($W$2:$W$1001&lt;W790)+($W$2:$W$1001=W790)*(ROW($K$2:$K$1001)&lt;ROW(K790))))))))</f>
        <v/>
      </c>
    </row>
    <row r="791" customFormat="false" ht="15" hidden="false" customHeight="false" outlineLevel="0" collapsed="false">
      <c r="K791" s="0" t="str">
        <f aca="false">IF(H291="","",IF(SUMPRODUCT(--($C$2:$C$501=H291))&gt;0,"",H291))</f>
        <v/>
      </c>
      <c r="L791" s="0" t="str">
        <f aca="false">IF(K791="","",IF(ISNUMBER('List 2'!A291),'List 2'!A291,TRIM('List 2'!A291)))</f>
        <v/>
      </c>
      <c r="M791" s="0" t="str">
        <f aca="false">IF(K791="","",IF(ISNUMBER('List 2'!C291),'List 2'!C291,TRIM('List 2'!C291)))</f>
        <v/>
      </c>
      <c r="N791" s="0" t="str">
        <f aca="false">IF(K791="","",IF(ISNUMBER('List 2'!D291),'List 2'!D291,TRIM('List 2'!D291)))</f>
        <v/>
      </c>
      <c r="O791" s="0" t="str">
        <f aca="false">IF(K791="","",0)</f>
        <v/>
      </c>
      <c r="P791" s="0" t="str">
        <f aca="false">IF(K791="","",I291)</f>
        <v/>
      </c>
      <c r="Q791" s="0" t="str">
        <f aca="false">IF(K791="","",FALSE())</f>
        <v/>
      </c>
      <c r="R791" s="0" t="str">
        <f aca="false">IF(K791="","",TRUE())</f>
        <v/>
      </c>
      <c r="S791" s="0" t="str">
        <f aca="false">IF(K791="","",IF(AND(Q791,R791),IF(O791=P791,"Match","Qty Different"),IF(Q791,"Only in List 1","Only in List 2")))</f>
        <v/>
      </c>
      <c r="T791" s="0" t="str">
        <f aca="false">IF(K791="","",IF(ISNUMBER(--L791),TEXT(--L791,"000000000000.000"),LOWER(L791)))</f>
        <v/>
      </c>
      <c r="U791" s="0" t="str">
        <f aca="false">IF(K791="","",IF(ISNUMBER(--M791),TEXT(--M791,"000000000000.000"),LOWER(M791)))</f>
        <v/>
      </c>
      <c r="V791" s="0" t="str">
        <f aca="false">IF(K791="","",LOWER(N791))</f>
        <v/>
      </c>
      <c r="W791" s="0" t="str">
        <f aca="false">IF(K791="","",G291)</f>
        <v/>
      </c>
      <c r="X791" s="0" t="str">
        <f aca="false">IF(K791="","",1+SUMPRODUCT(($K$2:$K$1001&lt;&gt;"")*(($T$2:$T$1001&lt;T791)+($T$2:$T$1001=T791)*(($U$2:$U$1001&lt;U791)+($U$2:$U$1001=U791)*(($V$2:$V$1001&lt;V791)+($V$2:$V$1001=V791)*(($W$2:$W$1001&lt;W791)+($W$2:$W$1001=W791)*(ROW($K$2:$K$1001)&lt;ROW(K791))))))))</f>
        <v/>
      </c>
    </row>
    <row r="792" customFormat="false" ht="15" hidden="false" customHeight="false" outlineLevel="0" collapsed="false">
      <c r="K792" s="0" t="str">
        <f aca="false">IF(H292="","",IF(SUMPRODUCT(--($C$2:$C$501=H292))&gt;0,"",H292))</f>
        <v/>
      </c>
      <c r="L792" s="0" t="str">
        <f aca="false">IF(K792="","",IF(ISNUMBER('List 2'!A292),'List 2'!A292,TRIM('List 2'!A292)))</f>
        <v/>
      </c>
      <c r="M792" s="0" t="str">
        <f aca="false">IF(K792="","",IF(ISNUMBER('List 2'!C292),'List 2'!C292,TRIM('List 2'!C292)))</f>
        <v/>
      </c>
      <c r="N792" s="0" t="str">
        <f aca="false">IF(K792="","",IF(ISNUMBER('List 2'!D292),'List 2'!D292,TRIM('List 2'!D292)))</f>
        <v/>
      </c>
      <c r="O792" s="0" t="str">
        <f aca="false">IF(K792="","",0)</f>
        <v/>
      </c>
      <c r="P792" s="0" t="str">
        <f aca="false">IF(K792="","",I292)</f>
        <v/>
      </c>
      <c r="Q792" s="0" t="str">
        <f aca="false">IF(K792="","",FALSE())</f>
        <v/>
      </c>
      <c r="R792" s="0" t="str">
        <f aca="false">IF(K792="","",TRUE())</f>
        <v/>
      </c>
      <c r="S792" s="0" t="str">
        <f aca="false">IF(K792="","",IF(AND(Q792,R792),IF(O792=P792,"Match","Qty Different"),IF(Q792,"Only in List 1","Only in List 2")))</f>
        <v/>
      </c>
      <c r="T792" s="0" t="str">
        <f aca="false">IF(K792="","",IF(ISNUMBER(--L792),TEXT(--L792,"000000000000.000"),LOWER(L792)))</f>
        <v/>
      </c>
      <c r="U792" s="0" t="str">
        <f aca="false">IF(K792="","",IF(ISNUMBER(--M792),TEXT(--M792,"000000000000.000"),LOWER(M792)))</f>
        <v/>
      </c>
      <c r="V792" s="0" t="str">
        <f aca="false">IF(K792="","",LOWER(N792))</f>
        <v/>
      </c>
      <c r="W792" s="0" t="str">
        <f aca="false">IF(K792="","",G292)</f>
        <v/>
      </c>
      <c r="X792" s="0" t="str">
        <f aca="false">IF(K792="","",1+SUMPRODUCT(($K$2:$K$1001&lt;&gt;"")*(($T$2:$T$1001&lt;T792)+($T$2:$T$1001=T792)*(($U$2:$U$1001&lt;U792)+($U$2:$U$1001=U792)*(($V$2:$V$1001&lt;V792)+($V$2:$V$1001=V792)*(($W$2:$W$1001&lt;W792)+($W$2:$W$1001=W792)*(ROW($K$2:$K$1001)&lt;ROW(K792))))))))</f>
        <v/>
      </c>
    </row>
    <row r="793" customFormat="false" ht="15" hidden="false" customHeight="false" outlineLevel="0" collapsed="false">
      <c r="K793" s="0" t="str">
        <f aca="false">IF(H293="","",IF(SUMPRODUCT(--($C$2:$C$501=H293))&gt;0,"",H293))</f>
        <v/>
      </c>
      <c r="L793" s="0" t="str">
        <f aca="false">IF(K793="","",IF(ISNUMBER('List 2'!A293),'List 2'!A293,TRIM('List 2'!A293)))</f>
        <v/>
      </c>
      <c r="M793" s="0" t="str">
        <f aca="false">IF(K793="","",IF(ISNUMBER('List 2'!C293),'List 2'!C293,TRIM('List 2'!C293)))</f>
        <v/>
      </c>
      <c r="N793" s="0" t="str">
        <f aca="false">IF(K793="","",IF(ISNUMBER('List 2'!D293),'List 2'!D293,TRIM('List 2'!D293)))</f>
        <v/>
      </c>
      <c r="O793" s="0" t="str">
        <f aca="false">IF(K793="","",0)</f>
        <v/>
      </c>
      <c r="P793" s="0" t="str">
        <f aca="false">IF(K793="","",I293)</f>
        <v/>
      </c>
      <c r="Q793" s="0" t="str">
        <f aca="false">IF(K793="","",FALSE())</f>
        <v/>
      </c>
      <c r="R793" s="0" t="str">
        <f aca="false">IF(K793="","",TRUE())</f>
        <v/>
      </c>
      <c r="S793" s="0" t="str">
        <f aca="false">IF(K793="","",IF(AND(Q793,R793),IF(O793=P793,"Match","Qty Different"),IF(Q793,"Only in List 1","Only in List 2")))</f>
        <v/>
      </c>
      <c r="T793" s="0" t="str">
        <f aca="false">IF(K793="","",IF(ISNUMBER(--L793),TEXT(--L793,"000000000000.000"),LOWER(L793)))</f>
        <v/>
      </c>
      <c r="U793" s="0" t="str">
        <f aca="false">IF(K793="","",IF(ISNUMBER(--M793),TEXT(--M793,"000000000000.000"),LOWER(M793)))</f>
        <v/>
      </c>
      <c r="V793" s="0" t="str">
        <f aca="false">IF(K793="","",LOWER(N793))</f>
        <v/>
      </c>
      <c r="W793" s="0" t="str">
        <f aca="false">IF(K793="","",G293)</f>
        <v/>
      </c>
      <c r="X793" s="0" t="str">
        <f aca="false">IF(K793="","",1+SUMPRODUCT(($K$2:$K$1001&lt;&gt;"")*(($T$2:$T$1001&lt;T793)+($T$2:$T$1001=T793)*(($U$2:$U$1001&lt;U793)+($U$2:$U$1001=U793)*(($V$2:$V$1001&lt;V793)+($V$2:$V$1001=V793)*(($W$2:$W$1001&lt;W793)+($W$2:$W$1001=W793)*(ROW($K$2:$K$1001)&lt;ROW(K793))))))))</f>
        <v/>
      </c>
    </row>
    <row r="794" customFormat="false" ht="15" hidden="false" customHeight="false" outlineLevel="0" collapsed="false">
      <c r="K794" s="0" t="str">
        <f aca="false">IF(H294="","",IF(SUMPRODUCT(--($C$2:$C$501=H294))&gt;0,"",H294))</f>
        <v/>
      </c>
      <c r="L794" s="0" t="str">
        <f aca="false">IF(K794="","",IF(ISNUMBER('List 2'!A294),'List 2'!A294,TRIM('List 2'!A294)))</f>
        <v/>
      </c>
      <c r="M794" s="0" t="str">
        <f aca="false">IF(K794="","",IF(ISNUMBER('List 2'!C294),'List 2'!C294,TRIM('List 2'!C294)))</f>
        <v/>
      </c>
      <c r="N794" s="0" t="str">
        <f aca="false">IF(K794="","",IF(ISNUMBER('List 2'!D294),'List 2'!D294,TRIM('List 2'!D294)))</f>
        <v/>
      </c>
      <c r="O794" s="0" t="str">
        <f aca="false">IF(K794="","",0)</f>
        <v/>
      </c>
      <c r="P794" s="0" t="str">
        <f aca="false">IF(K794="","",I294)</f>
        <v/>
      </c>
      <c r="Q794" s="0" t="str">
        <f aca="false">IF(K794="","",FALSE())</f>
        <v/>
      </c>
      <c r="R794" s="0" t="str">
        <f aca="false">IF(K794="","",TRUE())</f>
        <v/>
      </c>
      <c r="S794" s="0" t="str">
        <f aca="false">IF(K794="","",IF(AND(Q794,R794),IF(O794=P794,"Match","Qty Different"),IF(Q794,"Only in List 1","Only in List 2")))</f>
        <v/>
      </c>
      <c r="T794" s="0" t="str">
        <f aca="false">IF(K794="","",IF(ISNUMBER(--L794),TEXT(--L794,"000000000000.000"),LOWER(L794)))</f>
        <v/>
      </c>
      <c r="U794" s="0" t="str">
        <f aca="false">IF(K794="","",IF(ISNUMBER(--M794),TEXT(--M794,"000000000000.000"),LOWER(M794)))</f>
        <v/>
      </c>
      <c r="V794" s="0" t="str">
        <f aca="false">IF(K794="","",LOWER(N794))</f>
        <v/>
      </c>
      <c r="W794" s="0" t="str">
        <f aca="false">IF(K794="","",G294)</f>
        <v/>
      </c>
      <c r="X794" s="0" t="str">
        <f aca="false">IF(K794="","",1+SUMPRODUCT(($K$2:$K$1001&lt;&gt;"")*(($T$2:$T$1001&lt;T794)+($T$2:$T$1001=T794)*(($U$2:$U$1001&lt;U794)+($U$2:$U$1001=U794)*(($V$2:$V$1001&lt;V794)+($V$2:$V$1001=V794)*(($W$2:$W$1001&lt;W794)+($W$2:$W$1001=W794)*(ROW($K$2:$K$1001)&lt;ROW(K794))))))))</f>
        <v/>
      </c>
    </row>
    <row r="795" customFormat="false" ht="15" hidden="false" customHeight="false" outlineLevel="0" collapsed="false">
      <c r="K795" s="0" t="str">
        <f aca="false">IF(H295="","",IF(SUMPRODUCT(--($C$2:$C$501=H295))&gt;0,"",H295))</f>
        <v/>
      </c>
      <c r="L795" s="0" t="str">
        <f aca="false">IF(K795="","",IF(ISNUMBER('List 2'!A295),'List 2'!A295,TRIM('List 2'!A295)))</f>
        <v/>
      </c>
      <c r="M795" s="0" t="str">
        <f aca="false">IF(K795="","",IF(ISNUMBER('List 2'!C295),'List 2'!C295,TRIM('List 2'!C295)))</f>
        <v/>
      </c>
      <c r="N795" s="0" t="str">
        <f aca="false">IF(K795="","",IF(ISNUMBER('List 2'!D295),'List 2'!D295,TRIM('List 2'!D295)))</f>
        <v/>
      </c>
      <c r="O795" s="0" t="str">
        <f aca="false">IF(K795="","",0)</f>
        <v/>
      </c>
      <c r="P795" s="0" t="str">
        <f aca="false">IF(K795="","",I295)</f>
        <v/>
      </c>
      <c r="Q795" s="0" t="str">
        <f aca="false">IF(K795="","",FALSE())</f>
        <v/>
      </c>
      <c r="R795" s="0" t="str">
        <f aca="false">IF(K795="","",TRUE())</f>
        <v/>
      </c>
      <c r="S795" s="0" t="str">
        <f aca="false">IF(K795="","",IF(AND(Q795,R795),IF(O795=P795,"Match","Qty Different"),IF(Q795,"Only in List 1","Only in List 2")))</f>
        <v/>
      </c>
      <c r="T795" s="0" t="str">
        <f aca="false">IF(K795="","",IF(ISNUMBER(--L795),TEXT(--L795,"000000000000.000"),LOWER(L795)))</f>
        <v/>
      </c>
      <c r="U795" s="0" t="str">
        <f aca="false">IF(K795="","",IF(ISNUMBER(--M795),TEXT(--M795,"000000000000.000"),LOWER(M795)))</f>
        <v/>
      </c>
      <c r="V795" s="0" t="str">
        <f aca="false">IF(K795="","",LOWER(N795))</f>
        <v/>
      </c>
      <c r="W795" s="0" t="str">
        <f aca="false">IF(K795="","",G295)</f>
        <v/>
      </c>
      <c r="X795" s="0" t="str">
        <f aca="false">IF(K795="","",1+SUMPRODUCT(($K$2:$K$1001&lt;&gt;"")*(($T$2:$T$1001&lt;T795)+($T$2:$T$1001=T795)*(($U$2:$U$1001&lt;U795)+($U$2:$U$1001=U795)*(($V$2:$V$1001&lt;V795)+($V$2:$V$1001=V795)*(($W$2:$W$1001&lt;W795)+($W$2:$W$1001=W795)*(ROW($K$2:$K$1001)&lt;ROW(K795))))))))</f>
        <v/>
      </c>
    </row>
    <row r="796" customFormat="false" ht="15" hidden="false" customHeight="false" outlineLevel="0" collapsed="false">
      <c r="K796" s="0" t="str">
        <f aca="false">IF(H296="","",IF(SUMPRODUCT(--($C$2:$C$501=H296))&gt;0,"",H296))</f>
        <v/>
      </c>
      <c r="L796" s="0" t="str">
        <f aca="false">IF(K796="","",IF(ISNUMBER('List 2'!A296),'List 2'!A296,TRIM('List 2'!A296)))</f>
        <v/>
      </c>
      <c r="M796" s="0" t="str">
        <f aca="false">IF(K796="","",IF(ISNUMBER('List 2'!C296),'List 2'!C296,TRIM('List 2'!C296)))</f>
        <v/>
      </c>
      <c r="N796" s="0" t="str">
        <f aca="false">IF(K796="","",IF(ISNUMBER('List 2'!D296),'List 2'!D296,TRIM('List 2'!D296)))</f>
        <v/>
      </c>
      <c r="O796" s="0" t="str">
        <f aca="false">IF(K796="","",0)</f>
        <v/>
      </c>
      <c r="P796" s="0" t="str">
        <f aca="false">IF(K796="","",I296)</f>
        <v/>
      </c>
      <c r="Q796" s="0" t="str">
        <f aca="false">IF(K796="","",FALSE())</f>
        <v/>
      </c>
      <c r="R796" s="0" t="str">
        <f aca="false">IF(K796="","",TRUE())</f>
        <v/>
      </c>
      <c r="S796" s="0" t="str">
        <f aca="false">IF(K796="","",IF(AND(Q796,R796),IF(O796=P796,"Match","Qty Different"),IF(Q796,"Only in List 1","Only in List 2")))</f>
        <v/>
      </c>
      <c r="T796" s="0" t="str">
        <f aca="false">IF(K796="","",IF(ISNUMBER(--L796),TEXT(--L796,"000000000000.000"),LOWER(L796)))</f>
        <v/>
      </c>
      <c r="U796" s="0" t="str">
        <f aca="false">IF(K796="","",IF(ISNUMBER(--M796),TEXT(--M796,"000000000000.000"),LOWER(M796)))</f>
        <v/>
      </c>
      <c r="V796" s="0" t="str">
        <f aca="false">IF(K796="","",LOWER(N796))</f>
        <v/>
      </c>
      <c r="W796" s="0" t="str">
        <f aca="false">IF(K796="","",G296)</f>
        <v/>
      </c>
      <c r="X796" s="0" t="str">
        <f aca="false">IF(K796="","",1+SUMPRODUCT(($K$2:$K$1001&lt;&gt;"")*(($T$2:$T$1001&lt;T796)+($T$2:$T$1001=T796)*(($U$2:$U$1001&lt;U796)+($U$2:$U$1001=U796)*(($V$2:$V$1001&lt;V796)+($V$2:$V$1001=V796)*(($W$2:$W$1001&lt;W796)+($W$2:$W$1001=W796)*(ROW($K$2:$K$1001)&lt;ROW(K796))))))))</f>
        <v/>
      </c>
    </row>
    <row r="797" customFormat="false" ht="15" hidden="false" customHeight="false" outlineLevel="0" collapsed="false">
      <c r="K797" s="0" t="str">
        <f aca="false">IF(H297="","",IF(SUMPRODUCT(--($C$2:$C$501=H297))&gt;0,"",H297))</f>
        <v/>
      </c>
      <c r="L797" s="0" t="str">
        <f aca="false">IF(K797="","",IF(ISNUMBER('List 2'!A297),'List 2'!A297,TRIM('List 2'!A297)))</f>
        <v/>
      </c>
      <c r="M797" s="0" t="str">
        <f aca="false">IF(K797="","",IF(ISNUMBER('List 2'!C297),'List 2'!C297,TRIM('List 2'!C297)))</f>
        <v/>
      </c>
      <c r="N797" s="0" t="str">
        <f aca="false">IF(K797="","",IF(ISNUMBER('List 2'!D297),'List 2'!D297,TRIM('List 2'!D297)))</f>
        <v/>
      </c>
      <c r="O797" s="0" t="str">
        <f aca="false">IF(K797="","",0)</f>
        <v/>
      </c>
      <c r="P797" s="0" t="str">
        <f aca="false">IF(K797="","",I297)</f>
        <v/>
      </c>
      <c r="Q797" s="0" t="str">
        <f aca="false">IF(K797="","",FALSE())</f>
        <v/>
      </c>
      <c r="R797" s="0" t="str">
        <f aca="false">IF(K797="","",TRUE())</f>
        <v/>
      </c>
      <c r="S797" s="0" t="str">
        <f aca="false">IF(K797="","",IF(AND(Q797,R797),IF(O797=P797,"Match","Qty Different"),IF(Q797,"Only in List 1","Only in List 2")))</f>
        <v/>
      </c>
      <c r="T797" s="0" t="str">
        <f aca="false">IF(K797="","",IF(ISNUMBER(--L797),TEXT(--L797,"000000000000.000"),LOWER(L797)))</f>
        <v/>
      </c>
      <c r="U797" s="0" t="str">
        <f aca="false">IF(K797="","",IF(ISNUMBER(--M797),TEXT(--M797,"000000000000.000"),LOWER(M797)))</f>
        <v/>
      </c>
      <c r="V797" s="0" t="str">
        <f aca="false">IF(K797="","",LOWER(N797))</f>
        <v/>
      </c>
      <c r="W797" s="0" t="str">
        <f aca="false">IF(K797="","",G297)</f>
        <v/>
      </c>
      <c r="X797" s="0" t="str">
        <f aca="false">IF(K797="","",1+SUMPRODUCT(($K$2:$K$1001&lt;&gt;"")*(($T$2:$T$1001&lt;T797)+($T$2:$T$1001=T797)*(($U$2:$U$1001&lt;U797)+($U$2:$U$1001=U797)*(($V$2:$V$1001&lt;V797)+($V$2:$V$1001=V797)*(($W$2:$W$1001&lt;W797)+($W$2:$W$1001=W797)*(ROW($K$2:$K$1001)&lt;ROW(K797))))))))</f>
        <v/>
      </c>
    </row>
    <row r="798" customFormat="false" ht="15" hidden="false" customHeight="false" outlineLevel="0" collapsed="false">
      <c r="K798" s="0" t="str">
        <f aca="false">IF(H298="","",IF(SUMPRODUCT(--($C$2:$C$501=H298))&gt;0,"",H298))</f>
        <v/>
      </c>
      <c r="L798" s="0" t="str">
        <f aca="false">IF(K798="","",IF(ISNUMBER('List 2'!A298),'List 2'!A298,TRIM('List 2'!A298)))</f>
        <v/>
      </c>
      <c r="M798" s="0" t="str">
        <f aca="false">IF(K798="","",IF(ISNUMBER('List 2'!C298),'List 2'!C298,TRIM('List 2'!C298)))</f>
        <v/>
      </c>
      <c r="N798" s="0" t="str">
        <f aca="false">IF(K798="","",IF(ISNUMBER('List 2'!D298),'List 2'!D298,TRIM('List 2'!D298)))</f>
        <v/>
      </c>
      <c r="O798" s="0" t="str">
        <f aca="false">IF(K798="","",0)</f>
        <v/>
      </c>
      <c r="P798" s="0" t="str">
        <f aca="false">IF(K798="","",I298)</f>
        <v/>
      </c>
      <c r="Q798" s="0" t="str">
        <f aca="false">IF(K798="","",FALSE())</f>
        <v/>
      </c>
      <c r="R798" s="0" t="str">
        <f aca="false">IF(K798="","",TRUE())</f>
        <v/>
      </c>
      <c r="S798" s="0" t="str">
        <f aca="false">IF(K798="","",IF(AND(Q798,R798),IF(O798=P798,"Match","Qty Different"),IF(Q798,"Only in List 1","Only in List 2")))</f>
        <v/>
      </c>
      <c r="T798" s="0" t="str">
        <f aca="false">IF(K798="","",IF(ISNUMBER(--L798),TEXT(--L798,"000000000000.000"),LOWER(L798)))</f>
        <v/>
      </c>
      <c r="U798" s="0" t="str">
        <f aca="false">IF(K798="","",IF(ISNUMBER(--M798),TEXT(--M798,"000000000000.000"),LOWER(M798)))</f>
        <v/>
      </c>
      <c r="V798" s="0" t="str">
        <f aca="false">IF(K798="","",LOWER(N798))</f>
        <v/>
      </c>
      <c r="W798" s="0" t="str">
        <f aca="false">IF(K798="","",G298)</f>
        <v/>
      </c>
      <c r="X798" s="0" t="str">
        <f aca="false">IF(K798="","",1+SUMPRODUCT(($K$2:$K$1001&lt;&gt;"")*(($T$2:$T$1001&lt;T798)+($T$2:$T$1001=T798)*(($U$2:$U$1001&lt;U798)+($U$2:$U$1001=U798)*(($V$2:$V$1001&lt;V798)+($V$2:$V$1001=V798)*(($W$2:$W$1001&lt;W798)+($W$2:$W$1001=W798)*(ROW($K$2:$K$1001)&lt;ROW(K798))))))))</f>
        <v/>
      </c>
    </row>
    <row r="799" customFormat="false" ht="15" hidden="false" customHeight="false" outlineLevel="0" collapsed="false">
      <c r="K799" s="0" t="str">
        <f aca="false">IF(H299="","",IF(SUMPRODUCT(--($C$2:$C$501=H299))&gt;0,"",H299))</f>
        <v/>
      </c>
      <c r="L799" s="0" t="str">
        <f aca="false">IF(K799="","",IF(ISNUMBER('List 2'!A299),'List 2'!A299,TRIM('List 2'!A299)))</f>
        <v/>
      </c>
      <c r="M799" s="0" t="str">
        <f aca="false">IF(K799="","",IF(ISNUMBER('List 2'!C299),'List 2'!C299,TRIM('List 2'!C299)))</f>
        <v/>
      </c>
      <c r="N799" s="0" t="str">
        <f aca="false">IF(K799="","",IF(ISNUMBER('List 2'!D299),'List 2'!D299,TRIM('List 2'!D299)))</f>
        <v/>
      </c>
      <c r="O799" s="0" t="str">
        <f aca="false">IF(K799="","",0)</f>
        <v/>
      </c>
      <c r="P799" s="0" t="str">
        <f aca="false">IF(K799="","",I299)</f>
        <v/>
      </c>
      <c r="Q799" s="0" t="str">
        <f aca="false">IF(K799="","",FALSE())</f>
        <v/>
      </c>
      <c r="R799" s="0" t="str">
        <f aca="false">IF(K799="","",TRUE())</f>
        <v/>
      </c>
      <c r="S799" s="0" t="str">
        <f aca="false">IF(K799="","",IF(AND(Q799,R799),IF(O799=P799,"Match","Qty Different"),IF(Q799,"Only in List 1","Only in List 2")))</f>
        <v/>
      </c>
      <c r="T799" s="0" t="str">
        <f aca="false">IF(K799="","",IF(ISNUMBER(--L799),TEXT(--L799,"000000000000.000"),LOWER(L799)))</f>
        <v/>
      </c>
      <c r="U799" s="0" t="str">
        <f aca="false">IF(K799="","",IF(ISNUMBER(--M799),TEXT(--M799,"000000000000.000"),LOWER(M799)))</f>
        <v/>
      </c>
      <c r="V799" s="0" t="str">
        <f aca="false">IF(K799="","",LOWER(N799))</f>
        <v/>
      </c>
      <c r="W799" s="0" t="str">
        <f aca="false">IF(K799="","",G299)</f>
        <v/>
      </c>
      <c r="X799" s="0" t="str">
        <f aca="false">IF(K799="","",1+SUMPRODUCT(($K$2:$K$1001&lt;&gt;"")*(($T$2:$T$1001&lt;T799)+($T$2:$T$1001=T799)*(($U$2:$U$1001&lt;U799)+($U$2:$U$1001=U799)*(($V$2:$V$1001&lt;V799)+($V$2:$V$1001=V799)*(($W$2:$W$1001&lt;W799)+($W$2:$W$1001=W799)*(ROW($K$2:$K$1001)&lt;ROW(K799))))))))</f>
        <v/>
      </c>
    </row>
    <row r="800" customFormat="false" ht="15" hidden="false" customHeight="false" outlineLevel="0" collapsed="false">
      <c r="K800" s="0" t="str">
        <f aca="false">IF(H300="","",IF(SUMPRODUCT(--($C$2:$C$501=H300))&gt;0,"",H300))</f>
        <v/>
      </c>
      <c r="L800" s="0" t="str">
        <f aca="false">IF(K800="","",IF(ISNUMBER('List 2'!A300),'List 2'!A300,TRIM('List 2'!A300)))</f>
        <v/>
      </c>
      <c r="M800" s="0" t="str">
        <f aca="false">IF(K800="","",IF(ISNUMBER('List 2'!C300),'List 2'!C300,TRIM('List 2'!C300)))</f>
        <v/>
      </c>
      <c r="N800" s="0" t="str">
        <f aca="false">IF(K800="","",IF(ISNUMBER('List 2'!D300),'List 2'!D300,TRIM('List 2'!D300)))</f>
        <v/>
      </c>
      <c r="O800" s="0" t="str">
        <f aca="false">IF(K800="","",0)</f>
        <v/>
      </c>
      <c r="P800" s="0" t="str">
        <f aca="false">IF(K800="","",I300)</f>
        <v/>
      </c>
      <c r="Q800" s="0" t="str">
        <f aca="false">IF(K800="","",FALSE())</f>
        <v/>
      </c>
      <c r="R800" s="0" t="str">
        <f aca="false">IF(K800="","",TRUE())</f>
        <v/>
      </c>
      <c r="S800" s="0" t="str">
        <f aca="false">IF(K800="","",IF(AND(Q800,R800),IF(O800=P800,"Match","Qty Different"),IF(Q800,"Only in List 1","Only in List 2")))</f>
        <v/>
      </c>
      <c r="T800" s="0" t="str">
        <f aca="false">IF(K800="","",IF(ISNUMBER(--L800),TEXT(--L800,"000000000000.000"),LOWER(L800)))</f>
        <v/>
      </c>
      <c r="U800" s="0" t="str">
        <f aca="false">IF(K800="","",IF(ISNUMBER(--M800),TEXT(--M800,"000000000000.000"),LOWER(M800)))</f>
        <v/>
      </c>
      <c r="V800" s="0" t="str">
        <f aca="false">IF(K800="","",LOWER(N800))</f>
        <v/>
      </c>
      <c r="W800" s="0" t="str">
        <f aca="false">IF(K800="","",G300)</f>
        <v/>
      </c>
      <c r="X800" s="0" t="str">
        <f aca="false">IF(K800="","",1+SUMPRODUCT(($K$2:$K$1001&lt;&gt;"")*(($T$2:$T$1001&lt;T800)+($T$2:$T$1001=T800)*(($U$2:$U$1001&lt;U800)+($U$2:$U$1001=U800)*(($V$2:$V$1001&lt;V800)+($V$2:$V$1001=V800)*(($W$2:$W$1001&lt;W800)+($W$2:$W$1001=W800)*(ROW($K$2:$K$1001)&lt;ROW(K800))))))))</f>
        <v/>
      </c>
    </row>
    <row r="801" customFormat="false" ht="15" hidden="false" customHeight="false" outlineLevel="0" collapsed="false">
      <c r="K801" s="0" t="str">
        <f aca="false">IF(H301="","",IF(SUMPRODUCT(--($C$2:$C$501=H301))&gt;0,"",H301))</f>
        <v/>
      </c>
      <c r="L801" s="0" t="str">
        <f aca="false">IF(K801="","",IF(ISNUMBER('List 2'!A301),'List 2'!A301,TRIM('List 2'!A301)))</f>
        <v/>
      </c>
      <c r="M801" s="0" t="str">
        <f aca="false">IF(K801="","",IF(ISNUMBER('List 2'!C301),'List 2'!C301,TRIM('List 2'!C301)))</f>
        <v/>
      </c>
      <c r="N801" s="0" t="str">
        <f aca="false">IF(K801="","",IF(ISNUMBER('List 2'!D301),'List 2'!D301,TRIM('List 2'!D301)))</f>
        <v/>
      </c>
      <c r="O801" s="0" t="str">
        <f aca="false">IF(K801="","",0)</f>
        <v/>
      </c>
      <c r="P801" s="0" t="str">
        <f aca="false">IF(K801="","",I301)</f>
        <v/>
      </c>
      <c r="Q801" s="0" t="str">
        <f aca="false">IF(K801="","",FALSE())</f>
        <v/>
      </c>
      <c r="R801" s="0" t="str">
        <f aca="false">IF(K801="","",TRUE())</f>
        <v/>
      </c>
      <c r="S801" s="0" t="str">
        <f aca="false">IF(K801="","",IF(AND(Q801,R801),IF(O801=P801,"Match","Qty Different"),IF(Q801,"Only in List 1","Only in List 2")))</f>
        <v/>
      </c>
      <c r="T801" s="0" t="str">
        <f aca="false">IF(K801="","",IF(ISNUMBER(--L801),TEXT(--L801,"000000000000.000"),LOWER(L801)))</f>
        <v/>
      </c>
      <c r="U801" s="0" t="str">
        <f aca="false">IF(K801="","",IF(ISNUMBER(--M801),TEXT(--M801,"000000000000.000"),LOWER(M801)))</f>
        <v/>
      </c>
      <c r="V801" s="0" t="str">
        <f aca="false">IF(K801="","",LOWER(N801))</f>
        <v/>
      </c>
      <c r="W801" s="0" t="str">
        <f aca="false">IF(K801="","",G301)</f>
        <v/>
      </c>
      <c r="X801" s="0" t="str">
        <f aca="false">IF(K801="","",1+SUMPRODUCT(($K$2:$K$1001&lt;&gt;"")*(($T$2:$T$1001&lt;T801)+($T$2:$T$1001=T801)*(($U$2:$U$1001&lt;U801)+($U$2:$U$1001=U801)*(($V$2:$V$1001&lt;V801)+($V$2:$V$1001=V801)*(($W$2:$W$1001&lt;W801)+($W$2:$W$1001=W801)*(ROW($K$2:$K$1001)&lt;ROW(K801))))))))</f>
        <v/>
      </c>
    </row>
    <row r="802" customFormat="false" ht="15" hidden="false" customHeight="false" outlineLevel="0" collapsed="false">
      <c r="K802" s="0" t="str">
        <f aca="false">IF(H302="","",IF(SUMPRODUCT(--($C$2:$C$501=H302))&gt;0,"",H302))</f>
        <v/>
      </c>
      <c r="L802" s="0" t="str">
        <f aca="false">IF(K802="","",IF(ISNUMBER('List 2'!A302),'List 2'!A302,TRIM('List 2'!A302)))</f>
        <v/>
      </c>
      <c r="M802" s="0" t="str">
        <f aca="false">IF(K802="","",IF(ISNUMBER('List 2'!C302),'List 2'!C302,TRIM('List 2'!C302)))</f>
        <v/>
      </c>
      <c r="N802" s="0" t="str">
        <f aca="false">IF(K802="","",IF(ISNUMBER('List 2'!D302),'List 2'!D302,TRIM('List 2'!D302)))</f>
        <v/>
      </c>
      <c r="O802" s="0" t="str">
        <f aca="false">IF(K802="","",0)</f>
        <v/>
      </c>
      <c r="P802" s="0" t="str">
        <f aca="false">IF(K802="","",I302)</f>
        <v/>
      </c>
      <c r="Q802" s="0" t="str">
        <f aca="false">IF(K802="","",FALSE())</f>
        <v/>
      </c>
      <c r="R802" s="0" t="str">
        <f aca="false">IF(K802="","",TRUE())</f>
        <v/>
      </c>
      <c r="S802" s="0" t="str">
        <f aca="false">IF(K802="","",IF(AND(Q802,R802),IF(O802=P802,"Match","Qty Different"),IF(Q802,"Only in List 1","Only in List 2")))</f>
        <v/>
      </c>
      <c r="T802" s="0" t="str">
        <f aca="false">IF(K802="","",IF(ISNUMBER(--L802),TEXT(--L802,"000000000000.000"),LOWER(L802)))</f>
        <v/>
      </c>
      <c r="U802" s="0" t="str">
        <f aca="false">IF(K802="","",IF(ISNUMBER(--M802),TEXT(--M802,"000000000000.000"),LOWER(M802)))</f>
        <v/>
      </c>
      <c r="V802" s="0" t="str">
        <f aca="false">IF(K802="","",LOWER(N802))</f>
        <v/>
      </c>
      <c r="W802" s="0" t="str">
        <f aca="false">IF(K802="","",G302)</f>
        <v/>
      </c>
      <c r="X802" s="0" t="str">
        <f aca="false">IF(K802="","",1+SUMPRODUCT(($K$2:$K$1001&lt;&gt;"")*(($T$2:$T$1001&lt;T802)+($T$2:$T$1001=T802)*(($U$2:$U$1001&lt;U802)+($U$2:$U$1001=U802)*(($V$2:$V$1001&lt;V802)+($V$2:$V$1001=V802)*(($W$2:$W$1001&lt;W802)+($W$2:$W$1001=W802)*(ROW($K$2:$K$1001)&lt;ROW(K802))))))))</f>
        <v/>
      </c>
    </row>
    <row r="803" customFormat="false" ht="15" hidden="false" customHeight="false" outlineLevel="0" collapsed="false">
      <c r="K803" s="0" t="str">
        <f aca="false">IF(H303="","",IF(SUMPRODUCT(--($C$2:$C$501=H303))&gt;0,"",H303))</f>
        <v/>
      </c>
      <c r="L803" s="0" t="str">
        <f aca="false">IF(K803="","",IF(ISNUMBER('List 2'!A303),'List 2'!A303,TRIM('List 2'!A303)))</f>
        <v/>
      </c>
      <c r="M803" s="0" t="str">
        <f aca="false">IF(K803="","",IF(ISNUMBER('List 2'!C303),'List 2'!C303,TRIM('List 2'!C303)))</f>
        <v/>
      </c>
      <c r="N803" s="0" t="str">
        <f aca="false">IF(K803="","",IF(ISNUMBER('List 2'!D303),'List 2'!D303,TRIM('List 2'!D303)))</f>
        <v/>
      </c>
      <c r="O803" s="0" t="str">
        <f aca="false">IF(K803="","",0)</f>
        <v/>
      </c>
      <c r="P803" s="0" t="str">
        <f aca="false">IF(K803="","",I303)</f>
        <v/>
      </c>
      <c r="Q803" s="0" t="str">
        <f aca="false">IF(K803="","",FALSE())</f>
        <v/>
      </c>
      <c r="R803" s="0" t="str">
        <f aca="false">IF(K803="","",TRUE())</f>
        <v/>
      </c>
      <c r="S803" s="0" t="str">
        <f aca="false">IF(K803="","",IF(AND(Q803,R803),IF(O803=P803,"Match","Qty Different"),IF(Q803,"Only in List 1","Only in List 2")))</f>
        <v/>
      </c>
      <c r="T803" s="0" t="str">
        <f aca="false">IF(K803="","",IF(ISNUMBER(--L803),TEXT(--L803,"000000000000.000"),LOWER(L803)))</f>
        <v/>
      </c>
      <c r="U803" s="0" t="str">
        <f aca="false">IF(K803="","",IF(ISNUMBER(--M803),TEXT(--M803,"000000000000.000"),LOWER(M803)))</f>
        <v/>
      </c>
      <c r="V803" s="0" t="str">
        <f aca="false">IF(K803="","",LOWER(N803))</f>
        <v/>
      </c>
      <c r="W803" s="0" t="str">
        <f aca="false">IF(K803="","",G303)</f>
        <v/>
      </c>
      <c r="X803" s="0" t="str">
        <f aca="false">IF(K803="","",1+SUMPRODUCT(($K$2:$K$1001&lt;&gt;"")*(($T$2:$T$1001&lt;T803)+($T$2:$T$1001=T803)*(($U$2:$U$1001&lt;U803)+($U$2:$U$1001=U803)*(($V$2:$V$1001&lt;V803)+($V$2:$V$1001=V803)*(($W$2:$W$1001&lt;W803)+($W$2:$W$1001=W803)*(ROW($K$2:$K$1001)&lt;ROW(K803))))))))</f>
        <v/>
      </c>
    </row>
    <row r="804" customFormat="false" ht="15" hidden="false" customHeight="false" outlineLevel="0" collapsed="false">
      <c r="K804" s="0" t="str">
        <f aca="false">IF(H304="","",IF(SUMPRODUCT(--($C$2:$C$501=H304))&gt;0,"",H304))</f>
        <v/>
      </c>
      <c r="L804" s="0" t="str">
        <f aca="false">IF(K804="","",IF(ISNUMBER('List 2'!A304),'List 2'!A304,TRIM('List 2'!A304)))</f>
        <v/>
      </c>
      <c r="M804" s="0" t="str">
        <f aca="false">IF(K804="","",IF(ISNUMBER('List 2'!C304),'List 2'!C304,TRIM('List 2'!C304)))</f>
        <v/>
      </c>
      <c r="N804" s="0" t="str">
        <f aca="false">IF(K804="","",IF(ISNUMBER('List 2'!D304),'List 2'!D304,TRIM('List 2'!D304)))</f>
        <v/>
      </c>
      <c r="O804" s="0" t="str">
        <f aca="false">IF(K804="","",0)</f>
        <v/>
      </c>
      <c r="P804" s="0" t="str">
        <f aca="false">IF(K804="","",I304)</f>
        <v/>
      </c>
      <c r="Q804" s="0" t="str">
        <f aca="false">IF(K804="","",FALSE())</f>
        <v/>
      </c>
      <c r="R804" s="0" t="str">
        <f aca="false">IF(K804="","",TRUE())</f>
        <v/>
      </c>
      <c r="S804" s="0" t="str">
        <f aca="false">IF(K804="","",IF(AND(Q804,R804),IF(O804=P804,"Match","Qty Different"),IF(Q804,"Only in List 1","Only in List 2")))</f>
        <v/>
      </c>
      <c r="T804" s="0" t="str">
        <f aca="false">IF(K804="","",IF(ISNUMBER(--L804),TEXT(--L804,"000000000000.000"),LOWER(L804)))</f>
        <v/>
      </c>
      <c r="U804" s="0" t="str">
        <f aca="false">IF(K804="","",IF(ISNUMBER(--M804),TEXT(--M804,"000000000000.000"),LOWER(M804)))</f>
        <v/>
      </c>
      <c r="V804" s="0" t="str">
        <f aca="false">IF(K804="","",LOWER(N804))</f>
        <v/>
      </c>
      <c r="W804" s="0" t="str">
        <f aca="false">IF(K804="","",G304)</f>
        <v/>
      </c>
      <c r="X804" s="0" t="str">
        <f aca="false">IF(K804="","",1+SUMPRODUCT(($K$2:$K$1001&lt;&gt;"")*(($T$2:$T$1001&lt;T804)+($T$2:$T$1001=T804)*(($U$2:$U$1001&lt;U804)+($U$2:$U$1001=U804)*(($V$2:$V$1001&lt;V804)+($V$2:$V$1001=V804)*(($W$2:$W$1001&lt;W804)+($W$2:$W$1001=W804)*(ROW($K$2:$K$1001)&lt;ROW(K804))))))))</f>
        <v/>
      </c>
    </row>
    <row r="805" customFormat="false" ht="15" hidden="false" customHeight="false" outlineLevel="0" collapsed="false">
      <c r="K805" s="0" t="str">
        <f aca="false">IF(H305="","",IF(SUMPRODUCT(--($C$2:$C$501=H305))&gt;0,"",H305))</f>
        <v/>
      </c>
      <c r="L805" s="0" t="str">
        <f aca="false">IF(K805="","",IF(ISNUMBER('List 2'!A305),'List 2'!A305,TRIM('List 2'!A305)))</f>
        <v/>
      </c>
      <c r="M805" s="0" t="str">
        <f aca="false">IF(K805="","",IF(ISNUMBER('List 2'!C305),'List 2'!C305,TRIM('List 2'!C305)))</f>
        <v/>
      </c>
      <c r="N805" s="0" t="str">
        <f aca="false">IF(K805="","",IF(ISNUMBER('List 2'!D305),'List 2'!D305,TRIM('List 2'!D305)))</f>
        <v/>
      </c>
      <c r="O805" s="0" t="str">
        <f aca="false">IF(K805="","",0)</f>
        <v/>
      </c>
      <c r="P805" s="0" t="str">
        <f aca="false">IF(K805="","",I305)</f>
        <v/>
      </c>
      <c r="Q805" s="0" t="str">
        <f aca="false">IF(K805="","",FALSE())</f>
        <v/>
      </c>
      <c r="R805" s="0" t="str">
        <f aca="false">IF(K805="","",TRUE())</f>
        <v/>
      </c>
      <c r="S805" s="0" t="str">
        <f aca="false">IF(K805="","",IF(AND(Q805,R805),IF(O805=P805,"Match","Qty Different"),IF(Q805,"Only in List 1","Only in List 2")))</f>
        <v/>
      </c>
      <c r="T805" s="0" t="str">
        <f aca="false">IF(K805="","",IF(ISNUMBER(--L805),TEXT(--L805,"000000000000.000"),LOWER(L805)))</f>
        <v/>
      </c>
      <c r="U805" s="0" t="str">
        <f aca="false">IF(K805="","",IF(ISNUMBER(--M805),TEXT(--M805,"000000000000.000"),LOWER(M805)))</f>
        <v/>
      </c>
      <c r="V805" s="0" t="str">
        <f aca="false">IF(K805="","",LOWER(N805))</f>
        <v/>
      </c>
      <c r="W805" s="0" t="str">
        <f aca="false">IF(K805="","",G305)</f>
        <v/>
      </c>
      <c r="X805" s="0" t="str">
        <f aca="false">IF(K805="","",1+SUMPRODUCT(($K$2:$K$1001&lt;&gt;"")*(($T$2:$T$1001&lt;T805)+($T$2:$T$1001=T805)*(($U$2:$U$1001&lt;U805)+($U$2:$U$1001=U805)*(($V$2:$V$1001&lt;V805)+($V$2:$V$1001=V805)*(($W$2:$W$1001&lt;W805)+($W$2:$W$1001=W805)*(ROW($K$2:$K$1001)&lt;ROW(K805))))))))</f>
        <v/>
      </c>
    </row>
    <row r="806" customFormat="false" ht="15" hidden="false" customHeight="false" outlineLevel="0" collapsed="false">
      <c r="K806" s="0" t="str">
        <f aca="false">IF(H306="","",IF(SUMPRODUCT(--($C$2:$C$501=H306))&gt;0,"",H306))</f>
        <v/>
      </c>
      <c r="L806" s="0" t="str">
        <f aca="false">IF(K806="","",IF(ISNUMBER('List 2'!A306),'List 2'!A306,TRIM('List 2'!A306)))</f>
        <v/>
      </c>
      <c r="M806" s="0" t="str">
        <f aca="false">IF(K806="","",IF(ISNUMBER('List 2'!C306),'List 2'!C306,TRIM('List 2'!C306)))</f>
        <v/>
      </c>
      <c r="N806" s="0" t="str">
        <f aca="false">IF(K806="","",IF(ISNUMBER('List 2'!D306),'List 2'!D306,TRIM('List 2'!D306)))</f>
        <v/>
      </c>
      <c r="O806" s="0" t="str">
        <f aca="false">IF(K806="","",0)</f>
        <v/>
      </c>
      <c r="P806" s="0" t="str">
        <f aca="false">IF(K806="","",I306)</f>
        <v/>
      </c>
      <c r="Q806" s="0" t="str">
        <f aca="false">IF(K806="","",FALSE())</f>
        <v/>
      </c>
      <c r="R806" s="0" t="str">
        <f aca="false">IF(K806="","",TRUE())</f>
        <v/>
      </c>
      <c r="S806" s="0" t="str">
        <f aca="false">IF(K806="","",IF(AND(Q806,R806),IF(O806=P806,"Match","Qty Different"),IF(Q806,"Only in List 1","Only in List 2")))</f>
        <v/>
      </c>
      <c r="T806" s="0" t="str">
        <f aca="false">IF(K806="","",IF(ISNUMBER(--L806),TEXT(--L806,"000000000000.000"),LOWER(L806)))</f>
        <v/>
      </c>
      <c r="U806" s="0" t="str">
        <f aca="false">IF(K806="","",IF(ISNUMBER(--M806),TEXT(--M806,"000000000000.000"),LOWER(M806)))</f>
        <v/>
      </c>
      <c r="V806" s="0" t="str">
        <f aca="false">IF(K806="","",LOWER(N806))</f>
        <v/>
      </c>
      <c r="W806" s="0" t="str">
        <f aca="false">IF(K806="","",G306)</f>
        <v/>
      </c>
      <c r="X806" s="0" t="str">
        <f aca="false">IF(K806="","",1+SUMPRODUCT(($K$2:$K$1001&lt;&gt;"")*(($T$2:$T$1001&lt;T806)+($T$2:$T$1001=T806)*(($U$2:$U$1001&lt;U806)+($U$2:$U$1001=U806)*(($V$2:$V$1001&lt;V806)+($V$2:$V$1001=V806)*(($W$2:$W$1001&lt;W806)+($W$2:$W$1001=W806)*(ROW($K$2:$K$1001)&lt;ROW(K806))))))))</f>
        <v/>
      </c>
    </row>
    <row r="807" customFormat="false" ht="15" hidden="false" customHeight="false" outlineLevel="0" collapsed="false">
      <c r="K807" s="0" t="str">
        <f aca="false">IF(H307="","",IF(SUMPRODUCT(--($C$2:$C$501=H307))&gt;0,"",H307))</f>
        <v/>
      </c>
      <c r="L807" s="0" t="str">
        <f aca="false">IF(K807="","",IF(ISNUMBER('List 2'!A307),'List 2'!A307,TRIM('List 2'!A307)))</f>
        <v/>
      </c>
      <c r="M807" s="0" t="str">
        <f aca="false">IF(K807="","",IF(ISNUMBER('List 2'!C307),'List 2'!C307,TRIM('List 2'!C307)))</f>
        <v/>
      </c>
      <c r="N807" s="0" t="str">
        <f aca="false">IF(K807="","",IF(ISNUMBER('List 2'!D307),'List 2'!D307,TRIM('List 2'!D307)))</f>
        <v/>
      </c>
      <c r="O807" s="0" t="str">
        <f aca="false">IF(K807="","",0)</f>
        <v/>
      </c>
      <c r="P807" s="0" t="str">
        <f aca="false">IF(K807="","",I307)</f>
        <v/>
      </c>
      <c r="Q807" s="0" t="str">
        <f aca="false">IF(K807="","",FALSE())</f>
        <v/>
      </c>
      <c r="R807" s="0" t="str">
        <f aca="false">IF(K807="","",TRUE())</f>
        <v/>
      </c>
      <c r="S807" s="0" t="str">
        <f aca="false">IF(K807="","",IF(AND(Q807,R807),IF(O807=P807,"Match","Qty Different"),IF(Q807,"Only in List 1","Only in List 2")))</f>
        <v/>
      </c>
      <c r="T807" s="0" t="str">
        <f aca="false">IF(K807="","",IF(ISNUMBER(--L807),TEXT(--L807,"000000000000.000"),LOWER(L807)))</f>
        <v/>
      </c>
      <c r="U807" s="0" t="str">
        <f aca="false">IF(K807="","",IF(ISNUMBER(--M807),TEXT(--M807,"000000000000.000"),LOWER(M807)))</f>
        <v/>
      </c>
      <c r="V807" s="0" t="str">
        <f aca="false">IF(K807="","",LOWER(N807))</f>
        <v/>
      </c>
      <c r="W807" s="0" t="str">
        <f aca="false">IF(K807="","",G307)</f>
        <v/>
      </c>
      <c r="X807" s="0" t="str">
        <f aca="false">IF(K807="","",1+SUMPRODUCT(($K$2:$K$1001&lt;&gt;"")*(($T$2:$T$1001&lt;T807)+($T$2:$T$1001=T807)*(($U$2:$U$1001&lt;U807)+($U$2:$U$1001=U807)*(($V$2:$V$1001&lt;V807)+($V$2:$V$1001=V807)*(($W$2:$W$1001&lt;W807)+($W$2:$W$1001=W807)*(ROW($K$2:$K$1001)&lt;ROW(K807))))))))</f>
        <v/>
      </c>
    </row>
    <row r="808" customFormat="false" ht="15" hidden="false" customHeight="false" outlineLevel="0" collapsed="false">
      <c r="K808" s="0" t="str">
        <f aca="false">IF(H308="","",IF(SUMPRODUCT(--($C$2:$C$501=H308))&gt;0,"",H308))</f>
        <v/>
      </c>
      <c r="L808" s="0" t="str">
        <f aca="false">IF(K808="","",IF(ISNUMBER('List 2'!A308),'List 2'!A308,TRIM('List 2'!A308)))</f>
        <v/>
      </c>
      <c r="M808" s="0" t="str">
        <f aca="false">IF(K808="","",IF(ISNUMBER('List 2'!C308),'List 2'!C308,TRIM('List 2'!C308)))</f>
        <v/>
      </c>
      <c r="N808" s="0" t="str">
        <f aca="false">IF(K808="","",IF(ISNUMBER('List 2'!D308),'List 2'!D308,TRIM('List 2'!D308)))</f>
        <v/>
      </c>
      <c r="O808" s="0" t="str">
        <f aca="false">IF(K808="","",0)</f>
        <v/>
      </c>
      <c r="P808" s="0" t="str">
        <f aca="false">IF(K808="","",I308)</f>
        <v/>
      </c>
      <c r="Q808" s="0" t="str">
        <f aca="false">IF(K808="","",FALSE())</f>
        <v/>
      </c>
      <c r="R808" s="0" t="str">
        <f aca="false">IF(K808="","",TRUE())</f>
        <v/>
      </c>
      <c r="S808" s="0" t="str">
        <f aca="false">IF(K808="","",IF(AND(Q808,R808),IF(O808=P808,"Match","Qty Different"),IF(Q808,"Only in List 1","Only in List 2")))</f>
        <v/>
      </c>
      <c r="T808" s="0" t="str">
        <f aca="false">IF(K808="","",IF(ISNUMBER(--L808),TEXT(--L808,"000000000000.000"),LOWER(L808)))</f>
        <v/>
      </c>
      <c r="U808" s="0" t="str">
        <f aca="false">IF(K808="","",IF(ISNUMBER(--M808),TEXT(--M808,"000000000000.000"),LOWER(M808)))</f>
        <v/>
      </c>
      <c r="V808" s="0" t="str">
        <f aca="false">IF(K808="","",LOWER(N808))</f>
        <v/>
      </c>
      <c r="W808" s="0" t="str">
        <f aca="false">IF(K808="","",G308)</f>
        <v/>
      </c>
      <c r="X808" s="0" t="str">
        <f aca="false">IF(K808="","",1+SUMPRODUCT(($K$2:$K$1001&lt;&gt;"")*(($T$2:$T$1001&lt;T808)+($T$2:$T$1001=T808)*(($U$2:$U$1001&lt;U808)+($U$2:$U$1001=U808)*(($V$2:$V$1001&lt;V808)+($V$2:$V$1001=V808)*(($W$2:$W$1001&lt;W808)+($W$2:$W$1001=W808)*(ROW($K$2:$K$1001)&lt;ROW(K808))))))))</f>
        <v/>
      </c>
    </row>
    <row r="809" customFormat="false" ht="15" hidden="false" customHeight="false" outlineLevel="0" collapsed="false">
      <c r="K809" s="0" t="str">
        <f aca="false">IF(H309="","",IF(SUMPRODUCT(--($C$2:$C$501=H309))&gt;0,"",H309))</f>
        <v/>
      </c>
      <c r="L809" s="0" t="str">
        <f aca="false">IF(K809="","",IF(ISNUMBER('List 2'!A309),'List 2'!A309,TRIM('List 2'!A309)))</f>
        <v/>
      </c>
      <c r="M809" s="0" t="str">
        <f aca="false">IF(K809="","",IF(ISNUMBER('List 2'!C309),'List 2'!C309,TRIM('List 2'!C309)))</f>
        <v/>
      </c>
      <c r="N809" s="0" t="str">
        <f aca="false">IF(K809="","",IF(ISNUMBER('List 2'!D309),'List 2'!D309,TRIM('List 2'!D309)))</f>
        <v/>
      </c>
      <c r="O809" s="0" t="str">
        <f aca="false">IF(K809="","",0)</f>
        <v/>
      </c>
      <c r="P809" s="0" t="str">
        <f aca="false">IF(K809="","",I309)</f>
        <v/>
      </c>
      <c r="Q809" s="0" t="str">
        <f aca="false">IF(K809="","",FALSE())</f>
        <v/>
      </c>
      <c r="R809" s="0" t="str">
        <f aca="false">IF(K809="","",TRUE())</f>
        <v/>
      </c>
      <c r="S809" s="0" t="str">
        <f aca="false">IF(K809="","",IF(AND(Q809,R809),IF(O809=P809,"Match","Qty Different"),IF(Q809,"Only in List 1","Only in List 2")))</f>
        <v/>
      </c>
      <c r="T809" s="0" t="str">
        <f aca="false">IF(K809="","",IF(ISNUMBER(--L809),TEXT(--L809,"000000000000.000"),LOWER(L809)))</f>
        <v/>
      </c>
      <c r="U809" s="0" t="str">
        <f aca="false">IF(K809="","",IF(ISNUMBER(--M809),TEXT(--M809,"000000000000.000"),LOWER(M809)))</f>
        <v/>
      </c>
      <c r="V809" s="0" t="str">
        <f aca="false">IF(K809="","",LOWER(N809))</f>
        <v/>
      </c>
      <c r="W809" s="0" t="str">
        <f aca="false">IF(K809="","",G309)</f>
        <v/>
      </c>
      <c r="X809" s="0" t="str">
        <f aca="false">IF(K809="","",1+SUMPRODUCT(($K$2:$K$1001&lt;&gt;"")*(($T$2:$T$1001&lt;T809)+($T$2:$T$1001=T809)*(($U$2:$U$1001&lt;U809)+($U$2:$U$1001=U809)*(($V$2:$V$1001&lt;V809)+($V$2:$V$1001=V809)*(($W$2:$W$1001&lt;W809)+($W$2:$W$1001=W809)*(ROW($K$2:$K$1001)&lt;ROW(K809))))))))</f>
        <v/>
      </c>
    </row>
    <row r="810" customFormat="false" ht="15" hidden="false" customHeight="false" outlineLevel="0" collapsed="false">
      <c r="K810" s="0" t="str">
        <f aca="false">IF(H310="","",IF(SUMPRODUCT(--($C$2:$C$501=H310))&gt;0,"",H310))</f>
        <v/>
      </c>
      <c r="L810" s="0" t="str">
        <f aca="false">IF(K810="","",IF(ISNUMBER('List 2'!A310),'List 2'!A310,TRIM('List 2'!A310)))</f>
        <v/>
      </c>
      <c r="M810" s="0" t="str">
        <f aca="false">IF(K810="","",IF(ISNUMBER('List 2'!C310),'List 2'!C310,TRIM('List 2'!C310)))</f>
        <v/>
      </c>
      <c r="N810" s="0" t="str">
        <f aca="false">IF(K810="","",IF(ISNUMBER('List 2'!D310),'List 2'!D310,TRIM('List 2'!D310)))</f>
        <v/>
      </c>
      <c r="O810" s="0" t="str">
        <f aca="false">IF(K810="","",0)</f>
        <v/>
      </c>
      <c r="P810" s="0" t="str">
        <f aca="false">IF(K810="","",I310)</f>
        <v/>
      </c>
      <c r="Q810" s="0" t="str">
        <f aca="false">IF(K810="","",FALSE())</f>
        <v/>
      </c>
      <c r="R810" s="0" t="str">
        <f aca="false">IF(K810="","",TRUE())</f>
        <v/>
      </c>
      <c r="S810" s="0" t="str">
        <f aca="false">IF(K810="","",IF(AND(Q810,R810),IF(O810=P810,"Match","Qty Different"),IF(Q810,"Only in List 1","Only in List 2")))</f>
        <v/>
      </c>
      <c r="T810" s="0" t="str">
        <f aca="false">IF(K810="","",IF(ISNUMBER(--L810),TEXT(--L810,"000000000000.000"),LOWER(L810)))</f>
        <v/>
      </c>
      <c r="U810" s="0" t="str">
        <f aca="false">IF(K810="","",IF(ISNUMBER(--M810),TEXT(--M810,"000000000000.000"),LOWER(M810)))</f>
        <v/>
      </c>
      <c r="V810" s="0" t="str">
        <f aca="false">IF(K810="","",LOWER(N810))</f>
        <v/>
      </c>
      <c r="W810" s="0" t="str">
        <f aca="false">IF(K810="","",G310)</f>
        <v/>
      </c>
      <c r="X810" s="0" t="str">
        <f aca="false">IF(K810="","",1+SUMPRODUCT(($K$2:$K$1001&lt;&gt;"")*(($T$2:$T$1001&lt;T810)+($T$2:$T$1001=T810)*(($U$2:$U$1001&lt;U810)+($U$2:$U$1001=U810)*(($V$2:$V$1001&lt;V810)+($V$2:$V$1001=V810)*(($W$2:$W$1001&lt;W810)+($W$2:$W$1001=W810)*(ROW($K$2:$K$1001)&lt;ROW(K810))))))))</f>
        <v/>
      </c>
    </row>
    <row r="811" customFormat="false" ht="15" hidden="false" customHeight="false" outlineLevel="0" collapsed="false">
      <c r="K811" s="0" t="str">
        <f aca="false">IF(H311="","",IF(SUMPRODUCT(--($C$2:$C$501=H311))&gt;0,"",H311))</f>
        <v/>
      </c>
      <c r="L811" s="0" t="str">
        <f aca="false">IF(K811="","",IF(ISNUMBER('List 2'!A311),'List 2'!A311,TRIM('List 2'!A311)))</f>
        <v/>
      </c>
      <c r="M811" s="0" t="str">
        <f aca="false">IF(K811="","",IF(ISNUMBER('List 2'!C311),'List 2'!C311,TRIM('List 2'!C311)))</f>
        <v/>
      </c>
      <c r="N811" s="0" t="str">
        <f aca="false">IF(K811="","",IF(ISNUMBER('List 2'!D311),'List 2'!D311,TRIM('List 2'!D311)))</f>
        <v/>
      </c>
      <c r="O811" s="0" t="str">
        <f aca="false">IF(K811="","",0)</f>
        <v/>
      </c>
      <c r="P811" s="0" t="str">
        <f aca="false">IF(K811="","",I311)</f>
        <v/>
      </c>
      <c r="Q811" s="0" t="str">
        <f aca="false">IF(K811="","",FALSE())</f>
        <v/>
      </c>
      <c r="R811" s="0" t="str">
        <f aca="false">IF(K811="","",TRUE())</f>
        <v/>
      </c>
      <c r="S811" s="0" t="str">
        <f aca="false">IF(K811="","",IF(AND(Q811,R811),IF(O811=P811,"Match","Qty Different"),IF(Q811,"Only in List 1","Only in List 2")))</f>
        <v/>
      </c>
      <c r="T811" s="0" t="str">
        <f aca="false">IF(K811="","",IF(ISNUMBER(--L811),TEXT(--L811,"000000000000.000"),LOWER(L811)))</f>
        <v/>
      </c>
      <c r="U811" s="0" t="str">
        <f aca="false">IF(K811="","",IF(ISNUMBER(--M811),TEXT(--M811,"000000000000.000"),LOWER(M811)))</f>
        <v/>
      </c>
      <c r="V811" s="0" t="str">
        <f aca="false">IF(K811="","",LOWER(N811))</f>
        <v/>
      </c>
      <c r="W811" s="0" t="str">
        <f aca="false">IF(K811="","",G311)</f>
        <v/>
      </c>
      <c r="X811" s="0" t="str">
        <f aca="false">IF(K811="","",1+SUMPRODUCT(($K$2:$K$1001&lt;&gt;"")*(($T$2:$T$1001&lt;T811)+($T$2:$T$1001=T811)*(($U$2:$U$1001&lt;U811)+($U$2:$U$1001=U811)*(($V$2:$V$1001&lt;V811)+($V$2:$V$1001=V811)*(($W$2:$W$1001&lt;W811)+($W$2:$W$1001=W811)*(ROW($K$2:$K$1001)&lt;ROW(K811))))))))</f>
        <v/>
      </c>
    </row>
    <row r="812" customFormat="false" ht="15" hidden="false" customHeight="false" outlineLevel="0" collapsed="false">
      <c r="K812" s="0" t="str">
        <f aca="false">IF(H312="","",IF(SUMPRODUCT(--($C$2:$C$501=H312))&gt;0,"",H312))</f>
        <v/>
      </c>
      <c r="L812" s="0" t="str">
        <f aca="false">IF(K812="","",IF(ISNUMBER('List 2'!A312),'List 2'!A312,TRIM('List 2'!A312)))</f>
        <v/>
      </c>
      <c r="M812" s="0" t="str">
        <f aca="false">IF(K812="","",IF(ISNUMBER('List 2'!C312),'List 2'!C312,TRIM('List 2'!C312)))</f>
        <v/>
      </c>
      <c r="N812" s="0" t="str">
        <f aca="false">IF(K812="","",IF(ISNUMBER('List 2'!D312),'List 2'!D312,TRIM('List 2'!D312)))</f>
        <v/>
      </c>
      <c r="O812" s="0" t="str">
        <f aca="false">IF(K812="","",0)</f>
        <v/>
      </c>
      <c r="P812" s="0" t="str">
        <f aca="false">IF(K812="","",I312)</f>
        <v/>
      </c>
      <c r="Q812" s="0" t="str">
        <f aca="false">IF(K812="","",FALSE())</f>
        <v/>
      </c>
      <c r="R812" s="0" t="str">
        <f aca="false">IF(K812="","",TRUE())</f>
        <v/>
      </c>
      <c r="S812" s="0" t="str">
        <f aca="false">IF(K812="","",IF(AND(Q812,R812),IF(O812=P812,"Match","Qty Different"),IF(Q812,"Only in List 1","Only in List 2")))</f>
        <v/>
      </c>
      <c r="T812" s="0" t="str">
        <f aca="false">IF(K812="","",IF(ISNUMBER(--L812),TEXT(--L812,"000000000000.000"),LOWER(L812)))</f>
        <v/>
      </c>
      <c r="U812" s="0" t="str">
        <f aca="false">IF(K812="","",IF(ISNUMBER(--M812),TEXT(--M812,"000000000000.000"),LOWER(M812)))</f>
        <v/>
      </c>
      <c r="V812" s="0" t="str">
        <f aca="false">IF(K812="","",LOWER(N812))</f>
        <v/>
      </c>
      <c r="W812" s="0" t="str">
        <f aca="false">IF(K812="","",G312)</f>
        <v/>
      </c>
      <c r="X812" s="0" t="str">
        <f aca="false">IF(K812="","",1+SUMPRODUCT(($K$2:$K$1001&lt;&gt;"")*(($T$2:$T$1001&lt;T812)+($T$2:$T$1001=T812)*(($U$2:$U$1001&lt;U812)+($U$2:$U$1001=U812)*(($V$2:$V$1001&lt;V812)+($V$2:$V$1001=V812)*(($W$2:$W$1001&lt;W812)+($W$2:$W$1001=W812)*(ROW($K$2:$K$1001)&lt;ROW(K812))))))))</f>
        <v/>
      </c>
    </row>
    <row r="813" customFormat="false" ht="15" hidden="false" customHeight="false" outlineLevel="0" collapsed="false">
      <c r="K813" s="0" t="str">
        <f aca="false">IF(H313="","",IF(SUMPRODUCT(--($C$2:$C$501=H313))&gt;0,"",H313))</f>
        <v/>
      </c>
      <c r="L813" s="0" t="str">
        <f aca="false">IF(K813="","",IF(ISNUMBER('List 2'!A313),'List 2'!A313,TRIM('List 2'!A313)))</f>
        <v/>
      </c>
      <c r="M813" s="0" t="str">
        <f aca="false">IF(K813="","",IF(ISNUMBER('List 2'!C313),'List 2'!C313,TRIM('List 2'!C313)))</f>
        <v/>
      </c>
      <c r="N813" s="0" t="str">
        <f aca="false">IF(K813="","",IF(ISNUMBER('List 2'!D313),'List 2'!D313,TRIM('List 2'!D313)))</f>
        <v/>
      </c>
      <c r="O813" s="0" t="str">
        <f aca="false">IF(K813="","",0)</f>
        <v/>
      </c>
      <c r="P813" s="0" t="str">
        <f aca="false">IF(K813="","",I313)</f>
        <v/>
      </c>
      <c r="Q813" s="0" t="str">
        <f aca="false">IF(K813="","",FALSE())</f>
        <v/>
      </c>
      <c r="R813" s="0" t="str">
        <f aca="false">IF(K813="","",TRUE())</f>
        <v/>
      </c>
      <c r="S813" s="0" t="str">
        <f aca="false">IF(K813="","",IF(AND(Q813,R813),IF(O813=P813,"Match","Qty Different"),IF(Q813,"Only in List 1","Only in List 2")))</f>
        <v/>
      </c>
      <c r="T813" s="0" t="str">
        <f aca="false">IF(K813="","",IF(ISNUMBER(--L813),TEXT(--L813,"000000000000.000"),LOWER(L813)))</f>
        <v/>
      </c>
      <c r="U813" s="0" t="str">
        <f aca="false">IF(K813="","",IF(ISNUMBER(--M813),TEXT(--M813,"000000000000.000"),LOWER(M813)))</f>
        <v/>
      </c>
      <c r="V813" s="0" t="str">
        <f aca="false">IF(K813="","",LOWER(N813))</f>
        <v/>
      </c>
      <c r="W813" s="0" t="str">
        <f aca="false">IF(K813="","",G313)</f>
        <v/>
      </c>
      <c r="X813" s="0" t="str">
        <f aca="false">IF(K813="","",1+SUMPRODUCT(($K$2:$K$1001&lt;&gt;"")*(($T$2:$T$1001&lt;T813)+($T$2:$T$1001=T813)*(($U$2:$U$1001&lt;U813)+($U$2:$U$1001=U813)*(($V$2:$V$1001&lt;V813)+($V$2:$V$1001=V813)*(($W$2:$W$1001&lt;W813)+($W$2:$W$1001=W813)*(ROW($K$2:$K$1001)&lt;ROW(K813))))))))</f>
        <v/>
      </c>
    </row>
    <row r="814" customFormat="false" ht="15" hidden="false" customHeight="false" outlineLevel="0" collapsed="false">
      <c r="K814" s="0" t="str">
        <f aca="false">IF(H314="","",IF(SUMPRODUCT(--($C$2:$C$501=H314))&gt;0,"",H314))</f>
        <v/>
      </c>
      <c r="L814" s="0" t="str">
        <f aca="false">IF(K814="","",IF(ISNUMBER('List 2'!A314),'List 2'!A314,TRIM('List 2'!A314)))</f>
        <v/>
      </c>
      <c r="M814" s="0" t="str">
        <f aca="false">IF(K814="","",IF(ISNUMBER('List 2'!C314),'List 2'!C314,TRIM('List 2'!C314)))</f>
        <v/>
      </c>
      <c r="N814" s="0" t="str">
        <f aca="false">IF(K814="","",IF(ISNUMBER('List 2'!D314),'List 2'!D314,TRIM('List 2'!D314)))</f>
        <v/>
      </c>
      <c r="O814" s="0" t="str">
        <f aca="false">IF(K814="","",0)</f>
        <v/>
      </c>
      <c r="P814" s="0" t="str">
        <f aca="false">IF(K814="","",I314)</f>
        <v/>
      </c>
      <c r="Q814" s="0" t="str">
        <f aca="false">IF(K814="","",FALSE())</f>
        <v/>
      </c>
      <c r="R814" s="0" t="str">
        <f aca="false">IF(K814="","",TRUE())</f>
        <v/>
      </c>
      <c r="S814" s="0" t="str">
        <f aca="false">IF(K814="","",IF(AND(Q814,R814),IF(O814=P814,"Match","Qty Different"),IF(Q814,"Only in List 1","Only in List 2")))</f>
        <v/>
      </c>
      <c r="T814" s="0" t="str">
        <f aca="false">IF(K814="","",IF(ISNUMBER(--L814),TEXT(--L814,"000000000000.000"),LOWER(L814)))</f>
        <v/>
      </c>
      <c r="U814" s="0" t="str">
        <f aca="false">IF(K814="","",IF(ISNUMBER(--M814),TEXT(--M814,"000000000000.000"),LOWER(M814)))</f>
        <v/>
      </c>
      <c r="V814" s="0" t="str">
        <f aca="false">IF(K814="","",LOWER(N814))</f>
        <v/>
      </c>
      <c r="W814" s="0" t="str">
        <f aca="false">IF(K814="","",G314)</f>
        <v/>
      </c>
      <c r="X814" s="0" t="str">
        <f aca="false">IF(K814="","",1+SUMPRODUCT(($K$2:$K$1001&lt;&gt;"")*(($T$2:$T$1001&lt;T814)+($T$2:$T$1001=T814)*(($U$2:$U$1001&lt;U814)+($U$2:$U$1001=U814)*(($V$2:$V$1001&lt;V814)+($V$2:$V$1001=V814)*(($W$2:$W$1001&lt;W814)+($W$2:$W$1001=W814)*(ROW($K$2:$K$1001)&lt;ROW(K814))))))))</f>
        <v/>
      </c>
    </row>
    <row r="815" customFormat="false" ht="15" hidden="false" customHeight="false" outlineLevel="0" collapsed="false">
      <c r="K815" s="0" t="str">
        <f aca="false">IF(H315="","",IF(SUMPRODUCT(--($C$2:$C$501=H315))&gt;0,"",H315))</f>
        <v/>
      </c>
      <c r="L815" s="0" t="str">
        <f aca="false">IF(K815="","",IF(ISNUMBER('List 2'!A315),'List 2'!A315,TRIM('List 2'!A315)))</f>
        <v/>
      </c>
      <c r="M815" s="0" t="str">
        <f aca="false">IF(K815="","",IF(ISNUMBER('List 2'!C315),'List 2'!C315,TRIM('List 2'!C315)))</f>
        <v/>
      </c>
      <c r="N815" s="0" t="str">
        <f aca="false">IF(K815="","",IF(ISNUMBER('List 2'!D315),'List 2'!D315,TRIM('List 2'!D315)))</f>
        <v/>
      </c>
      <c r="O815" s="0" t="str">
        <f aca="false">IF(K815="","",0)</f>
        <v/>
      </c>
      <c r="P815" s="0" t="str">
        <f aca="false">IF(K815="","",I315)</f>
        <v/>
      </c>
      <c r="Q815" s="0" t="str">
        <f aca="false">IF(K815="","",FALSE())</f>
        <v/>
      </c>
      <c r="R815" s="0" t="str">
        <f aca="false">IF(K815="","",TRUE())</f>
        <v/>
      </c>
      <c r="S815" s="0" t="str">
        <f aca="false">IF(K815="","",IF(AND(Q815,R815),IF(O815=P815,"Match","Qty Different"),IF(Q815,"Only in List 1","Only in List 2")))</f>
        <v/>
      </c>
      <c r="T815" s="0" t="str">
        <f aca="false">IF(K815="","",IF(ISNUMBER(--L815),TEXT(--L815,"000000000000.000"),LOWER(L815)))</f>
        <v/>
      </c>
      <c r="U815" s="0" t="str">
        <f aca="false">IF(K815="","",IF(ISNUMBER(--M815),TEXT(--M815,"000000000000.000"),LOWER(M815)))</f>
        <v/>
      </c>
      <c r="V815" s="0" t="str">
        <f aca="false">IF(K815="","",LOWER(N815))</f>
        <v/>
      </c>
      <c r="W815" s="0" t="str">
        <f aca="false">IF(K815="","",G315)</f>
        <v/>
      </c>
      <c r="X815" s="0" t="str">
        <f aca="false">IF(K815="","",1+SUMPRODUCT(($K$2:$K$1001&lt;&gt;"")*(($T$2:$T$1001&lt;T815)+($T$2:$T$1001=T815)*(($U$2:$U$1001&lt;U815)+($U$2:$U$1001=U815)*(($V$2:$V$1001&lt;V815)+($V$2:$V$1001=V815)*(($W$2:$W$1001&lt;W815)+($W$2:$W$1001=W815)*(ROW($K$2:$K$1001)&lt;ROW(K815))))))))</f>
        <v/>
      </c>
    </row>
    <row r="816" customFormat="false" ht="15" hidden="false" customHeight="false" outlineLevel="0" collapsed="false">
      <c r="K816" s="0" t="str">
        <f aca="false">IF(H316="","",IF(SUMPRODUCT(--($C$2:$C$501=H316))&gt;0,"",H316))</f>
        <v/>
      </c>
      <c r="L816" s="0" t="str">
        <f aca="false">IF(K816="","",IF(ISNUMBER('List 2'!A316),'List 2'!A316,TRIM('List 2'!A316)))</f>
        <v/>
      </c>
      <c r="M816" s="0" t="str">
        <f aca="false">IF(K816="","",IF(ISNUMBER('List 2'!C316),'List 2'!C316,TRIM('List 2'!C316)))</f>
        <v/>
      </c>
      <c r="N816" s="0" t="str">
        <f aca="false">IF(K816="","",IF(ISNUMBER('List 2'!D316),'List 2'!D316,TRIM('List 2'!D316)))</f>
        <v/>
      </c>
      <c r="O816" s="0" t="str">
        <f aca="false">IF(K816="","",0)</f>
        <v/>
      </c>
      <c r="P816" s="0" t="str">
        <f aca="false">IF(K816="","",I316)</f>
        <v/>
      </c>
      <c r="Q816" s="0" t="str">
        <f aca="false">IF(K816="","",FALSE())</f>
        <v/>
      </c>
      <c r="R816" s="0" t="str">
        <f aca="false">IF(K816="","",TRUE())</f>
        <v/>
      </c>
      <c r="S816" s="0" t="str">
        <f aca="false">IF(K816="","",IF(AND(Q816,R816),IF(O816=P816,"Match","Qty Different"),IF(Q816,"Only in List 1","Only in List 2")))</f>
        <v/>
      </c>
      <c r="T816" s="0" t="str">
        <f aca="false">IF(K816="","",IF(ISNUMBER(--L816),TEXT(--L816,"000000000000.000"),LOWER(L816)))</f>
        <v/>
      </c>
      <c r="U816" s="0" t="str">
        <f aca="false">IF(K816="","",IF(ISNUMBER(--M816),TEXT(--M816,"000000000000.000"),LOWER(M816)))</f>
        <v/>
      </c>
      <c r="V816" s="0" t="str">
        <f aca="false">IF(K816="","",LOWER(N816))</f>
        <v/>
      </c>
      <c r="W816" s="0" t="str">
        <f aca="false">IF(K816="","",G316)</f>
        <v/>
      </c>
      <c r="X816" s="0" t="str">
        <f aca="false">IF(K816="","",1+SUMPRODUCT(($K$2:$K$1001&lt;&gt;"")*(($T$2:$T$1001&lt;T816)+($T$2:$T$1001=T816)*(($U$2:$U$1001&lt;U816)+($U$2:$U$1001=U816)*(($V$2:$V$1001&lt;V816)+($V$2:$V$1001=V816)*(($W$2:$W$1001&lt;W816)+($W$2:$W$1001=W816)*(ROW($K$2:$K$1001)&lt;ROW(K816))))))))</f>
        <v/>
      </c>
    </row>
    <row r="817" customFormat="false" ht="15" hidden="false" customHeight="false" outlineLevel="0" collapsed="false">
      <c r="K817" s="0" t="str">
        <f aca="false">IF(H317="","",IF(SUMPRODUCT(--($C$2:$C$501=H317))&gt;0,"",H317))</f>
        <v/>
      </c>
      <c r="L817" s="0" t="str">
        <f aca="false">IF(K817="","",IF(ISNUMBER('List 2'!A317),'List 2'!A317,TRIM('List 2'!A317)))</f>
        <v/>
      </c>
      <c r="M817" s="0" t="str">
        <f aca="false">IF(K817="","",IF(ISNUMBER('List 2'!C317),'List 2'!C317,TRIM('List 2'!C317)))</f>
        <v/>
      </c>
      <c r="N817" s="0" t="str">
        <f aca="false">IF(K817="","",IF(ISNUMBER('List 2'!D317),'List 2'!D317,TRIM('List 2'!D317)))</f>
        <v/>
      </c>
      <c r="O817" s="0" t="str">
        <f aca="false">IF(K817="","",0)</f>
        <v/>
      </c>
      <c r="P817" s="0" t="str">
        <f aca="false">IF(K817="","",I317)</f>
        <v/>
      </c>
      <c r="Q817" s="0" t="str">
        <f aca="false">IF(K817="","",FALSE())</f>
        <v/>
      </c>
      <c r="R817" s="0" t="str">
        <f aca="false">IF(K817="","",TRUE())</f>
        <v/>
      </c>
      <c r="S817" s="0" t="str">
        <f aca="false">IF(K817="","",IF(AND(Q817,R817),IF(O817=P817,"Match","Qty Different"),IF(Q817,"Only in List 1","Only in List 2")))</f>
        <v/>
      </c>
      <c r="T817" s="0" t="str">
        <f aca="false">IF(K817="","",IF(ISNUMBER(--L817),TEXT(--L817,"000000000000.000"),LOWER(L817)))</f>
        <v/>
      </c>
      <c r="U817" s="0" t="str">
        <f aca="false">IF(K817="","",IF(ISNUMBER(--M817),TEXT(--M817,"000000000000.000"),LOWER(M817)))</f>
        <v/>
      </c>
      <c r="V817" s="0" t="str">
        <f aca="false">IF(K817="","",LOWER(N817))</f>
        <v/>
      </c>
      <c r="W817" s="0" t="str">
        <f aca="false">IF(K817="","",G317)</f>
        <v/>
      </c>
      <c r="X817" s="0" t="str">
        <f aca="false">IF(K817="","",1+SUMPRODUCT(($K$2:$K$1001&lt;&gt;"")*(($T$2:$T$1001&lt;T817)+($T$2:$T$1001=T817)*(($U$2:$U$1001&lt;U817)+($U$2:$U$1001=U817)*(($V$2:$V$1001&lt;V817)+($V$2:$V$1001=V817)*(($W$2:$W$1001&lt;W817)+($W$2:$W$1001=W817)*(ROW($K$2:$K$1001)&lt;ROW(K817))))))))</f>
        <v/>
      </c>
    </row>
    <row r="818" customFormat="false" ht="15" hidden="false" customHeight="false" outlineLevel="0" collapsed="false">
      <c r="K818" s="0" t="str">
        <f aca="false">IF(H318="","",IF(SUMPRODUCT(--($C$2:$C$501=H318))&gt;0,"",H318))</f>
        <v/>
      </c>
      <c r="L818" s="0" t="str">
        <f aca="false">IF(K818="","",IF(ISNUMBER('List 2'!A318),'List 2'!A318,TRIM('List 2'!A318)))</f>
        <v/>
      </c>
      <c r="M818" s="0" t="str">
        <f aca="false">IF(K818="","",IF(ISNUMBER('List 2'!C318),'List 2'!C318,TRIM('List 2'!C318)))</f>
        <v/>
      </c>
      <c r="N818" s="0" t="str">
        <f aca="false">IF(K818="","",IF(ISNUMBER('List 2'!D318),'List 2'!D318,TRIM('List 2'!D318)))</f>
        <v/>
      </c>
      <c r="O818" s="0" t="str">
        <f aca="false">IF(K818="","",0)</f>
        <v/>
      </c>
      <c r="P818" s="0" t="str">
        <f aca="false">IF(K818="","",I318)</f>
        <v/>
      </c>
      <c r="Q818" s="0" t="str">
        <f aca="false">IF(K818="","",FALSE())</f>
        <v/>
      </c>
      <c r="R818" s="0" t="str">
        <f aca="false">IF(K818="","",TRUE())</f>
        <v/>
      </c>
      <c r="S818" s="0" t="str">
        <f aca="false">IF(K818="","",IF(AND(Q818,R818),IF(O818=P818,"Match","Qty Different"),IF(Q818,"Only in List 1","Only in List 2")))</f>
        <v/>
      </c>
      <c r="T818" s="0" t="str">
        <f aca="false">IF(K818="","",IF(ISNUMBER(--L818),TEXT(--L818,"000000000000.000"),LOWER(L818)))</f>
        <v/>
      </c>
      <c r="U818" s="0" t="str">
        <f aca="false">IF(K818="","",IF(ISNUMBER(--M818),TEXT(--M818,"000000000000.000"),LOWER(M818)))</f>
        <v/>
      </c>
      <c r="V818" s="0" t="str">
        <f aca="false">IF(K818="","",LOWER(N818))</f>
        <v/>
      </c>
      <c r="W818" s="0" t="str">
        <f aca="false">IF(K818="","",G318)</f>
        <v/>
      </c>
      <c r="X818" s="0" t="str">
        <f aca="false">IF(K818="","",1+SUMPRODUCT(($K$2:$K$1001&lt;&gt;"")*(($T$2:$T$1001&lt;T818)+($T$2:$T$1001=T818)*(($U$2:$U$1001&lt;U818)+($U$2:$U$1001=U818)*(($V$2:$V$1001&lt;V818)+($V$2:$V$1001=V818)*(($W$2:$W$1001&lt;W818)+($W$2:$W$1001=W818)*(ROW($K$2:$K$1001)&lt;ROW(K818))))))))</f>
        <v/>
      </c>
    </row>
    <row r="819" customFormat="false" ht="15" hidden="false" customHeight="false" outlineLevel="0" collapsed="false">
      <c r="K819" s="0" t="str">
        <f aca="false">IF(H319="","",IF(SUMPRODUCT(--($C$2:$C$501=H319))&gt;0,"",H319))</f>
        <v/>
      </c>
      <c r="L819" s="0" t="str">
        <f aca="false">IF(K819="","",IF(ISNUMBER('List 2'!A319),'List 2'!A319,TRIM('List 2'!A319)))</f>
        <v/>
      </c>
      <c r="M819" s="0" t="str">
        <f aca="false">IF(K819="","",IF(ISNUMBER('List 2'!C319),'List 2'!C319,TRIM('List 2'!C319)))</f>
        <v/>
      </c>
      <c r="N819" s="0" t="str">
        <f aca="false">IF(K819="","",IF(ISNUMBER('List 2'!D319),'List 2'!D319,TRIM('List 2'!D319)))</f>
        <v/>
      </c>
      <c r="O819" s="0" t="str">
        <f aca="false">IF(K819="","",0)</f>
        <v/>
      </c>
      <c r="P819" s="0" t="str">
        <f aca="false">IF(K819="","",I319)</f>
        <v/>
      </c>
      <c r="Q819" s="0" t="str">
        <f aca="false">IF(K819="","",FALSE())</f>
        <v/>
      </c>
      <c r="R819" s="0" t="str">
        <f aca="false">IF(K819="","",TRUE())</f>
        <v/>
      </c>
      <c r="S819" s="0" t="str">
        <f aca="false">IF(K819="","",IF(AND(Q819,R819),IF(O819=P819,"Match","Qty Different"),IF(Q819,"Only in List 1","Only in List 2")))</f>
        <v/>
      </c>
      <c r="T819" s="0" t="str">
        <f aca="false">IF(K819="","",IF(ISNUMBER(--L819),TEXT(--L819,"000000000000.000"),LOWER(L819)))</f>
        <v/>
      </c>
      <c r="U819" s="0" t="str">
        <f aca="false">IF(K819="","",IF(ISNUMBER(--M819),TEXT(--M819,"000000000000.000"),LOWER(M819)))</f>
        <v/>
      </c>
      <c r="V819" s="0" t="str">
        <f aca="false">IF(K819="","",LOWER(N819))</f>
        <v/>
      </c>
      <c r="W819" s="0" t="str">
        <f aca="false">IF(K819="","",G319)</f>
        <v/>
      </c>
      <c r="X819" s="0" t="str">
        <f aca="false">IF(K819="","",1+SUMPRODUCT(($K$2:$K$1001&lt;&gt;"")*(($T$2:$T$1001&lt;T819)+($T$2:$T$1001=T819)*(($U$2:$U$1001&lt;U819)+($U$2:$U$1001=U819)*(($V$2:$V$1001&lt;V819)+($V$2:$V$1001=V819)*(($W$2:$W$1001&lt;W819)+($W$2:$W$1001=W819)*(ROW($K$2:$K$1001)&lt;ROW(K819))))))))</f>
        <v/>
      </c>
    </row>
    <row r="820" customFormat="false" ht="15" hidden="false" customHeight="false" outlineLevel="0" collapsed="false">
      <c r="K820" s="0" t="str">
        <f aca="false">IF(H320="","",IF(SUMPRODUCT(--($C$2:$C$501=H320))&gt;0,"",H320))</f>
        <v/>
      </c>
      <c r="L820" s="0" t="str">
        <f aca="false">IF(K820="","",IF(ISNUMBER('List 2'!A320),'List 2'!A320,TRIM('List 2'!A320)))</f>
        <v/>
      </c>
      <c r="M820" s="0" t="str">
        <f aca="false">IF(K820="","",IF(ISNUMBER('List 2'!C320),'List 2'!C320,TRIM('List 2'!C320)))</f>
        <v/>
      </c>
      <c r="N820" s="0" t="str">
        <f aca="false">IF(K820="","",IF(ISNUMBER('List 2'!D320),'List 2'!D320,TRIM('List 2'!D320)))</f>
        <v/>
      </c>
      <c r="O820" s="0" t="str">
        <f aca="false">IF(K820="","",0)</f>
        <v/>
      </c>
      <c r="P820" s="0" t="str">
        <f aca="false">IF(K820="","",I320)</f>
        <v/>
      </c>
      <c r="Q820" s="0" t="str">
        <f aca="false">IF(K820="","",FALSE())</f>
        <v/>
      </c>
      <c r="R820" s="0" t="str">
        <f aca="false">IF(K820="","",TRUE())</f>
        <v/>
      </c>
      <c r="S820" s="0" t="str">
        <f aca="false">IF(K820="","",IF(AND(Q820,R820),IF(O820=P820,"Match","Qty Different"),IF(Q820,"Only in List 1","Only in List 2")))</f>
        <v/>
      </c>
      <c r="T820" s="0" t="str">
        <f aca="false">IF(K820="","",IF(ISNUMBER(--L820),TEXT(--L820,"000000000000.000"),LOWER(L820)))</f>
        <v/>
      </c>
      <c r="U820" s="0" t="str">
        <f aca="false">IF(K820="","",IF(ISNUMBER(--M820),TEXT(--M820,"000000000000.000"),LOWER(M820)))</f>
        <v/>
      </c>
      <c r="V820" s="0" t="str">
        <f aca="false">IF(K820="","",LOWER(N820))</f>
        <v/>
      </c>
      <c r="W820" s="0" t="str">
        <f aca="false">IF(K820="","",G320)</f>
        <v/>
      </c>
      <c r="X820" s="0" t="str">
        <f aca="false">IF(K820="","",1+SUMPRODUCT(($K$2:$K$1001&lt;&gt;"")*(($T$2:$T$1001&lt;T820)+($T$2:$T$1001=T820)*(($U$2:$U$1001&lt;U820)+($U$2:$U$1001=U820)*(($V$2:$V$1001&lt;V820)+($V$2:$V$1001=V820)*(($W$2:$W$1001&lt;W820)+($W$2:$W$1001=W820)*(ROW($K$2:$K$1001)&lt;ROW(K820))))))))</f>
        <v/>
      </c>
    </row>
    <row r="821" customFormat="false" ht="15" hidden="false" customHeight="false" outlineLevel="0" collapsed="false">
      <c r="K821" s="0" t="str">
        <f aca="false">IF(H321="","",IF(SUMPRODUCT(--($C$2:$C$501=H321))&gt;0,"",H321))</f>
        <v/>
      </c>
      <c r="L821" s="0" t="str">
        <f aca="false">IF(K821="","",IF(ISNUMBER('List 2'!A321),'List 2'!A321,TRIM('List 2'!A321)))</f>
        <v/>
      </c>
      <c r="M821" s="0" t="str">
        <f aca="false">IF(K821="","",IF(ISNUMBER('List 2'!C321),'List 2'!C321,TRIM('List 2'!C321)))</f>
        <v/>
      </c>
      <c r="N821" s="0" t="str">
        <f aca="false">IF(K821="","",IF(ISNUMBER('List 2'!D321),'List 2'!D321,TRIM('List 2'!D321)))</f>
        <v/>
      </c>
      <c r="O821" s="0" t="str">
        <f aca="false">IF(K821="","",0)</f>
        <v/>
      </c>
      <c r="P821" s="0" t="str">
        <f aca="false">IF(K821="","",I321)</f>
        <v/>
      </c>
      <c r="Q821" s="0" t="str">
        <f aca="false">IF(K821="","",FALSE())</f>
        <v/>
      </c>
      <c r="R821" s="0" t="str">
        <f aca="false">IF(K821="","",TRUE())</f>
        <v/>
      </c>
      <c r="S821" s="0" t="str">
        <f aca="false">IF(K821="","",IF(AND(Q821,R821),IF(O821=P821,"Match","Qty Different"),IF(Q821,"Only in List 1","Only in List 2")))</f>
        <v/>
      </c>
      <c r="T821" s="0" t="str">
        <f aca="false">IF(K821="","",IF(ISNUMBER(--L821),TEXT(--L821,"000000000000.000"),LOWER(L821)))</f>
        <v/>
      </c>
      <c r="U821" s="0" t="str">
        <f aca="false">IF(K821="","",IF(ISNUMBER(--M821),TEXT(--M821,"000000000000.000"),LOWER(M821)))</f>
        <v/>
      </c>
      <c r="V821" s="0" t="str">
        <f aca="false">IF(K821="","",LOWER(N821))</f>
        <v/>
      </c>
      <c r="W821" s="0" t="str">
        <f aca="false">IF(K821="","",G321)</f>
        <v/>
      </c>
      <c r="X821" s="0" t="str">
        <f aca="false">IF(K821="","",1+SUMPRODUCT(($K$2:$K$1001&lt;&gt;"")*(($T$2:$T$1001&lt;T821)+($T$2:$T$1001=T821)*(($U$2:$U$1001&lt;U821)+($U$2:$U$1001=U821)*(($V$2:$V$1001&lt;V821)+($V$2:$V$1001=V821)*(($W$2:$W$1001&lt;W821)+($W$2:$W$1001=W821)*(ROW($K$2:$K$1001)&lt;ROW(K821))))))))</f>
        <v/>
      </c>
    </row>
    <row r="822" customFormat="false" ht="15" hidden="false" customHeight="false" outlineLevel="0" collapsed="false">
      <c r="K822" s="0" t="str">
        <f aca="false">IF(H322="","",IF(SUMPRODUCT(--($C$2:$C$501=H322))&gt;0,"",H322))</f>
        <v/>
      </c>
      <c r="L822" s="0" t="str">
        <f aca="false">IF(K822="","",IF(ISNUMBER('List 2'!A322),'List 2'!A322,TRIM('List 2'!A322)))</f>
        <v/>
      </c>
      <c r="M822" s="0" t="str">
        <f aca="false">IF(K822="","",IF(ISNUMBER('List 2'!C322),'List 2'!C322,TRIM('List 2'!C322)))</f>
        <v/>
      </c>
      <c r="N822" s="0" t="str">
        <f aca="false">IF(K822="","",IF(ISNUMBER('List 2'!D322),'List 2'!D322,TRIM('List 2'!D322)))</f>
        <v/>
      </c>
      <c r="O822" s="0" t="str">
        <f aca="false">IF(K822="","",0)</f>
        <v/>
      </c>
      <c r="P822" s="0" t="str">
        <f aca="false">IF(K822="","",I322)</f>
        <v/>
      </c>
      <c r="Q822" s="0" t="str">
        <f aca="false">IF(K822="","",FALSE())</f>
        <v/>
      </c>
      <c r="R822" s="0" t="str">
        <f aca="false">IF(K822="","",TRUE())</f>
        <v/>
      </c>
      <c r="S822" s="0" t="str">
        <f aca="false">IF(K822="","",IF(AND(Q822,R822),IF(O822=P822,"Match","Qty Different"),IF(Q822,"Only in List 1","Only in List 2")))</f>
        <v/>
      </c>
      <c r="T822" s="0" t="str">
        <f aca="false">IF(K822="","",IF(ISNUMBER(--L822),TEXT(--L822,"000000000000.000"),LOWER(L822)))</f>
        <v/>
      </c>
      <c r="U822" s="0" t="str">
        <f aca="false">IF(K822="","",IF(ISNUMBER(--M822),TEXT(--M822,"000000000000.000"),LOWER(M822)))</f>
        <v/>
      </c>
      <c r="V822" s="0" t="str">
        <f aca="false">IF(K822="","",LOWER(N822))</f>
        <v/>
      </c>
      <c r="W822" s="0" t="str">
        <f aca="false">IF(K822="","",G322)</f>
        <v/>
      </c>
      <c r="X822" s="0" t="str">
        <f aca="false">IF(K822="","",1+SUMPRODUCT(($K$2:$K$1001&lt;&gt;"")*(($T$2:$T$1001&lt;T822)+($T$2:$T$1001=T822)*(($U$2:$U$1001&lt;U822)+($U$2:$U$1001=U822)*(($V$2:$V$1001&lt;V822)+($V$2:$V$1001=V822)*(($W$2:$W$1001&lt;W822)+($W$2:$W$1001=W822)*(ROW($K$2:$K$1001)&lt;ROW(K822))))))))</f>
        <v/>
      </c>
    </row>
    <row r="823" customFormat="false" ht="15" hidden="false" customHeight="false" outlineLevel="0" collapsed="false">
      <c r="K823" s="0" t="str">
        <f aca="false">IF(H323="","",IF(SUMPRODUCT(--($C$2:$C$501=H323))&gt;0,"",H323))</f>
        <v/>
      </c>
      <c r="L823" s="0" t="str">
        <f aca="false">IF(K823="","",IF(ISNUMBER('List 2'!A323),'List 2'!A323,TRIM('List 2'!A323)))</f>
        <v/>
      </c>
      <c r="M823" s="0" t="str">
        <f aca="false">IF(K823="","",IF(ISNUMBER('List 2'!C323),'List 2'!C323,TRIM('List 2'!C323)))</f>
        <v/>
      </c>
      <c r="N823" s="0" t="str">
        <f aca="false">IF(K823="","",IF(ISNUMBER('List 2'!D323),'List 2'!D323,TRIM('List 2'!D323)))</f>
        <v/>
      </c>
      <c r="O823" s="0" t="str">
        <f aca="false">IF(K823="","",0)</f>
        <v/>
      </c>
      <c r="P823" s="0" t="str">
        <f aca="false">IF(K823="","",I323)</f>
        <v/>
      </c>
      <c r="Q823" s="0" t="str">
        <f aca="false">IF(K823="","",FALSE())</f>
        <v/>
      </c>
      <c r="R823" s="0" t="str">
        <f aca="false">IF(K823="","",TRUE())</f>
        <v/>
      </c>
      <c r="S823" s="0" t="str">
        <f aca="false">IF(K823="","",IF(AND(Q823,R823),IF(O823=P823,"Match","Qty Different"),IF(Q823,"Only in List 1","Only in List 2")))</f>
        <v/>
      </c>
      <c r="T823" s="0" t="str">
        <f aca="false">IF(K823="","",IF(ISNUMBER(--L823),TEXT(--L823,"000000000000.000"),LOWER(L823)))</f>
        <v/>
      </c>
      <c r="U823" s="0" t="str">
        <f aca="false">IF(K823="","",IF(ISNUMBER(--M823),TEXT(--M823,"000000000000.000"),LOWER(M823)))</f>
        <v/>
      </c>
      <c r="V823" s="0" t="str">
        <f aca="false">IF(K823="","",LOWER(N823))</f>
        <v/>
      </c>
      <c r="W823" s="0" t="str">
        <f aca="false">IF(K823="","",G323)</f>
        <v/>
      </c>
      <c r="X823" s="0" t="str">
        <f aca="false">IF(K823="","",1+SUMPRODUCT(($K$2:$K$1001&lt;&gt;"")*(($T$2:$T$1001&lt;T823)+($T$2:$T$1001=T823)*(($U$2:$U$1001&lt;U823)+($U$2:$U$1001=U823)*(($V$2:$V$1001&lt;V823)+($V$2:$V$1001=V823)*(($W$2:$W$1001&lt;W823)+($W$2:$W$1001=W823)*(ROW($K$2:$K$1001)&lt;ROW(K823))))))))</f>
        <v/>
      </c>
    </row>
    <row r="824" customFormat="false" ht="15" hidden="false" customHeight="false" outlineLevel="0" collapsed="false">
      <c r="K824" s="0" t="str">
        <f aca="false">IF(H324="","",IF(SUMPRODUCT(--($C$2:$C$501=H324))&gt;0,"",H324))</f>
        <v/>
      </c>
      <c r="L824" s="0" t="str">
        <f aca="false">IF(K824="","",IF(ISNUMBER('List 2'!A324),'List 2'!A324,TRIM('List 2'!A324)))</f>
        <v/>
      </c>
      <c r="M824" s="0" t="str">
        <f aca="false">IF(K824="","",IF(ISNUMBER('List 2'!C324),'List 2'!C324,TRIM('List 2'!C324)))</f>
        <v/>
      </c>
      <c r="N824" s="0" t="str">
        <f aca="false">IF(K824="","",IF(ISNUMBER('List 2'!D324),'List 2'!D324,TRIM('List 2'!D324)))</f>
        <v/>
      </c>
      <c r="O824" s="0" t="str">
        <f aca="false">IF(K824="","",0)</f>
        <v/>
      </c>
      <c r="P824" s="0" t="str">
        <f aca="false">IF(K824="","",I324)</f>
        <v/>
      </c>
      <c r="Q824" s="0" t="str">
        <f aca="false">IF(K824="","",FALSE())</f>
        <v/>
      </c>
      <c r="R824" s="0" t="str">
        <f aca="false">IF(K824="","",TRUE())</f>
        <v/>
      </c>
      <c r="S824" s="0" t="str">
        <f aca="false">IF(K824="","",IF(AND(Q824,R824),IF(O824=P824,"Match","Qty Different"),IF(Q824,"Only in List 1","Only in List 2")))</f>
        <v/>
      </c>
      <c r="T824" s="0" t="str">
        <f aca="false">IF(K824="","",IF(ISNUMBER(--L824),TEXT(--L824,"000000000000.000"),LOWER(L824)))</f>
        <v/>
      </c>
      <c r="U824" s="0" t="str">
        <f aca="false">IF(K824="","",IF(ISNUMBER(--M824),TEXT(--M824,"000000000000.000"),LOWER(M824)))</f>
        <v/>
      </c>
      <c r="V824" s="0" t="str">
        <f aca="false">IF(K824="","",LOWER(N824))</f>
        <v/>
      </c>
      <c r="W824" s="0" t="str">
        <f aca="false">IF(K824="","",G324)</f>
        <v/>
      </c>
      <c r="X824" s="0" t="str">
        <f aca="false">IF(K824="","",1+SUMPRODUCT(($K$2:$K$1001&lt;&gt;"")*(($T$2:$T$1001&lt;T824)+($T$2:$T$1001=T824)*(($U$2:$U$1001&lt;U824)+($U$2:$U$1001=U824)*(($V$2:$V$1001&lt;V824)+($V$2:$V$1001=V824)*(($W$2:$W$1001&lt;W824)+($W$2:$W$1001=W824)*(ROW($K$2:$K$1001)&lt;ROW(K824))))))))</f>
        <v/>
      </c>
    </row>
    <row r="825" customFormat="false" ht="15" hidden="false" customHeight="false" outlineLevel="0" collapsed="false">
      <c r="K825" s="0" t="str">
        <f aca="false">IF(H325="","",IF(SUMPRODUCT(--($C$2:$C$501=H325))&gt;0,"",H325))</f>
        <v/>
      </c>
      <c r="L825" s="0" t="str">
        <f aca="false">IF(K825="","",IF(ISNUMBER('List 2'!A325),'List 2'!A325,TRIM('List 2'!A325)))</f>
        <v/>
      </c>
      <c r="M825" s="0" t="str">
        <f aca="false">IF(K825="","",IF(ISNUMBER('List 2'!C325),'List 2'!C325,TRIM('List 2'!C325)))</f>
        <v/>
      </c>
      <c r="N825" s="0" t="str">
        <f aca="false">IF(K825="","",IF(ISNUMBER('List 2'!D325),'List 2'!D325,TRIM('List 2'!D325)))</f>
        <v/>
      </c>
      <c r="O825" s="0" t="str">
        <f aca="false">IF(K825="","",0)</f>
        <v/>
      </c>
      <c r="P825" s="0" t="str">
        <f aca="false">IF(K825="","",I325)</f>
        <v/>
      </c>
      <c r="Q825" s="0" t="str">
        <f aca="false">IF(K825="","",FALSE())</f>
        <v/>
      </c>
      <c r="R825" s="0" t="str">
        <f aca="false">IF(K825="","",TRUE())</f>
        <v/>
      </c>
      <c r="S825" s="0" t="str">
        <f aca="false">IF(K825="","",IF(AND(Q825,R825),IF(O825=P825,"Match","Qty Different"),IF(Q825,"Only in List 1","Only in List 2")))</f>
        <v/>
      </c>
      <c r="T825" s="0" t="str">
        <f aca="false">IF(K825="","",IF(ISNUMBER(--L825),TEXT(--L825,"000000000000.000"),LOWER(L825)))</f>
        <v/>
      </c>
      <c r="U825" s="0" t="str">
        <f aca="false">IF(K825="","",IF(ISNUMBER(--M825),TEXT(--M825,"000000000000.000"),LOWER(M825)))</f>
        <v/>
      </c>
      <c r="V825" s="0" t="str">
        <f aca="false">IF(K825="","",LOWER(N825))</f>
        <v/>
      </c>
      <c r="W825" s="0" t="str">
        <f aca="false">IF(K825="","",G325)</f>
        <v/>
      </c>
      <c r="X825" s="0" t="str">
        <f aca="false">IF(K825="","",1+SUMPRODUCT(($K$2:$K$1001&lt;&gt;"")*(($T$2:$T$1001&lt;T825)+($T$2:$T$1001=T825)*(($U$2:$U$1001&lt;U825)+($U$2:$U$1001=U825)*(($V$2:$V$1001&lt;V825)+($V$2:$V$1001=V825)*(($W$2:$W$1001&lt;W825)+($W$2:$W$1001=W825)*(ROW($K$2:$K$1001)&lt;ROW(K825))))))))</f>
        <v/>
      </c>
    </row>
    <row r="826" customFormat="false" ht="15" hidden="false" customHeight="false" outlineLevel="0" collapsed="false">
      <c r="K826" s="0" t="str">
        <f aca="false">IF(H326="","",IF(SUMPRODUCT(--($C$2:$C$501=H326))&gt;0,"",H326))</f>
        <v/>
      </c>
      <c r="L826" s="0" t="str">
        <f aca="false">IF(K826="","",IF(ISNUMBER('List 2'!A326),'List 2'!A326,TRIM('List 2'!A326)))</f>
        <v/>
      </c>
      <c r="M826" s="0" t="str">
        <f aca="false">IF(K826="","",IF(ISNUMBER('List 2'!C326),'List 2'!C326,TRIM('List 2'!C326)))</f>
        <v/>
      </c>
      <c r="N826" s="0" t="str">
        <f aca="false">IF(K826="","",IF(ISNUMBER('List 2'!D326),'List 2'!D326,TRIM('List 2'!D326)))</f>
        <v/>
      </c>
      <c r="O826" s="0" t="str">
        <f aca="false">IF(K826="","",0)</f>
        <v/>
      </c>
      <c r="P826" s="0" t="str">
        <f aca="false">IF(K826="","",I326)</f>
        <v/>
      </c>
      <c r="Q826" s="0" t="str">
        <f aca="false">IF(K826="","",FALSE())</f>
        <v/>
      </c>
      <c r="R826" s="0" t="str">
        <f aca="false">IF(K826="","",TRUE())</f>
        <v/>
      </c>
      <c r="S826" s="0" t="str">
        <f aca="false">IF(K826="","",IF(AND(Q826,R826),IF(O826=P826,"Match","Qty Different"),IF(Q826,"Only in List 1","Only in List 2")))</f>
        <v/>
      </c>
      <c r="T826" s="0" t="str">
        <f aca="false">IF(K826="","",IF(ISNUMBER(--L826),TEXT(--L826,"000000000000.000"),LOWER(L826)))</f>
        <v/>
      </c>
      <c r="U826" s="0" t="str">
        <f aca="false">IF(K826="","",IF(ISNUMBER(--M826),TEXT(--M826,"000000000000.000"),LOWER(M826)))</f>
        <v/>
      </c>
      <c r="V826" s="0" t="str">
        <f aca="false">IF(K826="","",LOWER(N826))</f>
        <v/>
      </c>
      <c r="W826" s="0" t="str">
        <f aca="false">IF(K826="","",G326)</f>
        <v/>
      </c>
      <c r="X826" s="0" t="str">
        <f aca="false">IF(K826="","",1+SUMPRODUCT(($K$2:$K$1001&lt;&gt;"")*(($T$2:$T$1001&lt;T826)+($T$2:$T$1001=T826)*(($U$2:$U$1001&lt;U826)+($U$2:$U$1001=U826)*(($V$2:$V$1001&lt;V826)+($V$2:$V$1001=V826)*(($W$2:$W$1001&lt;W826)+($W$2:$W$1001=W826)*(ROW($K$2:$K$1001)&lt;ROW(K826))))))))</f>
        <v/>
      </c>
    </row>
    <row r="827" customFormat="false" ht="15" hidden="false" customHeight="false" outlineLevel="0" collapsed="false">
      <c r="K827" s="0" t="str">
        <f aca="false">IF(H327="","",IF(SUMPRODUCT(--($C$2:$C$501=H327))&gt;0,"",H327))</f>
        <v/>
      </c>
      <c r="L827" s="0" t="str">
        <f aca="false">IF(K827="","",IF(ISNUMBER('List 2'!A327),'List 2'!A327,TRIM('List 2'!A327)))</f>
        <v/>
      </c>
      <c r="M827" s="0" t="str">
        <f aca="false">IF(K827="","",IF(ISNUMBER('List 2'!C327),'List 2'!C327,TRIM('List 2'!C327)))</f>
        <v/>
      </c>
      <c r="N827" s="0" t="str">
        <f aca="false">IF(K827="","",IF(ISNUMBER('List 2'!D327),'List 2'!D327,TRIM('List 2'!D327)))</f>
        <v/>
      </c>
      <c r="O827" s="0" t="str">
        <f aca="false">IF(K827="","",0)</f>
        <v/>
      </c>
      <c r="P827" s="0" t="str">
        <f aca="false">IF(K827="","",I327)</f>
        <v/>
      </c>
      <c r="Q827" s="0" t="str">
        <f aca="false">IF(K827="","",FALSE())</f>
        <v/>
      </c>
      <c r="R827" s="0" t="str">
        <f aca="false">IF(K827="","",TRUE())</f>
        <v/>
      </c>
      <c r="S827" s="0" t="str">
        <f aca="false">IF(K827="","",IF(AND(Q827,R827),IF(O827=P827,"Match","Qty Different"),IF(Q827,"Only in List 1","Only in List 2")))</f>
        <v/>
      </c>
      <c r="T827" s="0" t="str">
        <f aca="false">IF(K827="","",IF(ISNUMBER(--L827),TEXT(--L827,"000000000000.000"),LOWER(L827)))</f>
        <v/>
      </c>
      <c r="U827" s="0" t="str">
        <f aca="false">IF(K827="","",IF(ISNUMBER(--M827),TEXT(--M827,"000000000000.000"),LOWER(M827)))</f>
        <v/>
      </c>
      <c r="V827" s="0" t="str">
        <f aca="false">IF(K827="","",LOWER(N827))</f>
        <v/>
      </c>
      <c r="W827" s="0" t="str">
        <f aca="false">IF(K827="","",G327)</f>
        <v/>
      </c>
      <c r="X827" s="0" t="str">
        <f aca="false">IF(K827="","",1+SUMPRODUCT(($K$2:$K$1001&lt;&gt;"")*(($T$2:$T$1001&lt;T827)+($T$2:$T$1001=T827)*(($U$2:$U$1001&lt;U827)+($U$2:$U$1001=U827)*(($V$2:$V$1001&lt;V827)+($V$2:$V$1001=V827)*(($W$2:$W$1001&lt;W827)+($W$2:$W$1001=W827)*(ROW($K$2:$K$1001)&lt;ROW(K827))))))))</f>
        <v/>
      </c>
    </row>
    <row r="828" customFormat="false" ht="15" hidden="false" customHeight="false" outlineLevel="0" collapsed="false">
      <c r="K828" s="0" t="str">
        <f aca="false">IF(H328="","",IF(SUMPRODUCT(--($C$2:$C$501=H328))&gt;0,"",H328))</f>
        <v/>
      </c>
      <c r="L828" s="0" t="str">
        <f aca="false">IF(K828="","",IF(ISNUMBER('List 2'!A328),'List 2'!A328,TRIM('List 2'!A328)))</f>
        <v/>
      </c>
      <c r="M828" s="0" t="str">
        <f aca="false">IF(K828="","",IF(ISNUMBER('List 2'!C328),'List 2'!C328,TRIM('List 2'!C328)))</f>
        <v/>
      </c>
      <c r="N828" s="0" t="str">
        <f aca="false">IF(K828="","",IF(ISNUMBER('List 2'!D328),'List 2'!D328,TRIM('List 2'!D328)))</f>
        <v/>
      </c>
      <c r="O828" s="0" t="str">
        <f aca="false">IF(K828="","",0)</f>
        <v/>
      </c>
      <c r="P828" s="0" t="str">
        <f aca="false">IF(K828="","",I328)</f>
        <v/>
      </c>
      <c r="Q828" s="0" t="str">
        <f aca="false">IF(K828="","",FALSE())</f>
        <v/>
      </c>
      <c r="R828" s="0" t="str">
        <f aca="false">IF(K828="","",TRUE())</f>
        <v/>
      </c>
      <c r="S828" s="0" t="str">
        <f aca="false">IF(K828="","",IF(AND(Q828,R828),IF(O828=P828,"Match","Qty Different"),IF(Q828,"Only in List 1","Only in List 2")))</f>
        <v/>
      </c>
      <c r="T828" s="0" t="str">
        <f aca="false">IF(K828="","",IF(ISNUMBER(--L828),TEXT(--L828,"000000000000.000"),LOWER(L828)))</f>
        <v/>
      </c>
      <c r="U828" s="0" t="str">
        <f aca="false">IF(K828="","",IF(ISNUMBER(--M828),TEXT(--M828,"000000000000.000"),LOWER(M828)))</f>
        <v/>
      </c>
      <c r="V828" s="0" t="str">
        <f aca="false">IF(K828="","",LOWER(N828))</f>
        <v/>
      </c>
      <c r="W828" s="0" t="str">
        <f aca="false">IF(K828="","",G328)</f>
        <v/>
      </c>
      <c r="X828" s="0" t="str">
        <f aca="false">IF(K828="","",1+SUMPRODUCT(($K$2:$K$1001&lt;&gt;"")*(($T$2:$T$1001&lt;T828)+($T$2:$T$1001=T828)*(($U$2:$U$1001&lt;U828)+($U$2:$U$1001=U828)*(($V$2:$V$1001&lt;V828)+($V$2:$V$1001=V828)*(($W$2:$W$1001&lt;W828)+($W$2:$W$1001=W828)*(ROW($K$2:$K$1001)&lt;ROW(K828))))))))</f>
        <v/>
      </c>
    </row>
    <row r="829" customFormat="false" ht="15" hidden="false" customHeight="false" outlineLevel="0" collapsed="false">
      <c r="K829" s="0" t="str">
        <f aca="false">IF(H329="","",IF(SUMPRODUCT(--($C$2:$C$501=H329))&gt;0,"",H329))</f>
        <v/>
      </c>
      <c r="L829" s="0" t="str">
        <f aca="false">IF(K829="","",IF(ISNUMBER('List 2'!A329),'List 2'!A329,TRIM('List 2'!A329)))</f>
        <v/>
      </c>
      <c r="M829" s="0" t="str">
        <f aca="false">IF(K829="","",IF(ISNUMBER('List 2'!C329),'List 2'!C329,TRIM('List 2'!C329)))</f>
        <v/>
      </c>
      <c r="N829" s="0" t="str">
        <f aca="false">IF(K829="","",IF(ISNUMBER('List 2'!D329),'List 2'!D329,TRIM('List 2'!D329)))</f>
        <v/>
      </c>
      <c r="O829" s="0" t="str">
        <f aca="false">IF(K829="","",0)</f>
        <v/>
      </c>
      <c r="P829" s="0" t="str">
        <f aca="false">IF(K829="","",I329)</f>
        <v/>
      </c>
      <c r="Q829" s="0" t="str">
        <f aca="false">IF(K829="","",FALSE())</f>
        <v/>
      </c>
      <c r="R829" s="0" t="str">
        <f aca="false">IF(K829="","",TRUE())</f>
        <v/>
      </c>
      <c r="S829" s="0" t="str">
        <f aca="false">IF(K829="","",IF(AND(Q829,R829),IF(O829=P829,"Match","Qty Different"),IF(Q829,"Only in List 1","Only in List 2")))</f>
        <v/>
      </c>
      <c r="T829" s="0" t="str">
        <f aca="false">IF(K829="","",IF(ISNUMBER(--L829),TEXT(--L829,"000000000000.000"),LOWER(L829)))</f>
        <v/>
      </c>
      <c r="U829" s="0" t="str">
        <f aca="false">IF(K829="","",IF(ISNUMBER(--M829),TEXT(--M829,"000000000000.000"),LOWER(M829)))</f>
        <v/>
      </c>
      <c r="V829" s="0" t="str">
        <f aca="false">IF(K829="","",LOWER(N829))</f>
        <v/>
      </c>
      <c r="W829" s="0" t="str">
        <f aca="false">IF(K829="","",G329)</f>
        <v/>
      </c>
      <c r="X829" s="0" t="str">
        <f aca="false">IF(K829="","",1+SUMPRODUCT(($K$2:$K$1001&lt;&gt;"")*(($T$2:$T$1001&lt;T829)+($T$2:$T$1001=T829)*(($U$2:$U$1001&lt;U829)+($U$2:$U$1001=U829)*(($V$2:$V$1001&lt;V829)+($V$2:$V$1001=V829)*(($W$2:$W$1001&lt;W829)+($W$2:$W$1001=W829)*(ROW($K$2:$K$1001)&lt;ROW(K829))))))))</f>
        <v/>
      </c>
    </row>
    <row r="830" customFormat="false" ht="15" hidden="false" customHeight="false" outlineLevel="0" collapsed="false">
      <c r="K830" s="0" t="str">
        <f aca="false">IF(H330="","",IF(SUMPRODUCT(--($C$2:$C$501=H330))&gt;0,"",H330))</f>
        <v/>
      </c>
      <c r="L830" s="0" t="str">
        <f aca="false">IF(K830="","",IF(ISNUMBER('List 2'!A330),'List 2'!A330,TRIM('List 2'!A330)))</f>
        <v/>
      </c>
      <c r="M830" s="0" t="str">
        <f aca="false">IF(K830="","",IF(ISNUMBER('List 2'!C330),'List 2'!C330,TRIM('List 2'!C330)))</f>
        <v/>
      </c>
      <c r="N830" s="0" t="str">
        <f aca="false">IF(K830="","",IF(ISNUMBER('List 2'!D330),'List 2'!D330,TRIM('List 2'!D330)))</f>
        <v/>
      </c>
      <c r="O830" s="0" t="str">
        <f aca="false">IF(K830="","",0)</f>
        <v/>
      </c>
      <c r="P830" s="0" t="str">
        <f aca="false">IF(K830="","",I330)</f>
        <v/>
      </c>
      <c r="Q830" s="0" t="str">
        <f aca="false">IF(K830="","",FALSE())</f>
        <v/>
      </c>
      <c r="R830" s="0" t="str">
        <f aca="false">IF(K830="","",TRUE())</f>
        <v/>
      </c>
      <c r="S830" s="0" t="str">
        <f aca="false">IF(K830="","",IF(AND(Q830,R830),IF(O830=P830,"Match","Qty Different"),IF(Q830,"Only in List 1","Only in List 2")))</f>
        <v/>
      </c>
      <c r="T830" s="0" t="str">
        <f aca="false">IF(K830="","",IF(ISNUMBER(--L830),TEXT(--L830,"000000000000.000"),LOWER(L830)))</f>
        <v/>
      </c>
      <c r="U830" s="0" t="str">
        <f aca="false">IF(K830="","",IF(ISNUMBER(--M830),TEXT(--M830,"000000000000.000"),LOWER(M830)))</f>
        <v/>
      </c>
      <c r="V830" s="0" t="str">
        <f aca="false">IF(K830="","",LOWER(N830))</f>
        <v/>
      </c>
      <c r="W830" s="0" t="str">
        <f aca="false">IF(K830="","",G330)</f>
        <v/>
      </c>
      <c r="X830" s="0" t="str">
        <f aca="false">IF(K830="","",1+SUMPRODUCT(($K$2:$K$1001&lt;&gt;"")*(($T$2:$T$1001&lt;T830)+($T$2:$T$1001=T830)*(($U$2:$U$1001&lt;U830)+($U$2:$U$1001=U830)*(($V$2:$V$1001&lt;V830)+($V$2:$V$1001=V830)*(($W$2:$W$1001&lt;W830)+($W$2:$W$1001=W830)*(ROW($K$2:$K$1001)&lt;ROW(K830))))))))</f>
        <v/>
      </c>
    </row>
    <row r="831" customFormat="false" ht="15" hidden="false" customHeight="false" outlineLevel="0" collapsed="false">
      <c r="K831" s="0" t="str">
        <f aca="false">IF(H331="","",IF(SUMPRODUCT(--($C$2:$C$501=H331))&gt;0,"",H331))</f>
        <v/>
      </c>
      <c r="L831" s="0" t="str">
        <f aca="false">IF(K831="","",IF(ISNUMBER('List 2'!A331),'List 2'!A331,TRIM('List 2'!A331)))</f>
        <v/>
      </c>
      <c r="M831" s="0" t="str">
        <f aca="false">IF(K831="","",IF(ISNUMBER('List 2'!C331),'List 2'!C331,TRIM('List 2'!C331)))</f>
        <v/>
      </c>
      <c r="N831" s="0" t="str">
        <f aca="false">IF(K831="","",IF(ISNUMBER('List 2'!D331),'List 2'!D331,TRIM('List 2'!D331)))</f>
        <v/>
      </c>
      <c r="O831" s="0" t="str">
        <f aca="false">IF(K831="","",0)</f>
        <v/>
      </c>
      <c r="P831" s="0" t="str">
        <f aca="false">IF(K831="","",I331)</f>
        <v/>
      </c>
      <c r="Q831" s="0" t="str">
        <f aca="false">IF(K831="","",FALSE())</f>
        <v/>
      </c>
      <c r="R831" s="0" t="str">
        <f aca="false">IF(K831="","",TRUE())</f>
        <v/>
      </c>
      <c r="S831" s="0" t="str">
        <f aca="false">IF(K831="","",IF(AND(Q831,R831),IF(O831=P831,"Match","Qty Different"),IF(Q831,"Only in List 1","Only in List 2")))</f>
        <v/>
      </c>
      <c r="T831" s="0" t="str">
        <f aca="false">IF(K831="","",IF(ISNUMBER(--L831),TEXT(--L831,"000000000000.000"),LOWER(L831)))</f>
        <v/>
      </c>
      <c r="U831" s="0" t="str">
        <f aca="false">IF(K831="","",IF(ISNUMBER(--M831),TEXT(--M831,"000000000000.000"),LOWER(M831)))</f>
        <v/>
      </c>
      <c r="V831" s="0" t="str">
        <f aca="false">IF(K831="","",LOWER(N831))</f>
        <v/>
      </c>
      <c r="W831" s="0" t="str">
        <f aca="false">IF(K831="","",G331)</f>
        <v/>
      </c>
      <c r="X831" s="0" t="str">
        <f aca="false">IF(K831="","",1+SUMPRODUCT(($K$2:$K$1001&lt;&gt;"")*(($T$2:$T$1001&lt;T831)+($T$2:$T$1001=T831)*(($U$2:$U$1001&lt;U831)+($U$2:$U$1001=U831)*(($V$2:$V$1001&lt;V831)+($V$2:$V$1001=V831)*(($W$2:$W$1001&lt;W831)+($W$2:$W$1001=W831)*(ROW($K$2:$K$1001)&lt;ROW(K831))))))))</f>
        <v/>
      </c>
    </row>
    <row r="832" customFormat="false" ht="15" hidden="false" customHeight="false" outlineLevel="0" collapsed="false">
      <c r="K832" s="0" t="str">
        <f aca="false">IF(H332="","",IF(SUMPRODUCT(--($C$2:$C$501=H332))&gt;0,"",H332))</f>
        <v/>
      </c>
      <c r="L832" s="0" t="str">
        <f aca="false">IF(K832="","",IF(ISNUMBER('List 2'!A332),'List 2'!A332,TRIM('List 2'!A332)))</f>
        <v/>
      </c>
      <c r="M832" s="0" t="str">
        <f aca="false">IF(K832="","",IF(ISNUMBER('List 2'!C332),'List 2'!C332,TRIM('List 2'!C332)))</f>
        <v/>
      </c>
      <c r="N832" s="0" t="str">
        <f aca="false">IF(K832="","",IF(ISNUMBER('List 2'!D332),'List 2'!D332,TRIM('List 2'!D332)))</f>
        <v/>
      </c>
      <c r="O832" s="0" t="str">
        <f aca="false">IF(K832="","",0)</f>
        <v/>
      </c>
      <c r="P832" s="0" t="str">
        <f aca="false">IF(K832="","",I332)</f>
        <v/>
      </c>
      <c r="Q832" s="0" t="str">
        <f aca="false">IF(K832="","",FALSE())</f>
        <v/>
      </c>
      <c r="R832" s="0" t="str">
        <f aca="false">IF(K832="","",TRUE())</f>
        <v/>
      </c>
      <c r="S832" s="0" t="str">
        <f aca="false">IF(K832="","",IF(AND(Q832,R832),IF(O832=P832,"Match","Qty Different"),IF(Q832,"Only in List 1","Only in List 2")))</f>
        <v/>
      </c>
      <c r="T832" s="0" t="str">
        <f aca="false">IF(K832="","",IF(ISNUMBER(--L832),TEXT(--L832,"000000000000.000"),LOWER(L832)))</f>
        <v/>
      </c>
      <c r="U832" s="0" t="str">
        <f aca="false">IF(K832="","",IF(ISNUMBER(--M832),TEXT(--M832,"000000000000.000"),LOWER(M832)))</f>
        <v/>
      </c>
      <c r="V832" s="0" t="str">
        <f aca="false">IF(K832="","",LOWER(N832))</f>
        <v/>
      </c>
      <c r="W832" s="0" t="str">
        <f aca="false">IF(K832="","",G332)</f>
        <v/>
      </c>
      <c r="X832" s="0" t="str">
        <f aca="false">IF(K832="","",1+SUMPRODUCT(($K$2:$K$1001&lt;&gt;"")*(($T$2:$T$1001&lt;T832)+($T$2:$T$1001=T832)*(($U$2:$U$1001&lt;U832)+($U$2:$U$1001=U832)*(($V$2:$V$1001&lt;V832)+($V$2:$V$1001=V832)*(($W$2:$W$1001&lt;W832)+($W$2:$W$1001=W832)*(ROW($K$2:$K$1001)&lt;ROW(K832))))))))</f>
        <v/>
      </c>
    </row>
    <row r="833" customFormat="false" ht="15" hidden="false" customHeight="false" outlineLevel="0" collapsed="false">
      <c r="K833" s="0" t="str">
        <f aca="false">IF(H333="","",IF(SUMPRODUCT(--($C$2:$C$501=H333))&gt;0,"",H333))</f>
        <v/>
      </c>
      <c r="L833" s="0" t="str">
        <f aca="false">IF(K833="","",IF(ISNUMBER('List 2'!A333),'List 2'!A333,TRIM('List 2'!A333)))</f>
        <v/>
      </c>
      <c r="M833" s="0" t="str">
        <f aca="false">IF(K833="","",IF(ISNUMBER('List 2'!C333),'List 2'!C333,TRIM('List 2'!C333)))</f>
        <v/>
      </c>
      <c r="N833" s="0" t="str">
        <f aca="false">IF(K833="","",IF(ISNUMBER('List 2'!D333),'List 2'!D333,TRIM('List 2'!D333)))</f>
        <v/>
      </c>
      <c r="O833" s="0" t="str">
        <f aca="false">IF(K833="","",0)</f>
        <v/>
      </c>
      <c r="P833" s="0" t="str">
        <f aca="false">IF(K833="","",I333)</f>
        <v/>
      </c>
      <c r="Q833" s="0" t="str">
        <f aca="false">IF(K833="","",FALSE())</f>
        <v/>
      </c>
      <c r="R833" s="0" t="str">
        <f aca="false">IF(K833="","",TRUE())</f>
        <v/>
      </c>
      <c r="S833" s="0" t="str">
        <f aca="false">IF(K833="","",IF(AND(Q833,R833),IF(O833=P833,"Match","Qty Different"),IF(Q833,"Only in List 1","Only in List 2")))</f>
        <v/>
      </c>
      <c r="T833" s="0" t="str">
        <f aca="false">IF(K833="","",IF(ISNUMBER(--L833),TEXT(--L833,"000000000000.000"),LOWER(L833)))</f>
        <v/>
      </c>
      <c r="U833" s="0" t="str">
        <f aca="false">IF(K833="","",IF(ISNUMBER(--M833),TEXT(--M833,"000000000000.000"),LOWER(M833)))</f>
        <v/>
      </c>
      <c r="V833" s="0" t="str">
        <f aca="false">IF(K833="","",LOWER(N833))</f>
        <v/>
      </c>
      <c r="W833" s="0" t="str">
        <f aca="false">IF(K833="","",G333)</f>
        <v/>
      </c>
      <c r="X833" s="0" t="str">
        <f aca="false">IF(K833="","",1+SUMPRODUCT(($K$2:$K$1001&lt;&gt;"")*(($T$2:$T$1001&lt;T833)+($T$2:$T$1001=T833)*(($U$2:$U$1001&lt;U833)+($U$2:$U$1001=U833)*(($V$2:$V$1001&lt;V833)+($V$2:$V$1001=V833)*(($W$2:$W$1001&lt;W833)+($W$2:$W$1001=W833)*(ROW($K$2:$K$1001)&lt;ROW(K833))))))))</f>
        <v/>
      </c>
    </row>
    <row r="834" customFormat="false" ht="15" hidden="false" customHeight="false" outlineLevel="0" collapsed="false">
      <c r="K834" s="0" t="str">
        <f aca="false">IF(H334="","",IF(SUMPRODUCT(--($C$2:$C$501=H334))&gt;0,"",H334))</f>
        <v/>
      </c>
      <c r="L834" s="0" t="str">
        <f aca="false">IF(K834="","",IF(ISNUMBER('List 2'!A334),'List 2'!A334,TRIM('List 2'!A334)))</f>
        <v/>
      </c>
      <c r="M834" s="0" t="str">
        <f aca="false">IF(K834="","",IF(ISNUMBER('List 2'!C334),'List 2'!C334,TRIM('List 2'!C334)))</f>
        <v/>
      </c>
      <c r="N834" s="0" t="str">
        <f aca="false">IF(K834="","",IF(ISNUMBER('List 2'!D334),'List 2'!D334,TRIM('List 2'!D334)))</f>
        <v/>
      </c>
      <c r="O834" s="0" t="str">
        <f aca="false">IF(K834="","",0)</f>
        <v/>
      </c>
      <c r="P834" s="0" t="str">
        <f aca="false">IF(K834="","",I334)</f>
        <v/>
      </c>
      <c r="Q834" s="0" t="str">
        <f aca="false">IF(K834="","",FALSE())</f>
        <v/>
      </c>
      <c r="R834" s="0" t="str">
        <f aca="false">IF(K834="","",TRUE())</f>
        <v/>
      </c>
      <c r="S834" s="0" t="str">
        <f aca="false">IF(K834="","",IF(AND(Q834,R834),IF(O834=P834,"Match","Qty Different"),IF(Q834,"Only in List 1","Only in List 2")))</f>
        <v/>
      </c>
      <c r="T834" s="0" t="str">
        <f aca="false">IF(K834="","",IF(ISNUMBER(--L834),TEXT(--L834,"000000000000.000"),LOWER(L834)))</f>
        <v/>
      </c>
      <c r="U834" s="0" t="str">
        <f aca="false">IF(K834="","",IF(ISNUMBER(--M834),TEXT(--M834,"000000000000.000"),LOWER(M834)))</f>
        <v/>
      </c>
      <c r="V834" s="0" t="str">
        <f aca="false">IF(K834="","",LOWER(N834))</f>
        <v/>
      </c>
      <c r="W834" s="0" t="str">
        <f aca="false">IF(K834="","",G334)</f>
        <v/>
      </c>
      <c r="X834" s="0" t="str">
        <f aca="false">IF(K834="","",1+SUMPRODUCT(($K$2:$K$1001&lt;&gt;"")*(($T$2:$T$1001&lt;T834)+($T$2:$T$1001=T834)*(($U$2:$U$1001&lt;U834)+($U$2:$U$1001=U834)*(($V$2:$V$1001&lt;V834)+($V$2:$V$1001=V834)*(($W$2:$W$1001&lt;W834)+($W$2:$W$1001=W834)*(ROW($K$2:$K$1001)&lt;ROW(K834))))))))</f>
        <v/>
      </c>
    </row>
    <row r="835" customFormat="false" ht="15" hidden="false" customHeight="false" outlineLevel="0" collapsed="false">
      <c r="K835" s="0" t="str">
        <f aca="false">IF(H335="","",IF(SUMPRODUCT(--($C$2:$C$501=H335))&gt;0,"",H335))</f>
        <v/>
      </c>
      <c r="L835" s="0" t="str">
        <f aca="false">IF(K835="","",IF(ISNUMBER('List 2'!A335),'List 2'!A335,TRIM('List 2'!A335)))</f>
        <v/>
      </c>
      <c r="M835" s="0" t="str">
        <f aca="false">IF(K835="","",IF(ISNUMBER('List 2'!C335),'List 2'!C335,TRIM('List 2'!C335)))</f>
        <v/>
      </c>
      <c r="N835" s="0" t="str">
        <f aca="false">IF(K835="","",IF(ISNUMBER('List 2'!D335),'List 2'!D335,TRIM('List 2'!D335)))</f>
        <v/>
      </c>
      <c r="O835" s="0" t="str">
        <f aca="false">IF(K835="","",0)</f>
        <v/>
      </c>
      <c r="P835" s="0" t="str">
        <f aca="false">IF(K835="","",I335)</f>
        <v/>
      </c>
      <c r="Q835" s="0" t="str">
        <f aca="false">IF(K835="","",FALSE())</f>
        <v/>
      </c>
      <c r="R835" s="0" t="str">
        <f aca="false">IF(K835="","",TRUE())</f>
        <v/>
      </c>
      <c r="S835" s="0" t="str">
        <f aca="false">IF(K835="","",IF(AND(Q835,R835),IF(O835=P835,"Match","Qty Different"),IF(Q835,"Only in List 1","Only in List 2")))</f>
        <v/>
      </c>
      <c r="T835" s="0" t="str">
        <f aca="false">IF(K835="","",IF(ISNUMBER(--L835),TEXT(--L835,"000000000000.000"),LOWER(L835)))</f>
        <v/>
      </c>
      <c r="U835" s="0" t="str">
        <f aca="false">IF(K835="","",IF(ISNUMBER(--M835),TEXT(--M835,"000000000000.000"),LOWER(M835)))</f>
        <v/>
      </c>
      <c r="V835" s="0" t="str">
        <f aca="false">IF(K835="","",LOWER(N835))</f>
        <v/>
      </c>
      <c r="W835" s="0" t="str">
        <f aca="false">IF(K835="","",G335)</f>
        <v/>
      </c>
      <c r="X835" s="0" t="str">
        <f aca="false">IF(K835="","",1+SUMPRODUCT(($K$2:$K$1001&lt;&gt;"")*(($T$2:$T$1001&lt;T835)+($T$2:$T$1001=T835)*(($U$2:$U$1001&lt;U835)+($U$2:$U$1001=U835)*(($V$2:$V$1001&lt;V835)+($V$2:$V$1001=V835)*(($W$2:$W$1001&lt;W835)+($W$2:$W$1001=W835)*(ROW($K$2:$K$1001)&lt;ROW(K835))))))))</f>
        <v/>
      </c>
    </row>
    <row r="836" customFormat="false" ht="15" hidden="false" customHeight="false" outlineLevel="0" collapsed="false">
      <c r="K836" s="0" t="str">
        <f aca="false">IF(H336="","",IF(SUMPRODUCT(--($C$2:$C$501=H336))&gt;0,"",H336))</f>
        <v/>
      </c>
      <c r="L836" s="0" t="str">
        <f aca="false">IF(K836="","",IF(ISNUMBER('List 2'!A336),'List 2'!A336,TRIM('List 2'!A336)))</f>
        <v/>
      </c>
      <c r="M836" s="0" t="str">
        <f aca="false">IF(K836="","",IF(ISNUMBER('List 2'!C336),'List 2'!C336,TRIM('List 2'!C336)))</f>
        <v/>
      </c>
      <c r="N836" s="0" t="str">
        <f aca="false">IF(K836="","",IF(ISNUMBER('List 2'!D336),'List 2'!D336,TRIM('List 2'!D336)))</f>
        <v/>
      </c>
      <c r="O836" s="0" t="str">
        <f aca="false">IF(K836="","",0)</f>
        <v/>
      </c>
      <c r="P836" s="0" t="str">
        <f aca="false">IF(K836="","",I336)</f>
        <v/>
      </c>
      <c r="Q836" s="0" t="str">
        <f aca="false">IF(K836="","",FALSE())</f>
        <v/>
      </c>
      <c r="R836" s="0" t="str">
        <f aca="false">IF(K836="","",TRUE())</f>
        <v/>
      </c>
      <c r="S836" s="0" t="str">
        <f aca="false">IF(K836="","",IF(AND(Q836,R836),IF(O836=P836,"Match","Qty Different"),IF(Q836,"Only in List 1","Only in List 2")))</f>
        <v/>
      </c>
      <c r="T836" s="0" t="str">
        <f aca="false">IF(K836="","",IF(ISNUMBER(--L836),TEXT(--L836,"000000000000.000"),LOWER(L836)))</f>
        <v/>
      </c>
      <c r="U836" s="0" t="str">
        <f aca="false">IF(K836="","",IF(ISNUMBER(--M836),TEXT(--M836,"000000000000.000"),LOWER(M836)))</f>
        <v/>
      </c>
      <c r="V836" s="0" t="str">
        <f aca="false">IF(K836="","",LOWER(N836))</f>
        <v/>
      </c>
      <c r="W836" s="0" t="str">
        <f aca="false">IF(K836="","",G336)</f>
        <v/>
      </c>
      <c r="X836" s="0" t="str">
        <f aca="false">IF(K836="","",1+SUMPRODUCT(($K$2:$K$1001&lt;&gt;"")*(($T$2:$T$1001&lt;T836)+($T$2:$T$1001=T836)*(($U$2:$U$1001&lt;U836)+($U$2:$U$1001=U836)*(($V$2:$V$1001&lt;V836)+($V$2:$V$1001=V836)*(($W$2:$W$1001&lt;W836)+($W$2:$W$1001=W836)*(ROW($K$2:$K$1001)&lt;ROW(K836))))))))</f>
        <v/>
      </c>
    </row>
    <row r="837" customFormat="false" ht="15" hidden="false" customHeight="false" outlineLevel="0" collapsed="false">
      <c r="K837" s="0" t="str">
        <f aca="false">IF(H337="","",IF(SUMPRODUCT(--($C$2:$C$501=H337))&gt;0,"",H337))</f>
        <v/>
      </c>
      <c r="L837" s="0" t="str">
        <f aca="false">IF(K837="","",IF(ISNUMBER('List 2'!A337),'List 2'!A337,TRIM('List 2'!A337)))</f>
        <v/>
      </c>
      <c r="M837" s="0" t="str">
        <f aca="false">IF(K837="","",IF(ISNUMBER('List 2'!C337),'List 2'!C337,TRIM('List 2'!C337)))</f>
        <v/>
      </c>
      <c r="N837" s="0" t="str">
        <f aca="false">IF(K837="","",IF(ISNUMBER('List 2'!D337),'List 2'!D337,TRIM('List 2'!D337)))</f>
        <v/>
      </c>
      <c r="O837" s="0" t="str">
        <f aca="false">IF(K837="","",0)</f>
        <v/>
      </c>
      <c r="P837" s="0" t="str">
        <f aca="false">IF(K837="","",I337)</f>
        <v/>
      </c>
      <c r="Q837" s="0" t="str">
        <f aca="false">IF(K837="","",FALSE())</f>
        <v/>
      </c>
      <c r="R837" s="0" t="str">
        <f aca="false">IF(K837="","",TRUE())</f>
        <v/>
      </c>
      <c r="S837" s="0" t="str">
        <f aca="false">IF(K837="","",IF(AND(Q837,R837),IF(O837=P837,"Match","Qty Different"),IF(Q837,"Only in List 1","Only in List 2")))</f>
        <v/>
      </c>
      <c r="T837" s="0" t="str">
        <f aca="false">IF(K837="","",IF(ISNUMBER(--L837),TEXT(--L837,"000000000000.000"),LOWER(L837)))</f>
        <v/>
      </c>
      <c r="U837" s="0" t="str">
        <f aca="false">IF(K837="","",IF(ISNUMBER(--M837),TEXT(--M837,"000000000000.000"),LOWER(M837)))</f>
        <v/>
      </c>
      <c r="V837" s="0" t="str">
        <f aca="false">IF(K837="","",LOWER(N837))</f>
        <v/>
      </c>
      <c r="W837" s="0" t="str">
        <f aca="false">IF(K837="","",G337)</f>
        <v/>
      </c>
      <c r="X837" s="0" t="str">
        <f aca="false">IF(K837="","",1+SUMPRODUCT(($K$2:$K$1001&lt;&gt;"")*(($T$2:$T$1001&lt;T837)+($T$2:$T$1001=T837)*(($U$2:$U$1001&lt;U837)+($U$2:$U$1001=U837)*(($V$2:$V$1001&lt;V837)+($V$2:$V$1001=V837)*(($W$2:$W$1001&lt;W837)+($W$2:$W$1001=W837)*(ROW($K$2:$K$1001)&lt;ROW(K837))))))))</f>
        <v/>
      </c>
    </row>
    <row r="838" customFormat="false" ht="15" hidden="false" customHeight="false" outlineLevel="0" collapsed="false">
      <c r="K838" s="0" t="str">
        <f aca="false">IF(H338="","",IF(SUMPRODUCT(--($C$2:$C$501=H338))&gt;0,"",H338))</f>
        <v/>
      </c>
      <c r="L838" s="0" t="str">
        <f aca="false">IF(K838="","",IF(ISNUMBER('List 2'!A338),'List 2'!A338,TRIM('List 2'!A338)))</f>
        <v/>
      </c>
      <c r="M838" s="0" t="str">
        <f aca="false">IF(K838="","",IF(ISNUMBER('List 2'!C338),'List 2'!C338,TRIM('List 2'!C338)))</f>
        <v/>
      </c>
      <c r="N838" s="0" t="str">
        <f aca="false">IF(K838="","",IF(ISNUMBER('List 2'!D338),'List 2'!D338,TRIM('List 2'!D338)))</f>
        <v/>
      </c>
      <c r="O838" s="0" t="str">
        <f aca="false">IF(K838="","",0)</f>
        <v/>
      </c>
      <c r="P838" s="0" t="str">
        <f aca="false">IF(K838="","",I338)</f>
        <v/>
      </c>
      <c r="Q838" s="0" t="str">
        <f aca="false">IF(K838="","",FALSE())</f>
        <v/>
      </c>
      <c r="R838" s="0" t="str">
        <f aca="false">IF(K838="","",TRUE())</f>
        <v/>
      </c>
      <c r="S838" s="0" t="str">
        <f aca="false">IF(K838="","",IF(AND(Q838,R838),IF(O838=P838,"Match","Qty Different"),IF(Q838,"Only in List 1","Only in List 2")))</f>
        <v/>
      </c>
      <c r="T838" s="0" t="str">
        <f aca="false">IF(K838="","",IF(ISNUMBER(--L838),TEXT(--L838,"000000000000.000"),LOWER(L838)))</f>
        <v/>
      </c>
      <c r="U838" s="0" t="str">
        <f aca="false">IF(K838="","",IF(ISNUMBER(--M838),TEXT(--M838,"000000000000.000"),LOWER(M838)))</f>
        <v/>
      </c>
      <c r="V838" s="0" t="str">
        <f aca="false">IF(K838="","",LOWER(N838))</f>
        <v/>
      </c>
      <c r="W838" s="0" t="str">
        <f aca="false">IF(K838="","",G338)</f>
        <v/>
      </c>
      <c r="X838" s="0" t="str">
        <f aca="false">IF(K838="","",1+SUMPRODUCT(($K$2:$K$1001&lt;&gt;"")*(($T$2:$T$1001&lt;T838)+($T$2:$T$1001=T838)*(($U$2:$U$1001&lt;U838)+($U$2:$U$1001=U838)*(($V$2:$V$1001&lt;V838)+($V$2:$V$1001=V838)*(($W$2:$W$1001&lt;W838)+($W$2:$W$1001=W838)*(ROW($K$2:$K$1001)&lt;ROW(K838))))))))</f>
        <v/>
      </c>
    </row>
    <row r="839" customFormat="false" ht="15" hidden="false" customHeight="false" outlineLevel="0" collapsed="false">
      <c r="K839" s="0" t="str">
        <f aca="false">IF(H339="","",IF(SUMPRODUCT(--($C$2:$C$501=H339))&gt;0,"",H339))</f>
        <v/>
      </c>
      <c r="L839" s="0" t="str">
        <f aca="false">IF(K839="","",IF(ISNUMBER('List 2'!A339),'List 2'!A339,TRIM('List 2'!A339)))</f>
        <v/>
      </c>
      <c r="M839" s="0" t="str">
        <f aca="false">IF(K839="","",IF(ISNUMBER('List 2'!C339),'List 2'!C339,TRIM('List 2'!C339)))</f>
        <v/>
      </c>
      <c r="N839" s="0" t="str">
        <f aca="false">IF(K839="","",IF(ISNUMBER('List 2'!D339),'List 2'!D339,TRIM('List 2'!D339)))</f>
        <v/>
      </c>
      <c r="O839" s="0" t="str">
        <f aca="false">IF(K839="","",0)</f>
        <v/>
      </c>
      <c r="P839" s="0" t="str">
        <f aca="false">IF(K839="","",I339)</f>
        <v/>
      </c>
      <c r="Q839" s="0" t="str">
        <f aca="false">IF(K839="","",FALSE())</f>
        <v/>
      </c>
      <c r="R839" s="0" t="str">
        <f aca="false">IF(K839="","",TRUE())</f>
        <v/>
      </c>
      <c r="S839" s="0" t="str">
        <f aca="false">IF(K839="","",IF(AND(Q839,R839),IF(O839=P839,"Match","Qty Different"),IF(Q839,"Only in List 1","Only in List 2")))</f>
        <v/>
      </c>
      <c r="T839" s="0" t="str">
        <f aca="false">IF(K839="","",IF(ISNUMBER(--L839),TEXT(--L839,"000000000000.000"),LOWER(L839)))</f>
        <v/>
      </c>
      <c r="U839" s="0" t="str">
        <f aca="false">IF(K839="","",IF(ISNUMBER(--M839),TEXT(--M839,"000000000000.000"),LOWER(M839)))</f>
        <v/>
      </c>
      <c r="V839" s="0" t="str">
        <f aca="false">IF(K839="","",LOWER(N839))</f>
        <v/>
      </c>
      <c r="W839" s="0" t="str">
        <f aca="false">IF(K839="","",G339)</f>
        <v/>
      </c>
      <c r="X839" s="0" t="str">
        <f aca="false">IF(K839="","",1+SUMPRODUCT(($K$2:$K$1001&lt;&gt;"")*(($T$2:$T$1001&lt;T839)+($T$2:$T$1001=T839)*(($U$2:$U$1001&lt;U839)+($U$2:$U$1001=U839)*(($V$2:$V$1001&lt;V839)+($V$2:$V$1001=V839)*(($W$2:$W$1001&lt;W839)+($W$2:$W$1001=W839)*(ROW($K$2:$K$1001)&lt;ROW(K839))))))))</f>
        <v/>
      </c>
    </row>
    <row r="840" customFormat="false" ht="15" hidden="false" customHeight="false" outlineLevel="0" collapsed="false">
      <c r="K840" s="0" t="str">
        <f aca="false">IF(H340="","",IF(SUMPRODUCT(--($C$2:$C$501=H340))&gt;0,"",H340))</f>
        <v/>
      </c>
      <c r="L840" s="0" t="str">
        <f aca="false">IF(K840="","",IF(ISNUMBER('List 2'!A340),'List 2'!A340,TRIM('List 2'!A340)))</f>
        <v/>
      </c>
      <c r="M840" s="0" t="str">
        <f aca="false">IF(K840="","",IF(ISNUMBER('List 2'!C340),'List 2'!C340,TRIM('List 2'!C340)))</f>
        <v/>
      </c>
      <c r="N840" s="0" t="str">
        <f aca="false">IF(K840="","",IF(ISNUMBER('List 2'!D340),'List 2'!D340,TRIM('List 2'!D340)))</f>
        <v/>
      </c>
      <c r="O840" s="0" t="str">
        <f aca="false">IF(K840="","",0)</f>
        <v/>
      </c>
      <c r="P840" s="0" t="str">
        <f aca="false">IF(K840="","",I340)</f>
        <v/>
      </c>
      <c r="Q840" s="0" t="str">
        <f aca="false">IF(K840="","",FALSE())</f>
        <v/>
      </c>
      <c r="R840" s="0" t="str">
        <f aca="false">IF(K840="","",TRUE())</f>
        <v/>
      </c>
      <c r="S840" s="0" t="str">
        <f aca="false">IF(K840="","",IF(AND(Q840,R840),IF(O840=P840,"Match","Qty Different"),IF(Q840,"Only in List 1","Only in List 2")))</f>
        <v/>
      </c>
      <c r="T840" s="0" t="str">
        <f aca="false">IF(K840="","",IF(ISNUMBER(--L840),TEXT(--L840,"000000000000.000"),LOWER(L840)))</f>
        <v/>
      </c>
      <c r="U840" s="0" t="str">
        <f aca="false">IF(K840="","",IF(ISNUMBER(--M840),TEXT(--M840,"000000000000.000"),LOWER(M840)))</f>
        <v/>
      </c>
      <c r="V840" s="0" t="str">
        <f aca="false">IF(K840="","",LOWER(N840))</f>
        <v/>
      </c>
      <c r="W840" s="0" t="str">
        <f aca="false">IF(K840="","",G340)</f>
        <v/>
      </c>
      <c r="X840" s="0" t="str">
        <f aca="false">IF(K840="","",1+SUMPRODUCT(($K$2:$K$1001&lt;&gt;"")*(($T$2:$T$1001&lt;T840)+($T$2:$T$1001=T840)*(($U$2:$U$1001&lt;U840)+($U$2:$U$1001=U840)*(($V$2:$V$1001&lt;V840)+($V$2:$V$1001=V840)*(($W$2:$W$1001&lt;W840)+($W$2:$W$1001=W840)*(ROW($K$2:$K$1001)&lt;ROW(K840))))))))</f>
        <v/>
      </c>
    </row>
    <row r="841" customFormat="false" ht="15" hidden="false" customHeight="false" outlineLevel="0" collapsed="false">
      <c r="K841" s="0" t="str">
        <f aca="false">IF(H341="","",IF(SUMPRODUCT(--($C$2:$C$501=H341))&gt;0,"",H341))</f>
        <v/>
      </c>
      <c r="L841" s="0" t="str">
        <f aca="false">IF(K841="","",IF(ISNUMBER('List 2'!A341),'List 2'!A341,TRIM('List 2'!A341)))</f>
        <v/>
      </c>
      <c r="M841" s="0" t="str">
        <f aca="false">IF(K841="","",IF(ISNUMBER('List 2'!C341),'List 2'!C341,TRIM('List 2'!C341)))</f>
        <v/>
      </c>
      <c r="N841" s="0" t="str">
        <f aca="false">IF(K841="","",IF(ISNUMBER('List 2'!D341),'List 2'!D341,TRIM('List 2'!D341)))</f>
        <v/>
      </c>
      <c r="O841" s="0" t="str">
        <f aca="false">IF(K841="","",0)</f>
        <v/>
      </c>
      <c r="P841" s="0" t="str">
        <f aca="false">IF(K841="","",I341)</f>
        <v/>
      </c>
      <c r="Q841" s="0" t="str">
        <f aca="false">IF(K841="","",FALSE())</f>
        <v/>
      </c>
      <c r="R841" s="0" t="str">
        <f aca="false">IF(K841="","",TRUE())</f>
        <v/>
      </c>
      <c r="S841" s="0" t="str">
        <f aca="false">IF(K841="","",IF(AND(Q841,R841),IF(O841=P841,"Match","Qty Different"),IF(Q841,"Only in List 1","Only in List 2")))</f>
        <v/>
      </c>
      <c r="T841" s="0" t="str">
        <f aca="false">IF(K841="","",IF(ISNUMBER(--L841),TEXT(--L841,"000000000000.000"),LOWER(L841)))</f>
        <v/>
      </c>
      <c r="U841" s="0" t="str">
        <f aca="false">IF(K841="","",IF(ISNUMBER(--M841),TEXT(--M841,"000000000000.000"),LOWER(M841)))</f>
        <v/>
      </c>
      <c r="V841" s="0" t="str">
        <f aca="false">IF(K841="","",LOWER(N841))</f>
        <v/>
      </c>
      <c r="W841" s="0" t="str">
        <f aca="false">IF(K841="","",G341)</f>
        <v/>
      </c>
      <c r="X841" s="0" t="str">
        <f aca="false">IF(K841="","",1+SUMPRODUCT(($K$2:$K$1001&lt;&gt;"")*(($T$2:$T$1001&lt;T841)+($T$2:$T$1001=T841)*(($U$2:$U$1001&lt;U841)+($U$2:$U$1001=U841)*(($V$2:$V$1001&lt;V841)+($V$2:$V$1001=V841)*(($W$2:$W$1001&lt;W841)+($W$2:$W$1001=W841)*(ROW($K$2:$K$1001)&lt;ROW(K841))))))))</f>
        <v/>
      </c>
    </row>
    <row r="842" customFormat="false" ht="15" hidden="false" customHeight="false" outlineLevel="0" collapsed="false">
      <c r="K842" s="0" t="str">
        <f aca="false">IF(H342="","",IF(SUMPRODUCT(--($C$2:$C$501=H342))&gt;0,"",H342))</f>
        <v/>
      </c>
      <c r="L842" s="0" t="str">
        <f aca="false">IF(K842="","",IF(ISNUMBER('List 2'!A342),'List 2'!A342,TRIM('List 2'!A342)))</f>
        <v/>
      </c>
      <c r="M842" s="0" t="str">
        <f aca="false">IF(K842="","",IF(ISNUMBER('List 2'!C342),'List 2'!C342,TRIM('List 2'!C342)))</f>
        <v/>
      </c>
      <c r="N842" s="0" t="str">
        <f aca="false">IF(K842="","",IF(ISNUMBER('List 2'!D342),'List 2'!D342,TRIM('List 2'!D342)))</f>
        <v/>
      </c>
      <c r="O842" s="0" t="str">
        <f aca="false">IF(K842="","",0)</f>
        <v/>
      </c>
      <c r="P842" s="0" t="str">
        <f aca="false">IF(K842="","",I342)</f>
        <v/>
      </c>
      <c r="Q842" s="0" t="str">
        <f aca="false">IF(K842="","",FALSE())</f>
        <v/>
      </c>
      <c r="R842" s="0" t="str">
        <f aca="false">IF(K842="","",TRUE())</f>
        <v/>
      </c>
      <c r="S842" s="0" t="str">
        <f aca="false">IF(K842="","",IF(AND(Q842,R842),IF(O842=P842,"Match","Qty Different"),IF(Q842,"Only in List 1","Only in List 2")))</f>
        <v/>
      </c>
      <c r="T842" s="0" t="str">
        <f aca="false">IF(K842="","",IF(ISNUMBER(--L842),TEXT(--L842,"000000000000.000"),LOWER(L842)))</f>
        <v/>
      </c>
      <c r="U842" s="0" t="str">
        <f aca="false">IF(K842="","",IF(ISNUMBER(--M842),TEXT(--M842,"000000000000.000"),LOWER(M842)))</f>
        <v/>
      </c>
      <c r="V842" s="0" t="str">
        <f aca="false">IF(K842="","",LOWER(N842))</f>
        <v/>
      </c>
      <c r="W842" s="0" t="str">
        <f aca="false">IF(K842="","",G342)</f>
        <v/>
      </c>
      <c r="X842" s="0" t="str">
        <f aca="false">IF(K842="","",1+SUMPRODUCT(($K$2:$K$1001&lt;&gt;"")*(($T$2:$T$1001&lt;T842)+($T$2:$T$1001=T842)*(($U$2:$U$1001&lt;U842)+($U$2:$U$1001=U842)*(($V$2:$V$1001&lt;V842)+($V$2:$V$1001=V842)*(($W$2:$W$1001&lt;W842)+($W$2:$W$1001=W842)*(ROW($K$2:$K$1001)&lt;ROW(K842))))))))</f>
        <v/>
      </c>
    </row>
    <row r="843" customFormat="false" ht="15" hidden="false" customHeight="false" outlineLevel="0" collapsed="false">
      <c r="K843" s="0" t="str">
        <f aca="false">IF(H343="","",IF(SUMPRODUCT(--($C$2:$C$501=H343))&gt;0,"",H343))</f>
        <v/>
      </c>
      <c r="L843" s="0" t="str">
        <f aca="false">IF(K843="","",IF(ISNUMBER('List 2'!A343),'List 2'!A343,TRIM('List 2'!A343)))</f>
        <v/>
      </c>
      <c r="M843" s="0" t="str">
        <f aca="false">IF(K843="","",IF(ISNUMBER('List 2'!C343),'List 2'!C343,TRIM('List 2'!C343)))</f>
        <v/>
      </c>
      <c r="N843" s="0" t="str">
        <f aca="false">IF(K843="","",IF(ISNUMBER('List 2'!D343),'List 2'!D343,TRIM('List 2'!D343)))</f>
        <v/>
      </c>
      <c r="O843" s="0" t="str">
        <f aca="false">IF(K843="","",0)</f>
        <v/>
      </c>
      <c r="P843" s="0" t="str">
        <f aca="false">IF(K843="","",I343)</f>
        <v/>
      </c>
      <c r="Q843" s="0" t="str">
        <f aca="false">IF(K843="","",FALSE())</f>
        <v/>
      </c>
      <c r="R843" s="0" t="str">
        <f aca="false">IF(K843="","",TRUE())</f>
        <v/>
      </c>
      <c r="S843" s="0" t="str">
        <f aca="false">IF(K843="","",IF(AND(Q843,R843),IF(O843=P843,"Match","Qty Different"),IF(Q843,"Only in List 1","Only in List 2")))</f>
        <v/>
      </c>
      <c r="T843" s="0" t="str">
        <f aca="false">IF(K843="","",IF(ISNUMBER(--L843),TEXT(--L843,"000000000000.000"),LOWER(L843)))</f>
        <v/>
      </c>
      <c r="U843" s="0" t="str">
        <f aca="false">IF(K843="","",IF(ISNUMBER(--M843),TEXT(--M843,"000000000000.000"),LOWER(M843)))</f>
        <v/>
      </c>
      <c r="V843" s="0" t="str">
        <f aca="false">IF(K843="","",LOWER(N843))</f>
        <v/>
      </c>
      <c r="W843" s="0" t="str">
        <f aca="false">IF(K843="","",G343)</f>
        <v/>
      </c>
      <c r="X843" s="0" t="str">
        <f aca="false">IF(K843="","",1+SUMPRODUCT(($K$2:$K$1001&lt;&gt;"")*(($T$2:$T$1001&lt;T843)+($T$2:$T$1001=T843)*(($U$2:$U$1001&lt;U843)+($U$2:$U$1001=U843)*(($V$2:$V$1001&lt;V843)+($V$2:$V$1001=V843)*(($W$2:$W$1001&lt;W843)+($W$2:$W$1001=W843)*(ROW($K$2:$K$1001)&lt;ROW(K843))))))))</f>
        <v/>
      </c>
    </row>
    <row r="844" customFormat="false" ht="15" hidden="false" customHeight="false" outlineLevel="0" collapsed="false">
      <c r="K844" s="0" t="str">
        <f aca="false">IF(H344="","",IF(SUMPRODUCT(--($C$2:$C$501=H344))&gt;0,"",H344))</f>
        <v/>
      </c>
      <c r="L844" s="0" t="str">
        <f aca="false">IF(K844="","",IF(ISNUMBER('List 2'!A344),'List 2'!A344,TRIM('List 2'!A344)))</f>
        <v/>
      </c>
      <c r="M844" s="0" t="str">
        <f aca="false">IF(K844="","",IF(ISNUMBER('List 2'!C344),'List 2'!C344,TRIM('List 2'!C344)))</f>
        <v/>
      </c>
      <c r="N844" s="0" t="str">
        <f aca="false">IF(K844="","",IF(ISNUMBER('List 2'!D344),'List 2'!D344,TRIM('List 2'!D344)))</f>
        <v/>
      </c>
      <c r="O844" s="0" t="str">
        <f aca="false">IF(K844="","",0)</f>
        <v/>
      </c>
      <c r="P844" s="0" t="str">
        <f aca="false">IF(K844="","",I344)</f>
        <v/>
      </c>
      <c r="Q844" s="0" t="str">
        <f aca="false">IF(K844="","",FALSE())</f>
        <v/>
      </c>
      <c r="R844" s="0" t="str">
        <f aca="false">IF(K844="","",TRUE())</f>
        <v/>
      </c>
      <c r="S844" s="0" t="str">
        <f aca="false">IF(K844="","",IF(AND(Q844,R844),IF(O844=P844,"Match","Qty Different"),IF(Q844,"Only in List 1","Only in List 2")))</f>
        <v/>
      </c>
      <c r="T844" s="0" t="str">
        <f aca="false">IF(K844="","",IF(ISNUMBER(--L844),TEXT(--L844,"000000000000.000"),LOWER(L844)))</f>
        <v/>
      </c>
      <c r="U844" s="0" t="str">
        <f aca="false">IF(K844="","",IF(ISNUMBER(--M844),TEXT(--M844,"000000000000.000"),LOWER(M844)))</f>
        <v/>
      </c>
      <c r="V844" s="0" t="str">
        <f aca="false">IF(K844="","",LOWER(N844))</f>
        <v/>
      </c>
      <c r="W844" s="0" t="str">
        <f aca="false">IF(K844="","",G344)</f>
        <v/>
      </c>
      <c r="X844" s="0" t="str">
        <f aca="false">IF(K844="","",1+SUMPRODUCT(($K$2:$K$1001&lt;&gt;"")*(($T$2:$T$1001&lt;T844)+($T$2:$T$1001=T844)*(($U$2:$U$1001&lt;U844)+($U$2:$U$1001=U844)*(($V$2:$V$1001&lt;V844)+($V$2:$V$1001=V844)*(($W$2:$W$1001&lt;W844)+($W$2:$W$1001=W844)*(ROW($K$2:$K$1001)&lt;ROW(K844))))))))</f>
        <v/>
      </c>
    </row>
    <row r="845" customFormat="false" ht="15" hidden="false" customHeight="false" outlineLevel="0" collapsed="false">
      <c r="K845" s="0" t="str">
        <f aca="false">IF(H345="","",IF(SUMPRODUCT(--($C$2:$C$501=H345))&gt;0,"",H345))</f>
        <v/>
      </c>
      <c r="L845" s="0" t="str">
        <f aca="false">IF(K845="","",IF(ISNUMBER('List 2'!A345),'List 2'!A345,TRIM('List 2'!A345)))</f>
        <v/>
      </c>
      <c r="M845" s="0" t="str">
        <f aca="false">IF(K845="","",IF(ISNUMBER('List 2'!C345),'List 2'!C345,TRIM('List 2'!C345)))</f>
        <v/>
      </c>
      <c r="N845" s="0" t="str">
        <f aca="false">IF(K845="","",IF(ISNUMBER('List 2'!D345),'List 2'!D345,TRIM('List 2'!D345)))</f>
        <v/>
      </c>
      <c r="O845" s="0" t="str">
        <f aca="false">IF(K845="","",0)</f>
        <v/>
      </c>
      <c r="P845" s="0" t="str">
        <f aca="false">IF(K845="","",I345)</f>
        <v/>
      </c>
      <c r="Q845" s="0" t="str">
        <f aca="false">IF(K845="","",FALSE())</f>
        <v/>
      </c>
      <c r="R845" s="0" t="str">
        <f aca="false">IF(K845="","",TRUE())</f>
        <v/>
      </c>
      <c r="S845" s="0" t="str">
        <f aca="false">IF(K845="","",IF(AND(Q845,R845),IF(O845=P845,"Match","Qty Different"),IF(Q845,"Only in List 1","Only in List 2")))</f>
        <v/>
      </c>
      <c r="T845" s="0" t="str">
        <f aca="false">IF(K845="","",IF(ISNUMBER(--L845),TEXT(--L845,"000000000000.000"),LOWER(L845)))</f>
        <v/>
      </c>
      <c r="U845" s="0" t="str">
        <f aca="false">IF(K845="","",IF(ISNUMBER(--M845),TEXT(--M845,"000000000000.000"),LOWER(M845)))</f>
        <v/>
      </c>
      <c r="V845" s="0" t="str">
        <f aca="false">IF(K845="","",LOWER(N845))</f>
        <v/>
      </c>
      <c r="W845" s="0" t="str">
        <f aca="false">IF(K845="","",G345)</f>
        <v/>
      </c>
      <c r="X845" s="0" t="str">
        <f aca="false">IF(K845="","",1+SUMPRODUCT(($K$2:$K$1001&lt;&gt;"")*(($T$2:$T$1001&lt;T845)+($T$2:$T$1001=T845)*(($U$2:$U$1001&lt;U845)+($U$2:$U$1001=U845)*(($V$2:$V$1001&lt;V845)+($V$2:$V$1001=V845)*(($W$2:$W$1001&lt;W845)+($W$2:$W$1001=W845)*(ROW($K$2:$K$1001)&lt;ROW(K845))))))))</f>
        <v/>
      </c>
    </row>
    <row r="846" customFormat="false" ht="15" hidden="false" customHeight="false" outlineLevel="0" collapsed="false">
      <c r="K846" s="0" t="str">
        <f aca="false">IF(H346="","",IF(SUMPRODUCT(--($C$2:$C$501=H346))&gt;0,"",H346))</f>
        <v/>
      </c>
      <c r="L846" s="0" t="str">
        <f aca="false">IF(K846="","",IF(ISNUMBER('List 2'!A346),'List 2'!A346,TRIM('List 2'!A346)))</f>
        <v/>
      </c>
      <c r="M846" s="0" t="str">
        <f aca="false">IF(K846="","",IF(ISNUMBER('List 2'!C346),'List 2'!C346,TRIM('List 2'!C346)))</f>
        <v/>
      </c>
      <c r="N846" s="0" t="str">
        <f aca="false">IF(K846="","",IF(ISNUMBER('List 2'!D346),'List 2'!D346,TRIM('List 2'!D346)))</f>
        <v/>
      </c>
      <c r="O846" s="0" t="str">
        <f aca="false">IF(K846="","",0)</f>
        <v/>
      </c>
      <c r="P846" s="0" t="str">
        <f aca="false">IF(K846="","",I346)</f>
        <v/>
      </c>
      <c r="Q846" s="0" t="str">
        <f aca="false">IF(K846="","",FALSE())</f>
        <v/>
      </c>
      <c r="R846" s="0" t="str">
        <f aca="false">IF(K846="","",TRUE())</f>
        <v/>
      </c>
      <c r="S846" s="0" t="str">
        <f aca="false">IF(K846="","",IF(AND(Q846,R846),IF(O846=P846,"Match","Qty Different"),IF(Q846,"Only in List 1","Only in List 2")))</f>
        <v/>
      </c>
      <c r="T846" s="0" t="str">
        <f aca="false">IF(K846="","",IF(ISNUMBER(--L846),TEXT(--L846,"000000000000.000"),LOWER(L846)))</f>
        <v/>
      </c>
      <c r="U846" s="0" t="str">
        <f aca="false">IF(K846="","",IF(ISNUMBER(--M846),TEXT(--M846,"000000000000.000"),LOWER(M846)))</f>
        <v/>
      </c>
      <c r="V846" s="0" t="str">
        <f aca="false">IF(K846="","",LOWER(N846))</f>
        <v/>
      </c>
      <c r="W846" s="0" t="str">
        <f aca="false">IF(K846="","",G346)</f>
        <v/>
      </c>
      <c r="X846" s="0" t="str">
        <f aca="false">IF(K846="","",1+SUMPRODUCT(($K$2:$K$1001&lt;&gt;"")*(($T$2:$T$1001&lt;T846)+($T$2:$T$1001=T846)*(($U$2:$U$1001&lt;U846)+($U$2:$U$1001=U846)*(($V$2:$V$1001&lt;V846)+($V$2:$V$1001=V846)*(($W$2:$W$1001&lt;W846)+($W$2:$W$1001=W846)*(ROW($K$2:$K$1001)&lt;ROW(K846))))))))</f>
        <v/>
      </c>
    </row>
    <row r="847" customFormat="false" ht="15" hidden="false" customHeight="false" outlineLevel="0" collapsed="false">
      <c r="K847" s="0" t="str">
        <f aca="false">IF(H347="","",IF(SUMPRODUCT(--($C$2:$C$501=H347))&gt;0,"",H347))</f>
        <v/>
      </c>
      <c r="L847" s="0" t="str">
        <f aca="false">IF(K847="","",IF(ISNUMBER('List 2'!A347),'List 2'!A347,TRIM('List 2'!A347)))</f>
        <v/>
      </c>
      <c r="M847" s="0" t="str">
        <f aca="false">IF(K847="","",IF(ISNUMBER('List 2'!C347),'List 2'!C347,TRIM('List 2'!C347)))</f>
        <v/>
      </c>
      <c r="N847" s="0" t="str">
        <f aca="false">IF(K847="","",IF(ISNUMBER('List 2'!D347),'List 2'!D347,TRIM('List 2'!D347)))</f>
        <v/>
      </c>
      <c r="O847" s="0" t="str">
        <f aca="false">IF(K847="","",0)</f>
        <v/>
      </c>
      <c r="P847" s="0" t="str">
        <f aca="false">IF(K847="","",I347)</f>
        <v/>
      </c>
      <c r="Q847" s="0" t="str">
        <f aca="false">IF(K847="","",FALSE())</f>
        <v/>
      </c>
      <c r="R847" s="0" t="str">
        <f aca="false">IF(K847="","",TRUE())</f>
        <v/>
      </c>
      <c r="S847" s="0" t="str">
        <f aca="false">IF(K847="","",IF(AND(Q847,R847),IF(O847=P847,"Match","Qty Different"),IF(Q847,"Only in List 1","Only in List 2")))</f>
        <v/>
      </c>
      <c r="T847" s="0" t="str">
        <f aca="false">IF(K847="","",IF(ISNUMBER(--L847),TEXT(--L847,"000000000000.000"),LOWER(L847)))</f>
        <v/>
      </c>
      <c r="U847" s="0" t="str">
        <f aca="false">IF(K847="","",IF(ISNUMBER(--M847),TEXT(--M847,"000000000000.000"),LOWER(M847)))</f>
        <v/>
      </c>
      <c r="V847" s="0" t="str">
        <f aca="false">IF(K847="","",LOWER(N847))</f>
        <v/>
      </c>
      <c r="W847" s="0" t="str">
        <f aca="false">IF(K847="","",G347)</f>
        <v/>
      </c>
      <c r="X847" s="0" t="str">
        <f aca="false">IF(K847="","",1+SUMPRODUCT(($K$2:$K$1001&lt;&gt;"")*(($T$2:$T$1001&lt;T847)+($T$2:$T$1001=T847)*(($U$2:$U$1001&lt;U847)+($U$2:$U$1001=U847)*(($V$2:$V$1001&lt;V847)+($V$2:$V$1001=V847)*(($W$2:$W$1001&lt;W847)+($W$2:$W$1001=W847)*(ROW($K$2:$K$1001)&lt;ROW(K847))))))))</f>
        <v/>
      </c>
    </row>
    <row r="848" customFormat="false" ht="15" hidden="false" customHeight="false" outlineLevel="0" collapsed="false">
      <c r="K848" s="0" t="str">
        <f aca="false">IF(H348="","",IF(SUMPRODUCT(--($C$2:$C$501=H348))&gt;0,"",H348))</f>
        <v/>
      </c>
      <c r="L848" s="0" t="str">
        <f aca="false">IF(K848="","",IF(ISNUMBER('List 2'!A348),'List 2'!A348,TRIM('List 2'!A348)))</f>
        <v/>
      </c>
      <c r="M848" s="0" t="str">
        <f aca="false">IF(K848="","",IF(ISNUMBER('List 2'!C348),'List 2'!C348,TRIM('List 2'!C348)))</f>
        <v/>
      </c>
      <c r="N848" s="0" t="str">
        <f aca="false">IF(K848="","",IF(ISNUMBER('List 2'!D348),'List 2'!D348,TRIM('List 2'!D348)))</f>
        <v/>
      </c>
      <c r="O848" s="0" t="str">
        <f aca="false">IF(K848="","",0)</f>
        <v/>
      </c>
      <c r="P848" s="0" t="str">
        <f aca="false">IF(K848="","",I348)</f>
        <v/>
      </c>
      <c r="Q848" s="0" t="str">
        <f aca="false">IF(K848="","",FALSE())</f>
        <v/>
      </c>
      <c r="R848" s="0" t="str">
        <f aca="false">IF(K848="","",TRUE())</f>
        <v/>
      </c>
      <c r="S848" s="0" t="str">
        <f aca="false">IF(K848="","",IF(AND(Q848,R848),IF(O848=P848,"Match","Qty Different"),IF(Q848,"Only in List 1","Only in List 2")))</f>
        <v/>
      </c>
      <c r="T848" s="0" t="str">
        <f aca="false">IF(K848="","",IF(ISNUMBER(--L848),TEXT(--L848,"000000000000.000"),LOWER(L848)))</f>
        <v/>
      </c>
      <c r="U848" s="0" t="str">
        <f aca="false">IF(K848="","",IF(ISNUMBER(--M848),TEXT(--M848,"000000000000.000"),LOWER(M848)))</f>
        <v/>
      </c>
      <c r="V848" s="0" t="str">
        <f aca="false">IF(K848="","",LOWER(N848))</f>
        <v/>
      </c>
      <c r="W848" s="0" t="str">
        <f aca="false">IF(K848="","",G348)</f>
        <v/>
      </c>
      <c r="X848" s="0" t="str">
        <f aca="false">IF(K848="","",1+SUMPRODUCT(($K$2:$K$1001&lt;&gt;"")*(($T$2:$T$1001&lt;T848)+($T$2:$T$1001=T848)*(($U$2:$U$1001&lt;U848)+($U$2:$U$1001=U848)*(($V$2:$V$1001&lt;V848)+($V$2:$V$1001=V848)*(($W$2:$W$1001&lt;W848)+($W$2:$W$1001=W848)*(ROW($K$2:$K$1001)&lt;ROW(K848))))))))</f>
        <v/>
      </c>
    </row>
    <row r="849" customFormat="false" ht="15" hidden="false" customHeight="false" outlineLevel="0" collapsed="false">
      <c r="K849" s="0" t="str">
        <f aca="false">IF(H349="","",IF(SUMPRODUCT(--($C$2:$C$501=H349))&gt;0,"",H349))</f>
        <v/>
      </c>
      <c r="L849" s="0" t="str">
        <f aca="false">IF(K849="","",IF(ISNUMBER('List 2'!A349),'List 2'!A349,TRIM('List 2'!A349)))</f>
        <v/>
      </c>
      <c r="M849" s="0" t="str">
        <f aca="false">IF(K849="","",IF(ISNUMBER('List 2'!C349),'List 2'!C349,TRIM('List 2'!C349)))</f>
        <v/>
      </c>
      <c r="N849" s="0" t="str">
        <f aca="false">IF(K849="","",IF(ISNUMBER('List 2'!D349),'List 2'!D349,TRIM('List 2'!D349)))</f>
        <v/>
      </c>
      <c r="O849" s="0" t="str">
        <f aca="false">IF(K849="","",0)</f>
        <v/>
      </c>
      <c r="P849" s="0" t="str">
        <f aca="false">IF(K849="","",I349)</f>
        <v/>
      </c>
      <c r="Q849" s="0" t="str">
        <f aca="false">IF(K849="","",FALSE())</f>
        <v/>
      </c>
      <c r="R849" s="0" t="str">
        <f aca="false">IF(K849="","",TRUE())</f>
        <v/>
      </c>
      <c r="S849" s="0" t="str">
        <f aca="false">IF(K849="","",IF(AND(Q849,R849),IF(O849=P849,"Match","Qty Different"),IF(Q849,"Only in List 1","Only in List 2")))</f>
        <v/>
      </c>
      <c r="T849" s="0" t="str">
        <f aca="false">IF(K849="","",IF(ISNUMBER(--L849),TEXT(--L849,"000000000000.000"),LOWER(L849)))</f>
        <v/>
      </c>
      <c r="U849" s="0" t="str">
        <f aca="false">IF(K849="","",IF(ISNUMBER(--M849),TEXT(--M849,"000000000000.000"),LOWER(M849)))</f>
        <v/>
      </c>
      <c r="V849" s="0" t="str">
        <f aca="false">IF(K849="","",LOWER(N849))</f>
        <v/>
      </c>
      <c r="W849" s="0" t="str">
        <f aca="false">IF(K849="","",G349)</f>
        <v/>
      </c>
      <c r="X849" s="0" t="str">
        <f aca="false">IF(K849="","",1+SUMPRODUCT(($K$2:$K$1001&lt;&gt;"")*(($T$2:$T$1001&lt;T849)+($T$2:$T$1001=T849)*(($U$2:$U$1001&lt;U849)+($U$2:$U$1001=U849)*(($V$2:$V$1001&lt;V849)+($V$2:$V$1001=V849)*(($W$2:$W$1001&lt;W849)+($W$2:$W$1001=W849)*(ROW($K$2:$K$1001)&lt;ROW(K849))))))))</f>
        <v/>
      </c>
    </row>
    <row r="850" customFormat="false" ht="15" hidden="false" customHeight="false" outlineLevel="0" collapsed="false">
      <c r="K850" s="0" t="str">
        <f aca="false">IF(H350="","",IF(SUMPRODUCT(--($C$2:$C$501=H350))&gt;0,"",H350))</f>
        <v/>
      </c>
      <c r="L850" s="0" t="str">
        <f aca="false">IF(K850="","",IF(ISNUMBER('List 2'!A350),'List 2'!A350,TRIM('List 2'!A350)))</f>
        <v/>
      </c>
      <c r="M850" s="0" t="str">
        <f aca="false">IF(K850="","",IF(ISNUMBER('List 2'!C350),'List 2'!C350,TRIM('List 2'!C350)))</f>
        <v/>
      </c>
      <c r="N850" s="0" t="str">
        <f aca="false">IF(K850="","",IF(ISNUMBER('List 2'!D350),'List 2'!D350,TRIM('List 2'!D350)))</f>
        <v/>
      </c>
      <c r="O850" s="0" t="str">
        <f aca="false">IF(K850="","",0)</f>
        <v/>
      </c>
      <c r="P850" s="0" t="str">
        <f aca="false">IF(K850="","",I350)</f>
        <v/>
      </c>
      <c r="Q850" s="0" t="str">
        <f aca="false">IF(K850="","",FALSE())</f>
        <v/>
      </c>
      <c r="R850" s="0" t="str">
        <f aca="false">IF(K850="","",TRUE())</f>
        <v/>
      </c>
      <c r="S850" s="0" t="str">
        <f aca="false">IF(K850="","",IF(AND(Q850,R850),IF(O850=P850,"Match","Qty Different"),IF(Q850,"Only in List 1","Only in List 2")))</f>
        <v/>
      </c>
      <c r="T850" s="0" t="str">
        <f aca="false">IF(K850="","",IF(ISNUMBER(--L850),TEXT(--L850,"000000000000.000"),LOWER(L850)))</f>
        <v/>
      </c>
      <c r="U850" s="0" t="str">
        <f aca="false">IF(K850="","",IF(ISNUMBER(--M850),TEXT(--M850,"000000000000.000"),LOWER(M850)))</f>
        <v/>
      </c>
      <c r="V850" s="0" t="str">
        <f aca="false">IF(K850="","",LOWER(N850))</f>
        <v/>
      </c>
      <c r="W850" s="0" t="str">
        <f aca="false">IF(K850="","",G350)</f>
        <v/>
      </c>
      <c r="X850" s="0" t="str">
        <f aca="false">IF(K850="","",1+SUMPRODUCT(($K$2:$K$1001&lt;&gt;"")*(($T$2:$T$1001&lt;T850)+($T$2:$T$1001=T850)*(($U$2:$U$1001&lt;U850)+($U$2:$U$1001=U850)*(($V$2:$V$1001&lt;V850)+($V$2:$V$1001=V850)*(($W$2:$W$1001&lt;W850)+($W$2:$W$1001=W850)*(ROW($K$2:$K$1001)&lt;ROW(K850))))))))</f>
        <v/>
      </c>
    </row>
    <row r="851" customFormat="false" ht="15" hidden="false" customHeight="false" outlineLevel="0" collapsed="false">
      <c r="K851" s="0" t="str">
        <f aca="false">IF(H351="","",IF(SUMPRODUCT(--($C$2:$C$501=H351))&gt;0,"",H351))</f>
        <v/>
      </c>
      <c r="L851" s="0" t="str">
        <f aca="false">IF(K851="","",IF(ISNUMBER('List 2'!A351),'List 2'!A351,TRIM('List 2'!A351)))</f>
        <v/>
      </c>
      <c r="M851" s="0" t="str">
        <f aca="false">IF(K851="","",IF(ISNUMBER('List 2'!C351),'List 2'!C351,TRIM('List 2'!C351)))</f>
        <v/>
      </c>
      <c r="N851" s="0" t="str">
        <f aca="false">IF(K851="","",IF(ISNUMBER('List 2'!D351),'List 2'!D351,TRIM('List 2'!D351)))</f>
        <v/>
      </c>
      <c r="O851" s="0" t="str">
        <f aca="false">IF(K851="","",0)</f>
        <v/>
      </c>
      <c r="P851" s="0" t="str">
        <f aca="false">IF(K851="","",I351)</f>
        <v/>
      </c>
      <c r="Q851" s="0" t="str">
        <f aca="false">IF(K851="","",FALSE())</f>
        <v/>
      </c>
      <c r="R851" s="0" t="str">
        <f aca="false">IF(K851="","",TRUE())</f>
        <v/>
      </c>
      <c r="S851" s="0" t="str">
        <f aca="false">IF(K851="","",IF(AND(Q851,R851),IF(O851=P851,"Match","Qty Different"),IF(Q851,"Only in List 1","Only in List 2")))</f>
        <v/>
      </c>
      <c r="T851" s="0" t="str">
        <f aca="false">IF(K851="","",IF(ISNUMBER(--L851),TEXT(--L851,"000000000000.000"),LOWER(L851)))</f>
        <v/>
      </c>
      <c r="U851" s="0" t="str">
        <f aca="false">IF(K851="","",IF(ISNUMBER(--M851),TEXT(--M851,"000000000000.000"),LOWER(M851)))</f>
        <v/>
      </c>
      <c r="V851" s="0" t="str">
        <f aca="false">IF(K851="","",LOWER(N851))</f>
        <v/>
      </c>
      <c r="W851" s="0" t="str">
        <f aca="false">IF(K851="","",G351)</f>
        <v/>
      </c>
      <c r="X851" s="0" t="str">
        <f aca="false">IF(K851="","",1+SUMPRODUCT(($K$2:$K$1001&lt;&gt;"")*(($T$2:$T$1001&lt;T851)+($T$2:$T$1001=T851)*(($U$2:$U$1001&lt;U851)+($U$2:$U$1001=U851)*(($V$2:$V$1001&lt;V851)+($V$2:$V$1001=V851)*(($W$2:$W$1001&lt;W851)+($W$2:$W$1001=W851)*(ROW($K$2:$K$1001)&lt;ROW(K851))))))))</f>
        <v/>
      </c>
    </row>
    <row r="852" customFormat="false" ht="15" hidden="false" customHeight="false" outlineLevel="0" collapsed="false">
      <c r="K852" s="0" t="str">
        <f aca="false">IF(H352="","",IF(SUMPRODUCT(--($C$2:$C$501=H352))&gt;0,"",H352))</f>
        <v/>
      </c>
      <c r="L852" s="0" t="str">
        <f aca="false">IF(K852="","",IF(ISNUMBER('List 2'!A352),'List 2'!A352,TRIM('List 2'!A352)))</f>
        <v/>
      </c>
      <c r="M852" s="0" t="str">
        <f aca="false">IF(K852="","",IF(ISNUMBER('List 2'!C352),'List 2'!C352,TRIM('List 2'!C352)))</f>
        <v/>
      </c>
      <c r="N852" s="0" t="str">
        <f aca="false">IF(K852="","",IF(ISNUMBER('List 2'!D352),'List 2'!D352,TRIM('List 2'!D352)))</f>
        <v/>
      </c>
      <c r="O852" s="0" t="str">
        <f aca="false">IF(K852="","",0)</f>
        <v/>
      </c>
      <c r="P852" s="0" t="str">
        <f aca="false">IF(K852="","",I352)</f>
        <v/>
      </c>
      <c r="Q852" s="0" t="str">
        <f aca="false">IF(K852="","",FALSE())</f>
        <v/>
      </c>
      <c r="R852" s="0" t="str">
        <f aca="false">IF(K852="","",TRUE())</f>
        <v/>
      </c>
      <c r="S852" s="0" t="str">
        <f aca="false">IF(K852="","",IF(AND(Q852,R852),IF(O852=P852,"Match","Qty Different"),IF(Q852,"Only in List 1","Only in List 2")))</f>
        <v/>
      </c>
      <c r="T852" s="0" t="str">
        <f aca="false">IF(K852="","",IF(ISNUMBER(--L852),TEXT(--L852,"000000000000.000"),LOWER(L852)))</f>
        <v/>
      </c>
      <c r="U852" s="0" t="str">
        <f aca="false">IF(K852="","",IF(ISNUMBER(--M852),TEXT(--M852,"000000000000.000"),LOWER(M852)))</f>
        <v/>
      </c>
      <c r="V852" s="0" t="str">
        <f aca="false">IF(K852="","",LOWER(N852))</f>
        <v/>
      </c>
      <c r="W852" s="0" t="str">
        <f aca="false">IF(K852="","",G352)</f>
        <v/>
      </c>
      <c r="X852" s="0" t="str">
        <f aca="false">IF(K852="","",1+SUMPRODUCT(($K$2:$K$1001&lt;&gt;"")*(($T$2:$T$1001&lt;T852)+($T$2:$T$1001=T852)*(($U$2:$U$1001&lt;U852)+($U$2:$U$1001=U852)*(($V$2:$V$1001&lt;V852)+($V$2:$V$1001=V852)*(($W$2:$W$1001&lt;W852)+($W$2:$W$1001=W852)*(ROW($K$2:$K$1001)&lt;ROW(K852))))))))</f>
        <v/>
      </c>
    </row>
    <row r="853" customFormat="false" ht="15" hidden="false" customHeight="false" outlineLevel="0" collapsed="false">
      <c r="K853" s="0" t="str">
        <f aca="false">IF(H353="","",IF(SUMPRODUCT(--($C$2:$C$501=H353))&gt;0,"",H353))</f>
        <v/>
      </c>
      <c r="L853" s="0" t="str">
        <f aca="false">IF(K853="","",IF(ISNUMBER('List 2'!A353),'List 2'!A353,TRIM('List 2'!A353)))</f>
        <v/>
      </c>
      <c r="M853" s="0" t="str">
        <f aca="false">IF(K853="","",IF(ISNUMBER('List 2'!C353),'List 2'!C353,TRIM('List 2'!C353)))</f>
        <v/>
      </c>
      <c r="N853" s="0" t="str">
        <f aca="false">IF(K853="","",IF(ISNUMBER('List 2'!D353),'List 2'!D353,TRIM('List 2'!D353)))</f>
        <v/>
      </c>
      <c r="O853" s="0" t="str">
        <f aca="false">IF(K853="","",0)</f>
        <v/>
      </c>
      <c r="P853" s="0" t="str">
        <f aca="false">IF(K853="","",I353)</f>
        <v/>
      </c>
      <c r="Q853" s="0" t="str">
        <f aca="false">IF(K853="","",FALSE())</f>
        <v/>
      </c>
      <c r="R853" s="0" t="str">
        <f aca="false">IF(K853="","",TRUE())</f>
        <v/>
      </c>
      <c r="S853" s="0" t="str">
        <f aca="false">IF(K853="","",IF(AND(Q853,R853),IF(O853=P853,"Match","Qty Different"),IF(Q853,"Only in List 1","Only in List 2")))</f>
        <v/>
      </c>
      <c r="T853" s="0" t="str">
        <f aca="false">IF(K853="","",IF(ISNUMBER(--L853),TEXT(--L853,"000000000000.000"),LOWER(L853)))</f>
        <v/>
      </c>
      <c r="U853" s="0" t="str">
        <f aca="false">IF(K853="","",IF(ISNUMBER(--M853),TEXT(--M853,"000000000000.000"),LOWER(M853)))</f>
        <v/>
      </c>
      <c r="V853" s="0" t="str">
        <f aca="false">IF(K853="","",LOWER(N853))</f>
        <v/>
      </c>
      <c r="W853" s="0" t="str">
        <f aca="false">IF(K853="","",G353)</f>
        <v/>
      </c>
      <c r="X853" s="0" t="str">
        <f aca="false">IF(K853="","",1+SUMPRODUCT(($K$2:$K$1001&lt;&gt;"")*(($T$2:$T$1001&lt;T853)+($T$2:$T$1001=T853)*(($U$2:$U$1001&lt;U853)+($U$2:$U$1001=U853)*(($V$2:$V$1001&lt;V853)+($V$2:$V$1001=V853)*(($W$2:$W$1001&lt;W853)+($W$2:$W$1001=W853)*(ROW($K$2:$K$1001)&lt;ROW(K853))))))))</f>
        <v/>
      </c>
    </row>
    <row r="854" customFormat="false" ht="15" hidden="false" customHeight="false" outlineLevel="0" collapsed="false">
      <c r="K854" s="0" t="str">
        <f aca="false">IF(H354="","",IF(SUMPRODUCT(--($C$2:$C$501=H354))&gt;0,"",H354))</f>
        <v/>
      </c>
      <c r="L854" s="0" t="str">
        <f aca="false">IF(K854="","",IF(ISNUMBER('List 2'!A354),'List 2'!A354,TRIM('List 2'!A354)))</f>
        <v/>
      </c>
      <c r="M854" s="0" t="str">
        <f aca="false">IF(K854="","",IF(ISNUMBER('List 2'!C354),'List 2'!C354,TRIM('List 2'!C354)))</f>
        <v/>
      </c>
      <c r="N854" s="0" t="str">
        <f aca="false">IF(K854="","",IF(ISNUMBER('List 2'!D354),'List 2'!D354,TRIM('List 2'!D354)))</f>
        <v/>
      </c>
      <c r="O854" s="0" t="str">
        <f aca="false">IF(K854="","",0)</f>
        <v/>
      </c>
      <c r="P854" s="0" t="str">
        <f aca="false">IF(K854="","",I354)</f>
        <v/>
      </c>
      <c r="Q854" s="0" t="str">
        <f aca="false">IF(K854="","",FALSE())</f>
        <v/>
      </c>
      <c r="R854" s="0" t="str">
        <f aca="false">IF(K854="","",TRUE())</f>
        <v/>
      </c>
      <c r="S854" s="0" t="str">
        <f aca="false">IF(K854="","",IF(AND(Q854,R854),IF(O854=P854,"Match","Qty Different"),IF(Q854,"Only in List 1","Only in List 2")))</f>
        <v/>
      </c>
      <c r="T854" s="0" t="str">
        <f aca="false">IF(K854="","",IF(ISNUMBER(--L854),TEXT(--L854,"000000000000.000"),LOWER(L854)))</f>
        <v/>
      </c>
      <c r="U854" s="0" t="str">
        <f aca="false">IF(K854="","",IF(ISNUMBER(--M854),TEXT(--M854,"000000000000.000"),LOWER(M854)))</f>
        <v/>
      </c>
      <c r="V854" s="0" t="str">
        <f aca="false">IF(K854="","",LOWER(N854))</f>
        <v/>
      </c>
      <c r="W854" s="0" t="str">
        <f aca="false">IF(K854="","",G354)</f>
        <v/>
      </c>
      <c r="X854" s="0" t="str">
        <f aca="false">IF(K854="","",1+SUMPRODUCT(($K$2:$K$1001&lt;&gt;"")*(($T$2:$T$1001&lt;T854)+($T$2:$T$1001=T854)*(($U$2:$U$1001&lt;U854)+($U$2:$U$1001=U854)*(($V$2:$V$1001&lt;V854)+($V$2:$V$1001=V854)*(($W$2:$W$1001&lt;W854)+($W$2:$W$1001=W854)*(ROW($K$2:$K$1001)&lt;ROW(K854))))))))</f>
        <v/>
      </c>
    </row>
    <row r="855" customFormat="false" ht="15" hidden="false" customHeight="false" outlineLevel="0" collapsed="false">
      <c r="K855" s="0" t="str">
        <f aca="false">IF(H355="","",IF(SUMPRODUCT(--($C$2:$C$501=H355))&gt;0,"",H355))</f>
        <v/>
      </c>
      <c r="L855" s="0" t="str">
        <f aca="false">IF(K855="","",IF(ISNUMBER('List 2'!A355),'List 2'!A355,TRIM('List 2'!A355)))</f>
        <v/>
      </c>
      <c r="M855" s="0" t="str">
        <f aca="false">IF(K855="","",IF(ISNUMBER('List 2'!C355),'List 2'!C355,TRIM('List 2'!C355)))</f>
        <v/>
      </c>
      <c r="N855" s="0" t="str">
        <f aca="false">IF(K855="","",IF(ISNUMBER('List 2'!D355),'List 2'!D355,TRIM('List 2'!D355)))</f>
        <v/>
      </c>
      <c r="O855" s="0" t="str">
        <f aca="false">IF(K855="","",0)</f>
        <v/>
      </c>
      <c r="P855" s="0" t="str">
        <f aca="false">IF(K855="","",I355)</f>
        <v/>
      </c>
      <c r="Q855" s="0" t="str">
        <f aca="false">IF(K855="","",FALSE())</f>
        <v/>
      </c>
      <c r="R855" s="0" t="str">
        <f aca="false">IF(K855="","",TRUE())</f>
        <v/>
      </c>
      <c r="S855" s="0" t="str">
        <f aca="false">IF(K855="","",IF(AND(Q855,R855),IF(O855=P855,"Match","Qty Different"),IF(Q855,"Only in List 1","Only in List 2")))</f>
        <v/>
      </c>
      <c r="T855" s="0" t="str">
        <f aca="false">IF(K855="","",IF(ISNUMBER(--L855),TEXT(--L855,"000000000000.000"),LOWER(L855)))</f>
        <v/>
      </c>
      <c r="U855" s="0" t="str">
        <f aca="false">IF(K855="","",IF(ISNUMBER(--M855),TEXT(--M855,"000000000000.000"),LOWER(M855)))</f>
        <v/>
      </c>
      <c r="V855" s="0" t="str">
        <f aca="false">IF(K855="","",LOWER(N855))</f>
        <v/>
      </c>
      <c r="W855" s="0" t="str">
        <f aca="false">IF(K855="","",G355)</f>
        <v/>
      </c>
      <c r="X855" s="0" t="str">
        <f aca="false">IF(K855="","",1+SUMPRODUCT(($K$2:$K$1001&lt;&gt;"")*(($T$2:$T$1001&lt;T855)+($T$2:$T$1001=T855)*(($U$2:$U$1001&lt;U855)+($U$2:$U$1001=U855)*(($V$2:$V$1001&lt;V855)+($V$2:$V$1001=V855)*(($W$2:$W$1001&lt;W855)+($W$2:$W$1001=W855)*(ROW($K$2:$K$1001)&lt;ROW(K855))))))))</f>
        <v/>
      </c>
    </row>
    <row r="856" customFormat="false" ht="15" hidden="false" customHeight="false" outlineLevel="0" collapsed="false">
      <c r="K856" s="0" t="str">
        <f aca="false">IF(H356="","",IF(SUMPRODUCT(--($C$2:$C$501=H356))&gt;0,"",H356))</f>
        <v/>
      </c>
      <c r="L856" s="0" t="str">
        <f aca="false">IF(K856="","",IF(ISNUMBER('List 2'!A356),'List 2'!A356,TRIM('List 2'!A356)))</f>
        <v/>
      </c>
      <c r="M856" s="0" t="str">
        <f aca="false">IF(K856="","",IF(ISNUMBER('List 2'!C356),'List 2'!C356,TRIM('List 2'!C356)))</f>
        <v/>
      </c>
      <c r="N856" s="0" t="str">
        <f aca="false">IF(K856="","",IF(ISNUMBER('List 2'!D356),'List 2'!D356,TRIM('List 2'!D356)))</f>
        <v/>
      </c>
      <c r="O856" s="0" t="str">
        <f aca="false">IF(K856="","",0)</f>
        <v/>
      </c>
      <c r="P856" s="0" t="str">
        <f aca="false">IF(K856="","",I356)</f>
        <v/>
      </c>
      <c r="Q856" s="0" t="str">
        <f aca="false">IF(K856="","",FALSE())</f>
        <v/>
      </c>
      <c r="R856" s="0" t="str">
        <f aca="false">IF(K856="","",TRUE())</f>
        <v/>
      </c>
      <c r="S856" s="0" t="str">
        <f aca="false">IF(K856="","",IF(AND(Q856,R856),IF(O856=P856,"Match","Qty Different"),IF(Q856,"Only in List 1","Only in List 2")))</f>
        <v/>
      </c>
      <c r="T856" s="0" t="str">
        <f aca="false">IF(K856="","",IF(ISNUMBER(--L856),TEXT(--L856,"000000000000.000"),LOWER(L856)))</f>
        <v/>
      </c>
      <c r="U856" s="0" t="str">
        <f aca="false">IF(K856="","",IF(ISNUMBER(--M856),TEXT(--M856,"000000000000.000"),LOWER(M856)))</f>
        <v/>
      </c>
      <c r="V856" s="0" t="str">
        <f aca="false">IF(K856="","",LOWER(N856))</f>
        <v/>
      </c>
      <c r="W856" s="0" t="str">
        <f aca="false">IF(K856="","",G356)</f>
        <v/>
      </c>
      <c r="X856" s="0" t="str">
        <f aca="false">IF(K856="","",1+SUMPRODUCT(($K$2:$K$1001&lt;&gt;"")*(($T$2:$T$1001&lt;T856)+($T$2:$T$1001=T856)*(($U$2:$U$1001&lt;U856)+($U$2:$U$1001=U856)*(($V$2:$V$1001&lt;V856)+($V$2:$V$1001=V856)*(($W$2:$W$1001&lt;W856)+($W$2:$W$1001=W856)*(ROW($K$2:$K$1001)&lt;ROW(K856))))))))</f>
        <v/>
      </c>
    </row>
    <row r="857" customFormat="false" ht="15" hidden="false" customHeight="false" outlineLevel="0" collapsed="false">
      <c r="K857" s="0" t="str">
        <f aca="false">IF(H357="","",IF(SUMPRODUCT(--($C$2:$C$501=H357))&gt;0,"",H357))</f>
        <v/>
      </c>
      <c r="L857" s="0" t="str">
        <f aca="false">IF(K857="","",IF(ISNUMBER('List 2'!A357),'List 2'!A357,TRIM('List 2'!A357)))</f>
        <v/>
      </c>
      <c r="M857" s="0" t="str">
        <f aca="false">IF(K857="","",IF(ISNUMBER('List 2'!C357),'List 2'!C357,TRIM('List 2'!C357)))</f>
        <v/>
      </c>
      <c r="N857" s="0" t="str">
        <f aca="false">IF(K857="","",IF(ISNUMBER('List 2'!D357),'List 2'!D357,TRIM('List 2'!D357)))</f>
        <v/>
      </c>
      <c r="O857" s="0" t="str">
        <f aca="false">IF(K857="","",0)</f>
        <v/>
      </c>
      <c r="P857" s="0" t="str">
        <f aca="false">IF(K857="","",I357)</f>
        <v/>
      </c>
      <c r="Q857" s="0" t="str">
        <f aca="false">IF(K857="","",FALSE())</f>
        <v/>
      </c>
      <c r="R857" s="0" t="str">
        <f aca="false">IF(K857="","",TRUE())</f>
        <v/>
      </c>
      <c r="S857" s="0" t="str">
        <f aca="false">IF(K857="","",IF(AND(Q857,R857),IF(O857=P857,"Match","Qty Different"),IF(Q857,"Only in List 1","Only in List 2")))</f>
        <v/>
      </c>
      <c r="T857" s="0" t="str">
        <f aca="false">IF(K857="","",IF(ISNUMBER(--L857),TEXT(--L857,"000000000000.000"),LOWER(L857)))</f>
        <v/>
      </c>
      <c r="U857" s="0" t="str">
        <f aca="false">IF(K857="","",IF(ISNUMBER(--M857),TEXT(--M857,"000000000000.000"),LOWER(M857)))</f>
        <v/>
      </c>
      <c r="V857" s="0" t="str">
        <f aca="false">IF(K857="","",LOWER(N857))</f>
        <v/>
      </c>
      <c r="W857" s="0" t="str">
        <f aca="false">IF(K857="","",G357)</f>
        <v/>
      </c>
      <c r="X857" s="0" t="str">
        <f aca="false">IF(K857="","",1+SUMPRODUCT(($K$2:$K$1001&lt;&gt;"")*(($T$2:$T$1001&lt;T857)+($T$2:$T$1001=T857)*(($U$2:$U$1001&lt;U857)+($U$2:$U$1001=U857)*(($V$2:$V$1001&lt;V857)+($V$2:$V$1001=V857)*(($W$2:$W$1001&lt;W857)+($W$2:$W$1001=W857)*(ROW($K$2:$K$1001)&lt;ROW(K857))))))))</f>
        <v/>
      </c>
    </row>
    <row r="858" customFormat="false" ht="15" hidden="false" customHeight="false" outlineLevel="0" collapsed="false">
      <c r="K858" s="0" t="str">
        <f aca="false">IF(H358="","",IF(SUMPRODUCT(--($C$2:$C$501=H358))&gt;0,"",H358))</f>
        <v/>
      </c>
      <c r="L858" s="0" t="str">
        <f aca="false">IF(K858="","",IF(ISNUMBER('List 2'!A358),'List 2'!A358,TRIM('List 2'!A358)))</f>
        <v/>
      </c>
      <c r="M858" s="0" t="str">
        <f aca="false">IF(K858="","",IF(ISNUMBER('List 2'!C358),'List 2'!C358,TRIM('List 2'!C358)))</f>
        <v/>
      </c>
      <c r="N858" s="0" t="str">
        <f aca="false">IF(K858="","",IF(ISNUMBER('List 2'!D358),'List 2'!D358,TRIM('List 2'!D358)))</f>
        <v/>
      </c>
      <c r="O858" s="0" t="str">
        <f aca="false">IF(K858="","",0)</f>
        <v/>
      </c>
      <c r="P858" s="0" t="str">
        <f aca="false">IF(K858="","",I358)</f>
        <v/>
      </c>
      <c r="Q858" s="0" t="str">
        <f aca="false">IF(K858="","",FALSE())</f>
        <v/>
      </c>
      <c r="R858" s="0" t="str">
        <f aca="false">IF(K858="","",TRUE())</f>
        <v/>
      </c>
      <c r="S858" s="0" t="str">
        <f aca="false">IF(K858="","",IF(AND(Q858,R858),IF(O858=P858,"Match","Qty Different"),IF(Q858,"Only in List 1","Only in List 2")))</f>
        <v/>
      </c>
      <c r="T858" s="0" t="str">
        <f aca="false">IF(K858="","",IF(ISNUMBER(--L858),TEXT(--L858,"000000000000.000"),LOWER(L858)))</f>
        <v/>
      </c>
      <c r="U858" s="0" t="str">
        <f aca="false">IF(K858="","",IF(ISNUMBER(--M858),TEXT(--M858,"000000000000.000"),LOWER(M858)))</f>
        <v/>
      </c>
      <c r="V858" s="0" t="str">
        <f aca="false">IF(K858="","",LOWER(N858))</f>
        <v/>
      </c>
      <c r="W858" s="0" t="str">
        <f aca="false">IF(K858="","",G358)</f>
        <v/>
      </c>
      <c r="X858" s="0" t="str">
        <f aca="false">IF(K858="","",1+SUMPRODUCT(($K$2:$K$1001&lt;&gt;"")*(($T$2:$T$1001&lt;T858)+($T$2:$T$1001=T858)*(($U$2:$U$1001&lt;U858)+($U$2:$U$1001=U858)*(($V$2:$V$1001&lt;V858)+($V$2:$V$1001=V858)*(($W$2:$W$1001&lt;W858)+($W$2:$W$1001=W858)*(ROW($K$2:$K$1001)&lt;ROW(K858))))))))</f>
        <v/>
      </c>
    </row>
    <row r="859" customFormat="false" ht="15" hidden="false" customHeight="false" outlineLevel="0" collapsed="false">
      <c r="K859" s="0" t="str">
        <f aca="false">IF(H359="","",IF(SUMPRODUCT(--($C$2:$C$501=H359))&gt;0,"",H359))</f>
        <v/>
      </c>
      <c r="L859" s="0" t="str">
        <f aca="false">IF(K859="","",IF(ISNUMBER('List 2'!A359),'List 2'!A359,TRIM('List 2'!A359)))</f>
        <v/>
      </c>
      <c r="M859" s="0" t="str">
        <f aca="false">IF(K859="","",IF(ISNUMBER('List 2'!C359),'List 2'!C359,TRIM('List 2'!C359)))</f>
        <v/>
      </c>
      <c r="N859" s="0" t="str">
        <f aca="false">IF(K859="","",IF(ISNUMBER('List 2'!D359),'List 2'!D359,TRIM('List 2'!D359)))</f>
        <v/>
      </c>
      <c r="O859" s="0" t="str">
        <f aca="false">IF(K859="","",0)</f>
        <v/>
      </c>
      <c r="P859" s="0" t="str">
        <f aca="false">IF(K859="","",I359)</f>
        <v/>
      </c>
      <c r="Q859" s="0" t="str">
        <f aca="false">IF(K859="","",FALSE())</f>
        <v/>
      </c>
      <c r="R859" s="0" t="str">
        <f aca="false">IF(K859="","",TRUE())</f>
        <v/>
      </c>
      <c r="S859" s="0" t="str">
        <f aca="false">IF(K859="","",IF(AND(Q859,R859),IF(O859=P859,"Match","Qty Different"),IF(Q859,"Only in List 1","Only in List 2")))</f>
        <v/>
      </c>
      <c r="T859" s="0" t="str">
        <f aca="false">IF(K859="","",IF(ISNUMBER(--L859),TEXT(--L859,"000000000000.000"),LOWER(L859)))</f>
        <v/>
      </c>
      <c r="U859" s="0" t="str">
        <f aca="false">IF(K859="","",IF(ISNUMBER(--M859),TEXT(--M859,"000000000000.000"),LOWER(M859)))</f>
        <v/>
      </c>
      <c r="V859" s="0" t="str">
        <f aca="false">IF(K859="","",LOWER(N859))</f>
        <v/>
      </c>
      <c r="W859" s="0" t="str">
        <f aca="false">IF(K859="","",G359)</f>
        <v/>
      </c>
      <c r="X859" s="0" t="str">
        <f aca="false">IF(K859="","",1+SUMPRODUCT(($K$2:$K$1001&lt;&gt;"")*(($T$2:$T$1001&lt;T859)+($T$2:$T$1001=T859)*(($U$2:$U$1001&lt;U859)+($U$2:$U$1001=U859)*(($V$2:$V$1001&lt;V859)+($V$2:$V$1001=V859)*(($W$2:$W$1001&lt;W859)+($W$2:$W$1001=W859)*(ROW($K$2:$K$1001)&lt;ROW(K859))))))))</f>
        <v/>
      </c>
    </row>
    <row r="860" customFormat="false" ht="15" hidden="false" customHeight="false" outlineLevel="0" collapsed="false">
      <c r="K860" s="0" t="str">
        <f aca="false">IF(H360="","",IF(SUMPRODUCT(--($C$2:$C$501=H360))&gt;0,"",H360))</f>
        <v/>
      </c>
      <c r="L860" s="0" t="str">
        <f aca="false">IF(K860="","",IF(ISNUMBER('List 2'!A360),'List 2'!A360,TRIM('List 2'!A360)))</f>
        <v/>
      </c>
      <c r="M860" s="0" t="str">
        <f aca="false">IF(K860="","",IF(ISNUMBER('List 2'!C360),'List 2'!C360,TRIM('List 2'!C360)))</f>
        <v/>
      </c>
      <c r="N860" s="0" t="str">
        <f aca="false">IF(K860="","",IF(ISNUMBER('List 2'!D360),'List 2'!D360,TRIM('List 2'!D360)))</f>
        <v/>
      </c>
      <c r="O860" s="0" t="str">
        <f aca="false">IF(K860="","",0)</f>
        <v/>
      </c>
      <c r="P860" s="0" t="str">
        <f aca="false">IF(K860="","",I360)</f>
        <v/>
      </c>
      <c r="Q860" s="0" t="str">
        <f aca="false">IF(K860="","",FALSE())</f>
        <v/>
      </c>
      <c r="R860" s="0" t="str">
        <f aca="false">IF(K860="","",TRUE())</f>
        <v/>
      </c>
      <c r="S860" s="0" t="str">
        <f aca="false">IF(K860="","",IF(AND(Q860,R860),IF(O860=P860,"Match","Qty Different"),IF(Q860,"Only in List 1","Only in List 2")))</f>
        <v/>
      </c>
      <c r="T860" s="0" t="str">
        <f aca="false">IF(K860="","",IF(ISNUMBER(--L860),TEXT(--L860,"000000000000.000"),LOWER(L860)))</f>
        <v/>
      </c>
      <c r="U860" s="0" t="str">
        <f aca="false">IF(K860="","",IF(ISNUMBER(--M860),TEXT(--M860,"000000000000.000"),LOWER(M860)))</f>
        <v/>
      </c>
      <c r="V860" s="0" t="str">
        <f aca="false">IF(K860="","",LOWER(N860))</f>
        <v/>
      </c>
      <c r="W860" s="0" t="str">
        <f aca="false">IF(K860="","",G360)</f>
        <v/>
      </c>
      <c r="X860" s="0" t="str">
        <f aca="false">IF(K860="","",1+SUMPRODUCT(($K$2:$K$1001&lt;&gt;"")*(($T$2:$T$1001&lt;T860)+($T$2:$T$1001=T860)*(($U$2:$U$1001&lt;U860)+($U$2:$U$1001=U860)*(($V$2:$V$1001&lt;V860)+($V$2:$V$1001=V860)*(($W$2:$W$1001&lt;W860)+($W$2:$W$1001=W860)*(ROW($K$2:$K$1001)&lt;ROW(K860))))))))</f>
        <v/>
      </c>
    </row>
    <row r="861" customFormat="false" ht="15" hidden="false" customHeight="false" outlineLevel="0" collapsed="false">
      <c r="K861" s="0" t="str">
        <f aca="false">IF(H361="","",IF(SUMPRODUCT(--($C$2:$C$501=H361))&gt;0,"",H361))</f>
        <v/>
      </c>
      <c r="L861" s="0" t="str">
        <f aca="false">IF(K861="","",IF(ISNUMBER('List 2'!A361),'List 2'!A361,TRIM('List 2'!A361)))</f>
        <v/>
      </c>
      <c r="M861" s="0" t="str">
        <f aca="false">IF(K861="","",IF(ISNUMBER('List 2'!C361),'List 2'!C361,TRIM('List 2'!C361)))</f>
        <v/>
      </c>
      <c r="N861" s="0" t="str">
        <f aca="false">IF(K861="","",IF(ISNUMBER('List 2'!D361),'List 2'!D361,TRIM('List 2'!D361)))</f>
        <v/>
      </c>
      <c r="O861" s="0" t="str">
        <f aca="false">IF(K861="","",0)</f>
        <v/>
      </c>
      <c r="P861" s="0" t="str">
        <f aca="false">IF(K861="","",I361)</f>
        <v/>
      </c>
      <c r="Q861" s="0" t="str">
        <f aca="false">IF(K861="","",FALSE())</f>
        <v/>
      </c>
      <c r="R861" s="0" t="str">
        <f aca="false">IF(K861="","",TRUE())</f>
        <v/>
      </c>
      <c r="S861" s="0" t="str">
        <f aca="false">IF(K861="","",IF(AND(Q861,R861),IF(O861=P861,"Match","Qty Different"),IF(Q861,"Only in List 1","Only in List 2")))</f>
        <v/>
      </c>
      <c r="T861" s="0" t="str">
        <f aca="false">IF(K861="","",IF(ISNUMBER(--L861),TEXT(--L861,"000000000000.000"),LOWER(L861)))</f>
        <v/>
      </c>
      <c r="U861" s="0" t="str">
        <f aca="false">IF(K861="","",IF(ISNUMBER(--M861),TEXT(--M861,"000000000000.000"),LOWER(M861)))</f>
        <v/>
      </c>
      <c r="V861" s="0" t="str">
        <f aca="false">IF(K861="","",LOWER(N861))</f>
        <v/>
      </c>
      <c r="W861" s="0" t="str">
        <f aca="false">IF(K861="","",G361)</f>
        <v/>
      </c>
      <c r="X861" s="0" t="str">
        <f aca="false">IF(K861="","",1+SUMPRODUCT(($K$2:$K$1001&lt;&gt;"")*(($T$2:$T$1001&lt;T861)+($T$2:$T$1001=T861)*(($U$2:$U$1001&lt;U861)+($U$2:$U$1001=U861)*(($V$2:$V$1001&lt;V861)+($V$2:$V$1001=V861)*(($W$2:$W$1001&lt;W861)+($W$2:$W$1001=W861)*(ROW($K$2:$K$1001)&lt;ROW(K861))))))))</f>
        <v/>
      </c>
    </row>
    <row r="862" customFormat="false" ht="15" hidden="false" customHeight="false" outlineLevel="0" collapsed="false">
      <c r="K862" s="0" t="str">
        <f aca="false">IF(H362="","",IF(SUMPRODUCT(--($C$2:$C$501=H362))&gt;0,"",H362))</f>
        <v/>
      </c>
      <c r="L862" s="0" t="str">
        <f aca="false">IF(K862="","",IF(ISNUMBER('List 2'!A362),'List 2'!A362,TRIM('List 2'!A362)))</f>
        <v/>
      </c>
      <c r="M862" s="0" t="str">
        <f aca="false">IF(K862="","",IF(ISNUMBER('List 2'!C362),'List 2'!C362,TRIM('List 2'!C362)))</f>
        <v/>
      </c>
      <c r="N862" s="0" t="str">
        <f aca="false">IF(K862="","",IF(ISNUMBER('List 2'!D362),'List 2'!D362,TRIM('List 2'!D362)))</f>
        <v/>
      </c>
      <c r="O862" s="0" t="str">
        <f aca="false">IF(K862="","",0)</f>
        <v/>
      </c>
      <c r="P862" s="0" t="str">
        <f aca="false">IF(K862="","",I362)</f>
        <v/>
      </c>
      <c r="Q862" s="0" t="str">
        <f aca="false">IF(K862="","",FALSE())</f>
        <v/>
      </c>
      <c r="R862" s="0" t="str">
        <f aca="false">IF(K862="","",TRUE())</f>
        <v/>
      </c>
      <c r="S862" s="0" t="str">
        <f aca="false">IF(K862="","",IF(AND(Q862,R862),IF(O862=P862,"Match","Qty Different"),IF(Q862,"Only in List 1","Only in List 2")))</f>
        <v/>
      </c>
      <c r="T862" s="0" t="str">
        <f aca="false">IF(K862="","",IF(ISNUMBER(--L862),TEXT(--L862,"000000000000.000"),LOWER(L862)))</f>
        <v/>
      </c>
      <c r="U862" s="0" t="str">
        <f aca="false">IF(K862="","",IF(ISNUMBER(--M862),TEXT(--M862,"000000000000.000"),LOWER(M862)))</f>
        <v/>
      </c>
      <c r="V862" s="0" t="str">
        <f aca="false">IF(K862="","",LOWER(N862))</f>
        <v/>
      </c>
      <c r="W862" s="0" t="str">
        <f aca="false">IF(K862="","",G362)</f>
        <v/>
      </c>
      <c r="X862" s="0" t="str">
        <f aca="false">IF(K862="","",1+SUMPRODUCT(($K$2:$K$1001&lt;&gt;"")*(($T$2:$T$1001&lt;T862)+($T$2:$T$1001=T862)*(($U$2:$U$1001&lt;U862)+($U$2:$U$1001=U862)*(($V$2:$V$1001&lt;V862)+($V$2:$V$1001=V862)*(($W$2:$W$1001&lt;W862)+($W$2:$W$1001=W862)*(ROW($K$2:$K$1001)&lt;ROW(K862))))))))</f>
        <v/>
      </c>
    </row>
    <row r="863" customFormat="false" ht="15" hidden="false" customHeight="false" outlineLevel="0" collapsed="false">
      <c r="K863" s="0" t="str">
        <f aca="false">IF(H363="","",IF(SUMPRODUCT(--($C$2:$C$501=H363))&gt;0,"",H363))</f>
        <v/>
      </c>
      <c r="L863" s="0" t="str">
        <f aca="false">IF(K863="","",IF(ISNUMBER('List 2'!A363),'List 2'!A363,TRIM('List 2'!A363)))</f>
        <v/>
      </c>
      <c r="M863" s="0" t="str">
        <f aca="false">IF(K863="","",IF(ISNUMBER('List 2'!C363),'List 2'!C363,TRIM('List 2'!C363)))</f>
        <v/>
      </c>
      <c r="N863" s="0" t="str">
        <f aca="false">IF(K863="","",IF(ISNUMBER('List 2'!D363),'List 2'!D363,TRIM('List 2'!D363)))</f>
        <v/>
      </c>
      <c r="O863" s="0" t="str">
        <f aca="false">IF(K863="","",0)</f>
        <v/>
      </c>
      <c r="P863" s="0" t="str">
        <f aca="false">IF(K863="","",I363)</f>
        <v/>
      </c>
      <c r="Q863" s="0" t="str">
        <f aca="false">IF(K863="","",FALSE())</f>
        <v/>
      </c>
      <c r="R863" s="0" t="str">
        <f aca="false">IF(K863="","",TRUE())</f>
        <v/>
      </c>
      <c r="S863" s="0" t="str">
        <f aca="false">IF(K863="","",IF(AND(Q863,R863),IF(O863=P863,"Match","Qty Different"),IF(Q863,"Only in List 1","Only in List 2")))</f>
        <v/>
      </c>
      <c r="T863" s="0" t="str">
        <f aca="false">IF(K863="","",IF(ISNUMBER(--L863),TEXT(--L863,"000000000000.000"),LOWER(L863)))</f>
        <v/>
      </c>
      <c r="U863" s="0" t="str">
        <f aca="false">IF(K863="","",IF(ISNUMBER(--M863),TEXT(--M863,"000000000000.000"),LOWER(M863)))</f>
        <v/>
      </c>
      <c r="V863" s="0" t="str">
        <f aca="false">IF(K863="","",LOWER(N863))</f>
        <v/>
      </c>
      <c r="W863" s="0" t="str">
        <f aca="false">IF(K863="","",G363)</f>
        <v/>
      </c>
      <c r="X863" s="0" t="str">
        <f aca="false">IF(K863="","",1+SUMPRODUCT(($K$2:$K$1001&lt;&gt;"")*(($T$2:$T$1001&lt;T863)+($T$2:$T$1001=T863)*(($U$2:$U$1001&lt;U863)+($U$2:$U$1001=U863)*(($V$2:$V$1001&lt;V863)+($V$2:$V$1001=V863)*(($W$2:$W$1001&lt;W863)+($W$2:$W$1001=W863)*(ROW($K$2:$K$1001)&lt;ROW(K863))))))))</f>
        <v/>
      </c>
    </row>
    <row r="864" customFormat="false" ht="15" hidden="false" customHeight="false" outlineLevel="0" collapsed="false">
      <c r="K864" s="0" t="str">
        <f aca="false">IF(H364="","",IF(SUMPRODUCT(--($C$2:$C$501=H364))&gt;0,"",H364))</f>
        <v/>
      </c>
      <c r="L864" s="0" t="str">
        <f aca="false">IF(K864="","",IF(ISNUMBER('List 2'!A364),'List 2'!A364,TRIM('List 2'!A364)))</f>
        <v/>
      </c>
      <c r="M864" s="0" t="str">
        <f aca="false">IF(K864="","",IF(ISNUMBER('List 2'!C364),'List 2'!C364,TRIM('List 2'!C364)))</f>
        <v/>
      </c>
      <c r="N864" s="0" t="str">
        <f aca="false">IF(K864="","",IF(ISNUMBER('List 2'!D364),'List 2'!D364,TRIM('List 2'!D364)))</f>
        <v/>
      </c>
      <c r="O864" s="0" t="str">
        <f aca="false">IF(K864="","",0)</f>
        <v/>
      </c>
      <c r="P864" s="0" t="str">
        <f aca="false">IF(K864="","",I364)</f>
        <v/>
      </c>
      <c r="Q864" s="0" t="str">
        <f aca="false">IF(K864="","",FALSE())</f>
        <v/>
      </c>
      <c r="R864" s="0" t="str">
        <f aca="false">IF(K864="","",TRUE())</f>
        <v/>
      </c>
      <c r="S864" s="0" t="str">
        <f aca="false">IF(K864="","",IF(AND(Q864,R864),IF(O864=P864,"Match","Qty Different"),IF(Q864,"Only in List 1","Only in List 2")))</f>
        <v/>
      </c>
      <c r="T864" s="0" t="str">
        <f aca="false">IF(K864="","",IF(ISNUMBER(--L864),TEXT(--L864,"000000000000.000"),LOWER(L864)))</f>
        <v/>
      </c>
      <c r="U864" s="0" t="str">
        <f aca="false">IF(K864="","",IF(ISNUMBER(--M864),TEXT(--M864,"000000000000.000"),LOWER(M864)))</f>
        <v/>
      </c>
      <c r="V864" s="0" t="str">
        <f aca="false">IF(K864="","",LOWER(N864))</f>
        <v/>
      </c>
      <c r="W864" s="0" t="str">
        <f aca="false">IF(K864="","",G364)</f>
        <v/>
      </c>
      <c r="X864" s="0" t="str">
        <f aca="false">IF(K864="","",1+SUMPRODUCT(($K$2:$K$1001&lt;&gt;"")*(($T$2:$T$1001&lt;T864)+($T$2:$T$1001=T864)*(($U$2:$U$1001&lt;U864)+($U$2:$U$1001=U864)*(($V$2:$V$1001&lt;V864)+($V$2:$V$1001=V864)*(($W$2:$W$1001&lt;W864)+($W$2:$W$1001=W864)*(ROW($K$2:$K$1001)&lt;ROW(K864))))))))</f>
        <v/>
      </c>
    </row>
    <row r="865" customFormat="false" ht="15" hidden="false" customHeight="false" outlineLevel="0" collapsed="false">
      <c r="K865" s="0" t="str">
        <f aca="false">IF(H365="","",IF(SUMPRODUCT(--($C$2:$C$501=H365))&gt;0,"",H365))</f>
        <v/>
      </c>
      <c r="L865" s="0" t="str">
        <f aca="false">IF(K865="","",IF(ISNUMBER('List 2'!A365),'List 2'!A365,TRIM('List 2'!A365)))</f>
        <v/>
      </c>
      <c r="M865" s="0" t="str">
        <f aca="false">IF(K865="","",IF(ISNUMBER('List 2'!C365),'List 2'!C365,TRIM('List 2'!C365)))</f>
        <v/>
      </c>
      <c r="N865" s="0" t="str">
        <f aca="false">IF(K865="","",IF(ISNUMBER('List 2'!D365),'List 2'!D365,TRIM('List 2'!D365)))</f>
        <v/>
      </c>
      <c r="O865" s="0" t="str">
        <f aca="false">IF(K865="","",0)</f>
        <v/>
      </c>
      <c r="P865" s="0" t="str">
        <f aca="false">IF(K865="","",I365)</f>
        <v/>
      </c>
      <c r="Q865" s="0" t="str">
        <f aca="false">IF(K865="","",FALSE())</f>
        <v/>
      </c>
      <c r="R865" s="0" t="str">
        <f aca="false">IF(K865="","",TRUE())</f>
        <v/>
      </c>
      <c r="S865" s="0" t="str">
        <f aca="false">IF(K865="","",IF(AND(Q865,R865),IF(O865=P865,"Match","Qty Different"),IF(Q865,"Only in List 1","Only in List 2")))</f>
        <v/>
      </c>
      <c r="T865" s="0" t="str">
        <f aca="false">IF(K865="","",IF(ISNUMBER(--L865),TEXT(--L865,"000000000000.000"),LOWER(L865)))</f>
        <v/>
      </c>
      <c r="U865" s="0" t="str">
        <f aca="false">IF(K865="","",IF(ISNUMBER(--M865),TEXT(--M865,"000000000000.000"),LOWER(M865)))</f>
        <v/>
      </c>
      <c r="V865" s="0" t="str">
        <f aca="false">IF(K865="","",LOWER(N865))</f>
        <v/>
      </c>
      <c r="W865" s="0" t="str">
        <f aca="false">IF(K865="","",G365)</f>
        <v/>
      </c>
      <c r="X865" s="0" t="str">
        <f aca="false">IF(K865="","",1+SUMPRODUCT(($K$2:$K$1001&lt;&gt;"")*(($T$2:$T$1001&lt;T865)+($T$2:$T$1001=T865)*(($U$2:$U$1001&lt;U865)+($U$2:$U$1001=U865)*(($V$2:$V$1001&lt;V865)+($V$2:$V$1001=V865)*(($W$2:$W$1001&lt;W865)+($W$2:$W$1001=W865)*(ROW($K$2:$K$1001)&lt;ROW(K865))))))))</f>
        <v/>
      </c>
    </row>
    <row r="866" customFormat="false" ht="15" hidden="false" customHeight="false" outlineLevel="0" collapsed="false">
      <c r="K866" s="0" t="str">
        <f aca="false">IF(H366="","",IF(SUMPRODUCT(--($C$2:$C$501=H366))&gt;0,"",H366))</f>
        <v/>
      </c>
      <c r="L866" s="0" t="str">
        <f aca="false">IF(K866="","",IF(ISNUMBER('List 2'!A366),'List 2'!A366,TRIM('List 2'!A366)))</f>
        <v/>
      </c>
      <c r="M866" s="0" t="str">
        <f aca="false">IF(K866="","",IF(ISNUMBER('List 2'!C366),'List 2'!C366,TRIM('List 2'!C366)))</f>
        <v/>
      </c>
      <c r="N866" s="0" t="str">
        <f aca="false">IF(K866="","",IF(ISNUMBER('List 2'!D366),'List 2'!D366,TRIM('List 2'!D366)))</f>
        <v/>
      </c>
      <c r="O866" s="0" t="str">
        <f aca="false">IF(K866="","",0)</f>
        <v/>
      </c>
      <c r="P866" s="0" t="str">
        <f aca="false">IF(K866="","",I366)</f>
        <v/>
      </c>
      <c r="Q866" s="0" t="str">
        <f aca="false">IF(K866="","",FALSE())</f>
        <v/>
      </c>
      <c r="R866" s="0" t="str">
        <f aca="false">IF(K866="","",TRUE())</f>
        <v/>
      </c>
      <c r="S866" s="0" t="str">
        <f aca="false">IF(K866="","",IF(AND(Q866,R866),IF(O866=P866,"Match","Qty Different"),IF(Q866,"Only in List 1","Only in List 2")))</f>
        <v/>
      </c>
      <c r="T866" s="0" t="str">
        <f aca="false">IF(K866="","",IF(ISNUMBER(--L866),TEXT(--L866,"000000000000.000"),LOWER(L866)))</f>
        <v/>
      </c>
      <c r="U866" s="0" t="str">
        <f aca="false">IF(K866="","",IF(ISNUMBER(--M866),TEXT(--M866,"000000000000.000"),LOWER(M866)))</f>
        <v/>
      </c>
      <c r="V866" s="0" t="str">
        <f aca="false">IF(K866="","",LOWER(N866))</f>
        <v/>
      </c>
      <c r="W866" s="0" t="str">
        <f aca="false">IF(K866="","",G366)</f>
        <v/>
      </c>
      <c r="X866" s="0" t="str">
        <f aca="false">IF(K866="","",1+SUMPRODUCT(($K$2:$K$1001&lt;&gt;"")*(($T$2:$T$1001&lt;T866)+($T$2:$T$1001=T866)*(($U$2:$U$1001&lt;U866)+($U$2:$U$1001=U866)*(($V$2:$V$1001&lt;V866)+($V$2:$V$1001=V866)*(($W$2:$W$1001&lt;W866)+($W$2:$W$1001=W866)*(ROW($K$2:$K$1001)&lt;ROW(K866))))))))</f>
        <v/>
      </c>
    </row>
    <row r="867" customFormat="false" ht="15" hidden="false" customHeight="false" outlineLevel="0" collapsed="false">
      <c r="K867" s="0" t="str">
        <f aca="false">IF(H367="","",IF(SUMPRODUCT(--($C$2:$C$501=H367))&gt;0,"",H367))</f>
        <v/>
      </c>
      <c r="L867" s="0" t="str">
        <f aca="false">IF(K867="","",IF(ISNUMBER('List 2'!A367),'List 2'!A367,TRIM('List 2'!A367)))</f>
        <v/>
      </c>
      <c r="M867" s="0" t="str">
        <f aca="false">IF(K867="","",IF(ISNUMBER('List 2'!C367),'List 2'!C367,TRIM('List 2'!C367)))</f>
        <v/>
      </c>
      <c r="N867" s="0" t="str">
        <f aca="false">IF(K867="","",IF(ISNUMBER('List 2'!D367),'List 2'!D367,TRIM('List 2'!D367)))</f>
        <v/>
      </c>
      <c r="O867" s="0" t="str">
        <f aca="false">IF(K867="","",0)</f>
        <v/>
      </c>
      <c r="P867" s="0" t="str">
        <f aca="false">IF(K867="","",I367)</f>
        <v/>
      </c>
      <c r="Q867" s="0" t="str">
        <f aca="false">IF(K867="","",FALSE())</f>
        <v/>
      </c>
      <c r="R867" s="0" t="str">
        <f aca="false">IF(K867="","",TRUE())</f>
        <v/>
      </c>
      <c r="S867" s="0" t="str">
        <f aca="false">IF(K867="","",IF(AND(Q867,R867),IF(O867=P867,"Match","Qty Different"),IF(Q867,"Only in List 1","Only in List 2")))</f>
        <v/>
      </c>
      <c r="T867" s="0" t="str">
        <f aca="false">IF(K867="","",IF(ISNUMBER(--L867),TEXT(--L867,"000000000000.000"),LOWER(L867)))</f>
        <v/>
      </c>
      <c r="U867" s="0" t="str">
        <f aca="false">IF(K867="","",IF(ISNUMBER(--M867),TEXT(--M867,"000000000000.000"),LOWER(M867)))</f>
        <v/>
      </c>
      <c r="V867" s="0" t="str">
        <f aca="false">IF(K867="","",LOWER(N867))</f>
        <v/>
      </c>
      <c r="W867" s="0" t="str">
        <f aca="false">IF(K867="","",G367)</f>
        <v/>
      </c>
      <c r="X867" s="0" t="str">
        <f aca="false">IF(K867="","",1+SUMPRODUCT(($K$2:$K$1001&lt;&gt;"")*(($T$2:$T$1001&lt;T867)+($T$2:$T$1001=T867)*(($U$2:$U$1001&lt;U867)+($U$2:$U$1001=U867)*(($V$2:$V$1001&lt;V867)+($V$2:$V$1001=V867)*(($W$2:$W$1001&lt;W867)+($W$2:$W$1001=W867)*(ROW($K$2:$K$1001)&lt;ROW(K867))))))))</f>
        <v/>
      </c>
    </row>
    <row r="868" customFormat="false" ht="15" hidden="false" customHeight="false" outlineLevel="0" collapsed="false">
      <c r="K868" s="0" t="str">
        <f aca="false">IF(H368="","",IF(SUMPRODUCT(--($C$2:$C$501=H368))&gt;0,"",H368))</f>
        <v/>
      </c>
      <c r="L868" s="0" t="str">
        <f aca="false">IF(K868="","",IF(ISNUMBER('List 2'!A368),'List 2'!A368,TRIM('List 2'!A368)))</f>
        <v/>
      </c>
      <c r="M868" s="0" t="str">
        <f aca="false">IF(K868="","",IF(ISNUMBER('List 2'!C368),'List 2'!C368,TRIM('List 2'!C368)))</f>
        <v/>
      </c>
      <c r="N868" s="0" t="str">
        <f aca="false">IF(K868="","",IF(ISNUMBER('List 2'!D368),'List 2'!D368,TRIM('List 2'!D368)))</f>
        <v/>
      </c>
      <c r="O868" s="0" t="str">
        <f aca="false">IF(K868="","",0)</f>
        <v/>
      </c>
      <c r="P868" s="0" t="str">
        <f aca="false">IF(K868="","",I368)</f>
        <v/>
      </c>
      <c r="Q868" s="0" t="str">
        <f aca="false">IF(K868="","",FALSE())</f>
        <v/>
      </c>
      <c r="R868" s="0" t="str">
        <f aca="false">IF(K868="","",TRUE())</f>
        <v/>
      </c>
      <c r="S868" s="0" t="str">
        <f aca="false">IF(K868="","",IF(AND(Q868,R868),IF(O868=P868,"Match","Qty Different"),IF(Q868,"Only in List 1","Only in List 2")))</f>
        <v/>
      </c>
      <c r="T868" s="0" t="str">
        <f aca="false">IF(K868="","",IF(ISNUMBER(--L868),TEXT(--L868,"000000000000.000"),LOWER(L868)))</f>
        <v/>
      </c>
      <c r="U868" s="0" t="str">
        <f aca="false">IF(K868="","",IF(ISNUMBER(--M868),TEXT(--M868,"000000000000.000"),LOWER(M868)))</f>
        <v/>
      </c>
      <c r="V868" s="0" t="str">
        <f aca="false">IF(K868="","",LOWER(N868))</f>
        <v/>
      </c>
      <c r="W868" s="0" t="str">
        <f aca="false">IF(K868="","",G368)</f>
        <v/>
      </c>
      <c r="X868" s="0" t="str">
        <f aca="false">IF(K868="","",1+SUMPRODUCT(($K$2:$K$1001&lt;&gt;"")*(($T$2:$T$1001&lt;T868)+($T$2:$T$1001=T868)*(($U$2:$U$1001&lt;U868)+($U$2:$U$1001=U868)*(($V$2:$V$1001&lt;V868)+($V$2:$V$1001=V868)*(($W$2:$W$1001&lt;W868)+($W$2:$W$1001=W868)*(ROW($K$2:$K$1001)&lt;ROW(K868))))))))</f>
        <v/>
      </c>
    </row>
    <row r="869" customFormat="false" ht="15" hidden="false" customHeight="false" outlineLevel="0" collapsed="false">
      <c r="K869" s="0" t="str">
        <f aca="false">IF(H369="","",IF(SUMPRODUCT(--($C$2:$C$501=H369))&gt;0,"",H369))</f>
        <v/>
      </c>
      <c r="L869" s="0" t="str">
        <f aca="false">IF(K869="","",IF(ISNUMBER('List 2'!A369),'List 2'!A369,TRIM('List 2'!A369)))</f>
        <v/>
      </c>
      <c r="M869" s="0" t="str">
        <f aca="false">IF(K869="","",IF(ISNUMBER('List 2'!C369),'List 2'!C369,TRIM('List 2'!C369)))</f>
        <v/>
      </c>
      <c r="N869" s="0" t="str">
        <f aca="false">IF(K869="","",IF(ISNUMBER('List 2'!D369),'List 2'!D369,TRIM('List 2'!D369)))</f>
        <v/>
      </c>
      <c r="O869" s="0" t="str">
        <f aca="false">IF(K869="","",0)</f>
        <v/>
      </c>
      <c r="P869" s="0" t="str">
        <f aca="false">IF(K869="","",I369)</f>
        <v/>
      </c>
      <c r="Q869" s="0" t="str">
        <f aca="false">IF(K869="","",FALSE())</f>
        <v/>
      </c>
      <c r="R869" s="0" t="str">
        <f aca="false">IF(K869="","",TRUE())</f>
        <v/>
      </c>
      <c r="S869" s="0" t="str">
        <f aca="false">IF(K869="","",IF(AND(Q869,R869),IF(O869=P869,"Match","Qty Different"),IF(Q869,"Only in List 1","Only in List 2")))</f>
        <v/>
      </c>
      <c r="T869" s="0" t="str">
        <f aca="false">IF(K869="","",IF(ISNUMBER(--L869),TEXT(--L869,"000000000000.000"),LOWER(L869)))</f>
        <v/>
      </c>
      <c r="U869" s="0" t="str">
        <f aca="false">IF(K869="","",IF(ISNUMBER(--M869),TEXT(--M869,"000000000000.000"),LOWER(M869)))</f>
        <v/>
      </c>
      <c r="V869" s="0" t="str">
        <f aca="false">IF(K869="","",LOWER(N869))</f>
        <v/>
      </c>
      <c r="W869" s="0" t="str">
        <f aca="false">IF(K869="","",G369)</f>
        <v/>
      </c>
      <c r="X869" s="0" t="str">
        <f aca="false">IF(K869="","",1+SUMPRODUCT(($K$2:$K$1001&lt;&gt;"")*(($T$2:$T$1001&lt;T869)+($T$2:$T$1001=T869)*(($U$2:$U$1001&lt;U869)+($U$2:$U$1001=U869)*(($V$2:$V$1001&lt;V869)+($V$2:$V$1001=V869)*(($W$2:$W$1001&lt;W869)+($W$2:$W$1001=W869)*(ROW($K$2:$K$1001)&lt;ROW(K869))))))))</f>
        <v/>
      </c>
    </row>
    <row r="870" customFormat="false" ht="15" hidden="false" customHeight="false" outlineLevel="0" collapsed="false">
      <c r="K870" s="0" t="str">
        <f aca="false">IF(H370="","",IF(SUMPRODUCT(--($C$2:$C$501=H370))&gt;0,"",H370))</f>
        <v/>
      </c>
      <c r="L870" s="0" t="str">
        <f aca="false">IF(K870="","",IF(ISNUMBER('List 2'!A370),'List 2'!A370,TRIM('List 2'!A370)))</f>
        <v/>
      </c>
      <c r="M870" s="0" t="str">
        <f aca="false">IF(K870="","",IF(ISNUMBER('List 2'!C370),'List 2'!C370,TRIM('List 2'!C370)))</f>
        <v/>
      </c>
      <c r="N870" s="0" t="str">
        <f aca="false">IF(K870="","",IF(ISNUMBER('List 2'!D370),'List 2'!D370,TRIM('List 2'!D370)))</f>
        <v/>
      </c>
      <c r="O870" s="0" t="str">
        <f aca="false">IF(K870="","",0)</f>
        <v/>
      </c>
      <c r="P870" s="0" t="str">
        <f aca="false">IF(K870="","",I370)</f>
        <v/>
      </c>
      <c r="Q870" s="0" t="str">
        <f aca="false">IF(K870="","",FALSE())</f>
        <v/>
      </c>
      <c r="R870" s="0" t="str">
        <f aca="false">IF(K870="","",TRUE())</f>
        <v/>
      </c>
      <c r="S870" s="0" t="str">
        <f aca="false">IF(K870="","",IF(AND(Q870,R870),IF(O870=P870,"Match","Qty Different"),IF(Q870,"Only in List 1","Only in List 2")))</f>
        <v/>
      </c>
      <c r="T870" s="0" t="str">
        <f aca="false">IF(K870="","",IF(ISNUMBER(--L870),TEXT(--L870,"000000000000.000"),LOWER(L870)))</f>
        <v/>
      </c>
      <c r="U870" s="0" t="str">
        <f aca="false">IF(K870="","",IF(ISNUMBER(--M870),TEXT(--M870,"000000000000.000"),LOWER(M870)))</f>
        <v/>
      </c>
      <c r="V870" s="0" t="str">
        <f aca="false">IF(K870="","",LOWER(N870))</f>
        <v/>
      </c>
      <c r="W870" s="0" t="str">
        <f aca="false">IF(K870="","",G370)</f>
        <v/>
      </c>
      <c r="X870" s="0" t="str">
        <f aca="false">IF(K870="","",1+SUMPRODUCT(($K$2:$K$1001&lt;&gt;"")*(($T$2:$T$1001&lt;T870)+($T$2:$T$1001=T870)*(($U$2:$U$1001&lt;U870)+($U$2:$U$1001=U870)*(($V$2:$V$1001&lt;V870)+($V$2:$V$1001=V870)*(($W$2:$W$1001&lt;W870)+($W$2:$W$1001=W870)*(ROW($K$2:$K$1001)&lt;ROW(K870))))))))</f>
        <v/>
      </c>
    </row>
    <row r="871" customFormat="false" ht="15" hidden="false" customHeight="false" outlineLevel="0" collapsed="false">
      <c r="K871" s="0" t="str">
        <f aca="false">IF(H371="","",IF(SUMPRODUCT(--($C$2:$C$501=H371))&gt;0,"",H371))</f>
        <v/>
      </c>
      <c r="L871" s="0" t="str">
        <f aca="false">IF(K871="","",IF(ISNUMBER('List 2'!A371),'List 2'!A371,TRIM('List 2'!A371)))</f>
        <v/>
      </c>
      <c r="M871" s="0" t="str">
        <f aca="false">IF(K871="","",IF(ISNUMBER('List 2'!C371),'List 2'!C371,TRIM('List 2'!C371)))</f>
        <v/>
      </c>
      <c r="N871" s="0" t="str">
        <f aca="false">IF(K871="","",IF(ISNUMBER('List 2'!D371),'List 2'!D371,TRIM('List 2'!D371)))</f>
        <v/>
      </c>
      <c r="O871" s="0" t="str">
        <f aca="false">IF(K871="","",0)</f>
        <v/>
      </c>
      <c r="P871" s="0" t="str">
        <f aca="false">IF(K871="","",I371)</f>
        <v/>
      </c>
      <c r="Q871" s="0" t="str">
        <f aca="false">IF(K871="","",FALSE())</f>
        <v/>
      </c>
      <c r="R871" s="0" t="str">
        <f aca="false">IF(K871="","",TRUE())</f>
        <v/>
      </c>
      <c r="S871" s="0" t="str">
        <f aca="false">IF(K871="","",IF(AND(Q871,R871),IF(O871=P871,"Match","Qty Different"),IF(Q871,"Only in List 1","Only in List 2")))</f>
        <v/>
      </c>
      <c r="T871" s="0" t="str">
        <f aca="false">IF(K871="","",IF(ISNUMBER(--L871),TEXT(--L871,"000000000000.000"),LOWER(L871)))</f>
        <v/>
      </c>
      <c r="U871" s="0" t="str">
        <f aca="false">IF(K871="","",IF(ISNUMBER(--M871),TEXT(--M871,"000000000000.000"),LOWER(M871)))</f>
        <v/>
      </c>
      <c r="V871" s="0" t="str">
        <f aca="false">IF(K871="","",LOWER(N871))</f>
        <v/>
      </c>
      <c r="W871" s="0" t="str">
        <f aca="false">IF(K871="","",G371)</f>
        <v/>
      </c>
      <c r="X871" s="0" t="str">
        <f aca="false">IF(K871="","",1+SUMPRODUCT(($K$2:$K$1001&lt;&gt;"")*(($T$2:$T$1001&lt;T871)+($T$2:$T$1001=T871)*(($U$2:$U$1001&lt;U871)+($U$2:$U$1001=U871)*(($V$2:$V$1001&lt;V871)+($V$2:$V$1001=V871)*(($W$2:$W$1001&lt;W871)+($W$2:$W$1001=W871)*(ROW($K$2:$K$1001)&lt;ROW(K871))))))))</f>
        <v/>
      </c>
    </row>
    <row r="872" customFormat="false" ht="15" hidden="false" customHeight="false" outlineLevel="0" collapsed="false">
      <c r="K872" s="0" t="str">
        <f aca="false">IF(H372="","",IF(SUMPRODUCT(--($C$2:$C$501=H372))&gt;0,"",H372))</f>
        <v/>
      </c>
      <c r="L872" s="0" t="str">
        <f aca="false">IF(K872="","",IF(ISNUMBER('List 2'!A372),'List 2'!A372,TRIM('List 2'!A372)))</f>
        <v/>
      </c>
      <c r="M872" s="0" t="str">
        <f aca="false">IF(K872="","",IF(ISNUMBER('List 2'!C372),'List 2'!C372,TRIM('List 2'!C372)))</f>
        <v/>
      </c>
      <c r="N872" s="0" t="str">
        <f aca="false">IF(K872="","",IF(ISNUMBER('List 2'!D372),'List 2'!D372,TRIM('List 2'!D372)))</f>
        <v/>
      </c>
      <c r="O872" s="0" t="str">
        <f aca="false">IF(K872="","",0)</f>
        <v/>
      </c>
      <c r="P872" s="0" t="str">
        <f aca="false">IF(K872="","",I372)</f>
        <v/>
      </c>
      <c r="Q872" s="0" t="str">
        <f aca="false">IF(K872="","",FALSE())</f>
        <v/>
      </c>
      <c r="R872" s="0" t="str">
        <f aca="false">IF(K872="","",TRUE())</f>
        <v/>
      </c>
      <c r="S872" s="0" t="str">
        <f aca="false">IF(K872="","",IF(AND(Q872,R872),IF(O872=P872,"Match","Qty Different"),IF(Q872,"Only in List 1","Only in List 2")))</f>
        <v/>
      </c>
      <c r="T872" s="0" t="str">
        <f aca="false">IF(K872="","",IF(ISNUMBER(--L872),TEXT(--L872,"000000000000.000"),LOWER(L872)))</f>
        <v/>
      </c>
      <c r="U872" s="0" t="str">
        <f aca="false">IF(K872="","",IF(ISNUMBER(--M872),TEXT(--M872,"000000000000.000"),LOWER(M872)))</f>
        <v/>
      </c>
      <c r="V872" s="0" t="str">
        <f aca="false">IF(K872="","",LOWER(N872))</f>
        <v/>
      </c>
      <c r="W872" s="0" t="str">
        <f aca="false">IF(K872="","",G372)</f>
        <v/>
      </c>
      <c r="X872" s="0" t="str">
        <f aca="false">IF(K872="","",1+SUMPRODUCT(($K$2:$K$1001&lt;&gt;"")*(($T$2:$T$1001&lt;T872)+($T$2:$T$1001=T872)*(($U$2:$U$1001&lt;U872)+($U$2:$U$1001=U872)*(($V$2:$V$1001&lt;V872)+($V$2:$V$1001=V872)*(($W$2:$W$1001&lt;W872)+($W$2:$W$1001=W872)*(ROW($K$2:$K$1001)&lt;ROW(K872))))))))</f>
        <v/>
      </c>
    </row>
    <row r="873" customFormat="false" ht="15" hidden="false" customHeight="false" outlineLevel="0" collapsed="false">
      <c r="K873" s="0" t="str">
        <f aca="false">IF(H373="","",IF(SUMPRODUCT(--($C$2:$C$501=H373))&gt;0,"",H373))</f>
        <v/>
      </c>
      <c r="L873" s="0" t="str">
        <f aca="false">IF(K873="","",IF(ISNUMBER('List 2'!A373),'List 2'!A373,TRIM('List 2'!A373)))</f>
        <v/>
      </c>
      <c r="M873" s="0" t="str">
        <f aca="false">IF(K873="","",IF(ISNUMBER('List 2'!C373),'List 2'!C373,TRIM('List 2'!C373)))</f>
        <v/>
      </c>
      <c r="N873" s="0" t="str">
        <f aca="false">IF(K873="","",IF(ISNUMBER('List 2'!D373),'List 2'!D373,TRIM('List 2'!D373)))</f>
        <v/>
      </c>
      <c r="O873" s="0" t="str">
        <f aca="false">IF(K873="","",0)</f>
        <v/>
      </c>
      <c r="P873" s="0" t="str">
        <f aca="false">IF(K873="","",I373)</f>
        <v/>
      </c>
      <c r="Q873" s="0" t="str">
        <f aca="false">IF(K873="","",FALSE())</f>
        <v/>
      </c>
      <c r="R873" s="0" t="str">
        <f aca="false">IF(K873="","",TRUE())</f>
        <v/>
      </c>
      <c r="S873" s="0" t="str">
        <f aca="false">IF(K873="","",IF(AND(Q873,R873),IF(O873=P873,"Match","Qty Different"),IF(Q873,"Only in List 1","Only in List 2")))</f>
        <v/>
      </c>
      <c r="T873" s="0" t="str">
        <f aca="false">IF(K873="","",IF(ISNUMBER(--L873),TEXT(--L873,"000000000000.000"),LOWER(L873)))</f>
        <v/>
      </c>
      <c r="U873" s="0" t="str">
        <f aca="false">IF(K873="","",IF(ISNUMBER(--M873),TEXT(--M873,"000000000000.000"),LOWER(M873)))</f>
        <v/>
      </c>
      <c r="V873" s="0" t="str">
        <f aca="false">IF(K873="","",LOWER(N873))</f>
        <v/>
      </c>
      <c r="W873" s="0" t="str">
        <f aca="false">IF(K873="","",G373)</f>
        <v/>
      </c>
      <c r="X873" s="0" t="str">
        <f aca="false">IF(K873="","",1+SUMPRODUCT(($K$2:$K$1001&lt;&gt;"")*(($T$2:$T$1001&lt;T873)+($T$2:$T$1001=T873)*(($U$2:$U$1001&lt;U873)+($U$2:$U$1001=U873)*(($V$2:$V$1001&lt;V873)+($V$2:$V$1001=V873)*(($W$2:$W$1001&lt;W873)+($W$2:$W$1001=W873)*(ROW($K$2:$K$1001)&lt;ROW(K873))))))))</f>
        <v/>
      </c>
    </row>
    <row r="874" customFormat="false" ht="15" hidden="false" customHeight="false" outlineLevel="0" collapsed="false">
      <c r="K874" s="0" t="str">
        <f aca="false">IF(H374="","",IF(SUMPRODUCT(--($C$2:$C$501=H374))&gt;0,"",H374))</f>
        <v/>
      </c>
      <c r="L874" s="0" t="str">
        <f aca="false">IF(K874="","",IF(ISNUMBER('List 2'!A374),'List 2'!A374,TRIM('List 2'!A374)))</f>
        <v/>
      </c>
      <c r="M874" s="0" t="str">
        <f aca="false">IF(K874="","",IF(ISNUMBER('List 2'!C374),'List 2'!C374,TRIM('List 2'!C374)))</f>
        <v/>
      </c>
      <c r="N874" s="0" t="str">
        <f aca="false">IF(K874="","",IF(ISNUMBER('List 2'!D374),'List 2'!D374,TRIM('List 2'!D374)))</f>
        <v/>
      </c>
      <c r="O874" s="0" t="str">
        <f aca="false">IF(K874="","",0)</f>
        <v/>
      </c>
      <c r="P874" s="0" t="str">
        <f aca="false">IF(K874="","",I374)</f>
        <v/>
      </c>
      <c r="Q874" s="0" t="str">
        <f aca="false">IF(K874="","",FALSE())</f>
        <v/>
      </c>
      <c r="R874" s="0" t="str">
        <f aca="false">IF(K874="","",TRUE())</f>
        <v/>
      </c>
      <c r="S874" s="0" t="str">
        <f aca="false">IF(K874="","",IF(AND(Q874,R874),IF(O874=P874,"Match","Qty Different"),IF(Q874,"Only in List 1","Only in List 2")))</f>
        <v/>
      </c>
      <c r="T874" s="0" t="str">
        <f aca="false">IF(K874="","",IF(ISNUMBER(--L874),TEXT(--L874,"000000000000.000"),LOWER(L874)))</f>
        <v/>
      </c>
      <c r="U874" s="0" t="str">
        <f aca="false">IF(K874="","",IF(ISNUMBER(--M874),TEXT(--M874,"000000000000.000"),LOWER(M874)))</f>
        <v/>
      </c>
      <c r="V874" s="0" t="str">
        <f aca="false">IF(K874="","",LOWER(N874))</f>
        <v/>
      </c>
      <c r="W874" s="0" t="str">
        <f aca="false">IF(K874="","",G374)</f>
        <v/>
      </c>
      <c r="X874" s="0" t="str">
        <f aca="false">IF(K874="","",1+SUMPRODUCT(($K$2:$K$1001&lt;&gt;"")*(($T$2:$T$1001&lt;T874)+($T$2:$T$1001=T874)*(($U$2:$U$1001&lt;U874)+($U$2:$U$1001=U874)*(($V$2:$V$1001&lt;V874)+($V$2:$V$1001=V874)*(($W$2:$W$1001&lt;W874)+($W$2:$W$1001=W874)*(ROW($K$2:$K$1001)&lt;ROW(K874))))))))</f>
        <v/>
      </c>
    </row>
    <row r="875" customFormat="false" ht="15" hidden="false" customHeight="false" outlineLevel="0" collapsed="false">
      <c r="K875" s="0" t="str">
        <f aca="false">IF(H375="","",IF(SUMPRODUCT(--($C$2:$C$501=H375))&gt;0,"",H375))</f>
        <v/>
      </c>
      <c r="L875" s="0" t="str">
        <f aca="false">IF(K875="","",IF(ISNUMBER('List 2'!A375),'List 2'!A375,TRIM('List 2'!A375)))</f>
        <v/>
      </c>
      <c r="M875" s="0" t="str">
        <f aca="false">IF(K875="","",IF(ISNUMBER('List 2'!C375),'List 2'!C375,TRIM('List 2'!C375)))</f>
        <v/>
      </c>
      <c r="N875" s="0" t="str">
        <f aca="false">IF(K875="","",IF(ISNUMBER('List 2'!D375),'List 2'!D375,TRIM('List 2'!D375)))</f>
        <v/>
      </c>
      <c r="O875" s="0" t="str">
        <f aca="false">IF(K875="","",0)</f>
        <v/>
      </c>
      <c r="P875" s="0" t="str">
        <f aca="false">IF(K875="","",I375)</f>
        <v/>
      </c>
      <c r="Q875" s="0" t="str">
        <f aca="false">IF(K875="","",FALSE())</f>
        <v/>
      </c>
      <c r="R875" s="0" t="str">
        <f aca="false">IF(K875="","",TRUE())</f>
        <v/>
      </c>
      <c r="S875" s="0" t="str">
        <f aca="false">IF(K875="","",IF(AND(Q875,R875),IF(O875=P875,"Match","Qty Different"),IF(Q875,"Only in List 1","Only in List 2")))</f>
        <v/>
      </c>
      <c r="T875" s="0" t="str">
        <f aca="false">IF(K875="","",IF(ISNUMBER(--L875),TEXT(--L875,"000000000000.000"),LOWER(L875)))</f>
        <v/>
      </c>
      <c r="U875" s="0" t="str">
        <f aca="false">IF(K875="","",IF(ISNUMBER(--M875),TEXT(--M875,"000000000000.000"),LOWER(M875)))</f>
        <v/>
      </c>
      <c r="V875" s="0" t="str">
        <f aca="false">IF(K875="","",LOWER(N875))</f>
        <v/>
      </c>
      <c r="W875" s="0" t="str">
        <f aca="false">IF(K875="","",G375)</f>
        <v/>
      </c>
      <c r="X875" s="0" t="str">
        <f aca="false">IF(K875="","",1+SUMPRODUCT(($K$2:$K$1001&lt;&gt;"")*(($T$2:$T$1001&lt;T875)+($T$2:$T$1001=T875)*(($U$2:$U$1001&lt;U875)+($U$2:$U$1001=U875)*(($V$2:$V$1001&lt;V875)+($V$2:$V$1001=V875)*(($W$2:$W$1001&lt;W875)+($W$2:$W$1001=W875)*(ROW($K$2:$K$1001)&lt;ROW(K875))))))))</f>
        <v/>
      </c>
    </row>
    <row r="876" customFormat="false" ht="15" hidden="false" customHeight="false" outlineLevel="0" collapsed="false">
      <c r="K876" s="0" t="str">
        <f aca="false">IF(H376="","",IF(SUMPRODUCT(--($C$2:$C$501=H376))&gt;0,"",H376))</f>
        <v/>
      </c>
      <c r="L876" s="0" t="str">
        <f aca="false">IF(K876="","",IF(ISNUMBER('List 2'!A376),'List 2'!A376,TRIM('List 2'!A376)))</f>
        <v/>
      </c>
      <c r="M876" s="0" t="str">
        <f aca="false">IF(K876="","",IF(ISNUMBER('List 2'!C376),'List 2'!C376,TRIM('List 2'!C376)))</f>
        <v/>
      </c>
      <c r="N876" s="0" t="str">
        <f aca="false">IF(K876="","",IF(ISNUMBER('List 2'!D376),'List 2'!D376,TRIM('List 2'!D376)))</f>
        <v/>
      </c>
      <c r="O876" s="0" t="str">
        <f aca="false">IF(K876="","",0)</f>
        <v/>
      </c>
      <c r="P876" s="0" t="str">
        <f aca="false">IF(K876="","",I376)</f>
        <v/>
      </c>
      <c r="Q876" s="0" t="str">
        <f aca="false">IF(K876="","",FALSE())</f>
        <v/>
      </c>
      <c r="R876" s="0" t="str">
        <f aca="false">IF(K876="","",TRUE())</f>
        <v/>
      </c>
      <c r="S876" s="0" t="str">
        <f aca="false">IF(K876="","",IF(AND(Q876,R876),IF(O876=P876,"Match","Qty Different"),IF(Q876,"Only in List 1","Only in List 2")))</f>
        <v/>
      </c>
      <c r="T876" s="0" t="str">
        <f aca="false">IF(K876="","",IF(ISNUMBER(--L876),TEXT(--L876,"000000000000.000"),LOWER(L876)))</f>
        <v/>
      </c>
      <c r="U876" s="0" t="str">
        <f aca="false">IF(K876="","",IF(ISNUMBER(--M876),TEXT(--M876,"000000000000.000"),LOWER(M876)))</f>
        <v/>
      </c>
      <c r="V876" s="0" t="str">
        <f aca="false">IF(K876="","",LOWER(N876))</f>
        <v/>
      </c>
      <c r="W876" s="0" t="str">
        <f aca="false">IF(K876="","",G376)</f>
        <v/>
      </c>
      <c r="X876" s="0" t="str">
        <f aca="false">IF(K876="","",1+SUMPRODUCT(($K$2:$K$1001&lt;&gt;"")*(($T$2:$T$1001&lt;T876)+($T$2:$T$1001=T876)*(($U$2:$U$1001&lt;U876)+($U$2:$U$1001=U876)*(($V$2:$V$1001&lt;V876)+($V$2:$V$1001=V876)*(($W$2:$W$1001&lt;W876)+($W$2:$W$1001=W876)*(ROW($K$2:$K$1001)&lt;ROW(K876))))))))</f>
        <v/>
      </c>
    </row>
    <row r="877" customFormat="false" ht="15" hidden="false" customHeight="false" outlineLevel="0" collapsed="false">
      <c r="K877" s="0" t="str">
        <f aca="false">IF(H377="","",IF(SUMPRODUCT(--($C$2:$C$501=H377))&gt;0,"",H377))</f>
        <v/>
      </c>
      <c r="L877" s="0" t="str">
        <f aca="false">IF(K877="","",IF(ISNUMBER('List 2'!A377),'List 2'!A377,TRIM('List 2'!A377)))</f>
        <v/>
      </c>
      <c r="M877" s="0" t="str">
        <f aca="false">IF(K877="","",IF(ISNUMBER('List 2'!C377),'List 2'!C377,TRIM('List 2'!C377)))</f>
        <v/>
      </c>
      <c r="N877" s="0" t="str">
        <f aca="false">IF(K877="","",IF(ISNUMBER('List 2'!D377),'List 2'!D377,TRIM('List 2'!D377)))</f>
        <v/>
      </c>
      <c r="O877" s="0" t="str">
        <f aca="false">IF(K877="","",0)</f>
        <v/>
      </c>
      <c r="P877" s="0" t="str">
        <f aca="false">IF(K877="","",I377)</f>
        <v/>
      </c>
      <c r="Q877" s="0" t="str">
        <f aca="false">IF(K877="","",FALSE())</f>
        <v/>
      </c>
      <c r="R877" s="0" t="str">
        <f aca="false">IF(K877="","",TRUE())</f>
        <v/>
      </c>
      <c r="S877" s="0" t="str">
        <f aca="false">IF(K877="","",IF(AND(Q877,R877),IF(O877=P877,"Match","Qty Different"),IF(Q877,"Only in List 1","Only in List 2")))</f>
        <v/>
      </c>
      <c r="T877" s="0" t="str">
        <f aca="false">IF(K877="","",IF(ISNUMBER(--L877),TEXT(--L877,"000000000000.000"),LOWER(L877)))</f>
        <v/>
      </c>
      <c r="U877" s="0" t="str">
        <f aca="false">IF(K877="","",IF(ISNUMBER(--M877),TEXT(--M877,"000000000000.000"),LOWER(M877)))</f>
        <v/>
      </c>
      <c r="V877" s="0" t="str">
        <f aca="false">IF(K877="","",LOWER(N877))</f>
        <v/>
      </c>
      <c r="W877" s="0" t="str">
        <f aca="false">IF(K877="","",G377)</f>
        <v/>
      </c>
      <c r="X877" s="0" t="str">
        <f aca="false">IF(K877="","",1+SUMPRODUCT(($K$2:$K$1001&lt;&gt;"")*(($T$2:$T$1001&lt;T877)+($T$2:$T$1001=T877)*(($U$2:$U$1001&lt;U877)+($U$2:$U$1001=U877)*(($V$2:$V$1001&lt;V877)+($V$2:$V$1001=V877)*(($W$2:$W$1001&lt;W877)+($W$2:$W$1001=W877)*(ROW($K$2:$K$1001)&lt;ROW(K877))))))))</f>
        <v/>
      </c>
    </row>
    <row r="878" customFormat="false" ht="15" hidden="false" customHeight="false" outlineLevel="0" collapsed="false">
      <c r="K878" s="0" t="str">
        <f aca="false">IF(H378="","",IF(SUMPRODUCT(--($C$2:$C$501=H378))&gt;0,"",H378))</f>
        <v/>
      </c>
      <c r="L878" s="0" t="str">
        <f aca="false">IF(K878="","",IF(ISNUMBER('List 2'!A378),'List 2'!A378,TRIM('List 2'!A378)))</f>
        <v/>
      </c>
      <c r="M878" s="0" t="str">
        <f aca="false">IF(K878="","",IF(ISNUMBER('List 2'!C378),'List 2'!C378,TRIM('List 2'!C378)))</f>
        <v/>
      </c>
      <c r="N878" s="0" t="str">
        <f aca="false">IF(K878="","",IF(ISNUMBER('List 2'!D378),'List 2'!D378,TRIM('List 2'!D378)))</f>
        <v/>
      </c>
      <c r="O878" s="0" t="str">
        <f aca="false">IF(K878="","",0)</f>
        <v/>
      </c>
      <c r="P878" s="0" t="str">
        <f aca="false">IF(K878="","",I378)</f>
        <v/>
      </c>
      <c r="Q878" s="0" t="str">
        <f aca="false">IF(K878="","",FALSE())</f>
        <v/>
      </c>
      <c r="R878" s="0" t="str">
        <f aca="false">IF(K878="","",TRUE())</f>
        <v/>
      </c>
      <c r="S878" s="0" t="str">
        <f aca="false">IF(K878="","",IF(AND(Q878,R878),IF(O878=P878,"Match","Qty Different"),IF(Q878,"Only in List 1","Only in List 2")))</f>
        <v/>
      </c>
      <c r="T878" s="0" t="str">
        <f aca="false">IF(K878="","",IF(ISNUMBER(--L878),TEXT(--L878,"000000000000.000"),LOWER(L878)))</f>
        <v/>
      </c>
      <c r="U878" s="0" t="str">
        <f aca="false">IF(K878="","",IF(ISNUMBER(--M878),TEXT(--M878,"000000000000.000"),LOWER(M878)))</f>
        <v/>
      </c>
      <c r="V878" s="0" t="str">
        <f aca="false">IF(K878="","",LOWER(N878))</f>
        <v/>
      </c>
      <c r="W878" s="0" t="str">
        <f aca="false">IF(K878="","",G378)</f>
        <v/>
      </c>
      <c r="X878" s="0" t="str">
        <f aca="false">IF(K878="","",1+SUMPRODUCT(($K$2:$K$1001&lt;&gt;"")*(($T$2:$T$1001&lt;T878)+($T$2:$T$1001=T878)*(($U$2:$U$1001&lt;U878)+($U$2:$U$1001=U878)*(($V$2:$V$1001&lt;V878)+($V$2:$V$1001=V878)*(($W$2:$W$1001&lt;W878)+($W$2:$W$1001=W878)*(ROW($K$2:$K$1001)&lt;ROW(K878))))))))</f>
        <v/>
      </c>
    </row>
    <row r="879" customFormat="false" ht="15" hidden="false" customHeight="false" outlineLevel="0" collapsed="false">
      <c r="K879" s="0" t="str">
        <f aca="false">IF(H379="","",IF(SUMPRODUCT(--($C$2:$C$501=H379))&gt;0,"",H379))</f>
        <v/>
      </c>
      <c r="L879" s="0" t="str">
        <f aca="false">IF(K879="","",IF(ISNUMBER('List 2'!A379),'List 2'!A379,TRIM('List 2'!A379)))</f>
        <v/>
      </c>
      <c r="M879" s="0" t="str">
        <f aca="false">IF(K879="","",IF(ISNUMBER('List 2'!C379),'List 2'!C379,TRIM('List 2'!C379)))</f>
        <v/>
      </c>
      <c r="N879" s="0" t="str">
        <f aca="false">IF(K879="","",IF(ISNUMBER('List 2'!D379),'List 2'!D379,TRIM('List 2'!D379)))</f>
        <v/>
      </c>
      <c r="O879" s="0" t="str">
        <f aca="false">IF(K879="","",0)</f>
        <v/>
      </c>
      <c r="P879" s="0" t="str">
        <f aca="false">IF(K879="","",I379)</f>
        <v/>
      </c>
      <c r="Q879" s="0" t="str">
        <f aca="false">IF(K879="","",FALSE())</f>
        <v/>
      </c>
      <c r="R879" s="0" t="str">
        <f aca="false">IF(K879="","",TRUE())</f>
        <v/>
      </c>
      <c r="S879" s="0" t="str">
        <f aca="false">IF(K879="","",IF(AND(Q879,R879),IF(O879=P879,"Match","Qty Different"),IF(Q879,"Only in List 1","Only in List 2")))</f>
        <v/>
      </c>
      <c r="T879" s="0" t="str">
        <f aca="false">IF(K879="","",IF(ISNUMBER(--L879),TEXT(--L879,"000000000000.000"),LOWER(L879)))</f>
        <v/>
      </c>
      <c r="U879" s="0" t="str">
        <f aca="false">IF(K879="","",IF(ISNUMBER(--M879),TEXT(--M879,"000000000000.000"),LOWER(M879)))</f>
        <v/>
      </c>
      <c r="V879" s="0" t="str">
        <f aca="false">IF(K879="","",LOWER(N879))</f>
        <v/>
      </c>
      <c r="W879" s="0" t="str">
        <f aca="false">IF(K879="","",G379)</f>
        <v/>
      </c>
      <c r="X879" s="0" t="str">
        <f aca="false">IF(K879="","",1+SUMPRODUCT(($K$2:$K$1001&lt;&gt;"")*(($T$2:$T$1001&lt;T879)+($T$2:$T$1001=T879)*(($U$2:$U$1001&lt;U879)+($U$2:$U$1001=U879)*(($V$2:$V$1001&lt;V879)+($V$2:$V$1001=V879)*(($W$2:$W$1001&lt;W879)+($W$2:$W$1001=W879)*(ROW($K$2:$K$1001)&lt;ROW(K879))))))))</f>
        <v/>
      </c>
    </row>
    <row r="880" customFormat="false" ht="15" hidden="false" customHeight="false" outlineLevel="0" collapsed="false">
      <c r="K880" s="0" t="str">
        <f aca="false">IF(H380="","",IF(SUMPRODUCT(--($C$2:$C$501=H380))&gt;0,"",H380))</f>
        <v/>
      </c>
      <c r="L880" s="0" t="str">
        <f aca="false">IF(K880="","",IF(ISNUMBER('List 2'!A380),'List 2'!A380,TRIM('List 2'!A380)))</f>
        <v/>
      </c>
      <c r="M880" s="0" t="str">
        <f aca="false">IF(K880="","",IF(ISNUMBER('List 2'!C380),'List 2'!C380,TRIM('List 2'!C380)))</f>
        <v/>
      </c>
      <c r="N880" s="0" t="str">
        <f aca="false">IF(K880="","",IF(ISNUMBER('List 2'!D380),'List 2'!D380,TRIM('List 2'!D380)))</f>
        <v/>
      </c>
      <c r="O880" s="0" t="str">
        <f aca="false">IF(K880="","",0)</f>
        <v/>
      </c>
      <c r="P880" s="0" t="str">
        <f aca="false">IF(K880="","",I380)</f>
        <v/>
      </c>
      <c r="Q880" s="0" t="str">
        <f aca="false">IF(K880="","",FALSE())</f>
        <v/>
      </c>
      <c r="R880" s="0" t="str">
        <f aca="false">IF(K880="","",TRUE())</f>
        <v/>
      </c>
      <c r="S880" s="0" t="str">
        <f aca="false">IF(K880="","",IF(AND(Q880,R880),IF(O880=P880,"Match","Qty Different"),IF(Q880,"Only in List 1","Only in List 2")))</f>
        <v/>
      </c>
      <c r="T880" s="0" t="str">
        <f aca="false">IF(K880="","",IF(ISNUMBER(--L880),TEXT(--L880,"000000000000.000"),LOWER(L880)))</f>
        <v/>
      </c>
      <c r="U880" s="0" t="str">
        <f aca="false">IF(K880="","",IF(ISNUMBER(--M880),TEXT(--M880,"000000000000.000"),LOWER(M880)))</f>
        <v/>
      </c>
      <c r="V880" s="0" t="str">
        <f aca="false">IF(K880="","",LOWER(N880))</f>
        <v/>
      </c>
      <c r="W880" s="0" t="str">
        <f aca="false">IF(K880="","",G380)</f>
        <v/>
      </c>
      <c r="X880" s="0" t="str">
        <f aca="false">IF(K880="","",1+SUMPRODUCT(($K$2:$K$1001&lt;&gt;"")*(($T$2:$T$1001&lt;T880)+($T$2:$T$1001=T880)*(($U$2:$U$1001&lt;U880)+($U$2:$U$1001=U880)*(($V$2:$V$1001&lt;V880)+($V$2:$V$1001=V880)*(($W$2:$W$1001&lt;W880)+($W$2:$W$1001=W880)*(ROW($K$2:$K$1001)&lt;ROW(K880))))))))</f>
        <v/>
      </c>
    </row>
    <row r="881" customFormat="false" ht="15" hidden="false" customHeight="false" outlineLevel="0" collapsed="false">
      <c r="K881" s="0" t="str">
        <f aca="false">IF(H381="","",IF(SUMPRODUCT(--($C$2:$C$501=H381))&gt;0,"",H381))</f>
        <v/>
      </c>
      <c r="L881" s="0" t="str">
        <f aca="false">IF(K881="","",IF(ISNUMBER('List 2'!A381),'List 2'!A381,TRIM('List 2'!A381)))</f>
        <v/>
      </c>
      <c r="M881" s="0" t="str">
        <f aca="false">IF(K881="","",IF(ISNUMBER('List 2'!C381),'List 2'!C381,TRIM('List 2'!C381)))</f>
        <v/>
      </c>
      <c r="N881" s="0" t="str">
        <f aca="false">IF(K881="","",IF(ISNUMBER('List 2'!D381),'List 2'!D381,TRIM('List 2'!D381)))</f>
        <v/>
      </c>
      <c r="O881" s="0" t="str">
        <f aca="false">IF(K881="","",0)</f>
        <v/>
      </c>
      <c r="P881" s="0" t="str">
        <f aca="false">IF(K881="","",I381)</f>
        <v/>
      </c>
      <c r="Q881" s="0" t="str">
        <f aca="false">IF(K881="","",FALSE())</f>
        <v/>
      </c>
      <c r="R881" s="0" t="str">
        <f aca="false">IF(K881="","",TRUE())</f>
        <v/>
      </c>
      <c r="S881" s="0" t="str">
        <f aca="false">IF(K881="","",IF(AND(Q881,R881),IF(O881=P881,"Match","Qty Different"),IF(Q881,"Only in List 1","Only in List 2")))</f>
        <v/>
      </c>
      <c r="T881" s="0" t="str">
        <f aca="false">IF(K881="","",IF(ISNUMBER(--L881),TEXT(--L881,"000000000000.000"),LOWER(L881)))</f>
        <v/>
      </c>
      <c r="U881" s="0" t="str">
        <f aca="false">IF(K881="","",IF(ISNUMBER(--M881),TEXT(--M881,"000000000000.000"),LOWER(M881)))</f>
        <v/>
      </c>
      <c r="V881" s="0" t="str">
        <f aca="false">IF(K881="","",LOWER(N881))</f>
        <v/>
      </c>
      <c r="W881" s="0" t="str">
        <f aca="false">IF(K881="","",G381)</f>
        <v/>
      </c>
      <c r="X881" s="0" t="str">
        <f aca="false">IF(K881="","",1+SUMPRODUCT(($K$2:$K$1001&lt;&gt;"")*(($T$2:$T$1001&lt;T881)+($T$2:$T$1001=T881)*(($U$2:$U$1001&lt;U881)+($U$2:$U$1001=U881)*(($V$2:$V$1001&lt;V881)+($V$2:$V$1001=V881)*(($W$2:$W$1001&lt;W881)+($W$2:$W$1001=W881)*(ROW($K$2:$K$1001)&lt;ROW(K881))))))))</f>
        <v/>
      </c>
    </row>
    <row r="882" customFormat="false" ht="15" hidden="false" customHeight="false" outlineLevel="0" collapsed="false">
      <c r="K882" s="0" t="str">
        <f aca="false">IF(H382="","",IF(SUMPRODUCT(--($C$2:$C$501=H382))&gt;0,"",H382))</f>
        <v/>
      </c>
      <c r="L882" s="0" t="str">
        <f aca="false">IF(K882="","",IF(ISNUMBER('List 2'!A382),'List 2'!A382,TRIM('List 2'!A382)))</f>
        <v/>
      </c>
      <c r="M882" s="0" t="str">
        <f aca="false">IF(K882="","",IF(ISNUMBER('List 2'!C382),'List 2'!C382,TRIM('List 2'!C382)))</f>
        <v/>
      </c>
      <c r="N882" s="0" t="str">
        <f aca="false">IF(K882="","",IF(ISNUMBER('List 2'!D382),'List 2'!D382,TRIM('List 2'!D382)))</f>
        <v/>
      </c>
      <c r="O882" s="0" t="str">
        <f aca="false">IF(K882="","",0)</f>
        <v/>
      </c>
      <c r="P882" s="0" t="str">
        <f aca="false">IF(K882="","",I382)</f>
        <v/>
      </c>
      <c r="Q882" s="0" t="str">
        <f aca="false">IF(K882="","",FALSE())</f>
        <v/>
      </c>
      <c r="R882" s="0" t="str">
        <f aca="false">IF(K882="","",TRUE())</f>
        <v/>
      </c>
      <c r="S882" s="0" t="str">
        <f aca="false">IF(K882="","",IF(AND(Q882,R882),IF(O882=P882,"Match","Qty Different"),IF(Q882,"Only in List 1","Only in List 2")))</f>
        <v/>
      </c>
      <c r="T882" s="0" t="str">
        <f aca="false">IF(K882="","",IF(ISNUMBER(--L882),TEXT(--L882,"000000000000.000"),LOWER(L882)))</f>
        <v/>
      </c>
      <c r="U882" s="0" t="str">
        <f aca="false">IF(K882="","",IF(ISNUMBER(--M882),TEXT(--M882,"000000000000.000"),LOWER(M882)))</f>
        <v/>
      </c>
      <c r="V882" s="0" t="str">
        <f aca="false">IF(K882="","",LOWER(N882))</f>
        <v/>
      </c>
      <c r="W882" s="0" t="str">
        <f aca="false">IF(K882="","",G382)</f>
        <v/>
      </c>
      <c r="X882" s="0" t="str">
        <f aca="false">IF(K882="","",1+SUMPRODUCT(($K$2:$K$1001&lt;&gt;"")*(($T$2:$T$1001&lt;T882)+($T$2:$T$1001=T882)*(($U$2:$U$1001&lt;U882)+($U$2:$U$1001=U882)*(($V$2:$V$1001&lt;V882)+($V$2:$V$1001=V882)*(($W$2:$W$1001&lt;W882)+($W$2:$W$1001=W882)*(ROW($K$2:$K$1001)&lt;ROW(K882))))))))</f>
        <v/>
      </c>
    </row>
    <row r="883" customFormat="false" ht="15" hidden="false" customHeight="false" outlineLevel="0" collapsed="false">
      <c r="K883" s="0" t="str">
        <f aca="false">IF(H383="","",IF(SUMPRODUCT(--($C$2:$C$501=H383))&gt;0,"",H383))</f>
        <v/>
      </c>
      <c r="L883" s="0" t="str">
        <f aca="false">IF(K883="","",IF(ISNUMBER('List 2'!A383),'List 2'!A383,TRIM('List 2'!A383)))</f>
        <v/>
      </c>
      <c r="M883" s="0" t="str">
        <f aca="false">IF(K883="","",IF(ISNUMBER('List 2'!C383),'List 2'!C383,TRIM('List 2'!C383)))</f>
        <v/>
      </c>
      <c r="N883" s="0" t="str">
        <f aca="false">IF(K883="","",IF(ISNUMBER('List 2'!D383),'List 2'!D383,TRIM('List 2'!D383)))</f>
        <v/>
      </c>
      <c r="O883" s="0" t="str">
        <f aca="false">IF(K883="","",0)</f>
        <v/>
      </c>
      <c r="P883" s="0" t="str">
        <f aca="false">IF(K883="","",I383)</f>
        <v/>
      </c>
      <c r="Q883" s="0" t="str">
        <f aca="false">IF(K883="","",FALSE())</f>
        <v/>
      </c>
      <c r="R883" s="0" t="str">
        <f aca="false">IF(K883="","",TRUE())</f>
        <v/>
      </c>
      <c r="S883" s="0" t="str">
        <f aca="false">IF(K883="","",IF(AND(Q883,R883),IF(O883=P883,"Match","Qty Different"),IF(Q883,"Only in List 1","Only in List 2")))</f>
        <v/>
      </c>
      <c r="T883" s="0" t="str">
        <f aca="false">IF(K883="","",IF(ISNUMBER(--L883),TEXT(--L883,"000000000000.000"),LOWER(L883)))</f>
        <v/>
      </c>
      <c r="U883" s="0" t="str">
        <f aca="false">IF(K883="","",IF(ISNUMBER(--M883),TEXT(--M883,"000000000000.000"),LOWER(M883)))</f>
        <v/>
      </c>
      <c r="V883" s="0" t="str">
        <f aca="false">IF(K883="","",LOWER(N883))</f>
        <v/>
      </c>
      <c r="W883" s="0" t="str">
        <f aca="false">IF(K883="","",G383)</f>
        <v/>
      </c>
      <c r="X883" s="0" t="str">
        <f aca="false">IF(K883="","",1+SUMPRODUCT(($K$2:$K$1001&lt;&gt;"")*(($T$2:$T$1001&lt;T883)+($T$2:$T$1001=T883)*(($U$2:$U$1001&lt;U883)+($U$2:$U$1001=U883)*(($V$2:$V$1001&lt;V883)+($V$2:$V$1001=V883)*(($W$2:$W$1001&lt;W883)+($W$2:$W$1001=W883)*(ROW($K$2:$K$1001)&lt;ROW(K883))))))))</f>
        <v/>
      </c>
    </row>
    <row r="884" customFormat="false" ht="15" hidden="false" customHeight="false" outlineLevel="0" collapsed="false">
      <c r="K884" s="0" t="str">
        <f aca="false">IF(H384="","",IF(SUMPRODUCT(--($C$2:$C$501=H384))&gt;0,"",H384))</f>
        <v/>
      </c>
      <c r="L884" s="0" t="str">
        <f aca="false">IF(K884="","",IF(ISNUMBER('List 2'!A384),'List 2'!A384,TRIM('List 2'!A384)))</f>
        <v/>
      </c>
      <c r="M884" s="0" t="str">
        <f aca="false">IF(K884="","",IF(ISNUMBER('List 2'!C384),'List 2'!C384,TRIM('List 2'!C384)))</f>
        <v/>
      </c>
      <c r="N884" s="0" t="str">
        <f aca="false">IF(K884="","",IF(ISNUMBER('List 2'!D384),'List 2'!D384,TRIM('List 2'!D384)))</f>
        <v/>
      </c>
      <c r="O884" s="0" t="str">
        <f aca="false">IF(K884="","",0)</f>
        <v/>
      </c>
      <c r="P884" s="0" t="str">
        <f aca="false">IF(K884="","",I384)</f>
        <v/>
      </c>
      <c r="Q884" s="0" t="str">
        <f aca="false">IF(K884="","",FALSE())</f>
        <v/>
      </c>
      <c r="R884" s="0" t="str">
        <f aca="false">IF(K884="","",TRUE())</f>
        <v/>
      </c>
      <c r="S884" s="0" t="str">
        <f aca="false">IF(K884="","",IF(AND(Q884,R884),IF(O884=P884,"Match","Qty Different"),IF(Q884,"Only in List 1","Only in List 2")))</f>
        <v/>
      </c>
      <c r="T884" s="0" t="str">
        <f aca="false">IF(K884="","",IF(ISNUMBER(--L884),TEXT(--L884,"000000000000.000"),LOWER(L884)))</f>
        <v/>
      </c>
      <c r="U884" s="0" t="str">
        <f aca="false">IF(K884="","",IF(ISNUMBER(--M884),TEXT(--M884,"000000000000.000"),LOWER(M884)))</f>
        <v/>
      </c>
      <c r="V884" s="0" t="str">
        <f aca="false">IF(K884="","",LOWER(N884))</f>
        <v/>
      </c>
      <c r="W884" s="0" t="str">
        <f aca="false">IF(K884="","",G384)</f>
        <v/>
      </c>
      <c r="X884" s="0" t="str">
        <f aca="false">IF(K884="","",1+SUMPRODUCT(($K$2:$K$1001&lt;&gt;"")*(($T$2:$T$1001&lt;T884)+($T$2:$T$1001=T884)*(($U$2:$U$1001&lt;U884)+($U$2:$U$1001=U884)*(($V$2:$V$1001&lt;V884)+($V$2:$V$1001=V884)*(($W$2:$W$1001&lt;W884)+($W$2:$W$1001=W884)*(ROW($K$2:$K$1001)&lt;ROW(K884))))))))</f>
        <v/>
      </c>
    </row>
    <row r="885" customFormat="false" ht="15" hidden="false" customHeight="false" outlineLevel="0" collapsed="false">
      <c r="K885" s="0" t="str">
        <f aca="false">IF(H385="","",IF(SUMPRODUCT(--($C$2:$C$501=H385))&gt;0,"",H385))</f>
        <v/>
      </c>
      <c r="L885" s="0" t="str">
        <f aca="false">IF(K885="","",IF(ISNUMBER('List 2'!A385),'List 2'!A385,TRIM('List 2'!A385)))</f>
        <v/>
      </c>
      <c r="M885" s="0" t="str">
        <f aca="false">IF(K885="","",IF(ISNUMBER('List 2'!C385),'List 2'!C385,TRIM('List 2'!C385)))</f>
        <v/>
      </c>
      <c r="N885" s="0" t="str">
        <f aca="false">IF(K885="","",IF(ISNUMBER('List 2'!D385),'List 2'!D385,TRIM('List 2'!D385)))</f>
        <v/>
      </c>
      <c r="O885" s="0" t="str">
        <f aca="false">IF(K885="","",0)</f>
        <v/>
      </c>
      <c r="P885" s="0" t="str">
        <f aca="false">IF(K885="","",I385)</f>
        <v/>
      </c>
      <c r="Q885" s="0" t="str">
        <f aca="false">IF(K885="","",FALSE())</f>
        <v/>
      </c>
      <c r="R885" s="0" t="str">
        <f aca="false">IF(K885="","",TRUE())</f>
        <v/>
      </c>
      <c r="S885" s="0" t="str">
        <f aca="false">IF(K885="","",IF(AND(Q885,R885),IF(O885=P885,"Match","Qty Different"),IF(Q885,"Only in List 1","Only in List 2")))</f>
        <v/>
      </c>
      <c r="T885" s="0" t="str">
        <f aca="false">IF(K885="","",IF(ISNUMBER(--L885),TEXT(--L885,"000000000000.000"),LOWER(L885)))</f>
        <v/>
      </c>
      <c r="U885" s="0" t="str">
        <f aca="false">IF(K885="","",IF(ISNUMBER(--M885),TEXT(--M885,"000000000000.000"),LOWER(M885)))</f>
        <v/>
      </c>
      <c r="V885" s="0" t="str">
        <f aca="false">IF(K885="","",LOWER(N885))</f>
        <v/>
      </c>
      <c r="W885" s="0" t="str">
        <f aca="false">IF(K885="","",G385)</f>
        <v/>
      </c>
      <c r="X885" s="0" t="str">
        <f aca="false">IF(K885="","",1+SUMPRODUCT(($K$2:$K$1001&lt;&gt;"")*(($T$2:$T$1001&lt;T885)+($T$2:$T$1001=T885)*(($U$2:$U$1001&lt;U885)+($U$2:$U$1001=U885)*(($V$2:$V$1001&lt;V885)+($V$2:$V$1001=V885)*(($W$2:$W$1001&lt;W885)+($W$2:$W$1001=W885)*(ROW($K$2:$K$1001)&lt;ROW(K885))))))))</f>
        <v/>
      </c>
    </row>
    <row r="886" customFormat="false" ht="15" hidden="false" customHeight="false" outlineLevel="0" collapsed="false">
      <c r="K886" s="0" t="str">
        <f aca="false">IF(H386="","",IF(SUMPRODUCT(--($C$2:$C$501=H386))&gt;0,"",H386))</f>
        <v/>
      </c>
      <c r="L886" s="0" t="str">
        <f aca="false">IF(K886="","",IF(ISNUMBER('List 2'!A386),'List 2'!A386,TRIM('List 2'!A386)))</f>
        <v/>
      </c>
      <c r="M886" s="0" t="str">
        <f aca="false">IF(K886="","",IF(ISNUMBER('List 2'!C386),'List 2'!C386,TRIM('List 2'!C386)))</f>
        <v/>
      </c>
      <c r="N886" s="0" t="str">
        <f aca="false">IF(K886="","",IF(ISNUMBER('List 2'!D386),'List 2'!D386,TRIM('List 2'!D386)))</f>
        <v/>
      </c>
      <c r="O886" s="0" t="str">
        <f aca="false">IF(K886="","",0)</f>
        <v/>
      </c>
      <c r="P886" s="0" t="str">
        <f aca="false">IF(K886="","",I386)</f>
        <v/>
      </c>
      <c r="Q886" s="0" t="str">
        <f aca="false">IF(K886="","",FALSE())</f>
        <v/>
      </c>
      <c r="R886" s="0" t="str">
        <f aca="false">IF(K886="","",TRUE())</f>
        <v/>
      </c>
      <c r="S886" s="0" t="str">
        <f aca="false">IF(K886="","",IF(AND(Q886,R886),IF(O886=P886,"Match","Qty Different"),IF(Q886,"Only in List 1","Only in List 2")))</f>
        <v/>
      </c>
      <c r="T886" s="0" t="str">
        <f aca="false">IF(K886="","",IF(ISNUMBER(--L886),TEXT(--L886,"000000000000.000"),LOWER(L886)))</f>
        <v/>
      </c>
      <c r="U886" s="0" t="str">
        <f aca="false">IF(K886="","",IF(ISNUMBER(--M886),TEXT(--M886,"000000000000.000"),LOWER(M886)))</f>
        <v/>
      </c>
      <c r="V886" s="0" t="str">
        <f aca="false">IF(K886="","",LOWER(N886))</f>
        <v/>
      </c>
      <c r="W886" s="0" t="str">
        <f aca="false">IF(K886="","",G386)</f>
        <v/>
      </c>
      <c r="X886" s="0" t="str">
        <f aca="false">IF(K886="","",1+SUMPRODUCT(($K$2:$K$1001&lt;&gt;"")*(($T$2:$T$1001&lt;T886)+($T$2:$T$1001=T886)*(($U$2:$U$1001&lt;U886)+($U$2:$U$1001=U886)*(($V$2:$V$1001&lt;V886)+($V$2:$V$1001=V886)*(($W$2:$W$1001&lt;W886)+($W$2:$W$1001=W886)*(ROW($K$2:$K$1001)&lt;ROW(K886))))))))</f>
        <v/>
      </c>
    </row>
    <row r="887" customFormat="false" ht="15" hidden="false" customHeight="false" outlineLevel="0" collapsed="false">
      <c r="K887" s="0" t="str">
        <f aca="false">IF(H387="","",IF(SUMPRODUCT(--($C$2:$C$501=H387))&gt;0,"",H387))</f>
        <v/>
      </c>
      <c r="L887" s="0" t="str">
        <f aca="false">IF(K887="","",IF(ISNUMBER('List 2'!A387),'List 2'!A387,TRIM('List 2'!A387)))</f>
        <v/>
      </c>
      <c r="M887" s="0" t="str">
        <f aca="false">IF(K887="","",IF(ISNUMBER('List 2'!C387),'List 2'!C387,TRIM('List 2'!C387)))</f>
        <v/>
      </c>
      <c r="N887" s="0" t="str">
        <f aca="false">IF(K887="","",IF(ISNUMBER('List 2'!D387),'List 2'!D387,TRIM('List 2'!D387)))</f>
        <v/>
      </c>
      <c r="O887" s="0" t="str">
        <f aca="false">IF(K887="","",0)</f>
        <v/>
      </c>
      <c r="P887" s="0" t="str">
        <f aca="false">IF(K887="","",I387)</f>
        <v/>
      </c>
      <c r="Q887" s="0" t="str">
        <f aca="false">IF(K887="","",FALSE())</f>
        <v/>
      </c>
      <c r="R887" s="0" t="str">
        <f aca="false">IF(K887="","",TRUE())</f>
        <v/>
      </c>
      <c r="S887" s="0" t="str">
        <f aca="false">IF(K887="","",IF(AND(Q887,R887),IF(O887=P887,"Match","Qty Different"),IF(Q887,"Only in List 1","Only in List 2")))</f>
        <v/>
      </c>
      <c r="T887" s="0" t="str">
        <f aca="false">IF(K887="","",IF(ISNUMBER(--L887),TEXT(--L887,"000000000000.000"),LOWER(L887)))</f>
        <v/>
      </c>
      <c r="U887" s="0" t="str">
        <f aca="false">IF(K887="","",IF(ISNUMBER(--M887),TEXT(--M887,"000000000000.000"),LOWER(M887)))</f>
        <v/>
      </c>
      <c r="V887" s="0" t="str">
        <f aca="false">IF(K887="","",LOWER(N887))</f>
        <v/>
      </c>
      <c r="W887" s="0" t="str">
        <f aca="false">IF(K887="","",G387)</f>
        <v/>
      </c>
      <c r="X887" s="0" t="str">
        <f aca="false">IF(K887="","",1+SUMPRODUCT(($K$2:$K$1001&lt;&gt;"")*(($T$2:$T$1001&lt;T887)+($T$2:$T$1001=T887)*(($U$2:$U$1001&lt;U887)+($U$2:$U$1001=U887)*(($V$2:$V$1001&lt;V887)+($V$2:$V$1001=V887)*(($W$2:$W$1001&lt;W887)+($W$2:$W$1001=W887)*(ROW($K$2:$K$1001)&lt;ROW(K887))))))))</f>
        <v/>
      </c>
    </row>
    <row r="888" customFormat="false" ht="15" hidden="false" customHeight="false" outlineLevel="0" collapsed="false">
      <c r="K888" s="0" t="str">
        <f aca="false">IF(H388="","",IF(SUMPRODUCT(--($C$2:$C$501=H388))&gt;0,"",H388))</f>
        <v/>
      </c>
      <c r="L888" s="0" t="str">
        <f aca="false">IF(K888="","",IF(ISNUMBER('List 2'!A388),'List 2'!A388,TRIM('List 2'!A388)))</f>
        <v/>
      </c>
      <c r="M888" s="0" t="str">
        <f aca="false">IF(K888="","",IF(ISNUMBER('List 2'!C388),'List 2'!C388,TRIM('List 2'!C388)))</f>
        <v/>
      </c>
      <c r="N888" s="0" t="str">
        <f aca="false">IF(K888="","",IF(ISNUMBER('List 2'!D388),'List 2'!D388,TRIM('List 2'!D388)))</f>
        <v/>
      </c>
      <c r="O888" s="0" t="str">
        <f aca="false">IF(K888="","",0)</f>
        <v/>
      </c>
      <c r="P888" s="0" t="str">
        <f aca="false">IF(K888="","",I388)</f>
        <v/>
      </c>
      <c r="Q888" s="0" t="str">
        <f aca="false">IF(K888="","",FALSE())</f>
        <v/>
      </c>
      <c r="R888" s="0" t="str">
        <f aca="false">IF(K888="","",TRUE())</f>
        <v/>
      </c>
      <c r="S888" s="0" t="str">
        <f aca="false">IF(K888="","",IF(AND(Q888,R888),IF(O888=P888,"Match","Qty Different"),IF(Q888,"Only in List 1","Only in List 2")))</f>
        <v/>
      </c>
      <c r="T888" s="0" t="str">
        <f aca="false">IF(K888="","",IF(ISNUMBER(--L888),TEXT(--L888,"000000000000.000"),LOWER(L888)))</f>
        <v/>
      </c>
      <c r="U888" s="0" t="str">
        <f aca="false">IF(K888="","",IF(ISNUMBER(--M888),TEXT(--M888,"000000000000.000"),LOWER(M888)))</f>
        <v/>
      </c>
      <c r="V888" s="0" t="str">
        <f aca="false">IF(K888="","",LOWER(N888))</f>
        <v/>
      </c>
      <c r="W888" s="0" t="str">
        <f aca="false">IF(K888="","",G388)</f>
        <v/>
      </c>
      <c r="X888" s="0" t="str">
        <f aca="false">IF(K888="","",1+SUMPRODUCT(($K$2:$K$1001&lt;&gt;"")*(($T$2:$T$1001&lt;T888)+($T$2:$T$1001=T888)*(($U$2:$U$1001&lt;U888)+($U$2:$U$1001=U888)*(($V$2:$V$1001&lt;V888)+($V$2:$V$1001=V888)*(($W$2:$W$1001&lt;W888)+($W$2:$W$1001=W888)*(ROW($K$2:$K$1001)&lt;ROW(K888))))))))</f>
        <v/>
      </c>
    </row>
    <row r="889" customFormat="false" ht="15" hidden="false" customHeight="false" outlineLevel="0" collapsed="false">
      <c r="K889" s="0" t="str">
        <f aca="false">IF(H389="","",IF(SUMPRODUCT(--($C$2:$C$501=H389))&gt;0,"",H389))</f>
        <v/>
      </c>
      <c r="L889" s="0" t="str">
        <f aca="false">IF(K889="","",IF(ISNUMBER('List 2'!A389),'List 2'!A389,TRIM('List 2'!A389)))</f>
        <v/>
      </c>
      <c r="M889" s="0" t="str">
        <f aca="false">IF(K889="","",IF(ISNUMBER('List 2'!C389),'List 2'!C389,TRIM('List 2'!C389)))</f>
        <v/>
      </c>
      <c r="N889" s="0" t="str">
        <f aca="false">IF(K889="","",IF(ISNUMBER('List 2'!D389),'List 2'!D389,TRIM('List 2'!D389)))</f>
        <v/>
      </c>
      <c r="O889" s="0" t="str">
        <f aca="false">IF(K889="","",0)</f>
        <v/>
      </c>
      <c r="P889" s="0" t="str">
        <f aca="false">IF(K889="","",I389)</f>
        <v/>
      </c>
      <c r="Q889" s="0" t="str">
        <f aca="false">IF(K889="","",FALSE())</f>
        <v/>
      </c>
      <c r="R889" s="0" t="str">
        <f aca="false">IF(K889="","",TRUE())</f>
        <v/>
      </c>
      <c r="S889" s="0" t="str">
        <f aca="false">IF(K889="","",IF(AND(Q889,R889),IF(O889=P889,"Match","Qty Different"),IF(Q889,"Only in List 1","Only in List 2")))</f>
        <v/>
      </c>
      <c r="T889" s="0" t="str">
        <f aca="false">IF(K889="","",IF(ISNUMBER(--L889),TEXT(--L889,"000000000000.000"),LOWER(L889)))</f>
        <v/>
      </c>
      <c r="U889" s="0" t="str">
        <f aca="false">IF(K889="","",IF(ISNUMBER(--M889),TEXT(--M889,"000000000000.000"),LOWER(M889)))</f>
        <v/>
      </c>
      <c r="V889" s="0" t="str">
        <f aca="false">IF(K889="","",LOWER(N889))</f>
        <v/>
      </c>
      <c r="W889" s="0" t="str">
        <f aca="false">IF(K889="","",G389)</f>
        <v/>
      </c>
      <c r="X889" s="0" t="str">
        <f aca="false">IF(K889="","",1+SUMPRODUCT(($K$2:$K$1001&lt;&gt;"")*(($T$2:$T$1001&lt;T889)+($T$2:$T$1001=T889)*(($U$2:$U$1001&lt;U889)+($U$2:$U$1001=U889)*(($V$2:$V$1001&lt;V889)+($V$2:$V$1001=V889)*(($W$2:$W$1001&lt;W889)+($W$2:$W$1001=W889)*(ROW($K$2:$K$1001)&lt;ROW(K889))))))))</f>
        <v/>
      </c>
    </row>
    <row r="890" customFormat="false" ht="15" hidden="false" customHeight="false" outlineLevel="0" collapsed="false">
      <c r="K890" s="0" t="str">
        <f aca="false">IF(H390="","",IF(SUMPRODUCT(--($C$2:$C$501=H390))&gt;0,"",H390))</f>
        <v/>
      </c>
      <c r="L890" s="0" t="str">
        <f aca="false">IF(K890="","",IF(ISNUMBER('List 2'!A390),'List 2'!A390,TRIM('List 2'!A390)))</f>
        <v/>
      </c>
      <c r="M890" s="0" t="str">
        <f aca="false">IF(K890="","",IF(ISNUMBER('List 2'!C390),'List 2'!C390,TRIM('List 2'!C390)))</f>
        <v/>
      </c>
      <c r="N890" s="0" t="str">
        <f aca="false">IF(K890="","",IF(ISNUMBER('List 2'!D390),'List 2'!D390,TRIM('List 2'!D390)))</f>
        <v/>
      </c>
      <c r="O890" s="0" t="str">
        <f aca="false">IF(K890="","",0)</f>
        <v/>
      </c>
      <c r="P890" s="0" t="str">
        <f aca="false">IF(K890="","",I390)</f>
        <v/>
      </c>
      <c r="Q890" s="0" t="str">
        <f aca="false">IF(K890="","",FALSE())</f>
        <v/>
      </c>
      <c r="R890" s="0" t="str">
        <f aca="false">IF(K890="","",TRUE())</f>
        <v/>
      </c>
      <c r="S890" s="0" t="str">
        <f aca="false">IF(K890="","",IF(AND(Q890,R890),IF(O890=P890,"Match","Qty Different"),IF(Q890,"Only in List 1","Only in List 2")))</f>
        <v/>
      </c>
      <c r="T890" s="0" t="str">
        <f aca="false">IF(K890="","",IF(ISNUMBER(--L890),TEXT(--L890,"000000000000.000"),LOWER(L890)))</f>
        <v/>
      </c>
      <c r="U890" s="0" t="str">
        <f aca="false">IF(K890="","",IF(ISNUMBER(--M890),TEXT(--M890,"000000000000.000"),LOWER(M890)))</f>
        <v/>
      </c>
      <c r="V890" s="0" t="str">
        <f aca="false">IF(K890="","",LOWER(N890))</f>
        <v/>
      </c>
      <c r="W890" s="0" t="str">
        <f aca="false">IF(K890="","",G390)</f>
        <v/>
      </c>
      <c r="X890" s="0" t="str">
        <f aca="false">IF(K890="","",1+SUMPRODUCT(($K$2:$K$1001&lt;&gt;"")*(($T$2:$T$1001&lt;T890)+($T$2:$T$1001=T890)*(($U$2:$U$1001&lt;U890)+($U$2:$U$1001=U890)*(($V$2:$V$1001&lt;V890)+($V$2:$V$1001=V890)*(($W$2:$W$1001&lt;W890)+($W$2:$W$1001=W890)*(ROW($K$2:$K$1001)&lt;ROW(K890))))))))</f>
        <v/>
      </c>
    </row>
    <row r="891" customFormat="false" ht="15" hidden="false" customHeight="false" outlineLevel="0" collapsed="false">
      <c r="K891" s="0" t="str">
        <f aca="false">IF(H391="","",IF(SUMPRODUCT(--($C$2:$C$501=H391))&gt;0,"",H391))</f>
        <v/>
      </c>
      <c r="L891" s="0" t="str">
        <f aca="false">IF(K891="","",IF(ISNUMBER('List 2'!A391),'List 2'!A391,TRIM('List 2'!A391)))</f>
        <v/>
      </c>
      <c r="M891" s="0" t="str">
        <f aca="false">IF(K891="","",IF(ISNUMBER('List 2'!C391),'List 2'!C391,TRIM('List 2'!C391)))</f>
        <v/>
      </c>
      <c r="N891" s="0" t="str">
        <f aca="false">IF(K891="","",IF(ISNUMBER('List 2'!D391),'List 2'!D391,TRIM('List 2'!D391)))</f>
        <v/>
      </c>
      <c r="O891" s="0" t="str">
        <f aca="false">IF(K891="","",0)</f>
        <v/>
      </c>
      <c r="P891" s="0" t="str">
        <f aca="false">IF(K891="","",I391)</f>
        <v/>
      </c>
      <c r="Q891" s="0" t="str">
        <f aca="false">IF(K891="","",FALSE())</f>
        <v/>
      </c>
      <c r="R891" s="0" t="str">
        <f aca="false">IF(K891="","",TRUE())</f>
        <v/>
      </c>
      <c r="S891" s="0" t="str">
        <f aca="false">IF(K891="","",IF(AND(Q891,R891),IF(O891=P891,"Match","Qty Different"),IF(Q891,"Only in List 1","Only in List 2")))</f>
        <v/>
      </c>
      <c r="T891" s="0" t="str">
        <f aca="false">IF(K891="","",IF(ISNUMBER(--L891),TEXT(--L891,"000000000000.000"),LOWER(L891)))</f>
        <v/>
      </c>
      <c r="U891" s="0" t="str">
        <f aca="false">IF(K891="","",IF(ISNUMBER(--M891),TEXT(--M891,"000000000000.000"),LOWER(M891)))</f>
        <v/>
      </c>
      <c r="V891" s="0" t="str">
        <f aca="false">IF(K891="","",LOWER(N891))</f>
        <v/>
      </c>
      <c r="W891" s="0" t="str">
        <f aca="false">IF(K891="","",G391)</f>
        <v/>
      </c>
      <c r="X891" s="0" t="str">
        <f aca="false">IF(K891="","",1+SUMPRODUCT(($K$2:$K$1001&lt;&gt;"")*(($T$2:$T$1001&lt;T891)+($T$2:$T$1001=T891)*(($U$2:$U$1001&lt;U891)+($U$2:$U$1001=U891)*(($V$2:$V$1001&lt;V891)+($V$2:$V$1001=V891)*(($W$2:$W$1001&lt;W891)+($W$2:$W$1001=W891)*(ROW($K$2:$K$1001)&lt;ROW(K891))))))))</f>
        <v/>
      </c>
    </row>
    <row r="892" customFormat="false" ht="15" hidden="false" customHeight="false" outlineLevel="0" collapsed="false">
      <c r="K892" s="0" t="str">
        <f aca="false">IF(H392="","",IF(SUMPRODUCT(--($C$2:$C$501=H392))&gt;0,"",H392))</f>
        <v/>
      </c>
      <c r="L892" s="0" t="str">
        <f aca="false">IF(K892="","",IF(ISNUMBER('List 2'!A392),'List 2'!A392,TRIM('List 2'!A392)))</f>
        <v/>
      </c>
      <c r="M892" s="0" t="str">
        <f aca="false">IF(K892="","",IF(ISNUMBER('List 2'!C392),'List 2'!C392,TRIM('List 2'!C392)))</f>
        <v/>
      </c>
      <c r="N892" s="0" t="str">
        <f aca="false">IF(K892="","",IF(ISNUMBER('List 2'!D392),'List 2'!D392,TRIM('List 2'!D392)))</f>
        <v/>
      </c>
      <c r="O892" s="0" t="str">
        <f aca="false">IF(K892="","",0)</f>
        <v/>
      </c>
      <c r="P892" s="0" t="str">
        <f aca="false">IF(K892="","",I392)</f>
        <v/>
      </c>
      <c r="Q892" s="0" t="str">
        <f aca="false">IF(K892="","",FALSE())</f>
        <v/>
      </c>
      <c r="R892" s="0" t="str">
        <f aca="false">IF(K892="","",TRUE())</f>
        <v/>
      </c>
      <c r="S892" s="0" t="str">
        <f aca="false">IF(K892="","",IF(AND(Q892,R892),IF(O892=P892,"Match","Qty Different"),IF(Q892,"Only in List 1","Only in List 2")))</f>
        <v/>
      </c>
      <c r="T892" s="0" t="str">
        <f aca="false">IF(K892="","",IF(ISNUMBER(--L892),TEXT(--L892,"000000000000.000"),LOWER(L892)))</f>
        <v/>
      </c>
      <c r="U892" s="0" t="str">
        <f aca="false">IF(K892="","",IF(ISNUMBER(--M892),TEXT(--M892,"000000000000.000"),LOWER(M892)))</f>
        <v/>
      </c>
      <c r="V892" s="0" t="str">
        <f aca="false">IF(K892="","",LOWER(N892))</f>
        <v/>
      </c>
      <c r="W892" s="0" t="str">
        <f aca="false">IF(K892="","",G392)</f>
        <v/>
      </c>
      <c r="X892" s="0" t="str">
        <f aca="false">IF(K892="","",1+SUMPRODUCT(($K$2:$K$1001&lt;&gt;"")*(($T$2:$T$1001&lt;T892)+($T$2:$T$1001=T892)*(($U$2:$U$1001&lt;U892)+($U$2:$U$1001=U892)*(($V$2:$V$1001&lt;V892)+($V$2:$V$1001=V892)*(($W$2:$W$1001&lt;W892)+($W$2:$W$1001=W892)*(ROW($K$2:$K$1001)&lt;ROW(K892))))))))</f>
        <v/>
      </c>
    </row>
    <row r="893" customFormat="false" ht="15" hidden="false" customHeight="false" outlineLevel="0" collapsed="false">
      <c r="K893" s="0" t="str">
        <f aca="false">IF(H393="","",IF(SUMPRODUCT(--($C$2:$C$501=H393))&gt;0,"",H393))</f>
        <v/>
      </c>
      <c r="L893" s="0" t="str">
        <f aca="false">IF(K893="","",IF(ISNUMBER('List 2'!A393),'List 2'!A393,TRIM('List 2'!A393)))</f>
        <v/>
      </c>
      <c r="M893" s="0" t="str">
        <f aca="false">IF(K893="","",IF(ISNUMBER('List 2'!C393),'List 2'!C393,TRIM('List 2'!C393)))</f>
        <v/>
      </c>
      <c r="N893" s="0" t="str">
        <f aca="false">IF(K893="","",IF(ISNUMBER('List 2'!D393),'List 2'!D393,TRIM('List 2'!D393)))</f>
        <v/>
      </c>
      <c r="O893" s="0" t="str">
        <f aca="false">IF(K893="","",0)</f>
        <v/>
      </c>
      <c r="P893" s="0" t="str">
        <f aca="false">IF(K893="","",I393)</f>
        <v/>
      </c>
      <c r="Q893" s="0" t="str">
        <f aca="false">IF(K893="","",FALSE())</f>
        <v/>
      </c>
      <c r="R893" s="0" t="str">
        <f aca="false">IF(K893="","",TRUE())</f>
        <v/>
      </c>
      <c r="S893" s="0" t="str">
        <f aca="false">IF(K893="","",IF(AND(Q893,R893),IF(O893=P893,"Match","Qty Different"),IF(Q893,"Only in List 1","Only in List 2")))</f>
        <v/>
      </c>
      <c r="T893" s="0" t="str">
        <f aca="false">IF(K893="","",IF(ISNUMBER(--L893),TEXT(--L893,"000000000000.000"),LOWER(L893)))</f>
        <v/>
      </c>
      <c r="U893" s="0" t="str">
        <f aca="false">IF(K893="","",IF(ISNUMBER(--M893),TEXT(--M893,"000000000000.000"),LOWER(M893)))</f>
        <v/>
      </c>
      <c r="V893" s="0" t="str">
        <f aca="false">IF(K893="","",LOWER(N893))</f>
        <v/>
      </c>
      <c r="W893" s="0" t="str">
        <f aca="false">IF(K893="","",G393)</f>
        <v/>
      </c>
      <c r="X893" s="0" t="str">
        <f aca="false">IF(K893="","",1+SUMPRODUCT(($K$2:$K$1001&lt;&gt;"")*(($T$2:$T$1001&lt;T893)+($T$2:$T$1001=T893)*(($U$2:$U$1001&lt;U893)+($U$2:$U$1001=U893)*(($V$2:$V$1001&lt;V893)+($V$2:$V$1001=V893)*(($W$2:$W$1001&lt;W893)+($W$2:$W$1001=W893)*(ROW($K$2:$K$1001)&lt;ROW(K893))))))))</f>
        <v/>
      </c>
    </row>
    <row r="894" customFormat="false" ht="15" hidden="false" customHeight="false" outlineLevel="0" collapsed="false">
      <c r="K894" s="0" t="str">
        <f aca="false">IF(H394="","",IF(SUMPRODUCT(--($C$2:$C$501=H394))&gt;0,"",H394))</f>
        <v/>
      </c>
      <c r="L894" s="0" t="str">
        <f aca="false">IF(K894="","",IF(ISNUMBER('List 2'!A394),'List 2'!A394,TRIM('List 2'!A394)))</f>
        <v/>
      </c>
      <c r="M894" s="0" t="str">
        <f aca="false">IF(K894="","",IF(ISNUMBER('List 2'!C394),'List 2'!C394,TRIM('List 2'!C394)))</f>
        <v/>
      </c>
      <c r="N894" s="0" t="str">
        <f aca="false">IF(K894="","",IF(ISNUMBER('List 2'!D394),'List 2'!D394,TRIM('List 2'!D394)))</f>
        <v/>
      </c>
      <c r="O894" s="0" t="str">
        <f aca="false">IF(K894="","",0)</f>
        <v/>
      </c>
      <c r="P894" s="0" t="str">
        <f aca="false">IF(K894="","",I394)</f>
        <v/>
      </c>
      <c r="Q894" s="0" t="str">
        <f aca="false">IF(K894="","",FALSE())</f>
        <v/>
      </c>
      <c r="R894" s="0" t="str">
        <f aca="false">IF(K894="","",TRUE())</f>
        <v/>
      </c>
      <c r="S894" s="0" t="str">
        <f aca="false">IF(K894="","",IF(AND(Q894,R894),IF(O894=P894,"Match","Qty Different"),IF(Q894,"Only in List 1","Only in List 2")))</f>
        <v/>
      </c>
      <c r="T894" s="0" t="str">
        <f aca="false">IF(K894="","",IF(ISNUMBER(--L894),TEXT(--L894,"000000000000.000"),LOWER(L894)))</f>
        <v/>
      </c>
      <c r="U894" s="0" t="str">
        <f aca="false">IF(K894="","",IF(ISNUMBER(--M894),TEXT(--M894,"000000000000.000"),LOWER(M894)))</f>
        <v/>
      </c>
      <c r="V894" s="0" t="str">
        <f aca="false">IF(K894="","",LOWER(N894))</f>
        <v/>
      </c>
      <c r="W894" s="0" t="str">
        <f aca="false">IF(K894="","",G394)</f>
        <v/>
      </c>
      <c r="X894" s="0" t="str">
        <f aca="false">IF(K894="","",1+SUMPRODUCT(($K$2:$K$1001&lt;&gt;"")*(($T$2:$T$1001&lt;T894)+($T$2:$T$1001=T894)*(($U$2:$U$1001&lt;U894)+($U$2:$U$1001=U894)*(($V$2:$V$1001&lt;V894)+($V$2:$V$1001=V894)*(($W$2:$W$1001&lt;W894)+($W$2:$W$1001=W894)*(ROW($K$2:$K$1001)&lt;ROW(K894))))))))</f>
        <v/>
      </c>
    </row>
    <row r="895" customFormat="false" ht="15" hidden="false" customHeight="false" outlineLevel="0" collapsed="false">
      <c r="K895" s="0" t="str">
        <f aca="false">IF(H395="","",IF(SUMPRODUCT(--($C$2:$C$501=H395))&gt;0,"",H395))</f>
        <v/>
      </c>
      <c r="L895" s="0" t="str">
        <f aca="false">IF(K895="","",IF(ISNUMBER('List 2'!A395),'List 2'!A395,TRIM('List 2'!A395)))</f>
        <v/>
      </c>
      <c r="M895" s="0" t="str">
        <f aca="false">IF(K895="","",IF(ISNUMBER('List 2'!C395),'List 2'!C395,TRIM('List 2'!C395)))</f>
        <v/>
      </c>
      <c r="N895" s="0" t="str">
        <f aca="false">IF(K895="","",IF(ISNUMBER('List 2'!D395),'List 2'!D395,TRIM('List 2'!D395)))</f>
        <v/>
      </c>
      <c r="O895" s="0" t="str">
        <f aca="false">IF(K895="","",0)</f>
        <v/>
      </c>
      <c r="P895" s="0" t="str">
        <f aca="false">IF(K895="","",I395)</f>
        <v/>
      </c>
      <c r="Q895" s="0" t="str">
        <f aca="false">IF(K895="","",FALSE())</f>
        <v/>
      </c>
      <c r="R895" s="0" t="str">
        <f aca="false">IF(K895="","",TRUE())</f>
        <v/>
      </c>
      <c r="S895" s="0" t="str">
        <f aca="false">IF(K895="","",IF(AND(Q895,R895),IF(O895=P895,"Match","Qty Different"),IF(Q895,"Only in List 1","Only in List 2")))</f>
        <v/>
      </c>
      <c r="T895" s="0" t="str">
        <f aca="false">IF(K895="","",IF(ISNUMBER(--L895),TEXT(--L895,"000000000000.000"),LOWER(L895)))</f>
        <v/>
      </c>
      <c r="U895" s="0" t="str">
        <f aca="false">IF(K895="","",IF(ISNUMBER(--M895),TEXT(--M895,"000000000000.000"),LOWER(M895)))</f>
        <v/>
      </c>
      <c r="V895" s="0" t="str">
        <f aca="false">IF(K895="","",LOWER(N895))</f>
        <v/>
      </c>
      <c r="W895" s="0" t="str">
        <f aca="false">IF(K895="","",G395)</f>
        <v/>
      </c>
      <c r="X895" s="0" t="str">
        <f aca="false">IF(K895="","",1+SUMPRODUCT(($K$2:$K$1001&lt;&gt;"")*(($T$2:$T$1001&lt;T895)+($T$2:$T$1001=T895)*(($U$2:$U$1001&lt;U895)+($U$2:$U$1001=U895)*(($V$2:$V$1001&lt;V895)+($V$2:$V$1001=V895)*(($W$2:$W$1001&lt;W895)+($W$2:$W$1001=W895)*(ROW($K$2:$K$1001)&lt;ROW(K895))))))))</f>
        <v/>
      </c>
    </row>
    <row r="896" customFormat="false" ht="15" hidden="false" customHeight="false" outlineLevel="0" collapsed="false">
      <c r="K896" s="0" t="str">
        <f aca="false">IF(H396="","",IF(SUMPRODUCT(--($C$2:$C$501=H396))&gt;0,"",H396))</f>
        <v/>
      </c>
      <c r="L896" s="0" t="str">
        <f aca="false">IF(K896="","",IF(ISNUMBER('List 2'!A396),'List 2'!A396,TRIM('List 2'!A396)))</f>
        <v/>
      </c>
      <c r="M896" s="0" t="str">
        <f aca="false">IF(K896="","",IF(ISNUMBER('List 2'!C396),'List 2'!C396,TRIM('List 2'!C396)))</f>
        <v/>
      </c>
      <c r="N896" s="0" t="str">
        <f aca="false">IF(K896="","",IF(ISNUMBER('List 2'!D396),'List 2'!D396,TRIM('List 2'!D396)))</f>
        <v/>
      </c>
      <c r="O896" s="0" t="str">
        <f aca="false">IF(K896="","",0)</f>
        <v/>
      </c>
      <c r="P896" s="0" t="str">
        <f aca="false">IF(K896="","",I396)</f>
        <v/>
      </c>
      <c r="Q896" s="0" t="str">
        <f aca="false">IF(K896="","",FALSE())</f>
        <v/>
      </c>
      <c r="R896" s="0" t="str">
        <f aca="false">IF(K896="","",TRUE())</f>
        <v/>
      </c>
      <c r="S896" s="0" t="str">
        <f aca="false">IF(K896="","",IF(AND(Q896,R896),IF(O896=P896,"Match","Qty Different"),IF(Q896,"Only in List 1","Only in List 2")))</f>
        <v/>
      </c>
      <c r="T896" s="0" t="str">
        <f aca="false">IF(K896="","",IF(ISNUMBER(--L896),TEXT(--L896,"000000000000.000"),LOWER(L896)))</f>
        <v/>
      </c>
      <c r="U896" s="0" t="str">
        <f aca="false">IF(K896="","",IF(ISNUMBER(--M896),TEXT(--M896,"000000000000.000"),LOWER(M896)))</f>
        <v/>
      </c>
      <c r="V896" s="0" t="str">
        <f aca="false">IF(K896="","",LOWER(N896))</f>
        <v/>
      </c>
      <c r="W896" s="0" t="str">
        <f aca="false">IF(K896="","",G396)</f>
        <v/>
      </c>
      <c r="X896" s="0" t="str">
        <f aca="false">IF(K896="","",1+SUMPRODUCT(($K$2:$K$1001&lt;&gt;"")*(($T$2:$T$1001&lt;T896)+($T$2:$T$1001=T896)*(($U$2:$U$1001&lt;U896)+($U$2:$U$1001=U896)*(($V$2:$V$1001&lt;V896)+($V$2:$V$1001=V896)*(($W$2:$W$1001&lt;W896)+($W$2:$W$1001=W896)*(ROW($K$2:$K$1001)&lt;ROW(K896))))))))</f>
        <v/>
      </c>
    </row>
    <row r="897" customFormat="false" ht="15" hidden="false" customHeight="false" outlineLevel="0" collapsed="false">
      <c r="K897" s="0" t="str">
        <f aca="false">IF(H397="","",IF(SUMPRODUCT(--($C$2:$C$501=H397))&gt;0,"",H397))</f>
        <v/>
      </c>
      <c r="L897" s="0" t="str">
        <f aca="false">IF(K897="","",IF(ISNUMBER('List 2'!A397),'List 2'!A397,TRIM('List 2'!A397)))</f>
        <v/>
      </c>
      <c r="M897" s="0" t="str">
        <f aca="false">IF(K897="","",IF(ISNUMBER('List 2'!C397),'List 2'!C397,TRIM('List 2'!C397)))</f>
        <v/>
      </c>
      <c r="N897" s="0" t="str">
        <f aca="false">IF(K897="","",IF(ISNUMBER('List 2'!D397),'List 2'!D397,TRIM('List 2'!D397)))</f>
        <v/>
      </c>
      <c r="O897" s="0" t="str">
        <f aca="false">IF(K897="","",0)</f>
        <v/>
      </c>
      <c r="P897" s="0" t="str">
        <f aca="false">IF(K897="","",I397)</f>
        <v/>
      </c>
      <c r="Q897" s="0" t="str">
        <f aca="false">IF(K897="","",FALSE())</f>
        <v/>
      </c>
      <c r="R897" s="0" t="str">
        <f aca="false">IF(K897="","",TRUE())</f>
        <v/>
      </c>
      <c r="S897" s="0" t="str">
        <f aca="false">IF(K897="","",IF(AND(Q897,R897),IF(O897=P897,"Match","Qty Different"),IF(Q897,"Only in List 1","Only in List 2")))</f>
        <v/>
      </c>
      <c r="T897" s="0" t="str">
        <f aca="false">IF(K897="","",IF(ISNUMBER(--L897),TEXT(--L897,"000000000000.000"),LOWER(L897)))</f>
        <v/>
      </c>
      <c r="U897" s="0" t="str">
        <f aca="false">IF(K897="","",IF(ISNUMBER(--M897),TEXT(--M897,"000000000000.000"),LOWER(M897)))</f>
        <v/>
      </c>
      <c r="V897" s="0" t="str">
        <f aca="false">IF(K897="","",LOWER(N897))</f>
        <v/>
      </c>
      <c r="W897" s="0" t="str">
        <f aca="false">IF(K897="","",G397)</f>
        <v/>
      </c>
      <c r="X897" s="0" t="str">
        <f aca="false">IF(K897="","",1+SUMPRODUCT(($K$2:$K$1001&lt;&gt;"")*(($T$2:$T$1001&lt;T897)+($T$2:$T$1001=T897)*(($U$2:$U$1001&lt;U897)+($U$2:$U$1001=U897)*(($V$2:$V$1001&lt;V897)+($V$2:$V$1001=V897)*(($W$2:$W$1001&lt;W897)+($W$2:$W$1001=W897)*(ROW($K$2:$K$1001)&lt;ROW(K897))))))))</f>
        <v/>
      </c>
    </row>
    <row r="898" customFormat="false" ht="15" hidden="false" customHeight="false" outlineLevel="0" collapsed="false">
      <c r="K898" s="0" t="str">
        <f aca="false">IF(H398="","",IF(SUMPRODUCT(--($C$2:$C$501=H398))&gt;0,"",H398))</f>
        <v/>
      </c>
      <c r="L898" s="0" t="str">
        <f aca="false">IF(K898="","",IF(ISNUMBER('List 2'!A398),'List 2'!A398,TRIM('List 2'!A398)))</f>
        <v/>
      </c>
      <c r="M898" s="0" t="str">
        <f aca="false">IF(K898="","",IF(ISNUMBER('List 2'!C398),'List 2'!C398,TRIM('List 2'!C398)))</f>
        <v/>
      </c>
      <c r="N898" s="0" t="str">
        <f aca="false">IF(K898="","",IF(ISNUMBER('List 2'!D398),'List 2'!D398,TRIM('List 2'!D398)))</f>
        <v/>
      </c>
      <c r="O898" s="0" t="str">
        <f aca="false">IF(K898="","",0)</f>
        <v/>
      </c>
      <c r="P898" s="0" t="str">
        <f aca="false">IF(K898="","",I398)</f>
        <v/>
      </c>
      <c r="Q898" s="0" t="str">
        <f aca="false">IF(K898="","",FALSE())</f>
        <v/>
      </c>
      <c r="R898" s="0" t="str">
        <f aca="false">IF(K898="","",TRUE())</f>
        <v/>
      </c>
      <c r="S898" s="0" t="str">
        <f aca="false">IF(K898="","",IF(AND(Q898,R898),IF(O898=P898,"Match","Qty Different"),IF(Q898,"Only in List 1","Only in List 2")))</f>
        <v/>
      </c>
      <c r="T898" s="0" t="str">
        <f aca="false">IF(K898="","",IF(ISNUMBER(--L898),TEXT(--L898,"000000000000.000"),LOWER(L898)))</f>
        <v/>
      </c>
      <c r="U898" s="0" t="str">
        <f aca="false">IF(K898="","",IF(ISNUMBER(--M898),TEXT(--M898,"000000000000.000"),LOWER(M898)))</f>
        <v/>
      </c>
      <c r="V898" s="0" t="str">
        <f aca="false">IF(K898="","",LOWER(N898))</f>
        <v/>
      </c>
      <c r="W898" s="0" t="str">
        <f aca="false">IF(K898="","",G398)</f>
        <v/>
      </c>
      <c r="X898" s="0" t="str">
        <f aca="false">IF(K898="","",1+SUMPRODUCT(($K$2:$K$1001&lt;&gt;"")*(($T$2:$T$1001&lt;T898)+($T$2:$T$1001=T898)*(($U$2:$U$1001&lt;U898)+($U$2:$U$1001=U898)*(($V$2:$V$1001&lt;V898)+($V$2:$V$1001=V898)*(($W$2:$W$1001&lt;W898)+($W$2:$W$1001=W898)*(ROW($K$2:$K$1001)&lt;ROW(K898))))))))</f>
        <v/>
      </c>
    </row>
    <row r="899" customFormat="false" ht="15" hidden="false" customHeight="false" outlineLevel="0" collapsed="false">
      <c r="K899" s="0" t="str">
        <f aca="false">IF(H399="","",IF(SUMPRODUCT(--($C$2:$C$501=H399))&gt;0,"",H399))</f>
        <v/>
      </c>
      <c r="L899" s="0" t="str">
        <f aca="false">IF(K899="","",IF(ISNUMBER('List 2'!A399),'List 2'!A399,TRIM('List 2'!A399)))</f>
        <v/>
      </c>
      <c r="M899" s="0" t="str">
        <f aca="false">IF(K899="","",IF(ISNUMBER('List 2'!C399),'List 2'!C399,TRIM('List 2'!C399)))</f>
        <v/>
      </c>
      <c r="N899" s="0" t="str">
        <f aca="false">IF(K899="","",IF(ISNUMBER('List 2'!D399),'List 2'!D399,TRIM('List 2'!D399)))</f>
        <v/>
      </c>
      <c r="O899" s="0" t="str">
        <f aca="false">IF(K899="","",0)</f>
        <v/>
      </c>
      <c r="P899" s="0" t="str">
        <f aca="false">IF(K899="","",I399)</f>
        <v/>
      </c>
      <c r="Q899" s="0" t="str">
        <f aca="false">IF(K899="","",FALSE())</f>
        <v/>
      </c>
      <c r="R899" s="0" t="str">
        <f aca="false">IF(K899="","",TRUE())</f>
        <v/>
      </c>
      <c r="S899" s="0" t="str">
        <f aca="false">IF(K899="","",IF(AND(Q899,R899),IF(O899=P899,"Match","Qty Different"),IF(Q899,"Only in List 1","Only in List 2")))</f>
        <v/>
      </c>
      <c r="T899" s="0" t="str">
        <f aca="false">IF(K899="","",IF(ISNUMBER(--L899),TEXT(--L899,"000000000000.000"),LOWER(L899)))</f>
        <v/>
      </c>
      <c r="U899" s="0" t="str">
        <f aca="false">IF(K899="","",IF(ISNUMBER(--M899),TEXT(--M899,"000000000000.000"),LOWER(M899)))</f>
        <v/>
      </c>
      <c r="V899" s="0" t="str">
        <f aca="false">IF(K899="","",LOWER(N899))</f>
        <v/>
      </c>
      <c r="W899" s="0" t="str">
        <f aca="false">IF(K899="","",G399)</f>
        <v/>
      </c>
      <c r="X899" s="0" t="str">
        <f aca="false">IF(K899="","",1+SUMPRODUCT(($K$2:$K$1001&lt;&gt;"")*(($T$2:$T$1001&lt;T899)+($T$2:$T$1001=T899)*(($U$2:$U$1001&lt;U899)+($U$2:$U$1001=U899)*(($V$2:$V$1001&lt;V899)+($V$2:$V$1001=V899)*(($W$2:$W$1001&lt;W899)+($W$2:$W$1001=W899)*(ROW($K$2:$K$1001)&lt;ROW(K899))))))))</f>
        <v/>
      </c>
    </row>
    <row r="900" customFormat="false" ht="15" hidden="false" customHeight="false" outlineLevel="0" collapsed="false">
      <c r="K900" s="0" t="str">
        <f aca="false">IF(H400="","",IF(SUMPRODUCT(--($C$2:$C$501=H400))&gt;0,"",H400))</f>
        <v/>
      </c>
      <c r="L900" s="0" t="str">
        <f aca="false">IF(K900="","",IF(ISNUMBER('List 2'!A400),'List 2'!A400,TRIM('List 2'!A400)))</f>
        <v/>
      </c>
      <c r="M900" s="0" t="str">
        <f aca="false">IF(K900="","",IF(ISNUMBER('List 2'!C400),'List 2'!C400,TRIM('List 2'!C400)))</f>
        <v/>
      </c>
      <c r="N900" s="0" t="str">
        <f aca="false">IF(K900="","",IF(ISNUMBER('List 2'!D400),'List 2'!D400,TRIM('List 2'!D400)))</f>
        <v/>
      </c>
      <c r="O900" s="0" t="str">
        <f aca="false">IF(K900="","",0)</f>
        <v/>
      </c>
      <c r="P900" s="0" t="str">
        <f aca="false">IF(K900="","",I400)</f>
        <v/>
      </c>
      <c r="Q900" s="0" t="str">
        <f aca="false">IF(K900="","",FALSE())</f>
        <v/>
      </c>
      <c r="R900" s="0" t="str">
        <f aca="false">IF(K900="","",TRUE())</f>
        <v/>
      </c>
      <c r="S900" s="0" t="str">
        <f aca="false">IF(K900="","",IF(AND(Q900,R900),IF(O900=P900,"Match","Qty Different"),IF(Q900,"Only in List 1","Only in List 2")))</f>
        <v/>
      </c>
      <c r="T900" s="0" t="str">
        <f aca="false">IF(K900="","",IF(ISNUMBER(--L900),TEXT(--L900,"000000000000.000"),LOWER(L900)))</f>
        <v/>
      </c>
      <c r="U900" s="0" t="str">
        <f aca="false">IF(K900="","",IF(ISNUMBER(--M900),TEXT(--M900,"000000000000.000"),LOWER(M900)))</f>
        <v/>
      </c>
      <c r="V900" s="0" t="str">
        <f aca="false">IF(K900="","",LOWER(N900))</f>
        <v/>
      </c>
      <c r="W900" s="0" t="str">
        <f aca="false">IF(K900="","",G400)</f>
        <v/>
      </c>
      <c r="X900" s="0" t="str">
        <f aca="false">IF(K900="","",1+SUMPRODUCT(($K$2:$K$1001&lt;&gt;"")*(($T$2:$T$1001&lt;T900)+($T$2:$T$1001=T900)*(($U$2:$U$1001&lt;U900)+($U$2:$U$1001=U900)*(($V$2:$V$1001&lt;V900)+($V$2:$V$1001=V900)*(($W$2:$W$1001&lt;W900)+($W$2:$W$1001=W900)*(ROW($K$2:$K$1001)&lt;ROW(K900))))))))</f>
        <v/>
      </c>
    </row>
    <row r="901" customFormat="false" ht="15" hidden="false" customHeight="false" outlineLevel="0" collapsed="false">
      <c r="K901" s="0" t="str">
        <f aca="false">IF(H401="","",IF(SUMPRODUCT(--($C$2:$C$501=H401))&gt;0,"",H401))</f>
        <v/>
      </c>
      <c r="L901" s="0" t="str">
        <f aca="false">IF(K901="","",IF(ISNUMBER('List 2'!A401),'List 2'!A401,TRIM('List 2'!A401)))</f>
        <v/>
      </c>
      <c r="M901" s="0" t="str">
        <f aca="false">IF(K901="","",IF(ISNUMBER('List 2'!C401),'List 2'!C401,TRIM('List 2'!C401)))</f>
        <v/>
      </c>
      <c r="N901" s="0" t="str">
        <f aca="false">IF(K901="","",IF(ISNUMBER('List 2'!D401),'List 2'!D401,TRIM('List 2'!D401)))</f>
        <v/>
      </c>
      <c r="O901" s="0" t="str">
        <f aca="false">IF(K901="","",0)</f>
        <v/>
      </c>
      <c r="P901" s="0" t="str">
        <f aca="false">IF(K901="","",I401)</f>
        <v/>
      </c>
      <c r="Q901" s="0" t="str">
        <f aca="false">IF(K901="","",FALSE())</f>
        <v/>
      </c>
      <c r="R901" s="0" t="str">
        <f aca="false">IF(K901="","",TRUE())</f>
        <v/>
      </c>
      <c r="S901" s="0" t="str">
        <f aca="false">IF(K901="","",IF(AND(Q901,R901),IF(O901=P901,"Match","Qty Different"),IF(Q901,"Only in List 1","Only in List 2")))</f>
        <v/>
      </c>
      <c r="T901" s="0" t="str">
        <f aca="false">IF(K901="","",IF(ISNUMBER(--L901),TEXT(--L901,"000000000000.000"),LOWER(L901)))</f>
        <v/>
      </c>
      <c r="U901" s="0" t="str">
        <f aca="false">IF(K901="","",IF(ISNUMBER(--M901),TEXT(--M901,"000000000000.000"),LOWER(M901)))</f>
        <v/>
      </c>
      <c r="V901" s="0" t="str">
        <f aca="false">IF(K901="","",LOWER(N901))</f>
        <v/>
      </c>
      <c r="W901" s="0" t="str">
        <f aca="false">IF(K901="","",G401)</f>
        <v/>
      </c>
      <c r="X901" s="0" t="str">
        <f aca="false">IF(K901="","",1+SUMPRODUCT(($K$2:$K$1001&lt;&gt;"")*(($T$2:$T$1001&lt;T901)+($T$2:$T$1001=T901)*(($U$2:$U$1001&lt;U901)+($U$2:$U$1001=U901)*(($V$2:$V$1001&lt;V901)+($V$2:$V$1001=V901)*(($W$2:$W$1001&lt;W901)+($W$2:$W$1001=W901)*(ROW($K$2:$K$1001)&lt;ROW(K901))))))))</f>
        <v/>
      </c>
    </row>
    <row r="902" customFormat="false" ht="15" hidden="false" customHeight="false" outlineLevel="0" collapsed="false">
      <c r="K902" s="0" t="str">
        <f aca="false">IF(H402="","",IF(SUMPRODUCT(--($C$2:$C$501=H402))&gt;0,"",H402))</f>
        <v/>
      </c>
      <c r="L902" s="0" t="str">
        <f aca="false">IF(K902="","",IF(ISNUMBER('List 2'!A402),'List 2'!A402,TRIM('List 2'!A402)))</f>
        <v/>
      </c>
      <c r="M902" s="0" t="str">
        <f aca="false">IF(K902="","",IF(ISNUMBER('List 2'!C402),'List 2'!C402,TRIM('List 2'!C402)))</f>
        <v/>
      </c>
      <c r="N902" s="0" t="str">
        <f aca="false">IF(K902="","",IF(ISNUMBER('List 2'!D402),'List 2'!D402,TRIM('List 2'!D402)))</f>
        <v/>
      </c>
      <c r="O902" s="0" t="str">
        <f aca="false">IF(K902="","",0)</f>
        <v/>
      </c>
      <c r="P902" s="0" t="str">
        <f aca="false">IF(K902="","",I402)</f>
        <v/>
      </c>
      <c r="Q902" s="0" t="str">
        <f aca="false">IF(K902="","",FALSE())</f>
        <v/>
      </c>
      <c r="R902" s="0" t="str">
        <f aca="false">IF(K902="","",TRUE())</f>
        <v/>
      </c>
      <c r="S902" s="0" t="str">
        <f aca="false">IF(K902="","",IF(AND(Q902,R902),IF(O902=P902,"Match","Qty Different"),IF(Q902,"Only in List 1","Only in List 2")))</f>
        <v/>
      </c>
      <c r="T902" s="0" t="str">
        <f aca="false">IF(K902="","",IF(ISNUMBER(--L902),TEXT(--L902,"000000000000.000"),LOWER(L902)))</f>
        <v/>
      </c>
      <c r="U902" s="0" t="str">
        <f aca="false">IF(K902="","",IF(ISNUMBER(--M902),TEXT(--M902,"000000000000.000"),LOWER(M902)))</f>
        <v/>
      </c>
      <c r="V902" s="0" t="str">
        <f aca="false">IF(K902="","",LOWER(N902))</f>
        <v/>
      </c>
      <c r="W902" s="0" t="str">
        <f aca="false">IF(K902="","",G402)</f>
        <v/>
      </c>
      <c r="X902" s="0" t="str">
        <f aca="false">IF(K902="","",1+SUMPRODUCT(($K$2:$K$1001&lt;&gt;"")*(($T$2:$T$1001&lt;T902)+($T$2:$T$1001=T902)*(($U$2:$U$1001&lt;U902)+($U$2:$U$1001=U902)*(($V$2:$V$1001&lt;V902)+($V$2:$V$1001=V902)*(($W$2:$W$1001&lt;W902)+($W$2:$W$1001=W902)*(ROW($K$2:$K$1001)&lt;ROW(K902))))))))</f>
        <v/>
      </c>
    </row>
    <row r="903" customFormat="false" ht="15" hidden="false" customHeight="false" outlineLevel="0" collapsed="false">
      <c r="K903" s="0" t="str">
        <f aca="false">IF(H403="","",IF(SUMPRODUCT(--($C$2:$C$501=H403))&gt;0,"",H403))</f>
        <v/>
      </c>
      <c r="L903" s="0" t="str">
        <f aca="false">IF(K903="","",IF(ISNUMBER('List 2'!A403),'List 2'!A403,TRIM('List 2'!A403)))</f>
        <v/>
      </c>
      <c r="M903" s="0" t="str">
        <f aca="false">IF(K903="","",IF(ISNUMBER('List 2'!C403),'List 2'!C403,TRIM('List 2'!C403)))</f>
        <v/>
      </c>
      <c r="N903" s="0" t="str">
        <f aca="false">IF(K903="","",IF(ISNUMBER('List 2'!D403),'List 2'!D403,TRIM('List 2'!D403)))</f>
        <v/>
      </c>
      <c r="O903" s="0" t="str">
        <f aca="false">IF(K903="","",0)</f>
        <v/>
      </c>
      <c r="P903" s="0" t="str">
        <f aca="false">IF(K903="","",I403)</f>
        <v/>
      </c>
      <c r="Q903" s="0" t="str">
        <f aca="false">IF(K903="","",FALSE())</f>
        <v/>
      </c>
      <c r="R903" s="0" t="str">
        <f aca="false">IF(K903="","",TRUE())</f>
        <v/>
      </c>
      <c r="S903" s="0" t="str">
        <f aca="false">IF(K903="","",IF(AND(Q903,R903),IF(O903=P903,"Match","Qty Different"),IF(Q903,"Only in List 1","Only in List 2")))</f>
        <v/>
      </c>
      <c r="T903" s="0" t="str">
        <f aca="false">IF(K903="","",IF(ISNUMBER(--L903),TEXT(--L903,"000000000000.000"),LOWER(L903)))</f>
        <v/>
      </c>
      <c r="U903" s="0" t="str">
        <f aca="false">IF(K903="","",IF(ISNUMBER(--M903),TEXT(--M903,"000000000000.000"),LOWER(M903)))</f>
        <v/>
      </c>
      <c r="V903" s="0" t="str">
        <f aca="false">IF(K903="","",LOWER(N903))</f>
        <v/>
      </c>
      <c r="W903" s="0" t="str">
        <f aca="false">IF(K903="","",G403)</f>
        <v/>
      </c>
      <c r="X903" s="0" t="str">
        <f aca="false">IF(K903="","",1+SUMPRODUCT(($K$2:$K$1001&lt;&gt;"")*(($T$2:$T$1001&lt;T903)+($T$2:$T$1001=T903)*(($U$2:$U$1001&lt;U903)+($U$2:$U$1001=U903)*(($V$2:$V$1001&lt;V903)+($V$2:$V$1001=V903)*(($W$2:$W$1001&lt;W903)+($W$2:$W$1001=W903)*(ROW($K$2:$K$1001)&lt;ROW(K903))))))))</f>
        <v/>
      </c>
    </row>
    <row r="904" customFormat="false" ht="15" hidden="false" customHeight="false" outlineLevel="0" collapsed="false">
      <c r="K904" s="0" t="str">
        <f aca="false">IF(H404="","",IF(SUMPRODUCT(--($C$2:$C$501=H404))&gt;0,"",H404))</f>
        <v/>
      </c>
      <c r="L904" s="0" t="str">
        <f aca="false">IF(K904="","",IF(ISNUMBER('List 2'!A404),'List 2'!A404,TRIM('List 2'!A404)))</f>
        <v/>
      </c>
      <c r="M904" s="0" t="str">
        <f aca="false">IF(K904="","",IF(ISNUMBER('List 2'!C404),'List 2'!C404,TRIM('List 2'!C404)))</f>
        <v/>
      </c>
      <c r="N904" s="0" t="str">
        <f aca="false">IF(K904="","",IF(ISNUMBER('List 2'!D404),'List 2'!D404,TRIM('List 2'!D404)))</f>
        <v/>
      </c>
      <c r="O904" s="0" t="str">
        <f aca="false">IF(K904="","",0)</f>
        <v/>
      </c>
      <c r="P904" s="0" t="str">
        <f aca="false">IF(K904="","",I404)</f>
        <v/>
      </c>
      <c r="Q904" s="0" t="str">
        <f aca="false">IF(K904="","",FALSE())</f>
        <v/>
      </c>
      <c r="R904" s="0" t="str">
        <f aca="false">IF(K904="","",TRUE())</f>
        <v/>
      </c>
      <c r="S904" s="0" t="str">
        <f aca="false">IF(K904="","",IF(AND(Q904,R904),IF(O904=P904,"Match","Qty Different"),IF(Q904,"Only in List 1","Only in List 2")))</f>
        <v/>
      </c>
      <c r="T904" s="0" t="str">
        <f aca="false">IF(K904="","",IF(ISNUMBER(--L904),TEXT(--L904,"000000000000.000"),LOWER(L904)))</f>
        <v/>
      </c>
      <c r="U904" s="0" t="str">
        <f aca="false">IF(K904="","",IF(ISNUMBER(--M904),TEXT(--M904,"000000000000.000"),LOWER(M904)))</f>
        <v/>
      </c>
      <c r="V904" s="0" t="str">
        <f aca="false">IF(K904="","",LOWER(N904))</f>
        <v/>
      </c>
      <c r="W904" s="0" t="str">
        <f aca="false">IF(K904="","",G404)</f>
        <v/>
      </c>
      <c r="X904" s="0" t="str">
        <f aca="false">IF(K904="","",1+SUMPRODUCT(($K$2:$K$1001&lt;&gt;"")*(($T$2:$T$1001&lt;T904)+($T$2:$T$1001=T904)*(($U$2:$U$1001&lt;U904)+($U$2:$U$1001=U904)*(($V$2:$V$1001&lt;V904)+($V$2:$V$1001=V904)*(($W$2:$W$1001&lt;W904)+($W$2:$W$1001=W904)*(ROW($K$2:$K$1001)&lt;ROW(K904))))))))</f>
        <v/>
      </c>
    </row>
    <row r="905" customFormat="false" ht="15" hidden="false" customHeight="false" outlineLevel="0" collapsed="false">
      <c r="K905" s="0" t="str">
        <f aca="false">IF(H405="","",IF(SUMPRODUCT(--($C$2:$C$501=H405))&gt;0,"",H405))</f>
        <v/>
      </c>
      <c r="L905" s="0" t="str">
        <f aca="false">IF(K905="","",IF(ISNUMBER('List 2'!A405),'List 2'!A405,TRIM('List 2'!A405)))</f>
        <v/>
      </c>
      <c r="M905" s="0" t="str">
        <f aca="false">IF(K905="","",IF(ISNUMBER('List 2'!C405),'List 2'!C405,TRIM('List 2'!C405)))</f>
        <v/>
      </c>
      <c r="N905" s="0" t="str">
        <f aca="false">IF(K905="","",IF(ISNUMBER('List 2'!D405),'List 2'!D405,TRIM('List 2'!D405)))</f>
        <v/>
      </c>
      <c r="O905" s="0" t="str">
        <f aca="false">IF(K905="","",0)</f>
        <v/>
      </c>
      <c r="P905" s="0" t="str">
        <f aca="false">IF(K905="","",I405)</f>
        <v/>
      </c>
      <c r="Q905" s="0" t="str">
        <f aca="false">IF(K905="","",FALSE())</f>
        <v/>
      </c>
      <c r="R905" s="0" t="str">
        <f aca="false">IF(K905="","",TRUE())</f>
        <v/>
      </c>
      <c r="S905" s="0" t="str">
        <f aca="false">IF(K905="","",IF(AND(Q905,R905),IF(O905=P905,"Match","Qty Different"),IF(Q905,"Only in List 1","Only in List 2")))</f>
        <v/>
      </c>
      <c r="T905" s="0" t="str">
        <f aca="false">IF(K905="","",IF(ISNUMBER(--L905),TEXT(--L905,"000000000000.000"),LOWER(L905)))</f>
        <v/>
      </c>
      <c r="U905" s="0" t="str">
        <f aca="false">IF(K905="","",IF(ISNUMBER(--M905),TEXT(--M905,"000000000000.000"),LOWER(M905)))</f>
        <v/>
      </c>
      <c r="V905" s="0" t="str">
        <f aca="false">IF(K905="","",LOWER(N905))</f>
        <v/>
      </c>
      <c r="W905" s="0" t="str">
        <f aca="false">IF(K905="","",G405)</f>
        <v/>
      </c>
      <c r="X905" s="0" t="str">
        <f aca="false">IF(K905="","",1+SUMPRODUCT(($K$2:$K$1001&lt;&gt;"")*(($T$2:$T$1001&lt;T905)+($T$2:$T$1001=T905)*(($U$2:$U$1001&lt;U905)+($U$2:$U$1001=U905)*(($V$2:$V$1001&lt;V905)+($V$2:$V$1001=V905)*(($W$2:$W$1001&lt;W905)+($W$2:$W$1001=W905)*(ROW($K$2:$K$1001)&lt;ROW(K905))))))))</f>
        <v/>
      </c>
    </row>
    <row r="906" customFormat="false" ht="15" hidden="false" customHeight="false" outlineLevel="0" collapsed="false">
      <c r="K906" s="0" t="str">
        <f aca="false">IF(H406="","",IF(SUMPRODUCT(--($C$2:$C$501=H406))&gt;0,"",H406))</f>
        <v/>
      </c>
      <c r="L906" s="0" t="str">
        <f aca="false">IF(K906="","",IF(ISNUMBER('List 2'!A406),'List 2'!A406,TRIM('List 2'!A406)))</f>
        <v/>
      </c>
      <c r="M906" s="0" t="str">
        <f aca="false">IF(K906="","",IF(ISNUMBER('List 2'!C406),'List 2'!C406,TRIM('List 2'!C406)))</f>
        <v/>
      </c>
      <c r="N906" s="0" t="str">
        <f aca="false">IF(K906="","",IF(ISNUMBER('List 2'!D406),'List 2'!D406,TRIM('List 2'!D406)))</f>
        <v/>
      </c>
      <c r="O906" s="0" t="str">
        <f aca="false">IF(K906="","",0)</f>
        <v/>
      </c>
      <c r="P906" s="0" t="str">
        <f aca="false">IF(K906="","",I406)</f>
        <v/>
      </c>
      <c r="Q906" s="0" t="str">
        <f aca="false">IF(K906="","",FALSE())</f>
        <v/>
      </c>
      <c r="R906" s="0" t="str">
        <f aca="false">IF(K906="","",TRUE())</f>
        <v/>
      </c>
      <c r="S906" s="0" t="str">
        <f aca="false">IF(K906="","",IF(AND(Q906,R906),IF(O906=P906,"Match","Qty Different"),IF(Q906,"Only in List 1","Only in List 2")))</f>
        <v/>
      </c>
      <c r="T906" s="0" t="str">
        <f aca="false">IF(K906="","",IF(ISNUMBER(--L906),TEXT(--L906,"000000000000.000"),LOWER(L906)))</f>
        <v/>
      </c>
      <c r="U906" s="0" t="str">
        <f aca="false">IF(K906="","",IF(ISNUMBER(--M906),TEXT(--M906,"000000000000.000"),LOWER(M906)))</f>
        <v/>
      </c>
      <c r="V906" s="0" t="str">
        <f aca="false">IF(K906="","",LOWER(N906))</f>
        <v/>
      </c>
      <c r="W906" s="0" t="str">
        <f aca="false">IF(K906="","",G406)</f>
        <v/>
      </c>
      <c r="X906" s="0" t="str">
        <f aca="false">IF(K906="","",1+SUMPRODUCT(($K$2:$K$1001&lt;&gt;"")*(($T$2:$T$1001&lt;T906)+($T$2:$T$1001=T906)*(($U$2:$U$1001&lt;U906)+($U$2:$U$1001=U906)*(($V$2:$V$1001&lt;V906)+($V$2:$V$1001=V906)*(($W$2:$W$1001&lt;W906)+($W$2:$W$1001=W906)*(ROW($K$2:$K$1001)&lt;ROW(K906))))))))</f>
        <v/>
      </c>
    </row>
    <row r="907" customFormat="false" ht="15" hidden="false" customHeight="false" outlineLevel="0" collapsed="false">
      <c r="K907" s="0" t="str">
        <f aca="false">IF(H407="","",IF(SUMPRODUCT(--($C$2:$C$501=H407))&gt;0,"",H407))</f>
        <v/>
      </c>
      <c r="L907" s="0" t="str">
        <f aca="false">IF(K907="","",IF(ISNUMBER('List 2'!A407),'List 2'!A407,TRIM('List 2'!A407)))</f>
        <v/>
      </c>
      <c r="M907" s="0" t="str">
        <f aca="false">IF(K907="","",IF(ISNUMBER('List 2'!C407),'List 2'!C407,TRIM('List 2'!C407)))</f>
        <v/>
      </c>
      <c r="N907" s="0" t="str">
        <f aca="false">IF(K907="","",IF(ISNUMBER('List 2'!D407),'List 2'!D407,TRIM('List 2'!D407)))</f>
        <v/>
      </c>
      <c r="O907" s="0" t="str">
        <f aca="false">IF(K907="","",0)</f>
        <v/>
      </c>
      <c r="P907" s="0" t="str">
        <f aca="false">IF(K907="","",I407)</f>
        <v/>
      </c>
      <c r="Q907" s="0" t="str">
        <f aca="false">IF(K907="","",FALSE())</f>
        <v/>
      </c>
      <c r="R907" s="0" t="str">
        <f aca="false">IF(K907="","",TRUE())</f>
        <v/>
      </c>
      <c r="S907" s="0" t="str">
        <f aca="false">IF(K907="","",IF(AND(Q907,R907),IF(O907=P907,"Match","Qty Different"),IF(Q907,"Only in List 1","Only in List 2")))</f>
        <v/>
      </c>
      <c r="T907" s="0" t="str">
        <f aca="false">IF(K907="","",IF(ISNUMBER(--L907),TEXT(--L907,"000000000000.000"),LOWER(L907)))</f>
        <v/>
      </c>
      <c r="U907" s="0" t="str">
        <f aca="false">IF(K907="","",IF(ISNUMBER(--M907),TEXT(--M907,"000000000000.000"),LOWER(M907)))</f>
        <v/>
      </c>
      <c r="V907" s="0" t="str">
        <f aca="false">IF(K907="","",LOWER(N907))</f>
        <v/>
      </c>
      <c r="W907" s="0" t="str">
        <f aca="false">IF(K907="","",G407)</f>
        <v/>
      </c>
      <c r="X907" s="0" t="str">
        <f aca="false">IF(K907="","",1+SUMPRODUCT(($K$2:$K$1001&lt;&gt;"")*(($T$2:$T$1001&lt;T907)+($T$2:$T$1001=T907)*(($U$2:$U$1001&lt;U907)+($U$2:$U$1001=U907)*(($V$2:$V$1001&lt;V907)+($V$2:$V$1001=V907)*(($W$2:$W$1001&lt;W907)+($W$2:$W$1001=W907)*(ROW($K$2:$K$1001)&lt;ROW(K907))))))))</f>
        <v/>
      </c>
    </row>
    <row r="908" customFormat="false" ht="15" hidden="false" customHeight="false" outlineLevel="0" collapsed="false">
      <c r="K908" s="0" t="str">
        <f aca="false">IF(H408="","",IF(SUMPRODUCT(--($C$2:$C$501=H408))&gt;0,"",H408))</f>
        <v/>
      </c>
      <c r="L908" s="0" t="str">
        <f aca="false">IF(K908="","",IF(ISNUMBER('List 2'!A408),'List 2'!A408,TRIM('List 2'!A408)))</f>
        <v/>
      </c>
      <c r="M908" s="0" t="str">
        <f aca="false">IF(K908="","",IF(ISNUMBER('List 2'!C408),'List 2'!C408,TRIM('List 2'!C408)))</f>
        <v/>
      </c>
      <c r="N908" s="0" t="str">
        <f aca="false">IF(K908="","",IF(ISNUMBER('List 2'!D408),'List 2'!D408,TRIM('List 2'!D408)))</f>
        <v/>
      </c>
      <c r="O908" s="0" t="str">
        <f aca="false">IF(K908="","",0)</f>
        <v/>
      </c>
      <c r="P908" s="0" t="str">
        <f aca="false">IF(K908="","",I408)</f>
        <v/>
      </c>
      <c r="Q908" s="0" t="str">
        <f aca="false">IF(K908="","",FALSE())</f>
        <v/>
      </c>
      <c r="R908" s="0" t="str">
        <f aca="false">IF(K908="","",TRUE())</f>
        <v/>
      </c>
      <c r="S908" s="0" t="str">
        <f aca="false">IF(K908="","",IF(AND(Q908,R908),IF(O908=P908,"Match","Qty Different"),IF(Q908,"Only in List 1","Only in List 2")))</f>
        <v/>
      </c>
      <c r="T908" s="0" t="str">
        <f aca="false">IF(K908="","",IF(ISNUMBER(--L908),TEXT(--L908,"000000000000.000"),LOWER(L908)))</f>
        <v/>
      </c>
      <c r="U908" s="0" t="str">
        <f aca="false">IF(K908="","",IF(ISNUMBER(--M908),TEXT(--M908,"000000000000.000"),LOWER(M908)))</f>
        <v/>
      </c>
      <c r="V908" s="0" t="str">
        <f aca="false">IF(K908="","",LOWER(N908))</f>
        <v/>
      </c>
      <c r="W908" s="0" t="str">
        <f aca="false">IF(K908="","",G408)</f>
        <v/>
      </c>
      <c r="X908" s="0" t="str">
        <f aca="false">IF(K908="","",1+SUMPRODUCT(($K$2:$K$1001&lt;&gt;"")*(($T$2:$T$1001&lt;T908)+($T$2:$T$1001=T908)*(($U$2:$U$1001&lt;U908)+($U$2:$U$1001=U908)*(($V$2:$V$1001&lt;V908)+($V$2:$V$1001=V908)*(($W$2:$W$1001&lt;W908)+($W$2:$W$1001=W908)*(ROW($K$2:$K$1001)&lt;ROW(K908))))))))</f>
        <v/>
      </c>
    </row>
    <row r="909" customFormat="false" ht="15" hidden="false" customHeight="false" outlineLevel="0" collapsed="false">
      <c r="K909" s="0" t="str">
        <f aca="false">IF(H409="","",IF(SUMPRODUCT(--($C$2:$C$501=H409))&gt;0,"",H409))</f>
        <v/>
      </c>
      <c r="L909" s="0" t="str">
        <f aca="false">IF(K909="","",IF(ISNUMBER('List 2'!A409),'List 2'!A409,TRIM('List 2'!A409)))</f>
        <v/>
      </c>
      <c r="M909" s="0" t="str">
        <f aca="false">IF(K909="","",IF(ISNUMBER('List 2'!C409),'List 2'!C409,TRIM('List 2'!C409)))</f>
        <v/>
      </c>
      <c r="N909" s="0" t="str">
        <f aca="false">IF(K909="","",IF(ISNUMBER('List 2'!D409),'List 2'!D409,TRIM('List 2'!D409)))</f>
        <v/>
      </c>
      <c r="O909" s="0" t="str">
        <f aca="false">IF(K909="","",0)</f>
        <v/>
      </c>
      <c r="P909" s="0" t="str">
        <f aca="false">IF(K909="","",I409)</f>
        <v/>
      </c>
      <c r="Q909" s="0" t="str">
        <f aca="false">IF(K909="","",FALSE())</f>
        <v/>
      </c>
      <c r="R909" s="0" t="str">
        <f aca="false">IF(K909="","",TRUE())</f>
        <v/>
      </c>
      <c r="S909" s="0" t="str">
        <f aca="false">IF(K909="","",IF(AND(Q909,R909),IF(O909=P909,"Match","Qty Different"),IF(Q909,"Only in List 1","Only in List 2")))</f>
        <v/>
      </c>
      <c r="T909" s="0" t="str">
        <f aca="false">IF(K909="","",IF(ISNUMBER(--L909),TEXT(--L909,"000000000000.000"),LOWER(L909)))</f>
        <v/>
      </c>
      <c r="U909" s="0" t="str">
        <f aca="false">IF(K909="","",IF(ISNUMBER(--M909),TEXT(--M909,"000000000000.000"),LOWER(M909)))</f>
        <v/>
      </c>
      <c r="V909" s="0" t="str">
        <f aca="false">IF(K909="","",LOWER(N909))</f>
        <v/>
      </c>
      <c r="W909" s="0" t="str">
        <f aca="false">IF(K909="","",G409)</f>
        <v/>
      </c>
      <c r="X909" s="0" t="str">
        <f aca="false">IF(K909="","",1+SUMPRODUCT(($K$2:$K$1001&lt;&gt;"")*(($T$2:$T$1001&lt;T909)+($T$2:$T$1001=T909)*(($U$2:$U$1001&lt;U909)+($U$2:$U$1001=U909)*(($V$2:$V$1001&lt;V909)+($V$2:$V$1001=V909)*(($W$2:$W$1001&lt;W909)+($W$2:$W$1001=W909)*(ROW($K$2:$K$1001)&lt;ROW(K909))))))))</f>
        <v/>
      </c>
    </row>
    <row r="910" customFormat="false" ht="15" hidden="false" customHeight="false" outlineLevel="0" collapsed="false">
      <c r="K910" s="0" t="str">
        <f aca="false">IF(H410="","",IF(SUMPRODUCT(--($C$2:$C$501=H410))&gt;0,"",H410))</f>
        <v/>
      </c>
      <c r="L910" s="0" t="str">
        <f aca="false">IF(K910="","",IF(ISNUMBER('List 2'!A410),'List 2'!A410,TRIM('List 2'!A410)))</f>
        <v/>
      </c>
      <c r="M910" s="0" t="str">
        <f aca="false">IF(K910="","",IF(ISNUMBER('List 2'!C410),'List 2'!C410,TRIM('List 2'!C410)))</f>
        <v/>
      </c>
      <c r="N910" s="0" t="str">
        <f aca="false">IF(K910="","",IF(ISNUMBER('List 2'!D410),'List 2'!D410,TRIM('List 2'!D410)))</f>
        <v/>
      </c>
      <c r="O910" s="0" t="str">
        <f aca="false">IF(K910="","",0)</f>
        <v/>
      </c>
      <c r="P910" s="0" t="str">
        <f aca="false">IF(K910="","",I410)</f>
        <v/>
      </c>
      <c r="Q910" s="0" t="str">
        <f aca="false">IF(K910="","",FALSE())</f>
        <v/>
      </c>
      <c r="R910" s="0" t="str">
        <f aca="false">IF(K910="","",TRUE())</f>
        <v/>
      </c>
      <c r="S910" s="0" t="str">
        <f aca="false">IF(K910="","",IF(AND(Q910,R910),IF(O910=P910,"Match","Qty Different"),IF(Q910,"Only in List 1","Only in List 2")))</f>
        <v/>
      </c>
      <c r="T910" s="0" t="str">
        <f aca="false">IF(K910="","",IF(ISNUMBER(--L910),TEXT(--L910,"000000000000.000"),LOWER(L910)))</f>
        <v/>
      </c>
      <c r="U910" s="0" t="str">
        <f aca="false">IF(K910="","",IF(ISNUMBER(--M910),TEXT(--M910,"000000000000.000"),LOWER(M910)))</f>
        <v/>
      </c>
      <c r="V910" s="0" t="str">
        <f aca="false">IF(K910="","",LOWER(N910))</f>
        <v/>
      </c>
      <c r="W910" s="0" t="str">
        <f aca="false">IF(K910="","",G410)</f>
        <v/>
      </c>
      <c r="X910" s="0" t="str">
        <f aca="false">IF(K910="","",1+SUMPRODUCT(($K$2:$K$1001&lt;&gt;"")*(($T$2:$T$1001&lt;T910)+($T$2:$T$1001=T910)*(($U$2:$U$1001&lt;U910)+($U$2:$U$1001=U910)*(($V$2:$V$1001&lt;V910)+($V$2:$V$1001=V910)*(($W$2:$W$1001&lt;W910)+($W$2:$W$1001=W910)*(ROW($K$2:$K$1001)&lt;ROW(K910))))))))</f>
        <v/>
      </c>
    </row>
    <row r="911" customFormat="false" ht="15" hidden="false" customHeight="false" outlineLevel="0" collapsed="false">
      <c r="K911" s="0" t="str">
        <f aca="false">IF(H411="","",IF(SUMPRODUCT(--($C$2:$C$501=H411))&gt;0,"",H411))</f>
        <v/>
      </c>
      <c r="L911" s="0" t="str">
        <f aca="false">IF(K911="","",IF(ISNUMBER('List 2'!A411),'List 2'!A411,TRIM('List 2'!A411)))</f>
        <v/>
      </c>
      <c r="M911" s="0" t="str">
        <f aca="false">IF(K911="","",IF(ISNUMBER('List 2'!C411),'List 2'!C411,TRIM('List 2'!C411)))</f>
        <v/>
      </c>
      <c r="N911" s="0" t="str">
        <f aca="false">IF(K911="","",IF(ISNUMBER('List 2'!D411),'List 2'!D411,TRIM('List 2'!D411)))</f>
        <v/>
      </c>
      <c r="O911" s="0" t="str">
        <f aca="false">IF(K911="","",0)</f>
        <v/>
      </c>
      <c r="P911" s="0" t="str">
        <f aca="false">IF(K911="","",I411)</f>
        <v/>
      </c>
      <c r="Q911" s="0" t="str">
        <f aca="false">IF(K911="","",FALSE())</f>
        <v/>
      </c>
      <c r="R911" s="0" t="str">
        <f aca="false">IF(K911="","",TRUE())</f>
        <v/>
      </c>
      <c r="S911" s="0" t="str">
        <f aca="false">IF(K911="","",IF(AND(Q911,R911),IF(O911=P911,"Match","Qty Different"),IF(Q911,"Only in List 1","Only in List 2")))</f>
        <v/>
      </c>
      <c r="T911" s="0" t="str">
        <f aca="false">IF(K911="","",IF(ISNUMBER(--L911),TEXT(--L911,"000000000000.000"),LOWER(L911)))</f>
        <v/>
      </c>
      <c r="U911" s="0" t="str">
        <f aca="false">IF(K911="","",IF(ISNUMBER(--M911),TEXT(--M911,"000000000000.000"),LOWER(M911)))</f>
        <v/>
      </c>
      <c r="V911" s="0" t="str">
        <f aca="false">IF(K911="","",LOWER(N911))</f>
        <v/>
      </c>
      <c r="W911" s="0" t="str">
        <f aca="false">IF(K911="","",G411)</f>
        <v/>
      </c>
      <c r="X911" s="0" t="str">
        <f aca="false">IF(K911="","",1+SUMPRODUCT(($K$2:$K$1001&lt;&gt;"")*(($T$2:$T$1001&lt;T911)+($T$2:$T$1001=T911)*(($U$2:$U$1001&lt;U911)+($U$2:$U$1001=U911)*(($V$2:$V$1001&lt;V911)+($V$2:$V$1001=V911)*(($W$2:$W$1001&lt;W911)+($W$2:$W$1001=W911)*(ROW($K$2:$K$1001)&lt;ROW(K911))))))))</f>
        <v/>
      </c>
    </row>
    <row r="912" customFormat="false" ht="15" hidden="false" customHeight="false" outlineLevel="0" collapsed="false">
      <c r="K912" s="0" t="str">
        <f aca="false">IF(H412="","",IF(SUMPRODUCT(--($C$2:$C$501=H412))&gt;0,"",H412))</f>
        <v/>
      </c>
      <c r="L912" s="0" t="str">
        <f aca="false">IF(K912="","",IF(ISNUMBER('List 2'!A412),'List 2'!A412,TRIM('List 2'!A412)))</f>
        <v/>
      </c>
      <c r="M912" s="0" t="str">
        <f aca="false">IF(K912="","",IF(ISNUMBER('List 2'!C412),'List 2'!C412,TRIM('List 2'!C412)))</f>
        <v/>
      </c>
      <c r="N912" s="0" t="str">
        <f aca="false">IF(K912="","",IF(ISNUMBER('List 2'!D412),'List 2'!D412,TRIM('List 2'!D412)))</f>
        <v/>
      </c>
      <c r="O912" s="0" t="str">
        <f aca="false">IF(K912="","",0)</f>
        <v/>
      </c>
      <c r="P912" s="0" t="str">
        <f aca="false">IF(K912="","",I412)</f>
        <v/>
      </c>
      <c r="Q912" s="0" t="str">
        <f aca="false">IF(K912="","",FALSE())</f>
        <v/>
      </c>
      <c r="R912" s="0" t="str">
        <f aca="false">IF(K912="","",TRUE())</f>
        <v/>
      </c>
      <c r="S912" s="0" t="str">
        <f aca="false">IF(K912="","",IF(AND(Q912,R912),IF(O912=P912,"Match","Qty Different"),IF(Q912,"Only in List 1","Only in List 2")))</f>
        <v/>
      </c>
      <c r="T912" s="0" t="str">
        <f aca="false">IF(K912="","",IF(ISNUMBER(--L912),TEXT(--L912,"000000000000.000"),LOWER(L912)))</f>
        <v/>
      </c>
      <c r="U912" s="0" t="str">
        <f aca="false">IF(K912="","",IF(ISNUMBER(--M912),TEXT(--M912,"000000000000.000"),LOWER(M912)))</f>
        <v/>
      </c>
      <c r="V912" s="0" t="str">
        <f aca="false">IF(K912="","",LOWER(N912))</f>
        <v/>
      </c>
      <c r="W912" s="0" t="str">
        <f aca="false">IF(K912="","",G412)</f>
        <v/>
      </c>
      <c r="X912" s="0" t="str">
        <f aca="false">IF(K912="","",1+SUMPRODUCT(($K$2:$K$1001&lt;&gt;"")*(($T$2:$T$1001&lt;T912)+($T$2:$T$1001=T912)*(($U$2:$U$1001&lt;U912)+($U$2:$U$1001=U912)*(($V$2:$V$1001&lt;V912)+($V$2:$V$1001=V912)*(($W$2:$W$1001&lt;W912)+($W$2:$W$1001=W912)*(ROW($K$2:$K$1001)&lt;ROW(K912))))))))</f>
        <v/>
      </c>
    </row>
    <row r="913" customFormat="false" ht="15" hidden="false" customHeight="false" outlineLevel="0" collapsed="false">
      <c r="K913" s="0" t="str">
        <f aca="false">IF(H413="","",IF(SUMPRODUCT(--($C$2:$C$501=H413))&gt;0,"",H413))</f>
        <v/>
      </c>
      <c r="L913" s="0" t="str">
        <f aca="false">IF(K913="","",IF(ISNUMBER('List 2'!A413),'List 2'!A413,TRIM('List 2'!A413)))</f>
        <v/>
      </c>
      <c r="M913" s="0" t="str">
        <f aca="false">IF(K913="","",IF(ISNUMBER('List 2'!C413),'List 2'!C413,TRIM('List 2'!C413)))</f>
        <v/>
      </c>
      <c r="N913" s="0" t="str">
        <f aca="false">IF(K913="","",IF(ISNUMBER('List 2'!D413),'List 2'!D413,TRIM('List 2'!D413)))</f>
        <v/>
      </c>
      <c r="O913" s="0" t="str">
        <f aca="false">IF(K913="","",0)</f>
        <v/>
      </c>
      <c r="P913" s="0" t="str">
        <f aca="false">IF(K913="","",I413)</f>
        <v/>
      </c>
      <c r="Q913" s="0" t="str">
        <f aca="false">IF(K913="","",FALSE())</f>
        <v/>
      </c>
      <c r="R913" s="0" t="str">
        <f aca="false">IF(K913="","",TRUE())</f>
        <v/>
      </c>
      <c r="S913" s="0" t="str">
        <f aca="false">IF(K913="","",IF(AND(Q913,R913),IF(O913=P913,"Match","Qty Different"),IF(Q913,"Only in List 1","Only in List 2")))</f>
        <v/>
      </c>
      <c r="T913" s="0" t="str">
        <f aca="false">IF(K913="","",IF(ISNUMBER(--L913),TEXT(--L913,"000000000000.000"),LOWER(L913)))</f>
        <v/>
      </c>
      <c r="U913" s="0" t="str">
        <f aca="false">IF(K913="","",IF(ISNUMBER(--M913),TEXT(--M913,"000000000000.000"),LOWER(M913)))</f>
        <v/>
      </c>
      <c r="V913" s="0" t="str">
        <f aca="false">IF(K913="","",LOWER(N913))</f>
        <v/>
      </c>
      <c r="W913" s="0" t="str">
        <f aca="false">IF(K913="","",G413)</f>
        <v/>
      </c>
      <c r="X913" s="0" t="str">
        <f aca="false">IF(K913="","",1+SUMPRODUCT(($K$2:$K$1001&lt;&gt;"")*(($T$2:$T$1001&lt;T913)+($T$2:$T$1001=T913)*(($U$2:$U$1001&lt;U913)+($U$2:$U$1001=U913)*(($V$2:$V$1001&lt;V913)+($V$2:$V$1001=V913)*(($W$2:$W$1001&lt;W913)+($W$2:$W$1001=W913)*(ROW($K$2:$K$1001)&lt;ROW(K913))))))))</f>
        <v/>
      </c>
    </row>
    <row r="914" customFormat="false" ht="15" hidden="false" customHeight="false" outlineLevel="0" collapsed="false">
      <c r="K914" s="0" t="str">
        <f aca="false">IF(H414="","",IF(SUMPRODUCT(--($C$2:$C$501=H414))&gt;0,"",H414))</f>
        <v/>
      </c>
      <c r="L914" s="0" t="str">
        <f aca="false">IF(K914="","",IF(ISNUMBER('List 2'!A414),'List 2'!A414,TRIM('List 2'!A414)))</f>
        <v/>
      </c>
      <c r="M914" s="0" t="str">
        <f aca="false">IF(K914="","",IF(ISNUMBER('List 2'!C414),'List 2'!C414,TRIM('List 2'!C414)))</f>
        <v/>
      </c>
      <c r="N914" s="0" t="str">
        <f aca="false">IF(K914="","",IF(ISNUMBER('List 2'!D414),'List 2'!D414,TRIM('List 2'!D414)))</f>
        <v/>
      </c>
      <c r="O914" s="0" t="str">
        <f aca="false">IF(K914="","",0)</f>
        <v/>
      </c>
      <c r="P914" s="0" t="str">
        <f aca="false">IF(K914="","",I414)</f>
        <v/>
      </c>
      <c r="Q914" s="0" t="str">
        <f aca="false">IF(K914="","",FALSE())</f>
        <v/>
      </c>
      <c r="R914" s="0" t="str">
        <f aca="false">IF(K914="","",TRUE())</f>
        <v/>
      </c>
      <c r="S914" s="0" t="str">
        <f aca="false">IF(K914="","",IF(AND(Q914,R914),IF(O914=P914,"Match","Qty Different"),IF(Q914,"Only in List 1","Only in List 2")))</f>
        <v/>
      </c>
      <c r="T914" s="0" t="str">
        <f aca="false">IF(K914="","",IF(ISNUMBER(--L914),TEXT(--L914,"000000000000.000"),LOWER(L914)))</f>
        <v/>
      </c>
      <c r="U914" s="0" t="str">
        <f aca="false">IF(K914="","",IF(ISNUMBER(--M914),TEXT(--M914,"000000000000.000"),LOWER(M914)))</f>
        <v/>
      </c>
      <c r="V914" s="0" t="str">
        <f aca="false">IF(K914="","",LOWER(N914))</f>
        <v/>
      </c>
      <c r="W914" s="0" t="str">
        <f aca="false">IF(K914="","",G414)</f>
        <v/>
      </c>
      <c r="X914" s="0" t="str">
        <f aca="false">IF(K914="","",1+SUMPRODUCT(($K$2:$K$1001&lt;&gt;"")*(($T$2:$T$1001&lt;T914)+($T$2:$T$1001=T914)*(($U$2:$U$1001&lt;U914)+($U$2:$U$1001=U914)*(($V$2:$V$1001&lt;V914)+($V$2:$V$1001=V914)*(($W$2:$W$1001&lt;W914)+($W$2:$W$1001=W914)*(ROW($K$2:$K$1001)&lt;ROW(K914))))))))</f>
        <v/>
      </c>
    </row>
    <row r="915" customFormat="false" ht="15" hidden="false" customHeight="false" outlineLevel="0" collapsed="false">
      <c r="K915" s="0" t="str">
        <f aca="false">IF(H415="","",IF(SUMPRODUCT(--($C$2:$C$501=H415))&gt;0,"",H415))</f>
        <v/>
      </c>
      <c r="L915" s="0" t="str">
        <f aca="false">IF(K915="","",IF(ISNUMBER('List 2'!A415),'List 2'!A415,TRIM('List 2'!A415)))</f>
        <v/>
      </c>
      <c r="M915" s="0" t="str">
        <f aca="false">IF(K915="","",IF(ISNUMBER('List 2'!C415),'List 2'!C415,TRIM('List 2'!C415)))</f>
        <v/>
      </c>
      <c r="N915" s="0" t="str">
        <f aca="false">IF(K915="","",IF(ISNUMBER('List 2'!D415),'List 2'!D415,TRIM('List 2'!D415)))</f>
        <v/>
      </c>
      <c r="O915" s="0" t="str">
        <f aca="false">IF(K915="","",0)</f>
        <v/>
      </c>
      <c r="P915" s="0" t="str">
        <f aca="false">IF(K915="","",I415)</f>
        <v/>
      </c>
      <c r="Q915" s="0" t="str">
        <f aca="false">IF(K915="","",FALSE())</f>
        <v/>
      </c>
      <c r="R915" s="0" t="str">
        <f aca="false">IF(K915="","",TRUE())</f>
        <v/>
      </c>
      <c r="S915" s="0" t="str">
        <f aca="false">IF(K915="","",IF(AND(Q915,R915),IF(O915=P915,"Match","Qty Different"),IF(Q915,"Only in List 1","Only in List 2")))</f>
        <v/>
      </c>
      <c r="T915" s="0" t="str">
        <f aca="false">IF(K915="","",IF(ISNUMBER(--L915),TEXT(--L915,"000000000000.000"),LOWER(L915)))</f>
        <v/>
      </c>
      <c r="U915" s="0" t="str">
        <f aca="false">IF(K915="","",IF(ISNUMBER(--M915),TEXT(--M915,"000000000000.000"),LOWER(M915)))</f>
        <v/>
      </c>
      <c r="V915" s="0" t="str">
        <f aca="false">IF(K915="","",LOWER(N915))</f>
        <v/>
      </c>
      <c r="W915" s="0" t="str">
        <f aca="false">IF(K915="","",G415)</f>
        <v/>
      </c>
      <c r="X915" s="0" t="str">
        <f aca="false">IF(K915="","",1+SUMPRODUCT(($K$2:$K$1001&lt;&gt;"")*(($T$2:$T$1001&lt;T915)+($T$2:$T$1001=T915)*(($U$2:$U$1001&lt;U915)+($U$2:$U$1001=U915)*(($V$2:$V$1001&lt;V915)+($V$2:$V$1001=V915)*(($W$2:$W$1001&lt;W915)+($W$2:$W$1001=W915)*(ROW($K$2:$K$1001)&lt;ROW(K915))))))))</f>
        <v/>
      </c>
    </row>
    <row r="916" customFormat="false" ht="15" hidden="false" customHeight="false" outlineLevel="0" collapsed="false">
      <c r="K916" s="0" t="str">
        <f aca="false">IF(H416="","",IF(SUMPRODUCT(--($C$2:$C$501=H416))&gt;0,"",H416))</f>
        <v/>
      </c>
      <c r="L916" s="0" t="str">
        <f aca="false">IF(K916="","",IF(ISNUMBER('List 2'!A416),'List 2'!A416,TRIM('List 2'!A416)))</f>
        <v/>
      </c>
      <c r="M916" s="0" t="str">
        <f aca="false">IF(K916="","",IF(ISNUMBER('List 2'!C416),'List 2'!C416,TRIM('List 2'!C416)))</f>
        <v/>
      </c>
      <c r="N916" s="0" t="str">
        <f aca="false">IF(K916="","",IF(ISNUMBER('List 2'!D416),'List 2'!D416,TRIM('List 2'!D416)))</f>
        <v/>
      </c>
      <c r="O916" s="0" t="str">
        <f aca="false">IF(K916="","",0)</f>
        <v/>
      </c>
      <c r="P916" s="0" t="str">
        <f aca="false">IF(K916="","",I416)</f>
        <v/>
      </c>
      <c r="Q916" s="0" t="str">
        <f aca="false">IF(K916="","",FALSE())</f>
        <v/>
      </c>
      <c r="R916" s="0" t="str">
        <f aca="false">IF(K916="","",TRUE())</f>
        <v/>
      </c>
      <c r="S916" s="0" t="str">
        <f aca="false">IF(K916="","",IF(AND(Q916,R916),IF(O916=P916,"Match","Qty Different"),IF(Q916,"Only in List 1","Only in List 2")))</f>
        <v/>
      </c>
      <c r="T916" s="0" t="str">
        <f aca="false">IF(K916="","",IF(ISNUMBER(--L916),TEXT(--L916,"000000000000.000"),LOWER(L916)))</f>
        <v/>
      </c>
      <c r="U916" s="0" t="str">
        <f aca="false">IF(K916="","",IF(ISNUMBER(--M916),TEXT(--M916,"000000000000.000"),LOWER(M916)))</f>
        <v/>
      </c>
      <c r="V916" s="0" t="str">
        <f aca="false">IF(K916="","",LOWER(N916))</f>
        <v/>
      </c>
      <c r="W916" s="0" t="str">
        <f aca="false">IF(K916="","",G416)</f>
        <v/>
      </c>
      <c r="X916" s="0" t="str">
        <f aca="false">IF(K916="","",1+SUMPRODUCT(($K$2:$K$1001&lt;&gt;"")*(($T$2:$T$1001&lt;T916)+($T$2:$T$1001=T916)*(($U$2:$U$1001&lt;U916)+($U$2:$U$1001=U916)*(($V$2:$V$1001&lt;V916)+($V$2:$V$1001=V916)*(($W$2:$W$1001&lt;W916)+($W$2:$W$1001=W916)*(ROW($K$2:$K$1001)&lt;ROW(K916))))))))</f>
        <v/>
      </c>
    </row>
    <row r="917" customFormat="false" ht="15" hidden="false" customHeight="false" outlineLevel="0" collapsed="false">
      <c r="K917" s="0" t="str">
        <f aca="false">IF(H417="","",IF(SUMPRODUCT(--($C$2:$C$501=H417))&gt;0,"",H417))</f>
        <v/>
      </c>
      <c r="L917" s="0" t="str">
        <f aca="false">IF(K917="","",IF(ISNUMBER('List 2'!A417),'List 2'!A417,TRIM('List 2'!A417)))</f>
        <v/>
      </c>
      <c r="M917" s="0" t="str">
        <f aca="false">IF(K917="","",IF(ISNUMBER('List 2'!C417),'List 2'!C417,TRIM('List 2'!C417)))</f>
        <v/>
      </c>
      <c r="N917" s="0" t="str">
        <f aca="false">IF(K917="","",IF(ISNUMBER('List 2'!D417),'List 2'!D417,TRIM('List 2'!D417)))</f>
        <v/>
      </c>
      <c r="O917" s="0" t="str">
        <f aca="false">IF(K917="","",0)</f>
        <v/>
      </c>
      <c r="P917" s="0" t="str">
        <f aca="false">IF(K917="","",I417)</f>
        <v/>
      </c>
      <c r="Q917" s="0" t="str">
        <f aca="false">IF(K917="","",FALSE())</f>
        <v/>
      </c>
      <c r="R917" s="0" t="str">
        <f aca="false">IF(K917="","",TRUE())</f>
        <v/>
      </c>
      <c r="S917" s="0" t="str">
        <f aca="false">IF(K917="","",IF(AND(Q917,R917),IF(O917=P917,"Match","Qty Different"),IF(Q917,"Only in List 1","Only in List 2")))</f>
        <v/>
      </c>
      <c r="T917" s="0" t="str">
        <f aca="false">IF(K917="","",IF(ISNUMBER(--L917),TEXT(--L917,"000000000000.000"),LOWER(L917)))</f>
        <v/>
      </c>
      <c r="U917" s="0" t="str">
        <f aca="false">IF(K917="","",IF(ISNUMBER(--M917),TEXT(--M917,"000000000000.000"),LOWER(M917)))</f>
        <v/>
      </c>
      <c r="V917" s="0" t="str">
        <f aca="false">IF(K917="","",LOWER(N917))</f>
        <v/>
      </c>
      <c r="W917" s="0" t="str">
        <f aca="false">IF(K917="","",G417)</f>
        <v/>
      </c>
      <c r="X917" s="0" t="str">
        <f aca="false">IF(K917="","",1+SUMPRODUCT(($K$2:$K$1001&lt;&gt;"")*(($T$2:$T$1001&lt;T917)+($T$2:$T$1001=T917)*(($U$2:$U$1001&lt;U917)+($U$2:$U$1001=U917)*(($V$2:$V$1001&lt;V917)+($V$2:$V$1001=V917)*(($W$2:$W$1001&lt;W917)+($W$2:$W$1001=W917)*(ROW($K$2:$K$1001)&lt;ROW(K917))))))))</f>
        <v/>
      </c>
    </row>
    <row r="918" customFormat="false" ht="15" hidden="false" customHeight="false" outlineLevel="0" collapsed="false">
      <c r="K918" s="0" t="str">
        <f aca="false">IF(H418="","",IF(SUMPRODUCT(--($C$2:$C$501=H418))&gt;0,"",H418))</f>
        <v/>
      </c>
      <c r="L918" s="0" t="str">
        <f aca="false">IF(K918="","",IF(ISNUMBER('List 2'!A418),'List 2'!A418,TRIM('List 2'!A418)))</f>
        <v/>
      </c>
      <c r="M918" s="0" t="str">
        <f aca="false">IF(K918="","",IF(ISNUMBER('List 2'!C418),'List 2'!C418,TRIM('List 2'!C418)))</f>
        <v/>
      </c>
      <c r="N918" s="0" t="str">
        <f aca="false">IF(K918="","",IF(ISNUMBER('List 2'!D418),'List 2'!D418,TRIM('List 2'!D418)))</f>
        <v/>
      </c>
      <c r="O918" s="0" t="str">
        <f aca="false">IF(K918="","",0)</f>
        <v/>
      </c>
      <c r="P918" s="0" t="str">
        <f aca="false">IF(K918="","",I418)</f>
        <v/>
      </c>
      <c r="Q918" s="0" t="str">
        <f aca="false">IF(K918="","",FALSE())</f>
        <v/>
      </c>
      <c r="R918" s="0" t="str">
        <f aca="false">IF(K918="","",TRUE())</f>
        <v/>
      </c>
      <c r="S918" s="0" t="str">
        <f aca="false">IF(K918="","",IF(AND(Q918,R918),IF(O918=P918,"Match","Qty Different"),IF(Q918,"Only in List 1","Only in List 2")))</f>
        <v/>
      </c>
      <c r="T918" s="0" t="str">
        <f aca="false">IF(K918="","",IF(ISNUMBER(--L918),TEXT(--L918,"000000000000.000"),LOWER(L918)))</f>
        <v/>
      </c>
      <c r="U918" s="0" t="str">
        <f aca="false">IF(K918="","",IF(ISNUMBER(--M918),TEXT(--M918,"000000000000.000"),LOWER(M918)))</f>
        <v/>
      </c>
      <c r="V918" s="0" t="str">
        <f aca="false">IF(K918="","",LOWER(N918))</f>
        <v/>
      </c>
      <c r="W918" s="0" t="str">
        <f aca="false">IF(K918="","",G418)</f>
        <v/>
      </c>
      <c r="X918" s="0" t="str">
        <f aca="false">IF(K918="","",1+SUMPRODUCT(($K$2:$K$1001&lt;&gt;"")*(($T$2:$T$1001&lt;T918)+($T$2:$T$1001=T918)*(($U$2:$U$1001&lt;U918)+($U$2:$U$1001=U918)*(($V$2:$V$1001&lt;V918)+($V$2:$V$1001=V918)*(($W$2:$W$1001&lt;W918)+($W$2:$W$1001=W918)*(ROW($K$2:$K$1001)&lt;ROW(K918))))))))</f>
        <v/>
      </c>
    </row>
    <row r="919" customFormat="false" ht="15" hidden="false" customHeight="false" outlineLevel="0" collapsed="false">
      <c r="K919" s="0" t="str">
        <f aca="false">IF(H419="","",IF(SUMPRODUCT(--($C$2:$C$501=H419))&gt;0,"",H419))</f>
        <v/>
      </c>
      <c r="L919" s="0" t="str">
        <f aca="false">IF(K919="","",IF(ISNUMBER('List 2'!A419),'List 2'!A419,TRIM('List 2'!A419)))</f>
        <v/>
      </c>
      <c r="M919" s="0" t="str">
        <f aca="false">IF(K919="","",IF(ISNUMBER('List 2'!C419),'List 2'!C419,TRIM('List 2'!C419)))</f>
        <v/>
      </c>
      <c r="N919" s="0" t="str">
        <f aca="false">IF(K919="","",IF(ISNUMBER('List 2'!D419),'List 2'!D419,TRIM('List 2'!D419)))</f>
        <v/>
      </c>
      <c r="O919" s="0" t="str">
        <f aca="false">IF(K919="","",0)</f>
        <v/>
      </c>
      <c r="P919" s="0" t="str">
        <f aca="false">IF(K919="","",I419)</f>
        <v/>
      </c>
      <c r="Q919" s="0" t="str">
        <f aca="false">IF(K919="","",FALSE())</f>
        <v/>
      </c>
      <c r="R919" s="0" t="str">
        <f aca="false">IF(K919="","",TRUE())</f>
        <v/>
      </c>
      <c r="S919" s="0" t="str">
        <f aca="false">IF(K919="","",IF(AND(Q919,R919),IF(O919=P919,"Match","Qty Different"),IF(Q919,"Only in List 1","Only in List 2")))</f>
        <v/>
      </c>
      <c r="T919" s="0" t="str">
        <f aca="false">IF(K919="","",IF(ISNUMBER(--L919),TEXT(--L919,"000000000000.000"),LOWER(L919)))</f>
        <v/>
      </c>
      <c r="U919" s="0" t="str">
        <f aca="false">IF(K919="","",IF(ISNUMBER(--M919),TEXT(--M919,"000000000000.000"),LOWER(M919)))</f>
        <v/>
      </c>
      <c r="V919" s="0" t="str">
        <f aca="false">IF(K919="","",LOWER(N919))</f>
        <v/>
      </c>
      <c r="W919" s="0" t="str">
        <f aca="false">IF(K919="","",G419)</f>
        <v/>
      </c>
      <c r="X919" s="0" t="str">
        <f aca="false">IF(K919="","",1+SUMPRODUCT(($K$2:$K$1001&lt;&gt;"")*(($T$2:$T$1001&lt;T919)+($T$2:$T$1001=T919)*(($U$2:$U$1001&lt;U919)+($U$2:$U$1001=U919)*(($V$2:$V$1001&lt;V919)+($V$2:$V$1001=V919)*(($W$2:$W$1001&lt;W919)+($W$2:$W$1001=W919)*(ROW($K$2:$K$1001)&lt;ROW(K919))))))))</f>
        <v/>
      </c>
    </row>
    <row r="920" customFormat="false" ht="15" hidden="false" customHeight="false" outlineLevel="0" collapsed="false">
      <c r="K920" s="0" t="str">
        <f aca="false">IF(H420="","",IF(SUMPRODUCT(--($C$2:$C$501=H420))&gt;0,"",H420))</f>
        <v/>
      </c>
      <c r="L920" s="0" t="str">
        <f aca="false">IF(K920="","",IF(ISNUMBER('List 2'!A420),'List 2'!A420,TRIM('List 2'!A420)))</f>
        <v/>
      </c>
      <c r="M920" s="0" t="str">
        <f aca="false">IF(K920="","",IF(ISNUMBER('List 2'!C420),'List 2'!C420,TRIM('List 2'!C420)))</f>
        <v/>
      </c>
      <c r="N920" s="0" t="str">
        <f aca="false">IF(K920="","",IF(ISNUMBER('List 2'!D420),'List 2'!D420,TRIM('List 2'!D420)))</f>
        <v/>
      </c>
      <c r="O920" s="0" t="str">
        <f aca="false">IF(K920="","",0)</f>
        <v/>
      </c>
      <c r="P920" s="0" t="str">
        <f aca="false">IF(K920="","",I420)</f>
        <v/>
      </c>
      <c r="Q920" s="0" t="str">
        <f aca="false">IF(K920="","",FALSE())</f>
        <v/>
      </c>
      <c r="R920" s="0" t="str">
        <f aca="false">IF(K920="","",TRUE())</f>
        <v/>
      </c>
      <c r="S920" s="0" t="str">
        <f aca="false">IF(K920="","",IF(AND(Q920,R920),IF(O920=P920,"Match","Qty Different"),IF(Q920,"Only in List 1","Only in List 2")))</f>
        <v/>
      </c>
      <c r="T920" s="0" t="str">
        <f aca="false">IF(K920="","",IF(ISNUMBER(--L920),TEXT(--L920,"000000000000.000"),LOWER(L920)))</f>
        <v/>
      </c>
      <c r="U920" s="0" t="str">
        <f aca="false">IF(K920="","",IF(ISNUMBER(--M920),TEXT(--M920,"000000000000.000"),LOWER(M920)))</f>
        <v/>
      </c>
      <c r="V920" s="0" t="str">
        <f aca="false">IF(K920="","",LOWER(N920))</f>
        <v/>
      </c>
      <c r="W920" s="0" t="str">
        <f aca="false">IF(K920="","",G420)</f>
        <v/>
      </c>
      <c r="X920" s="0" t="str">
        <f aca="false">IF(K920="","",1+SUMPRODUCT(($K$2:$K$1001&lt;&gt;"")*(($T$2:$T$1001&lt;T920)+($T$2:$T$1001=T920)*(($U$2:$U$1001&lt;U920)+($U$2:$U$1001=U920)*(($V$2:$V$1001&lt;V920)+($V$2:$V$1001=V920)*(($W$2:$W$1001&lt;W920)+($W$2:$W$1001=W920)*(ROW($K$2:$K$1001)&lt;ROW(K920))))))))</f>
        <v/>
      </c>
    </row>
    <row r="921" customFormat="false" ht="15" hidden="false" customHeight="false" outlineLevel="0" collapsed="false">
      <c r="K921" s="0" t="str">
        <f aca="false">IF(H421="","",IF(SUMPRODUCT(--($C$2:$C$501=H421))&gt;0,"",H421))</f>
        <v/>
      </c>
      <c r="L921" s="0" t="str">
        <f aca="false">IF(K921="","",IF(ISNUMBER('List 2'!A421),'List 2'!A421,TRIM('List 2'!A421)))</f>
        <v/>
      </c>
      <c r="M921" s="0" t="str">
        <f aca="false">IF(K921="","",IF(ISNUMBER('List 2'!C421),'List 2'!C421,TRIM('List 2'!C421)))</f>
        <v/>
      </c>
      <c r="N921" s="0" t="str">
        <f aca="false">IF(K921="","",IF(ISNUMBER('List 2'!D421),'List 2'!D421,TRIM('List 2'!D421)))</f>
        <v/>
      </c>
      <c r="O921" s="0" t="str">
        <f aca="false">IF(K921="","",0)</f>
        <v/>
      </c>
      <c r="P921" s="0" t="str">
        <f aca="false">IF(K921="","",I421)</f>
        <v/>
      </c>
      <c r="Q921" s="0" t="str">
        <f aca="false">IF(K921="","",FALSE())</f>
        <v/>
      </c>
      <c r="R921" s="0" t="str">
        <f aca="false">IF(K921="","",TRUE())</f>
        <v/>
      </c>
      <c r="S921" s="0" t="str">
        <f aca="false">IF(K921="","",IF(AND(Q921,R921),IF(O921=P921,"Match","Qty Different"),IF(Q921,"Only in List 1","Only in List 2")))</f>
        <v/>
      </c>
      <c r="T921" s="0" t="str">
        <f aca="false">IF(K921="","",IF(ISNUMBER(--L921),TEXT(--L921,"000000000000.000"),LOWER(L921)))</f>
        <v/>
      </c>
      <c r="U921" s="0" t="str">
        <f aca="false">IF(K921="","",IF(ISNUMBER(--M921),TEXT(--M921,"000000000000.000"),LOWER(M921)))</f>
        <v/>
      </c>
      <c r="V921" s="0" t="str">
        <f aca="false">IF(K921="","",LOWER(N921))</f>
        <v/>
      </c>
      <c r="W921" s="0" t="str">
        <f aca="false">IF(K921="","",G421)</f>
        <v/>
      </c>
      <c r="X921" s="0" t="str">
        <f aca="false">IF(K921="","",1+SUMPRODUCT(($K$2:$K$1001&lt;&gt;"")*(($T$2:$T$1001&lt;T921)+($T$2:$T$1001=T921)*(($U$2:$U$1001&lt;U921)+($U$2:$U$1001=U921)*(($V$2:$V$1001&lt;V921)+($V$2:$V$1001=V921)*(($W$2:$W$1001&lt;W921)+($W$2:$W$1001=W921)*(ROW($K$2:$K$1001)&lt;ROW(K921))))))))</f>
        <v/>
      </c>
    </row>
    <row r="922" customFormat="false" ht="15" hidden="false" customHeight="false" outlineLevel="0" collapsed="false">
      <c r="K922" s="0" t="str">
        <f aca="false">IF(H422="","",IF(SUMPRODUCT(--($C$2:$C$501=H422))&gt;0,"",H422))</f>
        <v/>
      </c>
      <c r="L922" s="0" t="str">
        <f aca="false">IF(K922="","",IF(ISNUMBER('List 2'!A422),'List 2'!A422,TRIM('List 2'!A422)))</f>
        <v/>
      </c>
      <c r="M922" s="0" t="str">
        <f aca="false">IF(K922="","",IF(ISNUMBER('List 2'!C422),'List 2'!C422,TRIM('List 2'!C422)))</f>
        <v/>
      </c>
      <c r="N922" s="0" t="str">
        <f aca="false">IF(K922="","",IF(ISNUMBER('List 2'!D422),'List 2'!D422,TRIM('List 2'!D422)))</f>
        <v/>
      </c>
      <c r="O922" s="0" t="str">
        <f aca="false">IF(K922="","",0)</f>
        <v/>
      </c>
      <c r="P922" s="0" t="str">
        <f aca="false">IF(K922="","",I422)</f>
        <v/>
      </c>
      <c r="Q922" s="0" t="str">
        <f aca="false">IF(K922="","",FALSE())</f>
        <v/>
      </c>
      <c r="R922" s="0" t="str">
        <f aca="false">IF(K922="","",TRUE())</f>
        <v/>
      </c>
      <c r="S922" s="0" t="str">
        <f aca="false">IF(K922="","",IF(AND(Q922,R922),IF(O922=P922,"Match","Qty Different"),IF(Q922,"Only in List 1","Only in List 2")))</f>
        <v/>
      </c>
      <c r="T922" s="0" t="str">
        <f aca="false">IF(K922="","",IF(ISNUMBER(--L922),TEXT(--L922,"000000000000.000"),LOWER(L922)))</f>
        <v/>
      </c>
      <c r="U922" s="0" t="str">
        <f aca="false">IF(K922="","",IF(ISNUMBER(--M922),TEXT(--M922,"000000000000.000"),LOWER(M922)))</f>
        <v/>
      </c>
      <c r="V922" s="0" t="str">
        <f aca="false">IF(K922="","",LOWER(N922))</f>
        <v/>
      </c>
      <c r="W922" s="0" t="str">
        <f aca="false">IF(K922="","",G422)</f>
        <v/>
      </c>
      <c r="X922" s="0" t="str">
        <f aca="false">IF(K922="","",1+SUMPRODUCT(($K$2:$K$1001&lt;&gt;"")*(($T$2:$T$1001&lt;T922)+($T$2:$T$1001=T922)*(($U$2:$U$1001&lt;U922)+($U$2:$U$1001=U922)*(($V$2:$V$1001&lt;V922)+($V$2:$V$1001=V922)*(($W$2:$W$1001&lt;W922)+($W$2:$W$1001=W922)*(ROW($K$2:$K$1001)&lt;ROW(K922))))))))</f>
        <v/>
      </c>
    </row>
    <row r="923" customFormat="false" ht="15" hidden="false" customHeight="false" outlineLevel="0" collapsed="false">
      <c r="K923" s="0" t="str">
        <f aca="false">IF(H423="","",IF(SUMPRODUCT(--($C$2:$C$501=H423))&gt;0,"",H423))</f>
        <v/>
      </c>
      <c r="L923" s="0" t="str">
        <f aca="false">IF(K923="","",IF(ISNUMBER('List 2'!A423),'List 2'!A423,TRIM('List 2'!A423)))</f>
        <v/>
      </c>
      <c r="M923" s="0" t="str">
        <f aca="false">IF(K923="","",IF(ISNUMBER('List 2'!C423),'List 2'!C423,TRIM('List 2'!C423)))</f>
        <v/>
      </c>
      <c r="N923" s="0" t="str">
        <f aca="false">IF(K923="","",IF(ISNUMBER('List 2'!D423),'List 2'!D423,TRIM('List 2'!D423)))</f>
        <v/>
      </c>
      <c r="O923" s="0" t="str">
        <f aca="false">IF(K923="","",0)</f>
        <v/>
      </c>
      <c r="P923" s="0" t="str">
        <f aca="false">IF(K923="","",I423)</f>
        <v/>
      </c>
      <c r="Q923" s="0" t="str">
        <f aca="false">IF(K923="","",FALSE())</f>
        <v/>
      </c>
      <c r="R923" s="0" t="str">
        <f aca="false">IF(K923="","",TRUE())</f>
        <v/>
      </c>
      <c r="S923" s="0" t="str">
        <f aca="false">IF(K923="","",IF(AND(Q923,R923),IF(O923=P923,"Match","Qty Different"),IF(Q923,"Only in List 1","Only in List 2")))</f>
        <v/>
      </c>
      <c r="T923" s="0" t="str">
        <f aca="false">IF(K923="","",IF(ISNUMBER(--L923),TEXT(--L923,"000000000000.000"),LOWER(L923)))</f>
        <v/>
      </c>
      <c r="U923" s="0" t="str">
        <f aca="false">IF(K923="","",IF(ISNUMBER(--M923),TEXT(--M923,"000000000000.000"),LOWER(M923)))</f>
        <v/>
      </c>
      <c r="V923" s="0" t="str">
        <f aca="false">IF(K923="","",LOWER(N923))</f>
        <v/>
      </c>
      <c r="W923" s="0" t="str">
        <f aca="false">IF(K923="","",G423)</f>
        <v/>
      </c>
      <c r="X923" s="0" t="str">
        <f aca="false">IF(K923="","",1+SUMPRODUCT(($K$2:$K$1001&lt;&gt;"")*(($T$2:$T$1001&lt;T923)+($T$2:$T$1001=T923)*(($U$2:$U$1001&lt;U923)+($U$2:$U$1001=U923)*(($V$2:$V$1001&lt;V923)+($V$2:$V$1001=V923)*(($W$2:$W$1001&lt;W923)+($W$2:$W$1001=W923)*(ROW($K$2:$K$1001)&lt;ROW(K923))))))))</f>
        <v/>
      </c>
    </row>
    <row r="924" customFormat="false" ht="15" hidden="false" customHeight="false" outlineLevel="0" collapsed="false">
      <c r="K924" s="0" t="str">
        <f aca="false">IF(H424="","",IF(SUMPRODUCT(--($C$2:$C$501=H424))&gt;0,"",H424))</f>
        <v/>
      </c>
      <c r="L924" s="0" t="str">
        <f aca="false">IF(K924="","",IF(ISNUMBER('List 2'!A424),'List 2'!A424,TRIM('List 2'!A424)))</f>
        <v/>
      </c>
      <c r="M924" s="0" t="str">
        <f aca="false">IF(K924="","",IF(ISNUMBER('List 2'!C424),'List 2'!C424,TRIM('List 2'!C424)))</f>
        <v/>
      </c>
      <c r="N924" s="0" t="str">
        <f aca="false">IF(K924="","",IF(ISNUMBER('List 2'!D424),'List 2'!D424,TRIM('List 2'!D424)))</f>
        <v/>
      </c>
      <c r="O924" s="0" t="str">
        <f aca="false">IF(K924="","",0)</f>
        <v/>
      </c>
      <c r="P924" s="0" t="str">
        <f aca="false">IF(K924="","",I424)</f>
        <v/>
      </c>
      <c r="Q924" s="0" t="str">
        <f aca="false">IF(K924="","",FALSE())</f>
        <v/>
      </c>
      <c r="R924" s="0" t="str">
        <f aca="false">IF(K924="","",TRUE())</f>
        <v/>
      </c>
      <c r="S924" s="0" t="str">
        <f aca="false">IF(K924="","",IF(AND(Q924,R924),IF(O924=P924,"Match","Qty Different"),IF(Q924,"Only in List 1","Only in List 2")))</f>
        <v/>
      </c>
      <c r="T924" s="0" t="str">
        <f aca="false">IF(K924="","",IF(ISNUMBER(--L924),TEXT(--L924,"000000000000.000"),LOWER(L924)))</f>
        <v/>
      </c>
      <c r="U924" s="0" t="str">
        <f aca="false">IF(K924="","",IF(ISNUMBER(--M924),TEXT(--M924,"000000000000.000"),LOWER(M924)))</f>
        <v/>
      </c>
      <c r="V924" s="0" t="str">
        <f aca="false">IF(K924="","",LOWER(N924))</f>
        <v/>
      </c>
      <c r="W924" s="0" t="str">
        <f aca="false">IF(K924="","",G424)</f>
        <v/>
      </c>
      <c r="X924" s="0" t="str">
        <f aca="false">IF(K924="","",1+SUMPRODUCT(($K$2:$K$1001&lt;&gt;"")*(($T$2:$T$1001&lt;T924)+($T$2:$T$1001=T924)*(($U$2:$U$1001&lt;U924)+($U$2:$U$1001=U924)*(($V$2:$V$1001&lt;V924)+($V$2:$V$1001=V924)*(($W$2:$W$1001&lt;W924)+($W$2:$W$1001=W924)*(ROW($K$2:$K$1001)&lt;ROW(K924))))))))</f>
        <v/>
      </c>
    </row>
    <row r="925" customFormat="false" ht="15" hidden="false" customHeight="false" outlineLevel="0" collapsed="false">
      <c r="K925" s="0" t="str">
        <f aca="false">IF(H425="","",IF(SUMPRODUCT(--($C$2:$C$501=H425))&gt;0,"",H425))</f>
        <v/>
      </c>
      <c r="L925" s="0" t="str">
        <f aca="false">IF(K925="","",IF(ISNUMBER('List 2'!A425),'List 2'!A425,TRIM('List 2'!A425)))</f>
        <v/>
      </c>
      <c r="M925" s="0" t="str">
        <f aca="false">IF(K925="","",IF(ISNUMBER('List 2'!C425),'List 2'!C425,TRIM('List 2'!C425)))</f>
        <v/>
      </c>
      <c r="N925" s="0" t="str">
        <f aca="false">IF(K925="","",IF(ISNUMBER('List 2'!D425),'List 2'!D425,TRIM('List 2'!D425)))</f>
        <v/>
      </c>
      <c r="O925" s="0" t="str">
        <f aca="false">IF(K925="","",0)</f>
        <v/>
      </c>
      <c r="P925" s="0" t="str">
        <f aca="false">IF(K925="","",I425)</f>
        <v/>
      </c>
      <c r="Q925" s="0" t="str">
        <f aca="false">IF(K925="","",FALSE())</f>
        <v/>
      </c>
      <c r="R925" s="0" t="str">
        <f aca="false">IF(K925="","",TRUE())</f>
        <v/>
      </c>
      <c r="S925" s="0" t="str">
        <f aca="false">IF(K925="","",IF(AND(Q925,R925),IF(O925=P925,"Match","Qty Different"),IF(Q925,"Only in List 1","Only in List 2")))</f>
        <v/>
      </c>
      <c r="T925" s="0" t="str">
        <f aca="false">IF(K925="","",IF(ISNUMBER(--L925),TEXT(--L925,"000000000000.000"),LOWER(L925)))</f>
        <v/>
      </c>
      <c r="U925" s="0" t="str">
        <f aca="false">IF(K925="","",IF(ISNUMBER(--M925),TEXT(--M925,"000000000000.000"),LOWER(M925)))</f>
        <v/>
      </c>
      <c r="V925" s="0" t="str">
        <f aca="false">IF(K925="","",LOWER(N925))</f>
        <v/>
      </c>
      <c r="W925" s="0" t="str">
        <f aca="false">IF(K925="","",G425)</f>
        <v/>
      </c>
      <c r="X925" s="0" t="str">
        <f aca="false">IF(K925="","",1+SUMPRODUCT(($K$2:$K$1001&lt;&gt;"")*(($T$2:$T$1001&lt;T925)+($T$2:$T$1001=T925)*(($U$2:$U$1001&lt;U925)+($U$2:$U$1001=U925)*(($V$2:$V$1001&lt;V925)+($V$2:$V$1001=V925)*(($W$2:$W$1001&lt;W925)+($W$2:$W$1001=W925)*(ROW($K$2:$K$1001)&lt;ROW(K925))))))))</f>
        <v/>
      </c>
    </row>
    <row r="926" customFormat="false" ht="15" hidden="false" customHeight="false" outlineLevel="0" collapsed="false">
      <c r="K926" s="0" t="str">
        <f aca="false">IF(H426="","",IF(SUMPRODUCT(--($C$2:$C$501=H426))&gt;0,"",H426))</f>
        <v/>
      </c>
      <c r="L926" s="0" t="str">
        <f aca="false">IF(K926="","",IF(ISNUMBER('List 2'!A426),'List 2'!A426,TRIM('List 2'!A426)))</f>
        <v/>
      </c>
      <c r="M926" s="0" t="str">
        <f aca="false">IF(K926="","",IF(ISNUMBER('List 2'!C426),'List 2'!C426,TRIM('List 2'!C426)))</f>
        <v/>
      </c>
      <c r="N926" s="0" t="str">
        <f aca="false">IF(K926="","",IF(ISNUMBER('List 2'!D426),'List 2'!D426,TRIM('List 2'!D426)))</f>
        <v/>
      </c>
      <c r="O926" s="0" t="str">
        <f aca="false">IF(K926="","",0)</f>
        <v/>
      </c>
      <c r="P926" s="0" t="str">
        <f aca="false">IF(K926="","",I426)</f>
        <v/>
      </c>
      <c r="Q926" s="0" t="str">
        <f aca="false">IF(K926="","",FALSE())</f>
        <v/>
      </c>
      <c r="R926" s="0" t="str">
        <f aca="false">IF(K926="","",TRUE())</f>
        <v/>
      </c>
      <c r="S926" s="0" t="str">
        <f aca="false">IF(K926="","",IF(AND(Q926,R926),IF(O926=P926,"Match","Qty Different"),IF(Q926,"Only in List 1","Only in List 2")))</f>
        <v/>
      </c>
      <c r="T926" s="0" t="str">
        <f aca="false">IF(K926="","",IF(ISNUMBER(--L926),TEXT(--L926,"000000000000.000"),LOWER(L926)))</f>
        <v/>
      </c>
      <c r="U926" s="0" t="str">
        <f aca="false">IF(K926="","",IF(ISNUMBER(--M926),TEXT(--M926,"000000000000.000"),LOWER(M926)))</f>
        <v/>
      </c>
      <c r="V926" s="0" t="str">
        <f aca="false">IF(K926="","",LOWER(N926))</f>
        <v/>
      </c>
      <c r="W926" s="0" t="str">
        <f aca="false">IF(K926="","",G426)</f>
        <v/>
      </c>
      <c r="X926" s="0" t="str">
        <f aca="false">IF(K926="","",1+SUMPRODUCT(($K$2:$K$1001&lt;&gt;"")*(($T$2:$T$1001&lt;T926)+($T$2:$T$1001=T926)*(($U$2:$U$1001&lt;U926)+($U$2:$U$1001=U926)*(($V$2:$V$1001&lt;V926)+($V$2:$V$1001=V926)*(($W$2:$W$1001&lt;W926)+($W$2:$W$1001=W926)*(ROW($K$2:$K$1001)&lt;ROW(K926))))))))</f>
        <v/>
      </c>
    </row>
    <row r="927" customFormat="false" ht="15" hidden="false" customHeight="false" outlineLevel="0" collapsed="false">
      <c r="K927" s="0" t="str">
        <f aca="false">IF(H427="","",IF(SUMPRODUCT(--($C$2:$C$501=H427))&gt;0,"",H427))</f>
        <v/>
      </c>
      <c r="L927" s="0" t="str">
        <f aca="false">IF(K927="","",IF(ISNUMBER('List 2'!A427),'List 2'!A427,TRIM('List 2'!A427)))</f>
        <v/>
      </c>
      <c r="M927" s="0" t="str">
        <f aca="false">IF(K927="","",IF(ISNUMBER('List 2'!C427),'List 2'!C427,TRIM('List 2'!C427)))</f>
        <v/>
      </c>
      <c r="N927" s="0" t="str">
        <f aca="false">IF(K927="","",IF(ISNUMBER('List 2'!D427),'List 2'!D427,TRIM('List 2'!D427)))</f>
        <v/>
      </c>
      <c r="O927" s="0" t="str">
        <f aca="false">IF(K927="","",0)</f>
        <v/>
      </c>
      <c r="P927" s="0" t="str">
        <f aca="false">IF(K927="","",I427)</f>
        <v/>
      </c>
      <c r="Q927" s="0" t="str">
        <f aca="false">IF(K927="","",FALSE())</f>
        <v/>
      </c>
      <c r="R927" s="0" t="str">
        <f aca="false">IF(K927="","",TRUE())</f>
        <v/>
      </c>
      <c r="S927" s="0" t="str">
        <f aca="false">IF(K927="","",IF(AND(Q927,R927),IF(O927=P927,"Match","Qty Different"),IF(Q927,"Only in List 1","Only in List 2")))</f>
        <v/>
      </c>
      <c r="T927" s="0" t="str">
        <f aca="false">IF(K927="","",IF(ISNUMBER(--L927),TEXT(--L927,"000000000000.000"),LOWER(L927)))</f>
        <v/>
      </c>
      <c r="U927" s="0" t="str">
        <f aca="false">IF(K927="","",IF(ISNUMBER(--M927),TEXT(--M927,"000000000000.000"),LOWER(M927)))</f>
        <v/>
      </c>
      <c r="V927" s="0" t="str">
        <f aca="false">IF(K927="","",LOWER(N927))</f>
        <v/>
      </c>
      <c r="W927" s="0" t="str">
        <f aca="false">IF(K927="","",G427)</f>
        <v/>
      </c>
      <c r="X927" s="0" t="str">
        <f aca="false">IF(K927="","",1+SUMPRODUCT(($K$2:$K$1001&lt;&gt;"")*(($T$2:$T$1001&lt;T927)+($T$2:$T$1001=T927)*(($U$2:$U$1001&lt;U927)+($U$2:$U$1001=U927)*(($V$2:$V$1001&lt;V927)+($V$2:$V$1001=V927)*(($W$2:$W$1001&lt;W927)+($W$2:$W$1001=W927)*(ROW($K$2:$K$1001)&lt;ROW(K927))))))))</f>
        <v/>
      </c>
    </row>
    <row r="928" customFormat="false" ht="15" hidden="false" customHeight="false" outlineLevel="0" collapsed="false">
      <c r="K928" s="0" t="str">
        <f aca="false">IF(H428="","",IF(SUMPRODUCT(--($C$2:$C$501=H428))&gt;0,"",H428))</f>
        <v/>
      </c>
      <c r="L928" s="0" t="str">
        <f aca="false">IF(K928="","",IF(ISNUMBER('List 2'!A428),'List 2'!A428,TRIM('List 2'!A428)))</f>
        <v/>
      </c>
      <c r="M928" s="0" t="str">
        <f aca="false">IF(K928="","",IF(ISNUMBER('List 2'!C428),'List 2'!C428,TRIM('List 2'!C428)))</f>
        <v/>
      </c>
      <c r="N928" s="0" t="str">
        <f aca="false">IF(K928="","",IF(ISNUMBER('List 2'!D428),'List 2'!D428,TRIM('List 2'!D428)))</f>
        <v/>
      </c>
      <c r="O928" s="0" t="str">
        <f aca="false">IF(K928="","",0)</f>
        <v/>
      </c>
      <c r="P928" s="0" t="str">
        <f aca="false">IF(K928="","",I428)</f>
        <v/>
      </c>
      <c r="Q928" s="0" t="str">
        <f aca="false">IF(K928="","",FALSE())</f>
        <v/>
      </c>
      <c r="R928" s="0" t="str">
        <f aca="false">IF(K928="","",TRUE())</f>
        <v/>
      </c>
      <c r="S928" s="0" t="str">
        <f aca="false">IF(K928="","",IF(AND(Q928,R928),IF(O928=P928,"Match","Qty Different"),IF(Q928,"Only in List 1","Only in List 2")))</f>
        <v/>
      </c>
      <c r="T928" s="0" t="str">
        <f aca="false">IF(K928="","",IF(ISNUMBER(--L928),TEXT(--L928,"000000000000.000"),LOWER(L928)))</f>
        <v/>
      </c>
      <c r="U928" s="0" t="str">
        <f aca="false">IF(K928="","",IF(ISNUMBER(--M928),TEXT(--M928,"000000000000.000"),LOWER(M928)))</f>
        <v/>
      </c>
      <c r="V928" s="0" t="str">
        <f aca="false">IF(K928="","",LOWER(N928))</f>
        <v/>
      </c>
      <c r="W928" s="0" t="str">
        <f aca="false">IF(K928="","",G428)</f>
        <v/>
      </c>
      <c r="X928" s="0" t="str">
        <f aca="false">IF(K928="","",1+SUMPRODUCT(($K$2:$K$1001&lt;&gt;"")*(($T$2:$T$1001&lt;T928)+($T$2:$T$1001=T928)*(($U$2:$U$1001&lt;U928)+($U$2:$U$1001=U928)*(($V$2:$V$1001&lt;V928)+($V$2:$V$1001=V928)*(($W$2:$W$1001&lt;W928)+($W$2:$W$1001=W928)*(ROW($K$2:$K$1001)&lt;ROW(K928))))))))</f>
        <v/>
      </c>
    </row>
    <row r="929" customFormat="false" ht="15" hidden="false" customHeight="false" outlineLevel="0" collapsed="false">
      <c r="K929" s="0" t="str">
        <f aca="false">IF(H429="","",IF(SUMPRODUCT(--($C$2:$C$501=H429))&gt;0,"",H429))</f>
        <v/>
      </c>
      <c r="L929" s="0" t="str">
        <f aca="false">IF(K929="","",IF(ISNUMBER('List 2'!A429),'List 2'!A429,TRIM('List 2'!A429)))</f>
        <v/>
      </c>
      <c r="M929" s="0" t="str">
        <f aca="false">IF(K929="","",IF(ISNUMBER('List 2'!C429),'List 2'!C429,TRIM('List 2'!C429)))</f>
        <v/>
      </c>
      <c r="N929" s="0" t="str">
        <f aca="false">IF(K929="","",IF(ISNUMBER('List 2'!D429),'List 2'!D429,TRIM('List 2'!D429)))</f>
        <v/>
      </c>
      <c r="O929" s="0" t="str">
        <f aca="false">IF(K929="","",0)</f>
        <v/>
      </c>
      <c r="P929" s="0" t="str">
        <f aca="false">IF(K929="","",I429)</f>
        <v/>
      </c>
      <c r="Q929" s="0" t="str">
        <f aca="false">IF(K929="","",FALSE())</f>
        <v/>
      </c>
      <c r="R929" s="0" t="str">
        <f aca="false">IF(K929="","",TRUE())</f>
        <v/>
      </c>
      <c r="S929" s="0" t="str">
        <f aca="false">IF(K929="","",IF(AND(Q929,R929),IF(O929=P929,"Match","Qty Different"),IF(Q929,"Only in List 1","Only in List 2")))</f>
        <v/>
      </c>
      <c r="T929" s="0" t="str">
        <f aca="false">IF(K929="","",IF(ISNUMBER(--L929),TEXT(--L929,"000000000000.000"),LOWER(L929)))</f>
        <v/>
      </c>
      <c r="U929" s="0" t="str">
        <f aca="false">IF(K929="","",IF(ISNUMBER(--M929),TEXT(--M929,"000000000000.000"),LOWER(M929)))</f>
        <v/>
      </c>
      <c r="V929" s="0" t="str">
        <f aca="false">IF(K929="","",LOWER(N929))</f>
        <v/>
      </c>
      <c r="W929" s="0" t="str">
        <f aca="false">IF(K929="","",G429)</f>
        <v/>
      </c>
      <c r="X929" s="0" t="str">
        <f aca="false">IF(K929="","",1+SUMPRODUCT(($K$2:$K$1001&lt;&gt;"")*(($T$2:$T$1001&lt;T929)+($T$2:$T$1001=T929)*(($U$2:$U$1001&lt;U929)+($U$2:$U$1001=U929)*(($V$2:$V$1001&lt;V929)+($V$2:$V$1001=V929)*(($W$2:$W$1001&lt;W929)+($W$2:$W$1001=W929)*(ROW($K$2:$K$1001)&lt;ROW(K929))))))))</f>
        <v/>
      </c>
    </row>
    <row r="930" customFormat="false" ht="15" hidden="false" customHeight="false" outlineLevel="0" collapsed="false">
      <c r="K930" s="0" t="str">
        <f aca="false">IF(H430="","",IF(SUMPRODUCT(--($C$2:$C$501=H430))&gt;0,"",H430))</f>
        <v/>
      </c>
      <c r="L930" s="0" t="str">
        <f aca="false">IF(K930="","",IF(ISNUMBER('List 2'!A430),'List 2'!A430,TRIM('List 2'!A430)))</f>
        <v/>
      </c>
      <c r="M930" s="0" t="str">
        <f aca="false">IF(K930="","",IF(ISNUMBER('List 2'!C430),'List 2'!C430,TRIM('List 2'!C430)))</f>
        <v/>
      </c>
      <c r="N930" s="0" t="str">
        <f aca="false">IF(K930="","",IF(ISNUMBER('List 2'!D430),'List 2'!D430,TRIM('List 2'!D430)))</f>
        <v/>
      </c>
      <c r="O930" s="0" t="str">
        <f aca="false">IF(K930="","",0)</f>
        <v/>
      </c>
      <c r="P930" s="0" t="str">
        <f aca="false">IF(K930="","",I430)</f>
        <v/>
      </c>
      <c r="Q930" s="0" t="str">
        <f aca="false">IF(K930="","",FALSE())</f>
        <v/>
      </c>
      <c r="R930" s="0" t="str">
        <f aca="false">IF(K930="","",TRUE())</f>
        <v/>
      </c>
      <c r="S930" s="0" t="str">
        <f aca="false">IF(K930="","",IF(AND(Q930,R930),IF(O930=P930,"Match","Qty Different"),IF(Q930,"Only in List 1","Only in List 2")))</f>
        <v/>
      </c>
      <c r="T930" s="0" t="str">
        <f aca="false">IF(K930="","",IF(ISNUMBER(--L930),TEXT(--L930,"000000000000.000"),LOWER(L930)))</f>
        <v/>
      </c>
      <c r="U930" s="0" t="str">
        <f aca="false">IF(K930="","",IF(ISNUMBER(--M930),TEXT(--M930,"000000000000.000"),LOWER(M930)))</f>
        <v/>
      </c>
      <c r="V930" s="0" t="str">
        <f aca="false">IF(K930="","",LOWER(N930))</f>
        <v/>
      </c>
      <c r="W930" s="0" t="str">
        <f aca="false">IF(K930="","",G430)</f>
        <v/>
      </c>
      <c r="X930" s="0" t="str">
        <f aca="false">IF(K930="","",1+SUMPRODUCT(($K$2:$K$1001&lt;&gt;"")*(($T$2:$T$1001&lt;T930)+($T$2:$T$1001=T930)*(($U$2:$U$1001&lt;U930)+($U$2:$U$1001=U930)*(($V$2:$V$1001&lt;V930)+($V$2:$V$1001=V930)*(($W$2:$W$1001&lt;W930)+($W$2:$W$1001=W930)*(ROW($K$2:$K$1001)&lt;ROW(K930))))))))</f>
        <v/>
      </c>
    </row>
    <row r="931" customFormat="false" ht="15" hidden="false" customHeight="false" outlineLevel="0" collapsed="false">
      <c r="K931" s="0" t="str">
        <f aca="false">IF(H431="","",IF(SUMPRODUCT(--($C$2:$C$501=H431))&gt;0,"",H431))</f>
        <v/>
      </c>
      <c r="L931" s="0" t="str">
        <f aca="false">IF(K931="","",IF(ISNUMBER('List 2'!A431),'List 2'!A431,TRIM('List 2'!A431)))</f>
        <v/>
      </c>
      <c r="M931" s="0" t="str">
        <f aca="false">IF(K931="","",IF(ISNUMBER('List 2'!C431),'List 2'!C431,TRIM('List 2'!C431)))</f>
        <v/>
      </c>
      <c r="N931" s="0" t="str">
        <f aca="false">IF(K931="","",IF(ISNUMBER('List 2'!D431),'List 2'!D431,TRIM('List 2'!D431)))</f>
        <v/>
      </c>
      <c r="O931" s="0" t="str">
        <f aca="false">IF(K931="","",0)</f>
        <v/>
      </c>
      <c r="P931" s="0" t="str">
        <f aca="false">IF(K931="","",I431)</f>
        <v/>
      </c>
      <c r="Q931" s="0" t="str">
        <f aca="false">IF(K931="","",FALSE())</f>
        <v/>
      </c>
      <c r="R931" s="0" t="str">
        <f aca="false">IF(K931="","",TRUE())</f>
        <v/>
      </c>
      <c r="S931" s="0" t="str">
        <f aca="false">IF(K931="","",IF(AND(Q931,R931),IF(O931=P931,"Match","Qty Different"),IF(Q931,"Only in List 1","Only in List 2")))</f>
        <v/>
      </c>
      <c r="T931" s="0" t="str">
        <f aca="false">IF(K931="","",IF(ISNUMBER(--L931),TEXT(--L931,"000000000000.000"),LOWER(L931)))</f>
        <v/>
      </c>
      <c r="U931" s="0" t="str">
        <f aca="false">IF(K931="","",IF(ISNUMBER(--M931),TEXT(--M931,"000000000000.000"),LOWER(M931)))</f>
        <v/>
      </c>
      <c r="V931" s="0" t="str">
        <f aca="false">IF(K931="","",LOWER(N931))</f>
        <v/>
      </c>
      <c r="W931" s="0" t="str">
        <f aca="false">IF(K931="","",G431)</f>
        <v/>
      </c>
      <c r="X931" s="0" t="str">
        <f aca="false">IF(K931="","",1+SUMPRODUCT(($K$2:$K$1001&lt;&gt;"")*(($T$2:$T$1001&lt;T931)+($T$2:$T$1001=T931)*(($U$2:$U$1001&lt;U931)+($U$2:$U$1001=U931)*(($V$2:$V$1001&lt;V931)+($V$2:$V$1001=V931)*(($W$2:$W$1001&lt;W931)+($W$2:$W$1001=W931)*(ROW($K$2:$K$1001)&lt;ROW(K931))))))))</f>
        <v/>
      </c>
    </row>
    <row r="932" customFormat="false" ht="15" hidden="false" customHeight="false" outlineLevel="0" collapsed="false">
      <c r="K932" s="0" t="str">
        <f aca="false">IF(H432="","",IF(SUMPRODUCT(--($C$2:$C$501=H432))&gt;0,"",H432))</f>
        <v/>
      </c>
      <c r="L932" s="0" t="str">
        <f aca="false">IF(K932="","",IF(ISNUMBER('List 2'!A432),'List 2'!A432,TRIM('List 2'!A432)))</f>
        <v/>
      </c>
      <c r="M932" s="0" t="str">
        <f aca="false">IF(K932="","",IF(ISNUMBER('List 2'!C432),'List 2'!C432,TRIM('List 2'!C432)))</f>
        <v/>
      </c>
      <c r="N932" s="0" t="str">
        <f aca="false">IF(K932="","",IF(ISNUMBER('List 2'!D432),'List 2'!D432,TRIM('List 2'!D432)))</f>
        <v/>
      </c>
      <c r="O932" s="0" t="str">
        <f aca="false">IF(K932="","",0)</f>
        <v/>
      </c>
      <c r="P932" s="0" t="str">
        <f aca="false">IF(K932="","",I432)</f>
        <v/>
      </c>
      <c r="Q932" s="0" t="str">
        <f aca="false">IF(K932="","",FALSE())</f>
        <v/>
      </c>
      <c r="R932" s="0" t="str">
        <f aca="false">IF(K932="","",TRUE())</f>
        <v/>
      </c>
      <c r="S932" s="0" t="str">
        <f aca="false">IF(K932="","",IF(AND(Q932,R932),IF(O932=P932,"Match","Qty Different"),IF(Q932,"Only in List 1","Only in List 2")))</f>
        <v/>
      </c>
      <c r="T932" s="0" t="str">
        <f aca="false">IF(K932="","",IF(ISNUMBER(--L932),TEXT(--L932,"000000000000.000"),LOWER(L932)))</f>
        <v/>
      </c>
      <c r="U932" s="0" t="str">
        <f aca="false">IF(K932="","",IF(ISNUMBER(--M932),TEXT(--M932,"000000000000.000"),LOWER(M932)))</f>
        <v/>
      </c>
      <c r="V932" s="0" t="str">
        <f aca="false">IF(K932="","",LOWER(N932))</f>
        <v/>
      </c>
      <c r="W932" s="0" t="str">
        <f aca="false">IF(K932="","",G432)</f>
        <v/>
      </c>
      <c r="X932" s="0" t="str">
        <f aca="false">IF(K932="","",1+SUMPRODUCT(($K$2:$K$1001&lt;&gt;"")*(($T$2:$T$1001&lt;T932)+($T$2:$T$1001=T932)*(($U$2:$U$1001&lt;U932)+($U$2:$U$1001=U932)*(($V$2:$V$1001&lt;V932)+($V$2:$V$1001=V932)*(($W$2:$W$1001&lt;W932)+($W$2:$W$1001=W932)*(ROW($K$2:$K$1001)&lt;ROW(K932))))))))</f>
        <v/>
      </c>
    </row>
    <row r="933" customFormat="false" ht="15" hidden="false" customHeight="false" outlineLevel="0" collapsed="false">
      <c r="K933" s="0" t="str">
        <f aca="false">IF(H433="","",IF(SUMPRODUCT(--($C$2:$C$501=H433))&gt;0,"",H433))</f>
        <v/>
      </c>
      <c r="L933" s="0" t="str">
        <f aca="false">IF(K933="","",IF(ISNUMBER('List 2'!A433),'List 2'!A433,TRIM('List 2'!A433)))</f>
        <v/>
      </c>
      <c r="M933" s="0" t="str">
        <f aca="false">IF(K933="","",IF(ISNUMBER('List 2'!C433),'List 2'!C433,TRIM('List 2'!C433)))</f>
        <v/>
      </c>
      <c r="N933" s="0" t="str">
        <f aca="false">IF(K933="","",IF(ISNUMBER('List 2'!D433),'List 2'!D433,TRIM('List 2'!D433)))</f>
        <v/>
      </c>
      <c r="O933" s="0" t="str">
        <f aca="false">IF(K933="","",0)</f>
        <v/>
      </c>
      <c r="P933" s="0" t="str">
        <f aca="false">IF(K933="","",I433)</f>
        <v/>
      </c>
      <c r="Q933" s="0" t="str">
        <f aca="false">IF(K933="","",FALSE())</f>
        <v/>
      </c>
      <c r="R933" s="0" t="str">
        <f aca="false">IF(K933="","",TRUE())</f>
        <v/>
      </c>
      <c r="S933" s="0" t="str">
        <f aca="false">IF(K933="","",IF(AND(Q933,R933),IF(O933=P933,"Match","Qty Different"),IF(Q933,"Only in List 1","Only in List 2")))</f>
        <v/>
      </c>
      <c r="T933" s="0" t="str">
        <f aca="false">IF(K933="","",IF(ISNUMBER(--L933),TEXT(--L933,"000000000000.000"),LOWER(L933)))</f>
        <v/>
      </c>
      <c r="U933" s="0" t="str">
        <f aca="false">IF(K933="","",IF(ISNUMBER(--M933),TEXT(--M933,"000000000000.000"),LOWER(M933)))</f>
        <v/>
      </c>
      <c r="V933" s="0" t="str">
        <f aca="false">IF(K933="","",LOWER(N933))</f>
        <v/>
      </c>
      <c r="W933" s="0" t="str">
        <f aca="false">IF(K933="","",G433)</f>
        <v/>
      </c>
      <c r="X933" s="0" t="str">
        <f aca="false">IF(K933="","",1+SUMPRODUCT(($K$2:$K$1001&lt;&gt;"")*(($T$2:$T$1001&lt;T933)+($T$2:$T$1001=T933)*(($U$2:$U$1001&lt;U933)+($U$2:$U$1001=U933)*(($V$2:$V$1001&lt;V933)+($V$2:$V$1001=V933)*(($W$2:$W$1001&lt;W933)+($W$2:$W$1001=W933)*(ROW($K$2:$K$1001)&lt;ROW(K933))))))))</f>
        <v/>
      </c>
    </row>
    <row r="934" customFormat="false" ht="15" hidden="false" customHeight="false" outlineLevel="0" collapsed="false">
      <c r="K934" s="0" t="str">
        <f aca="false">IF(H434="","",IF(SUMPRODUCT(--($C$2:$C$501=H434))&gt;0,"",H434))</f>
        <v/>
      </c>
      <c r="L934" s="0" t="str">
        <f aca="false">IF(K934="","",IF(ISNUMBER('List 2'!A434),'List 2'!A434,TRIM('List 2'!A434)))</f>
        <v/>
      </c>
      <c r="M934" s="0" t="str">
        <f aca="false">IF(K934="","",IF(ISNUMBER('List 2'!C434),'List 2'!C434,TRIM('List 2'!C434)))</f>
        <v/>
      </c>
      <c r="N934" s="0" t="str">
        <f aca="false">IF(K934="","",IF(ISNUMBER('List 2'!D434),'List 2'!D434,TRIM('List 2'!D434)))</f>
        <v/>
      </c>
      <c r="O934" s="0" t="str">
        <f aca="false">IF(K934="","",0)</f>
        <v/>
      </c>
      <c r="P934" s="0" t="str">
        <f aca="false">IF(K934="","",I434)</f>
        <v/>
      </c>
      <c r="Q934" s="0" t="str">
        <f aca="false">IF(K934="","",FALSE())</f>
        <v/>
      </c>
      <c r="R934" s="0" t="str">
        <f aca="false">IF(K934="","",TRUE())</f>
        <v/>
      </c>
      <c r="S934" s="0" t="str">
        <f aca="false">IF(K934="","",IF(AND(Q934,R934),IF(O934=P934,"Match","Qty Different"),IF(Q934,"Only in List 1","Only in List 2")))</f>
        <v/>
      </c>
      <c r="T934" s="0" t="str">
        <f aca="false">IF(K934="","",IF(ISNUMBER(--L934),TEXT(--L934,"000000000000.000"),LOWER(L934)))</f>
        <v/>
      </c>
      <c r="U934" s="0" t="str">
        <f aca="false">IF(K934="","",IF(ISNUMBER(--M934),TEXT(--M934,"000000000000.000"),LOWER(M934)))</f>
        <v/>
      </c>
      <c r="V934" s="0" t="str">
        <f aca="false">IF(K934="","",LOWER(N934))</f>
        <v/>
      </c>
      <c r="W934" s="0" t="str">
        <f aca="false">IF(K934="","",G434)</f>
        <v/>
      </c>
      <c r="X934" s="0" t="str">
        <f aca="false">IF(K934="","",1+SUMPRODUCT(($K$2:$K$1001&lt;&gt;"")*(($T$2:$T$1001&lt;T934)+($T$2:$T$1001=T934)*(($U$2:$U$1001&lt;U934)+($U$2:$U$1001=U934)*(($V$2:$V$1001&lt;V934)+($V$2:$V$1001=V934)*(($W$2:$W$1001&lt;W934)+($W$2:$W$1001=W934)*(ROW($K$2:$K$1001)&lt;ROW(K934))))))))</f>
        <v/>
      </c>
    </row>
    <row r="935" customFormat="false" ht="15" hidden="false" customHeight="false" outlineLevel="0" collapsed="false">
      <c r="K935" s="0" t="str">
        <f aca="false">IF(H435="","",IF(SUMPRODUCT(--($C$2:$C$501=H435))&gt;0,"",H435))</f>
        <v/>
      </c>
      <c r="L935" s="0" t="str">
        <f aca="false">IF(K935="","",IF(ISNUMBER('List 2'!A435),'List 2'!A435,TRIM('List 2'!A435)))</f>
        <v/>
      </c>
      <c r="M935" s="0" t="str">
        <f aca="false">IF(K935="","",IF(ISNUMBER('List 2'!C435),'List 2'!C435,TRIM('List 2'!C435)))</f>
        <v/>
      </c>
      <c r="N935" s="0" t="str">
        <f aca="false">IF(K935="","",IF(ISNUMBER('List 2'!D435),'List 2'!D435,TRIM('List 2'!D435)))</f>
        <v/>
      </c>
      <c r="O935" s="0" t="str">
        <f aca="false">IF(K935="","",0)</f>
        <v/>
      </c>
      <c r="P935" s="0" t="str">
        <f aca="false">IF(K935="","",I435)</f>
        <v/>
      </c>
      <c r="Q935" s="0" t="str">
        <f aca="false">IF(K935="","",FALSE())</f>
        <v/>
      </c>
      <c r="R935" s="0" t="str">
        <f aca="false">IF(K935="","",TRUE())</f>
        <v/>
      </c>
      <c r="S935" s="0" t="str">
        <f aca="false">IF(K935="","",IF(AND(Q935,R935),IF(O935=P935,"Match","Qty Different"),IF(Q935,"Only in List 1","Only in List 2")))</f>
        <v/>
      </c>
      <c r="T935" s="0" t="str">
        <f aca="false">IF(K935="","",IF(ISNUMBER(--L935),TEXT(--L935,"000000000000.000"),LOWER(L935)))</f>
        <v/>
      </c>
      <c r="U935" s="0" t="str">
        <f aca="false">IF(K935="","",IF(ISNUMBER(--M935),TEXT(--M935,"000000000000.000"),LOWER(M935)))</f>
        <v/>
      </c>
      <c r="V935" s="0" t="str">
        <f aca="false">IF(K935="","",LOWER(N935))</f>
        <v/>
      </c>
      <c r="W935" s="0" t="str">
        <f aca="false">IF(K935="","",G435)</f>
        <v/>
      </c>
      <c r="X935" s="0" t="str">
        <f aca="false">IF(K935="","",1+SUMPRODUCT(($K$2:$K$1001&lt;&gt;"")*(($T$2:$T$1001&lt;T935)+($T$2:$T$1001=T935)*(($U$2:$U$1001&lt;U935)+($U$2:$U$1001=U935)*(($V$2:$V$1001&lt;V935)+($V$2:$V$1001=V935)*(($W$2:$W$1001&lt;W935)+($W$2:$W$1001=W935)*(ROW($K$2:$K$1001)&lt;ROW(K935))))))))</f>
        <v/>
      </c>
    </row>
    <row r="936" customFormat="false" ht="15" hidden="false" customHeight="false" outlineLevel="0" collapsed="false">
      <c r="K936" s="0" t="str">
        <f aca="false">IF(H436="","",IF(SUMPRODUCT(--($C$2:$C$501=H436))&gt;0,"",H436))</f>
        <v/>
      </c>
      <c r="L936" s="0" t="str">
        <f aca="false">IF(K936="","",IF(ISNUMBER('List 2'!A436),'List 2'!A436,TRIM('List 2'!A436)))</f>
        <v/>
      </c>
      <c r="M936" s="0" t="str">
        <f aca="false">IF(K936="","",IF(ISNUMBER('List 2'!C436),'List 2'!C436,TRIM('List 2'!C436)))</f>
        <v/>
      </c>
      <c r="N936" s="0" t="str">
        <f aca="false">IF(K936="","",IF(ISNUMBER('List 2'!D436),'List 2'!D436,TRIM('List 2'!D436)))</f>
        <v/>
      </c>
      <c r="O936" s="0" t="str">
        <f aca="false">IF(K936="","",0)</f>
        <v/>
      </c>
      <c r="P936" s="0" t="str">
        <f aca="false">IF(K936="","",I436)</f>
        <v/>
      </c>
      <c r="Q936" s="0" t="str">
        <f aca="false">IF(K936="","",FALSE())</f>
        <v/>
      </c>
      <c r="R936" s="0" t="str">
        <f aca="false">IF(K936="","",TRUE())</f>
        <v/>
      </c>
      <c r="S936" s="0" t="str">
        <f aca="false">IF(K936="","",IF(AND(Q936,R936),IF(O936=P936,"Match","Qty Different"),IF(Q936,"Only in List 1","Only in List 2")))</f>
        <v/>
      </c>
      <c r="T936" s="0" t="str">
        <f aca="false">IF(K936="","",IF(ISNUMBER(--L936),TEXT(--L936,"000000000000.000"),LOWER(L936)))</f>
        <v/>
      </c>
      <c r="U936" s="0" t="str">
        <f aca="false">IF(K936="","",IF(ISNUMBER(--M936),TEXT(--M936,"000000000000.000"),LOWER(M936)))</f>
        <v/>
      </c>
      <c r="V936" s="0" t="str">
        <f aca="false">IF(K936="","",LOWER(N936))</f>
        <v/>
      </c>
      <c r="W936" s="0" t="str">
        <f aca="false">IF(K936="","",G436)</f>
        <v/>
      </c>
      <c r="X936" s="0" t="str">
        <f aca="false">IF(K936="","",1+SUMPRODUCT(($K$2:$K$1001&lt;&gt;"")*(($T$2:$T$1001&lt;T936)+($T$2:$T$1001=T936)*(($U$2:$U$1001&lt;U936)+($U$2:$U$1001=U936)*(($V$2:$V$1001&lt;V936)+($V$2:$V$1001=V936)*(($W$2:$W$1001&lt;W936)+($W$2:$W$1001=W936)*(ROW($K$2:$K$1001)&lt;ROW(K936))))))))</f>
        <v/>
      </c>
    </row>
    <row r="937" customFormat="false" ht="15" hidden="false" customHeight="false" outlineLevel="0" collapsed="false">
      <c r="K937" s="0" t="str">
        <f aca="false">IF(H437="","",IF(SUMPRODUCT(--($C$2:$C$501=H437))&gt;0,"",H437))</f>
        <v/>
      </c>
      <c r="L937" s="0" t="str">
        <f aca="false">IF(K937="","",IF(ISNUMBER('List 2'!A437),'List 2'!A437,TRIM('List 2'!A437)))</f>
        <v/>
      </c>
      <c r="M937" s="0" t="str">
        <f aca="false">IF(K937="","",IF(ISNUMBER('List 2'!C437),'List 2'!C437,TRIM('List 2'!C437)))</f>
        <v/>
      </c>
      <c r="N937" s="0" t="str">
        <f aca="false">IF(K937="","",IF(ISNUMBER('List 2'!D437),'List 2'!D437,TRIM('List 2'!D437)))</f>
        <v/>
      </c>
      <c r="O937" s="0" t="str">
        <f aca="false">IF(K937="","",0)</f>
        <v/>
      </c>
      <c r="P937" s="0" t="str">
        <f aca="false">IF(K937="","",I437)</f>
        <v/>
      </c>
      <c r="Q937" s="0" t="str">
        <f aca="false">IF(K937="","",FALSE())</f>
        <v/>
      </c>
      <c r="R937" s="0" t="str">
        <f aca="false">IF(K937="","",TRUE())</f>
        <v/>
      </c>
      <c r="S937" s="0" t="str">
        <f aca="false">IF(K937="","",IF(AND(Q937,R937),IF(O937=P937,"Match","Qty Different"),IF(Q937,"Only in List 1","Only in List 2")))</f>
        <v/>
      </c>
      <c r="T937" s="0" t="str">
        <f aca="false">IF(K937="","",IF(ISNUMBER(--L937),TEXT(--L937,"000000000000.000"),LOWER(L937)))</f>
        <v/>
      </c>
      <c r="U937" s="0" t="str">
        <f aca="false">IF(K937="","",IF(ISNUMBER(--M937),TEXT(--M937,"000000000000.000"),LOWER(M937)))</f>
        <v/>
      </c>
      <c r="V937" s="0" t="str">
        <f aca="false">IF(K937="","",LOWER(N937))</f>
        <v/>
      </c>
      <c r="W937" s="0" t="str">
        <f aca="false">IF(K937="","",G437)</f>
        <v/>
      </c>
      <c r="X937" s="0" t="str">
        <f aca="false">IF(K937="","",1+SUMPRODUCT(($K$2:$K$1001&lt;&gt;"")*(($T$2:$T$1001&lt;T937)+($T$2:$T$1001=T937)*(($U$2:$U$1001&lt;U937)+($U$2:$U$1001=U937)*(($V$2:$V$1001&lt;V937)+($V$2:$V$1001=V937)*(($W$2:$W$1001&lt;W937)+($W$2:$W$1001=W937)*(ROW($K$2:$K$1001)&lt;ROW(K937))))))))</f>
        <v/>
      </c>
    </row>
    <row r="938" customFormat="false" ht="15" hidden="false" customHeight="false" outlineLevel="0" collapsed="false">
      <c r="K938" s="0" t="str">
        <f aca="false">IF(H438="","",IF(SUMPRODUCT(--($C$2:$C$501=H438))&gt;0,"",H438))</f>
        <v/>
      </c>
      <c r="L938" s="0" t="str">
        <f aca="false">IF(K938="","",IF(ISNUMBER('List 2'!A438),'List 2'!A438,TRIM('List 2'!A438)))</f>
        <v/>
      </c>
      <c r="M938" s="0" t="str">
        <f aca="false">IF(K938="","",IF(ISNUMBER('List 2'!C438),'List 2'!C438,TRIM('List 2'!C438)))</f>
        <v/>
      </c>
      <c r="N938" s="0" t="str">
        <f aca="false">IF(K938="","",IF(ISNUMBER('List 2'!D438),'List 2'!D438,TRIM('List 2'!D438)))</f>
        <v/>
      </c>
      <c r="O938" s="0" t="str">
        <f aca="false">IF(K938="","",0)</f>
        <v/>
      </c>
      <c r="P938" s="0" t="str">
        <f aca="false">IF(K938="","",I438)</f>
        <v/>
      </c>
      <c r="Q938" s="0" t="str">
        <f aca="false">IF(K938="","",FALSE())</f>
        <v/>
      </c>
      <c r="R938" s="0" t="str">
        <f aca="false">IF(K938="","",TRUE())</f>
        <v/>
      </c>
      <c r="S938" s="0" t="str">
        <f aca="false">IF(K938="","",IF(AND(Q938,R938),IF(O938=P938,"Match","Qty Different"),IF(Q938,"Only in List 1","Only in List 2")))</f>
        <v/>
      </c>
      <c r="T938" s="0" t="str">
        <f aca="false">IF(K938="","",IF(ISNUMBER(--L938),TEXT(--L938,"000000000000.000"),LOWER(L938)))</f>
        <v/>
      </c>
      <c r="U938" s="0" t="str">
        <f aca="false">IF(K938="","",IF(ISNUMBER(--M938),TEXT(--M938,"000000000000.000"),LOWER(M938)))</f>
        <v/>
      </c>
      <c r="V938" s="0" t="str">
        <f aca="false">IF(K938="","",LOWER(N938))</f>
        <v/>
      </c>
      <c r="W938" s="0" t="str">
        <f aca="false">IF(K938="","",G438)</f>
        <v/>
      </c>
      <c r="X938" s="0" t="str">
        <f aca="false">IF(K938="","",1+SUMPRODUCT(($K$2:$K$1001&lt;&gt;"")*(($T$2:$T$1001&lt;T938)+($T$2:$T$1001=T938)*(($U$2:$U$1001&lt;U938)+($U$2:$U$1001=U938)*(($V$2:$V$1001&lt;V938)+($V$2:$V$1001=V938)*(($W$2:$W$1001&lt;W938)+($W$2:$W$1001=W938)*(ROW($K$2:$K$1001)&lt;ROW(K938))))))))</f>
        <v/>
      </c>
    </row>
    <row r="939" customFormat="false" ht="15" hidden="false" customHeight="false" outlineLevel="0" collapsed="false">
      <c r="K939" s="0" t="str">
        <f aca="false">IF(H439="","",IF(SUMPRODUCT(--($C$2:$C$501=H439))&gt;0,"",H439))</f>
        <v/>
      </c>
      <c r="L939" s="0" t="str">
        <f aca="false">IF(K939="","",IF(ISNUMBER('List 2'!A439),'List 2'!A439,TRIM('List 2'!A439)))</f>
        <v/>
      </c>
      <c r="M939" s="0" t="str">
        <f aca="false">IF(K939="","",IF(ISNUMBER('List 2'!C439),'List 2'!C439,TRIM('List 2'!C439)))</f>
        <v/>
      </c>
      <c r="N939" s="0" t="str">
        <f aca="false">IF(K939="","",IF(ISNUMBER('List 2'!D439),'List 2'!D439,TRIM('List 2'!D439)))</f>
        <v/>
      </c>
      <c r="O939" s="0" t="str">
        <f aca="false">IF(K939="","",0)</f>
        <v/>
      </c>
      <c r="P939" s="0" t="str">
        <f aca="false">IF(K939="","",I439)</f>
        <v/>
      </c>
      <c r="Q939" s="0" t="str">
        <f aca="false">IF(K939="","",FALSE())</f>
        <v/>
      </c>
      <c r="R939" s="0" t="str">
        <f aca="false">IF(K939="","",TRUE())</f>
        <v/>
      </c>
      <c r="S939" s="0" t="str">
        <f aca="false">IF(K939="","",IF(AND(Q939,R939),IF(O939=P939,"Match","Qty Different"),IF(Q939,"Only in List 1","Only in List 2")))</f>
        <v/>
      </c>
      <c r="T939" s="0" t="str">
        <f aca="false">IF(K939="","",IF(ISNUMBER(--L939),TEXT(--L939,"000000000000.000"),LOWER(L939)))</f>
        <v/>
      </c>
      <c r="U939" s="0" t="str">
        <f aca="false">IF(K939="","",IF(ISNUMBER(--M939),TEXT(--M939,"000000000000.000"),LOWER(M939)))</f>
        <v/>
      </c>
      <c r="V939" s="0" t="str">
        <f aca="false">IF(K939="","",LOWER(N939))</f>
        <v/>
      </c>
      <c r="W939" s="0" t="str">
        <f aca="false">IF(K939="","",G439)</f>
        <v/>
      </c>
      <c r="X939" s="0" t="str">
        <f aca="false">IF(K939="","",1+SUMPRODUCT(($K$2:$K$1001&lt;&gt;"")*(($T$2:$T$1001&lt;T939)+($T$2:$T$1001=T939)*(($U$2:$U$1001&lt;U939)+($U$2:$U$1001=U939)*(($V$2:$V$1001&lt;V939)+($V$2:$V$1001=V939)*(($W$2:$W$1001&lt;W939)+($W$2:$W$1001=W939)*(ROW($K$2:$K$1001)&lt;ROW(K939))))))))</f>
        <v/>
      </c>
    </row>
    <row r="940" customFormat="false" ht="15" hidden="false" customHeight="false" outlineLevel="0" collapsed="false">
      <c r="K940" s="0" t="str">
        <f aca="false">IF(H440="","",IF(SUMPRODUCT(--($C$2:$C$501=H440))&gt;0,"",H440))</f>
        <v/>
      </c>
      <c r="L940" s="0" t="str">
        <f aca="false">IF(K940="","",IF(ISNUMBER('List 2'!A440),'List 2'!A440,TRIM('List 2'!A440)))</f>
        <v/>
      </c>
      <c r="M940" s="0" t="str">
        <f aca="false">IF(K940="","",IF(ISNUMBER('List 2'!C440),'List 2'!C440,TRIM('List 2'!C440)))</f>
        <v/>
      </c>
      <c r="N940" s="0" t="str">
        <f aca="false">IF(K940="","",IF(ISNUMBER('List 2'!D440),'List 2'!D440,TRIM('List 2'!D440)))</f>
        <v/>
      </c>
      <c r="O940" s="0" t="str">
        <f aca="false">IF(K940="","",0)</f>
        <v/>
      </c>
      <c r="P940" s="0" t="str">
        <f aca="false">IF(K940="","",I440)</f>
        <v/>
      </c>
      <c r="Q940" s="0" t="str">
        <f aca="false">IF(K940="","",FALSE())</f>
        <v/>
      </c>
      <c r="R940" s="0" t="str">
        <f aca="false">IF(K940="","",TRUE())</f>
        <v/>
      </c>
      <c r="S940" s="0" t="str">
        <f aca="false">IF(K940="","",IF(AND(Q940,R940),IF(O940=P940,"Match","Qty Different"),IF(Q940,"Only in List 1","Only in List 2")))</f>
        <v/>
      </c>
      <c r="T940" s="0" t="str">
        <f aca="false">IF(K940="","",IF(ISNUMBER(--L940),TEXT(--L940,"000000000000.000"),LOWER(L940)))</f>
        <v/>
      </c>
      <c r="U940" s="0" t="str">
        <f aca="false">IF(K940="","",IF(ISNUMBER(--M940),TEXT(--M940,"000000000000.000"),LOWER(M940)))</f>
        <v/>
      </c>
      <c r="V940" s="0" t="str">
        <f aca="false">IF(K940="","",LOWER(N940))</f>
        <v/>
      </c>
      <c r="W940" s="0" t="str">
        <f aca="false">IF(K940="","",G440)</f>
        <v/>
      </c>
      <c r="X940" s="0" t="str">
        <f aca="false">IF(K940="","",1+SUMPRODUCT(($K$2:$K$1001&lt;&gt;"")*(($T$2:$T$1001&lt;T940)+($T$2:$T$1001=T940)*(($U$2:$U$1001&lt;U940)+($U$2:$U$1001=U940)*(($V$2:$V$1001&lt;V940)+($V$2:$V$1001=V940)*(($W$2:$W$1001&lt;W940)+($W$2:$W$1001=W940)*(ROW($K$2:$K$1001)&lt;ROW(K940))))))))</f>
        <v/>
      </c>
    </row>
    <row r="941" customFormat="false" ht="15" hidden="false" customHeight="false" outlineLevel="0" collapsed="false">
      <c r="K941" s="0" t="str">
        <f aca="false">IF(H441="","",IF(SUMPRODUCT(--($C$2:$C$501=H441))&gt;0,"",H441))</f>
        <v/>
      </c>
      <c r="L941" s="0" t="str">
        <f aca="false">IF(K941="","",IF(ISNUMBER('List 2'!A441),'List 2'!A441,TRIM('List 2'!A441)))</f>
        <v/>
      </c>
      <c r="M941" s="0" t="str">
        <f aca="false">IF(K941="","",IF(ISNUMBER('List 2'!C441),'List 2'!C441,TRIM('List 2'!C441)))</f>
        <v/>
      </c>
      <c r="N941" s="0" t="str">
        <f aca="false">IF(K941="","",IF(ISNUMBER('List 2'!D441),'List 2'!D441,TRIM('List 2'!D441)))</f>
        <v/>
      </c>
      <c r="O941" s="0" t="str">
        <f aca="false">IF(K941="","",0)</f>
        <v/>
      </c>
      <c r="P941" s="0" t="str">
        <f aca="false">IF(K941="","",I441)</f>
        <v/>
      </c>
      <c r="Q941" s="0" t="str">
        <f aca="false">IF(K941="","",FALSE())</f>
        <v/>
      </c>
      <c r="R941" s="0" t="str">
        <f aca="false">IF(K941="","",TRUE())</f>
        <v/>
      </c>
      <c r="S941" s="0" t="str">
        <f aca="false">IF(K941="","",IF(AND(Q941,R941),IF(O941=P941,"Match","Qty Different"),IF(Q941,"Only in List 1","Only in List 2")))</f>
        <v/>
      </c>
      <c r="T941" s="0" t="str">
        <f aca="false">IF(K941="","",IF(ISNUMBER(--L941),TEXT(--L941,"000000000000.000"),LOWER(L941)))</f>
        <v/>
      </c>
      <c r="U941" s="0" t="str">
        <f aca="false">IF(K941="","",IF(ISNUMBER(--M941),TEXT(--M941,"000000000000.000"),LOWER(M941)))</f>
        <v/>
      </c>
      <c r="V941" s="0" t="str">
        <f aca="false">IF(K941="","",LOWER(N941))</f>
        <v/>
      </c>
      <c r="W941" s="0" t="str">
        <f aca="false">IF(K941="","",G441)</f>
        <v/>
      </c>
      <c r="X941" s="0" t="str">
        <f aca="false">IF(K941="","",1+SUMPRODUCT(($K$2:$K$1001&lt;&gt;"")*(($T$2:$T$1001&lt;T941)+($T$2:$T$1001=T941)*(($U$2:$U$1001&lt;U941)+($U$2:$U$1001=U941)*(($V$2:$V$1001&lt;V941)+($V$2:$V$1001=V941)*(($W$2:$W$1001&lt;W941)+($W$2:$W$1001=W941)*(ROW($K$2:$K$1001)&lt;ROW(K941))))))))</f>
        <v/>
      </c>
    </row>
    <row r="942" customFormat="false" ht="15" hidden="false" customHeight="false" outlineLevel="0" collapsed="false">
      <c r="K942" s="0" t="str">
        <f aca="false">IF(H442="","",IF(SUMPRODUCT(--($C$2:$C$501=H442))&gt;0,"",H442))</f>
        <v/>
      </c>
      <c r="L942" s="0" t="str">
        <f aca="false">IF(K942="","",IF(ISNUMBER('List 2'!A442),'List 2'!A442,TRIM('List 2'!A442)))</f>
        <v/>
      </c>
      <c r="M942" s="0" t="str">
        <f aca="false">IF(K942="","",IF(ISNUMBER('List 2'!C442),'List 2'!C442,TRIM('List 2'!C442)))</f>
        <v/>
      </c>
      <c r="N942" s="0" t="str">
        <f aca="false">IF(K942="","",IF(ISNUMBER('List 2'!D442),'List 2'!D442,TRIM('List 2'!D442)))</f>
        <v/>
      </c>
      <c r="O942" s="0" t="str">
        <f aca="false">IF(K942="","",0)</f>
        <v/>
      </c>
      <c r="P942" s="0" t="str">
        <f aca="false">IF(K942="","",I442)</f>
        <v/>
      </c>
      <c r="Q942" s="0" t="str">
        <f aca="false">IF(K942="","",FALSE())</f>
        <v/>
      </c>
      <c r="R942" s="0" t="str">
        <f aca="false">IF(K942="","",TRUE())</f>
        <v/>
      </c>
      <c r="S942" s="0" t="str">
        <f aca="false">IF(K942="","",IF(AND(Q942,R942),IF(O942=P942,"Match","Qty Different"),IF(Q942,"Only in List 1","Only in List 2")))</f>
        <v/>
      </c>
      <c r="T942" s="0" t="str">
        <f aca="false">IF(K942="","",IF(ISNUMBER(--L942),TEXT(--L942,"000000000000.000"),LOWER(L942)))</f>
        <v/>
      </c>
      <c r="U942" s="0" t="str">
        <f aca="false">IF(K942="","",IF(ISNUMBER(--M942),TEXT(--M942,"000000000000.000"),LOWER(M942)))</f>
        <v/>
      </c>
      <c r="V942" s="0" t="str">
        <f aca="false">IF(K942="","",LOWER(N942))</f>
        <v/>
      </c>
      <c r="W942" s="0" t="str">
        <f aca="false">IF(K942="","",G442)</f>
        <v/>
      </c>
      <c r="X942" s="0" t="str">
        <f aca="false">IF(K942="","",1+SUMPRODUCT(($K$2:$K$1001&lt;&gt;"")*(($T$2:$T$1001&lt;T942)+($T$2:$T$1001=T942)*(($U$2:$U$1001&lt;U942)+($U$2:$U$1001=U942)*(($V$2:$V$1001&lt;V942)+($V$2:$V$1001=V942)*(($W$2:$W$1001&lt;W942)+($W$2:$W$1001=W942)*(ROW($K$2:$K$1001)&lt;ROW(K942))))))))</f>
        <v/>
      </c>
    </row>
    <row r="943" customFormat="false" ht="15" hidden="false" customHeight="false" outlineLevel="0" collapsed="false">
      <c r="K943" s="0" t="str">
        <f aca="false">IF(H443="","",IF(SUMPRODUCT(--($C$2:$C$501=H443))&gt;0,"",H443))</f>
        <v/>
      </c>
      <c r="L943" s="0" t="str">
        <f aca="false">IF(K943="","",IF(ISNUMBER('List 2'!A443),'List 2'!A443,TRIM('List 2'!A443)))</f>
        <v/>
      </c>
      <c r="M943" s="0" t="str">
        <f aca="false">IF(K943="","",IF(ISNUMBER('List 2'!C443),'List 2'!C443,TRIM('List 2'!C443)))</f>
        <v/>
      </c>
      <c r="N943" s="0" t="str">
        <f aca="false">IF(K943="","",IF(ISNUMBER('List 2'!D443),'List 2'!D443,TRIM('List 2'!D443)))</f>
        <v/>
      </c>
      <c r="O943" s="0" t="str">
        <f aca="false">IF(K943="","",0)</f>
        <v/>
      </c>
      <c r="P943" s="0" t="str">
        <f aca="false">IF(K943="","",I443)</f>
        <v/>
      </c>
      <c r="Q943" s="0" t="str">
        <f aca="false">IF(K943="","",FALSE())</f>
        <v/>
      </c>
      <c r="R943" s="0" t="str">
        <f aca="false">IF(K943="","",TRUE())</f>
        <v/>
      </c>
      <c r="S943" s="0" t="str">
        <f aca="false">IF(K943="","",IF(AND(Q943,R943),IF(O943=P943,"Match","Qty Different"),IF(Q943,"Only in List 1","Only in List 2")))</f>
        <v/>
      </c>
      <c r="T943" s="0" t="str">
        <f aca="false">IF(K943="","",IF(ISNUMBER(--L943),TEXT(--L943,"000000000000.000"),LOWER(L943)))</f>
        <v/>
      </c>
      <c r="U943" s="0" t="str">
        <f aca="false">IF(K943="","",IF(ISNUMBER(--M943),TEXT(--M943,"000000000000.000"),LOWER(M943)))</f>
        <v/>
      </c>
      <c r="V943" s="0" t="str">
        <f aca="false">IF(K943="","",LOWER(N943))</f>
        <v/>
      </c>
      <c r="W943" s="0" t="str">
        <f aca="false">IF(K943="","",G443)</f>
        <v/>
      </c>
      <c r="X943" s="0" t="str">
        <f aca="false">IF(K943="","",1+SUMPRODUCT(($K$2:$K$1001&lt;&gt;"")*(($T$2:$T$1001&lt;T943)+($T$2:$T$1001=T943)*(($U$2:$U$1001&lt;U943)+($U$2:$U$1001=U943)*(($V$2:$V$1001&lt;V943)+($V$2:$V$1001=V943)*(($W$2:$W$1001&lt;W943)+($W$2:$W$1001=W943)*(ROW($K$2:$K$1001)&lt;ROW(K943))))))))</f>
        <v/>
      </c>
    </row>
    <row r="944" customFormat="false" ht="15" hidden="false" customHeight="false" outlineLevel="0" collapsed="false">
      <c r="K944" s="0" t="str">
        <f aca="false">IF(H444="","",IF(SUMPRODUCT(--($C$2:$C$501=H444))&gt;0,"",H444))</f>
        <v/>
      </c>
      <c r="L944" s="0" t="str">
        <f aca="false">IF(K944="","",IF(ISNUMBER('List 2'!A444),'List 2'!A444,TRIM('List 2'!A444)))</f>
        <v/>
      </c>
      <c r="M944" s="0" t="str">
        <f aca="false">IF(K944="","",IF(ISNUMBER('List 2'!C444),'List 2'!C444,TRIM('List 2'!C444)))</f>
        <v/>
      </c>
      <c r="N944" s="0" t="str">
        <f aca="false">IF(K944="","",IF(ISNUMBER('List 2'!D444),'List 2'!D444,TRIM('List 2'!D444)))</f>
        <v/>
      </c>
      <c r="O944" s="0" t="str">
        <f aca="false">IF(K944="","",0)</f>
        <v/>
      </c>
      <c r="P944" s="0" t="str">
        <f aca="false">IF(K944="","",I444)</f>
        <v/>
      </c>
      <c r="Q944" s="0" t="str">
        <f aca="false">IF(K944="","",FALSE())</f>
        <v/>
      </c>
      <c r="R944" s="0" t="str">
        <f aca="false">IF(K944="","",TRUE())</f>
        <v/>
      </c>
      <c r="S944" s="0" t="str">
        <f aca="false">IF(K944="","",IF(AND(Q944,R944),IF(O944=P944,"Match","Qty Different"),IF(Q944,"Only in List 1","Only in List 2")))</f>
        <v/>
      </c>
      <c r="T944" s="0" t="str">
        <f aca="false">IF(K944="","",IF(ISNUMBER(--L944),TEXT(--L944,"000000000000.000"),LOWER(L944)))</f>
        <v/>
      </c>
      <c r="U944" s="0" t="str">
        <f aca="false">IF(K944="","",IF(ISNUMBER(--M944),TEXT(--M944,"000000000000.000"),LOWER(M944)))</f>
        <v/>
      </c>
      <c r="V944" s="0" t="str">
        <f aca="false">IF(K944="","",LOWER(N944))</f>
        <v/>
      </c>
      <c r="W944" s="0" t="str">
        <f aca="false">IF(K944="","",G444)</f>
        <v/>
      </c>
      <c r="X944" s="0" t="str">
        <f aca="false">IF(K944="","",1+SUMPRODUCT(($K$2:$K$1001&lt;&gt;"")*(($T$2:$T$1001&lt;T944)+($T$2:$T$1001=T944)*(($U$2:$U$1001&lt;U944)+($U$2:$U$1001=U944)*(($V$2:$V$1001&lt;V944)+($V$2:$V$1001=V944)*(($W$2:$W$1001&lt;W944)+($W$2:$W$1001=W944)*(ROW($K$2:$K$1001)&lt;ROW(K944))))))))</f>
        <v/>
      </c>
    </row>
    <row r="945" customFormat="false" ht="15" hidden="false" customHeight="false" outlineLevel="0" collapsed="false">
      <c r="K945" s="0" t="str">
        <f aca="false">IF(H445="","",IF(SUMPRODUCT(--($C$2:$C$501=H445))&gt;0,"",H445))</f>
        <v/>
      </c>
      <c r="L945" s="0" t="str">
        <f aca="false">IF(K945="","",IF(ISNUMBER('List 2'!A445),'List 2'!A445,TRIM('List 2'!A445)))</f>
        <v/>
      </c>
      <c r="M945" s="0" t="str">
        <f aca="false">IF(K945="","",IF(ISNUMBER('List 2'!C445),'List 2'!C445,TRIM('List 2'!C445)))</f>
        <v/>
      </c>
      <c r="N945" s="0" t="str">
        <f aca="false">IF(K945="","",IF(ISNUMBER('List 2'!D445),'List 2'!D445,TRIM('List 2'!D445)))</f>
        <v/>
      </c>
      <c r="O945" s="0" t="str">
        <f aca="false">IF(K945="","",0)</f>
        <v/>
      </c>
      <c r="P945" s="0" t="str">
        <f aca="false">IF(K945="","",I445)</f>
        <v/>
      </c>
      <c r="Q945" s="0" t="str">
        <f aca="false">IF(K945="","",FALSE())</f>
        <v/>
      </c>
      <c r="R945" s="0" t="str">
        <f aca="false">IF(K945="","",TRUE())</f>
        <v/>
      </c>
      <c r="S945" s="0" t="str">
        <f aca="false">IF(K945="","",IF(AND(Q945,R945),IF(O945=P945,"Match","Qty Different"),IF(Q945,"Only in List 1","Only in List 2")))</f>
        <v/>
      </c>
      <c r="T945" s="0" t="str">
        <f aca="false">IF(K945="","",IF(ISNUMBER(--L945),TEXT(--L945,"000000000000.000"),LOWER(L945)))</f>
        <v/>
      </c>
      <c r="U945" s="0" t="str">
        <f aca="false">IF(K945="","",IF(ISNUMBER(--M945),TEXT(--M945,"000000000000.000"),LOWER(M945)))</f>
        <v/>
      </c>
      <c r="V945" s="0" t="str">
        <f aca="false">IF(K945="","",LOWER(N945))</f>
        <v/>
      </c>
      <c r="W945" s="0" t="str">
        <f aca="false">IF(K945="","",G445)</f>
        <v/>
      </c>
      <c r="X945" s="0" t="str">
        <f aca="false">IF(K945="","",1+SUMPRODUCT(($K$2:$K$1001&lt;&gt;"")*(($T$2:$T$1001&lt;T945)+($T$2:$T$1001=T945)*(($U$2:$U$1001&lt;U945)+($U$2:$U$1001=U945)*(($V$2:$V$1001&lt;V945)+($V$2:$V$1001=V945)*(($W$2:$W$1001&lt;W945)+($W$2:$W$1001=W945)*(ROW($K$2:$K$1001)&lt;ROW(K945))))))))</f>
        <v/>
      </c>
    </row>
    <row r="946" customFormat="false" ht="15" hidden="false" customHeight="false" outlineLevel="0" collapsed="false">
      <c r="K946" s="0" t="str">
        <f aca="false">IF(H446="","",IF(SUMPRODUCT(--($C$2:$C$501=H446))&gt;0,"",H446))</f>
        <v/>
      </c>
      <c r="L946" s="0" t="str">
        <f aca="false">IF(K946="","",IF(ISNUMBER('List 2'!A446),'List 2'!A446,TRIM('List 2'!A446)))</f>
        <v/>
      </c>
      <c r="M946" s="0" t="str">
        <f aca="false">IF(K946="","",IF(ISNUMBER('List 2'!C446),'List 2'!C446,TRIM('List 2'!C446)))</f>
        <v/>
      </c>
      <c r="N946" s="0" t="str">
        <f aca="false">IF(K946="","",IF(ISNUMBER('List 2'!D446),'List 2'!D446,TRIM('List 2'!D446)))</f>
        <v/>
      </c>
      <c r="O946" s="0" t="str">
        <f aca="false">IF(K946="","",0)</f>
        <v/>
      </c>
      <c r="P946" s="0" t="str">
        <f aca="false">IF(K946="","",I446)</f>
        <v/>
      </c>
      <c r="Q946" s="0" t="str">
        <f aca="false">IF(K946="","",FALSE())</f>
        <v/>
      </c>
      <c r="R946" s="0" t="str">
        <f aca="false">IF(K946="","",TRUE())</f>
        <v/>
      </c>
      <c r="S946" s="0" t="str">
        <f aca="false">IF(K946="","",IF(AND(Q946,R946),IF(O946=P946,"Match","Qty Different"),IF(Q946,"Only in List 1","Only in List 2")))</f>
        <v/>
      </c>
      <c r="T946" s="0" t="str">
        <f aca="false">IF(K946="","",IF(ISNUMBER(--L946),TEXT(--L946,"000000000000.000"),LOWER(L946)))</f>
        <v/>
      </c>
      <c r="U946" s="0" t="str">
        <f aca="false">IF(K946="","",IF(ISNUMBER(--M946),TEXT(--M946,"000000000000.000"),LOWER(M946)))</f>
        <v/>
      </c>
      <c r="V946" s="0" t="str">
        <f aca="false">IF(K946="","",LOWER(N946))</f>
        <v/>
      </c>
      <c r="W946" s="0" t="str">
        <f aca="false">IF(K946="","",G446)</f>
        <v/>
      </c>
      <c r="X946" s="0" t="str">
        <f aca="false">IF(K946="","",1+SUMPRODUCT(($K$2:$K$1001&lt;&gt;"")*(($T$2:$T$1001&lt;T946)+($T$2:$T$1001=T946)*(($U$2:$U$1001&lt;U946)+($U$2:$U$1001=U946)*(($V$2:$V$1001&lt;V946)+($V$2:$V$1001=V946)*(($W$2:$W$1001&lt;W946)+($W$2:$W$1001=W946)*(ROW($K$2:$K$1001)&lt;ROW(K946))))))))</f>
        <v/>
      </c>
    </row>
    <row r="947" customFormat="false" ht="15" hidden="false" customHeight="false" outlineLevel="0" collapsed="false">
      <c r="K947" s="0" t="str">
        <f aca="false">IF(H447="","",IF(SUMPRODUCT(--($C$2:$C$501=H447))&gt;0,"",H447))</f>
        <v/>
      </c>
      <c r="L947" s="0" t="str">
        <f aca="false">IF(K947="","",IF(ISNUMBER('List 2'!A447),'List 2'!A447,TRIM('List 2'!A447)))</f>
        <v/>
      </c>
      <c r="M947" s="0" t="str">
        <f aca="false">IF(K947="","",IF(ISNUMBER('List 2'!C447),'List 2'!C447,TRIM('List 2'!C447)))</f>
        <v/>
      </c>
      <c r="N947" s="0" t="str">
        <f aca="false">IF(K947="","",IF(ISNUMBER('List 2'!D447),'List 2'!D447,TRIM('List 2'!D447)))</f>
        <v/>
      </c>
      <c r="O947" s="0" t="str">
        <f aca="false">IF(K947="","",0)</f>
        <v/>
      </c>
      <c r="P947" s="0" t="str">
        <f aca="false">IF(K947="","",I447)</f>
        <v/>
      </c>
      <c r="Q947" s="0" t="str">
        <f aca="false">IF(K947="","",FALSE())</f>
        <v/>
      </c>
      <c r="R947" s="0" t="str">
        <f aca="false">IF(K947="","",TRUE())</f>
        <v/>
      </c>
      <c r="S947" s="0" t="str">
        <f aca="false">IF(K947="","",IF(AND(Q947,R947),IF(O947=P947,"Match","Qty Different"),IF(Q947,"Only in List 1","Only in List 2")))</f>
        <v/>
      </c>
      <c r="T947" s="0" t="str">
        <f aca="false">IF(K947="","",IF(ISNUMBER(--L947),TEXT(--L947,"000000000000.000"),LOWER(L947)))</f>
        <v/>
      </c>
      <c r="U947" s="0" t="str">
        <f aca="false">IF(K947="","",IF(ISNUMBER(--M947),TEXT(--M947,"000000000000.000"),LOWER(M947)))</f>
        <v/>
      </c>
      <c r="V947" s="0" t="str">
        <f aca="false">IF(K947="","",LOWER(N947))</f>
        <v/>
      </c>
      <c r="W947" s="0" t="str">
        <f aca="false">IF(K947="","",G447)</f>
        <v/>
      </c>
      <c r="X947" s="0" t="str">
        <f aca="false">IF(K947="","",1+SUMPRODUCT(($K$2:$K$1001&lt;&gt;"")*(($T$2:$T$1001&lt;T947)+($T$2:$T$1001=T947)*(($U$2:$U$1001&lt;U947)+($U$2:$U$1001=U947)*(($V$2:$V$1001&lt;V947)+($V$2:$V$1001=V947)*(($W$2:$W$1001&lt;W947)+($W$2:$W$1001=W947)*(ROW($K$2:$K$1001)&lt;ROW(K947))))))))</f>
        <v/>
      </c>
    </row>
    <row r="948" customFormat="false" ht="15" hidden="false" customHeight="false" outlineLevel="0" collapsed="false">
      <c r="K948" s="0" t="str">
        <f aca="false">IF(H448="","",IF(SUMPRODUCT(--($C$2:$C$501=H448))&gt;0,"",H448))</f>
        <v/>
      </c>
      <c r="L948" s="0" t="str">
        <f aca="false">IF(K948="","",IF(ISNUMBER('List 2'!A448),'List 2'!A448,TRIM('List 2'!A448)))</f>
        <v/>
      </c>
      <c r="M948" s="0" t="str">
        <f aca="false">IF(K948="","",IF(ISNUMBER('List 2'!C448),'List 2'!C448,TRIM('List 2'!C448)))</f>
        <v/>
      </c>
      <c r="N948" s="0" t="str">
        <f aca="false">IF(K948="","",IF(ISNUMBER('List 2'!D448),'List 2'!D448,TRIM('List 2'!D448)))</f>
        <v/>
      </c>
      <c r="O948" s="0" t="str">
        <f aca="false">IF(K948="","",0)</f>
        <v/>
      </c>
      <c r="P948" s="0" t="str">
        <f aca="false">IF(K948="","",I448)</f>
        <v/>
      </c>
      <c r="Q948" s="0" t="str">
        <f aca="false">IF(K948="","",FALSE())</f>
        <v/>
      </c>
      <c r="R948" s="0" t="str">
        <f aca="false">IF(K948="","",TRUE())</f>
        <v/>
      </c>
      <c r="S948" s="0" t="str">
        <f aca="false">IF(K948="","",IF(AND(Q948,R948),IF(O948=P948,"Match","Qty Different"),IF(Q948,"Only in List 1","Only in List 2")))</f>
        <v/>
      </c>
      <c r="T948" s="0" t="str">
        <f aca="false">IF(K948="","",IF(ISNUMBER(--L948),TEXT(--L948,"000000000000.000"),LOWER(L948)))</f>
        <v/>
      </c>
      <c r="U948" s="0" t="str">
        <f aca="false">IF(K948="","",IF(ISNUMBER(--M948),TEXT(--M948,"000000000000.000"),LOWER(M948)))</f>
        <v/>
      </c>
      <c r="V948" s="0" t="str">
        <f aca="false">IF(K948="","",LOWER(N948))</f>
        <v/>
      </c>
      <c r="W948" s="0" t="str">
        <f aca="false">IF(K948="","",G448)</f>
        <v/>
      </c>
      <c r="X948" s="0" t="str">
        <f aca="false">IF(K948="","",1+SUMPRODUCT(($K$2:$K$1001&lt;&gt;"")*(($T$2:$T$1001&lt;T948)+($T$2:$T$1001=T948)*(($U$2:$U$1001&lt;U948)+($U$2:$U$1001=U948)*(($V$2:$V$1001&lt;V948)+($V$2:$V$1001=V948)*(($W$2:$W$1001&lt;W948)+($W$2:$W$1001=W948)*(ROW($K$2:$K$1001)&lt;ROW(K948))))))))</f>
        <v/>
      </c>
    </row>
    <row r="949" customFormat="false" ht="15" hidden="false" customHeight="false" outlineLevel="0" collapsed="false">
      <c r="K949" s="0" t="str">
        <f aca="false">IF(H449="","",IF(SUMPRODUCT(--($C$2:$C$501=H449))&gt;0,"",H449))</f>
        <v/>
      </c>
      <c r="L949" s="0" t="str">
        <f aca="false">IF(K949="","",IF(ISNUMBER('List 2'!A449),'List 2'!A449,TRIM('List 2'!A449)))</f>
        <v/>
      </c>
      <c r="M949" s="0" t="str">
        <f aca="false">IF(K949="","",IF(ISNUMBER('List 2'!C449),'List 2'!C449,TRIM('List 2'!C449)))</f>
        <v/>
      </c>
      <c r="N949" s="0" t="str">
        <f aca="false">IF(K949="","",IF(ISNUMBER('List 2'!D449),'List 2'!D449,TRIM('List 2'!D449)))</f>
        <v/>
      </c>
      <c r="O949" s="0" t="str">
        <f aca="false">IF(K949="","",0)</f>
        <v/>
      </c>
      <c r="P949" s="0" t="str">
        <f aca="false">IF(K949="","",I449)</f>
        <v/>
      </c>
      <c r="Q949" s="0" t="str">
        <f aca="false">IF(K949="","",FALSE())</f>
        <v/>
      </c>
      <c r="R949" s="0" t="str">
        <f aca="false">IF(K949="","",TRUE())</f>
        <v/>
      </c>
      <c r="S949" s="0" t="str">
        <f aca="false">IF(K949="","",IF(AND(Q949,R949),IF(O949=P949,"Match","Qty Different"),IF(Q949,"Only in List 1","Only in List 2")))</f>
        <v/>
      </c>
      <c r="T949" s="0" t="str">
        <f aca="false">IF(K949="","",IF(ISNUMBER(--L949),TEXT(--L949,"000000000000.000"),LOWER(L949)))</f>
        <v/>
      </c>
      <c r="U949" s="0" t="str">
        <f aca="false">IF(K949="","",IF(ISNUMBER(--M949),TEXT(--M949,"000000000000.000"),LOWER(M949)))</f>
        <v/>
      </c>
      <c r="V949" s="0" t="str">
        <f aca="false">IF(K949="","",LOWER(N949))</f>
        <v/>
      </c>
      <c r="W949" s="0" t="str">
        <f aca="false">IF(K949="","",G449)</f>
        <v/>
      </c>
      <c r="X949" s="0" t="str">
        <f aca="false">IF(K949="","",1+SUMPRODUCT(($K$2:$K$1001&lt;&gt;"")*(($T$2:$T$1001&lt;T949)+($T$2:$T$1001=T949)*(($U$2:$U$1001&lt;U949)+($U$2:$U$1001=U949)*(($V$2:$V$1001&lt;V949)+($V$2:$V$1001=V949)*(($W$2:$W$1001&lt;W949)+($W$2:$W$1001=W949)*(ROW($K$2:$K$1001)&lt;ROW(K949))))))))</f>
        <v/>
      </c>
    </row>
    <row r="950" customFormat="false" ht="15" hidden="false" customHeight="false" outlineLevel="0" collapsed="false">
      <c r="K950" s="0" t="str">
        <f aca="false">IF(H450="","",IF(SUMPRODUCT(--($C$2:$C$501=H450))&gt;0,"",H450))</f>
        <v/>
      </c>
      <c r="L950" s="0" t="str">
        <f aca="false">IF(K950="","",IF(ISNUMBER('List 2'!A450),'List 2'!A450,TRIM('List 2'!A450)))</f>
        <v/>
      </c>
      <c r="M950" s="0" t="str">
        <f aca="false">IF(K950="","",IF(ISNUMBER('List 2'!C450),'List 2'!C450,TRIM('List 2'!C450)))</f>
        <v/>
      </c>
      <c r="N950" s="0" t="str">
        <f aca="false">IF(K950="","",IF(ISNUMBER('List 2'!D450),'List 2'!D450,TRIM('List 2'!D450)))</f>
        <v/>
      </c>
      <c r="O950" s="0" t="str">
        <f aca="false">IF(K950="","",0)</f>
        <v/>
      </c>
      <c r="P950" s="0" t="str">
        <f aca="false">IF(K950="","",I450)</f>
        <v/>
      </c>
      <c r="Q950" s="0" t="str">
        <f aca="false">IF(K950="","",FALSE())</f>
        <v/>
      </c>
      <c r="R950" s="0" t="str">
        <f aca="false">IF(K950="","",TRUE())</f>
        <v/>
      </c>
      <c r="S950" s="0" t="str">
        <f aca="false">IF(K950="","",IF(AND(Q950,R950),IF(O950=P950,"Match","Qty Different"),IF(Q950,"Only in List 1","Only in List 2")))</f>
        <v/>
      </c>
      <c r="T950" s="0" t="str">
        <f aca="false">IF(K950="","",IF(ISNUMBER(--L950),TEXT(--L950,"000000000000.000"),LOWER(L950)))</f>
        <v/>
      </c>
      <c r="U950" s="0" t="str">
        <f aca="false">IF(K950="","",IF(ISNUMBER(--M950),TEXT(--M950,"000000000000.000"),LOWER(M950)))</f>
        <v/>
      </c>
      <c r="V950" s="0" t="str">
        <f aca="false">IF(K950="","",LOWER(N950))</f>
        <v/>
      </c>
      <c r="W950" s="0" t="str">
        <f aca="false">IF(K950="","",G450)</f>
        <v/>
      </c>
      <c r="X950" s="0" t="str">
        <f aca="false">IF(K950="","",1+SUMPRODUCT(($K$2:$K$1001&lt;&gt;"")*(($T$2:$T$1001&lt;T950)+($T$2:$T$1001=T950)*(($U$2:$U$1001&lt;U950)+($U$2:$U$1001=U950)*(($V$2:$V$1001&lt;V950)+($V$2:$V$1001=V950)*(($W$2:$W$1001&lt;W950)+($W$2:$W$1001=W950)*(ROW($K$2:$K$1001)&lt;ROW(K950))))))))</f>
        <v/>
      </c>
    </row>
    <row r="951" customFormat="false" ht="15" hidden="false" customHeight="false" outlineLevel="0" collapsed="false">
      <c r="K951" s="0" t="str">
        <f aca="false">IF(H451="","",IF(SUMPRODUCT(--($C$2:$C$501=H451))&gt;0,"",H451))</f>
        <v/>
      </c>
      <c r="L951" s="0" t="str">
        <f aca="false">IF(K951="","",IF(ISNUMBER('List 2'!A451),'List 2'!A451,TRIM('List 2'!A451)))</f>
        <v/>
      </c>
      <c r="M951" s="0" t="str">
        <f aca="false">IF(K951="","",IF(ISNUMBER('List 2'!C451),'List 2'!C451,TRIM('List 2'!C451)))</f>
        <v/>
      </c>
      <c r="N951" s="0" t="str">
        <f aca="false">IF(K951="","",IF(ISNUMBER('List 2'!D451),'List 2'!D451,TRIM('List 2'!D451)))</f>
        <v/>
      </c>
      <c r="O951" s="0" t="str">
        <f aca="false">IF(K951="","",0)</f>
        <v/>
      </c>
      <c r="P951" s="0" t="str">
        <f aca="false">IF(K951="","",I451)</f>
        <v/>
      </c>
      <c r="Q951" s="0" t="str">
        <f aca="false">IF(K951="","",FALSE())</f>
        <v/>
      </c>
      <c r="R951" s="0" t="str">
        <f aca="false">IF(K951="","",TRUE())</f>
        <v/>
      </c>
      <c r="S951" s="0" t="str">
        <f aca="false">IF(K951="","",IF(AND(Q951,R951),IF(O951=P951,"Match","Qty Different"),IF(Q951,"Only in List 1","Only in List 2")))</f>
        <v/>
      </c>
      <c r="T951" s="0" t="str">
        <f aca="false">IF(K951="","",IF(ISNUMBER(--L951),TEXT(--L951,"000000000000.000"),LOWER(L951)))</f>
        <v/>
      </c>
      <c r="U951" s="0" t="str">
        <f aca="false">IF(K951="","",IF(ISNUMBER(--M951),TEXT(--M951,"000000000000.000"),LOWER(M951)))</f>
        <v/>
      </c>
      <c r="V951" s="0" t="str">
        <f aca="false">IF(K951="","",LOWER(N951))</f>
        <v/>
      </c>
      <c r="W951" s="0" t="str">
        <f aca="false">IF(K951="","",G451)</f>
        <v/>
      </c>
      <c r="X951" s="0" t="str">
        <f aca="false">IF(K951="","",1+SUMPRODUCT(($K$2:$K$1001&lt;&gt;"")*(($T$2:$T$1001&lt;T951)+($T$2:$T$1001=T951)*(($U$2:$U$1001&lt;U951)+($U$2:$U$1001=U951)*(($V$2:$V$1001&lt;V951)+($V$2:$V$1001=V951)*(($W$2:$W$1001&lt;W951)+($W$2:$W$1001=W951)*(ROW($K$2:$K$1001)&lt;ROW(K951))))))))</f>
        <v/>
      </c>
    </row>
    <row r="952" customFormat="false" ht="15" hidden="false" customHeight="false" outlineLevel="0" collapsed="false">
      <c r="K952" s="0" t="str">
        <f aca="false">IF(H452="","",IF(SUMPRODUCT(--($C$2:$C$501=H452))&gt;0,"",H452))</f>
        <v/>
      </c>
      <c r="L952" s="0" t="str">
        <f aca="false">IF(K952="","",IF(ISNUMBER('List 2'!A452),'List 2'!A452,TRIM('List 2'!A452)))</f>
        <v/>
      </c>
      <c r="M952" s="0" t="str">
        <f aca="false">IF(K952="","",IF(ISNUMBER('List 2'!C452),'List 2'!C452,TRIM('List 2'!C452)))</f>
        <v/>
      </c>
      <c r="N952" s="0" t="str">
        <f aca="false">IF(K952="","",IF(ISNUMBER('List 2'!D452),'List 2'!D452,TRIM('List 2'!D452)))</f>
        <v/>
      </c>
      <c r="O952" s="0" t="str">
        <f aca="false">IF(K952="","",0)</f>
        <v/>
      </c>
      <c r="P952" s="0" t="str">
        <f aca="false">IF(K952="","",I452)</f>
        <v/>
      </c>
      <c r="Q952" s="0" t="str">
        <f aca="false">IF(K952="","",FALSE())</f>
        <v/>
      </c>
      <c r="R952" s="0" t="str">
        <f aca="false">IF(K952="","",TRUE())</f>
        <v/>
      </c>
      <c r="S952" s="0" t="str">
        <f aca="false">IF(K952="","",IF(AND(Q952,R952),IF(O952=P952,"Match","Qty Different"),IF(Q952,"Only in List 1","Only in List 2")))</f>
        <v/>
      </c>
      <c r="T952" s="0" t="str">
        <f aca="false">IF(K952="","",IF(ISNUMBER(--L952),TEXT(--L952,"000000000000.000"),LOWER(L952)))</f>
        <v/>
      </c>
      <c r="U952" s="0" t="str">
        <f aca="false">IF(K952="","",IF(ISNUMBER(--M952),TEXT(--M952,"000000000000.000"),LOWER(M952)))</f>
        <v/>
      </c>
      <c r="V952" s="0" t="str">
        <f aca="false">IF(K952="","",LOWER(N952))</f>
        <v/>
      </c>
      <c r="W952" s="0" t="str">
        <f aca="false">IF(K952="","",G452)</f>
        <v/>
      </c>
      <c r="X952" s="0" t="str">
        <f aca="false">IF(K952="","",1+SUMPRODUCT(($K$2:$K$1001&lt;&gt;"")*(($T$2:$T$1001&lt;T952)+($T$2:$T$1001=T952)*(($U$2:$U$1001&lt;U952)+($U$2:$U$1001=U952)*(($V$2:$V$1001&lt;V952)+($V$2:$V$1001=V952)*(($W$2:$W$1001&lt;W952)+($W$2:$W$1001=W952)*(ROW($K$2:$K$1001)&lt;ROW(K952))))))))</f>
        <v/>
      </c>
    </row>
    <row r="953" customFormat="false" ht="15" hidden="false" customHeight="false" outlineLevel="0" collapsed="false">
      <c r="K953" s="0" t="str">
        <f aca="false">IF(H453="","",IF(SUMPRODUCT(--($C$2:$C$501=H453))&gt;0,"",H453))</f>
        <v/>
      </c>
      <c r="L953" s="0" t="str">
        <f aca="false">IF(K953="","",IF(ISNUMBER('List 2'!A453),'List 2'!A453,TRIM('List 2'!A453)))</f>
        <v/>
      </c>
      <c r="M953" s="0" t="str">
        <f aca="false">IF(K953="","",IF(ISNUMBER('List 2'!C453),'List 2'!C453,TRIM('List 2'!C453)))</f>
        <v/>
      </c>
      <c r="N953" s="0" t="str">
        <f aca="false">IF(K953="","",IF(ISNUMBER('List 2'!D453),'List 2'!D453,TRIM('List 2'!D453)))</f>
        <v/>
      </c>
      <c r="O953" s="0" t="str">
        <f aca="false">IF(K953="","",0)</f>
        <v/>
      </c>
      <c r="P953" s="0" t="str">
        <f aca="false">IF(K953="","",I453)</f>
        <v/>
      </c>
      <c r="Q953" s="0" t="str">
        <f aca="false">IF(K953="","",FALSE())</f>
        <v/>
      </c>
      <c r="R953" s="0" t="str">
        <f aca="false">IF(K953="","",TRUE())</f>
        <v/>
      </c>
      <c r="S953" s="0" t="str">
        <f aca="false">IF(K953="","",IF(AND(Q953,R953),IF(O953=P953,"Match","Qty Different"),IF(Q953,"Only in List 1","Only in List 2")))</f>
        <v/>
      </c>
      <c r="T953" s="0" t="str">
        <f aca="false">IF(K953="","",IF(ISNUMBER(--L953),TEXT(--L953,"000000000000.000"),LOWER(L953)))</f>
        <v/>
      </c>
      <c r="U953" s="0" t="str">
        <f aca="false">IF(K953="","",IF(ISNUMBER(--M953),TEXT(--M953,"000000000000.000"),LOWER(M953)))</f>
        <v/>
      </c>
      <c r="V953" s="0" t="str">
        <f aca="false">IF(K953="","",LOWER(N953))</f>
        <v/>
      </c>
      <c r="W953" s="0" t="str">
        <f aca="false">IF(K953="","",G453)</f>
        <v/>
      </c>
      <c r="X953" s="0" t="str">
        <f aca="false">IF(K953="","",1+SUMPRODUCT(($K$2:$K$1001&lt;&gt;"")*(($T$2:$T$1001&lt;T953)+($T$2:$T$1001=T953)*(($U$2:$U$1001&lt;U953)+($U$2:$U$1001=U953)*(($V$2:$V$1001&lt;V953)+($V$2:$V$1001=V953)*(($W$2:$W$1001&lt;W953)+($W$2:$W$1001=W953)*(ROW($K$2:$K$1001)&lt;ROW(K953))))))))</f>
        <v/>
      </c>
    </row>
    <row r="954" customFormat="false" ht="15" hidden="false" customHeight="false" outlineLevel="0" collapsed="false">
      <c r="K954" s="0" t="str">
        <f aca="false">IF(H454="","",IF(SUMPRODUCT(--($C$2:$C$501=H454))&gt;0,"",H454))</f>
        <v/>
      </c>
      <c r="L954" s="0" t="str">
        <f aca="false">IF(K954="","",IF(ISNUMBER('List 2'!A454),'List 2'!A454,TRIM('List 2'!A454)))</f>
        <v/>
      </c>
      <c r="M954" s="0" t="str">
        <f aca="false">IF(K954="","",IF(ISNUMBER('List 2'!C454),'List 2'!C454,TRIM('List 2'!C454)))</f>
        <v/>
      </c>
      <c r="N954" s="0" t="str">
        <f aca="false">IF(K954="","",IF(ISNUMBER('List 2'!D454),'List 2'!D454,TRIM('List 2'!D454)))</f>
        <v/>
      </c>
      <c r="O954" s="0" t="str">
        <f aca="false">IF(K954="","",0)</f>
        <v/>
      </c>
      <c r="P954" s="0" t="str">
        <f aca="false">IF(K954="","",I454)</f>
        <v/>
      </c>
      <c r="Q954" s="0" t="str">
        <f aca="false">IF(K954="","",FALSE())</f>
        <v/>
      </c>
      <c r="R954" s="0" t="str">
        <f aca="false">IF(K954="","",TRUE())</f>
        <v/>
      </c>
      <c r="S954" s="0" t="str">
        <f aca="false">IF(K954="","",IF(AND(Q954,R954),IF(O954=P954,"Match","Qty Different"),IF(Q954,"Only in List 1","Only in List 2")))</f>
        <v/>
      </c>
      <c r="T954" s="0" t="str">
        <f aca="false">IF(K954="","",IF(ISNUMBER(--L954),TEXT(--L954,"000000000000.000"),LOWER(L954)))</f>
        <v/>
      </c>
      <c r="U954" s="0" t="str">
        <f aca="false">IF(K954="","",IF(ISNUMBER(--M954),TEXT(--M954,"000000000000.000"),LOWER(M954)))</f>
        <v/>
      </c>
      <c r="V954" s="0" t="str">
        <f aca="false">IF(K954="","",LOWER(N954))</f>
        <v/>
      </c>
      <c r="W954" s="0" t="str">
        <f aca="false">IF(K954="","",G454)</f>
        <v/>
      </c>
      <c r="X954" s="0" t="str">
        <f aca="false">IF(K954="","",1+SUMPRODUCT(($K$2:$K$1001&lt;&gt;"")*(($T$2:$T$1001&lt;T954)+($T$2:$T$1001=T954)*(($U$2:$U$1001&lt;U954)+($U$2:$U$1001=U954)*(($V$2:$V$1001&lt;V954)+($V$2:$V$1001=V954)*(($W$2:$W$1001&lt;W954)+($W$2:$W$1001=W954)*(ROW($K$2:$K$1001)&lt;ROW(K954))))))))</f>
        <v/>
      </c>
    </row>
    <row r="955" customFormat="false" ht="15" hidden="false" customHeight="false" outlineLevel="0" collapsed="false">
      <c r="K955" s="0" t="str">
        <f aca="false">IF(H455="","",IF(SUMPRODUCT(--($C$2:$C$501=H455))&gt;0,"",H455))</f>
        <v/>
      </c>
      <c r="L955" s="0" t="str">
        <f aca="false">IF(K955="","",IF(ISNUMBER('List 2'!A455),'List 2'!A455,TRIM('List 2'!A455)))</f>
        <v/>
      </c>
      <c r="M955" s="0" t="str">
        <f aca="false">IF(K955="","",IF(ISNUMBER('List 2'!C455),'List 2'!C455,TRIM('List 2'!C455)))</f>
        <v/>
      </c>
      <c r="N955" s="0" t="str">
        <f aca="false">IF(K955="","",IF(ISNUMBER('List 2'!D455),'List 2'!D455,TRIM('List 2'!D455)))</f>
        <v/>
      </c>
      <c r="O955" s="0" t="str">
        <f aca="false">IF(K955="","",0)</f>
        <v/>
      </c>
      <c r="P955" s="0" t="str">
        <f aca="false">IF(K955="","",I455)</f>
        <v/>
      </c>
      <c r="Q955" s="0" t="str">
        <f aca="false">IF(K955="","",FALSE())</f>
        <v/>
      </c>
      <c r="R955" s="0" t="str">
        <f aca="false">IF(K955="","",TRUE())</f>
        <v/>
      </c>
      <c r="S955" s="0" t="str">
        <f aca="false">IF(K955="","",IF(AND(Q955,R955),IF(O955=P955,"Match","Qty Different"),IF(Q955,"Only in List 1","Only in List 2")))</f>
        <v/>
      </c>
      <c r="T955" s="0" t="str">
        <f aca="false">IF(K955="","",IF(ISNUMBER(--L955),TEXT(--L955,"000000000000.000"),LOWER(L955)))</f>
        <v/>
      </c>
      <c r="U955" s="0" t="str">
        <f aca="false">IF(K955="","",IF(ISNUMBER(--M955),TEXT(--M955,"000000000000.000"),LOWER(M955)))</f>
        <v/>
      </c>
      <c r="V955" s="0" t="str">
        <f aca="false">IF(K955="","",LOWER(N955))</f>
        <v/>
      </c>
      <c r="W955" s="0" t="str">
        <f aca="false">IF(K955="","",G455)</f>
        <v/>
      </c>
      <c r="X955" s="0" t="str">
        <f aca="false">IF(K955="","",1+SUMPRODUCT(($K$2:$K$1001&lt;&gt;"")*(($T$2:$T$1001&lt;T955)+($T$2:$T$1001=T955)*(($U$2:$U$1001&lt;U955)+($U$2:$U$1001=U955)*(($V$2:$V$1001&lt;V955)+($V$2:$V$1001=V955)*(($W$2:$W$1001&lt;W955)+($W$2:$W$1001=W955)*(ROW($K$2:$K$1001)&lt;ROW(K955))))))))</f>
        <v/>
      </c>
    </row>
    <row r="956" customFormat="false" ht="15" hidden="false" customHeight="false" outlineLevel="0" collapsed="false">
      <c r="K956" s="0" t="str">
        <f aca="false">IF(H456="","",IF(SUMPRODUCT(--($C$2:$C$501=H456))&gt;0,"",H456))</f>
        <v/>
      </c>
      <c r="L956" s="0" t="str">
        <f aca="false">IF(K956="","",IF(ISNUMBER('List 2'!A456),'List 2'!A456,TRIM('List 2'!A456)))</f>
        <v/>
      </c>
      <c r="M956" s="0" t="str">
        <f aca="false">IF(K956="","",IF(ISNUMBER('List 2'!C456),'List 2'!C456,TRIM('List 2'!C456)))</f>
        <v/>
      </c>
      <c r="N956" s="0" t="str">
        <f aca="false">IF(K956="","",IF(ISNUMBER('List 2'!D456),'List 2'!D456,TRIM('List 2'!D456)))</f>
        <v/>
      </c>
      <c r="O956" s="0" t="str">
        <f aca="false">IF(K956="","",0)</f>
        <v/>
      </c>
      <c r="P956" s="0" t="str">
        <f aca="false">IF(K956="","",I456)</f>
        <v/>
      </c>
      <c r="Q956" s="0" t="str">
        <f aca="false">IF(K956="","",FALSE())</f>
        <v/>
      </c>
      <c r="R956" s="0" t="str">
        <f aca="false">IF(K956="","",TRUE())</f>
        <v/>
      </c>
      <c r="S956" s="0" t="str">
        <f aca="false">IF(K956="","",IF(AND(Q956,R956),IF(O956=P956,"Match","Qty Different"),IF(Q956,"Only in List 1","Only in List 2")))</f>
        <v/>
      </c>
      <c r="T956" s="0" t="str">
        <f aca="false">IF(K956="","",IF(ISNUMBER(--L956),TEXT(--L956,"000000000000.000"),LOWER(L956)))</f>
        <v/>
      </c>
      <c r="U956" s="0" t="str">
        <f aca="false">IF(K956="","",IF(ISNUMBER(--M956),TEXT(--M956,"000000000000.000"),LOWER(M956)))</f>
        <v/>
      </c>
      <c r="V956" s="0" t="str">
        <f aca="false">IF(K956="","",LOWER(N956))</f>
        <v/>
      </c>
      <c r="W956" s="0" t="str">
        <f aca="false">IF(K956="","",G456)</f>
        <v/>
      </c>
      <c r="X956" s="0" t="str">
        <f aca="false">IF(K956="","",1+SUMPRODUCT(($K$2:$K$1001&lt;&gt;"")*(($T$2:$T$1001&lt;T956)+($T$2:$T$1001=T956)*(($U$2:$U$1001&lt;U956)+($U$2:$U$1001=U956)*(($V$2:$V$1001&lt;V956)+($V$2:$V$1001=V956)*(($W$2:$W$1001&lt;W956)+($W$2:$W$1001=W956)*(ROW($K$2:$K$1001)&lt;ROW(K956))))))))</f>
        <v/>
      </c>
    </row>
    <row r="957" customFormat="false" ht="15" hidden="false" customHeight="false" outlineLevel="0" collapsed="false">
      <c r="K957" s="0" t="str">
        <f aca="false">IF(H457="","",IF(SUMPRODUCT(--($C$2:$C$501=H457))&gt;0,"",H457))</f>
        <v/>
      </c>
      <c r="L957" s="0" t="str">
        <f aca="false">IF(K957="","",IF(ISNUMBER('List 2'!A457),'List 2'!A457,TRIM('List 2'!A457)))</f>
        <v/>
      </c>
      <c r="M957" s="0" t="str">
        <f aca="false">IF(K957="","",IF(ISNUMBER('List 2'!C457),'List 2'!C457,TRIM('List 2'!C457)))</f>
        <v/>
      </c>
      <c r="N957" s="0" t="str">
        <f aca="false">IF(K957="","",IF(ISNUMBER('List 2'!D457),'List 2'!D457,TRIM('List 2'!D457)))</f>
        <v/>
      </c>
      <c r="O957" s="0" t="str">
        <f aca="false">IF(K957="","",0)</f>
        <v/>
      </c>
      <c r="P957" s="0" t="str">
        <f aca="false">IF(K957="","",I457)</f>
        <v/>
      </c>
      <c r="Q957" s="0" t="str">
        <f aca="false">IF(K957="","",FALSE())</f>
        <v/>
      </c>
      <c r="R957" s="0" t="str">
        <f aca="false">IF(K957="","",TRUE())</f>
        <v/>
      </c>
      <c r="S957" s="0" t="str">
        <f aca="false">IF(K957="","",IF(AND(Q957,R957),IF(O957=P957,"Match","Qty Different"),IF(Q957,"Only in List 1","Only in List 2")))</f>
        <v/>
      </c>
      <c r="T957" s="0" t="str">
        <f aca="false">IF(K957="","",IF(ISNUMBER(--L957),TEXT(--L957,"000000000000.000"),LOWER(L957)))</f>
        <v/>
      </c>
      <c r="U957" s="0" t="str">
        <f aca="false">IF(K957="","",IF(ISNUMBER(--M957),TEXT(--M957,"000000000000.000"),LOWER(M957)))</f>
        <v/>
      </c>
      <c r="V957" s="0" t="str">
        <f aca="false">IF(K957="","",LOWER(N957))</f>
        <v/>
      </c>
      <c r="W957" s="0" t="str">
        <f aca="false">IF(K957="","",G457)</f>
        <v/>
      </c>
      <c r="X957" s="0" t="str">
        <f aca="false">IF(K957="","",1+SUMPRODUCT(($K$2:$K$1001&lt;&gt;"")*(($T$2:$T$1001&lt;T957)+($T$2:$T$1001=T957)*(($U$2:$U$1001&lt;U957)+($U$2:$U$1001=U957)*(($V$2:$V$1001&lt;V957)+($V$2:$V$1001=V957)*(($W$2:$W$1001&lt;W957)+($W$2:$W$1001=W957)*(ROW($K$2:$K$1001)&lt;ROW(K957))))))))</f>
        <v/>
      </c>
    </row>
    <row r="958" customFormat="false" ht="15" hidden="false" customHeight="false" outlineLevel="0" collapsed="false">
      <c r="K958" s="0" t="str">
        <f aca="false">IF(H458="","",IF(SUMPRODUCT(--($C$2:$C$501=H458))&gt;0,"",H458))</f>
        <v/>
      </c>
      <c r="L958" s="0" t="str">
        <f aca="false">IF(K958="","",IF(ISNUMBER('List 2'!A458),'List 2'!A458,TRIM('List 2'!A458)))</f>
        <v/>
      </c>
      <c r="M958" s="0" t="str">
        <f aca="false">IF(K958="","",IF(ISNUMBER('List 2'!C458),'List 2'!C458,TRIM('List 2'!C458)))</f>
        <v/>
      </c>
      <c r="N958" s="0" t="str">
        <f aca="false">IF(K958="","",IF(ISNUMBER('List 2'!D458),'List 2'!D458,TRIM('List 2'!D458)))</f>
        <v/>
      </c>
      <c r="O958" s="0" t="str">
        <f aca="false">IF(K958="","",0)</f>
        <v/>
      </c>
      <c r="P958" s="0" t="str">
        <f aca="false">IF(K958="","",I458)</f>
        <v/>
      </c>
      <c r="Q958" s="0" t="str">
        <f aca="false">IF(K958="","",FALSE())</f>
        <v/>
      </c>
      <c r="R958" s="0" t="str">
        <f aca="false">IF(K958="","",TRUE())</f>
        <v/>
      </c>
      <c r="S958" s="0" t="str">
        <f aca="false">IF(K958="","",IF(AND(Q958,R958),IF(O958=P958,"Match","Qty Different"),IF(Q958,"Only in List 1","Only in List 2")))</f>
        <v/>
      </c>
      <c r="T958" s="0" t="str">
        <f aca="false">IF(K958="","",IF(ISNUMBER(--L958),TEXT(--L958,"000000000000.000"),LOWER(L958)))</f>
        <v/>
      </c>
      <c r="U958" s="0" t="str">
        <f aca="false">IF(K958="","",IF(ISNUMBER(--M958),TEXT(--M958,"000000000000.000"),LOWER(M958)))</f>
        <v/>
      </c>
      <c r="V958" s="0" t="str">
        <f aca="false">IF(K958="","",LOWER(N958))</f>
        <v/>
      </c>
      <c r="W958" s="0" t="str">
        <f aca="false">IF(K958="","",G458)</f>
        <v/>
      </c>
      <c r="X958" s="0" t="str">
        <f aca="false">IF(K958="","",1+SUMPRODUCT(($K$2:$K$1001&lt;&gt;"")*(($T$2:$T$1001&lt;T958)+($T$2:$T$1001=T958)*(($U$2:$U$1001&lt;U958)+($U$2:$U$1001=U958)*(($V$2:$V$1001&lt;V958)+($V$2:$V$1001=V958)*(($W$2:$W$1001&lt;W958)+($W$2:$W$1001=W958)*(ROW($K$2:$K$1001)&lt;ROW(K958))))))))</f>
        <v/>
      </c>
    </row>
    <row r="959" customFormat="false" ht="15" hidden="false" customHeight="false" outlineLevel="0" collapsed="false">
      <c r="K959" s="0" t="str">
        <f aca="false">IF(H459="","",IF(SUMPRODUCT(--($C$2:$C$501=H459))&gt;0,"",H459))</f>
        <v/>
      </c>
      <c r="L959" s="0" t="str">
        <f aca="false">IF(K959="","",IF(ISNUMBER('List 2'!A459),'List 2'!A459,TRIM('List 2'!A459)))</f>
        <v/>
      </c>
      <c r="M959" s="0" t="str">
        <f aca="false">IF(K959="","",IF(ISNUMBER('List 2'!C459),'List 2'!C459,TRIM('List 2'!C459)))</f>
        <v/>
      </c>
      <c r="N959" s="0" t="str">
        <f aca="false">IF(K959="","",IF(ISNUMBER('List 2'!D459),'List 2'!D459,TRIM('List 2'!D459)))</f>
        <v/>
      </c>
      <c r="O959" s="0" t="str">
        <f aca="false">IF(K959="","",0)</f>
        <v/>
      </c>
      <c r="P959" s="0" t="str">
        <f aca="false">IF(K959="","",I459)</f>
        <v/>
      </c>
      <c r="Q959" s="0" t="str">
        <f aca="false">IF(K959="","",FALSE())</f>
        <v/>
      </c>
      <c r="R959" s="0" t="str">
        <f aca="false">IF(K959="","",TRUE())</f>
        <v/>
      </c>
      <c r="S959" s="0" t="str">
        <f aca="false">IF(K959="","",IF(AND(Q959,R959),IF(O959=P959,"Match","Qty Different"),IF(Q959,"Only in List 1","Only in List 2")))</f>
        <v/>
      </c>
      <c r="T959" s="0" t="str">
        <f aca="false">IF(K959="","",IF(ISNUMBER(--L959),TEXT(--L959,"000000000000.000"),LOWER(L959)))</f>
        <v/>
      </c>
      <c r="U959" s="0" t="str">
        <f aca="false">IF(K959="","",IF(ISNUMBER(--M959),TEXT(--M959,"000000000000.000"),LOWER(M959)))</f>
        <v/>
      </c>
      <c r="V959" s="0" t="str">
        <f aca="false">IF(K959="","",LOWER(N959))</f>
        <v/>
      </c>
      <c r="W959" s="0" t="str">
        <f aca="false">IF(K959="","",G459)</f>
        <v/>
      </c>
      <c r="X959" s="0" t="str">
        <f aca="false">IF(K959="","",1+SUMPRODUCT(($K$2:$K$1001&lt;&gt;"")*(($T$2:$T$1001&lt;T959)+($T$2:$T$1001=T959)*(($U$2:$U$1001&lt;U959)+($U$2:$U$1001=U959)*(($V$2:$V$1001&lt;V959)+($V$2:$V$1001=V959)*(($W$2:$W$1001&lt;W959)+($W$2:$W$1001=W959)*(ROW($K$2:$K$1001)&lt;ROW(K959))))))))</f>
        <v/>
      </c>
    </row>
    <row r="960" customFormat="false" ht="15" hidden="false" customHeight="false" outlineLevel="0" collapsed="false">
      <c r="K960" s="0" t="str">
        <f aca="false">IF(H460="","",IF(SUMPRODUCT(--($C$2:$C$501=H460))&gt;0,"",H460))</f>
        <v/>
      </c>
      <c r="L960" s="0" t="str">
        <f aca="false">IF(K960="","",IF(ISNUMBER('List 2'!A460),'List 2'!A460,TRIM('List 2'!A460)))</f>
        <v/>
      </c>
      <c r="M960" s="0" t="str">
        <f aca="false">IF(K960="","",IF(ISNUMBER('List 2'!C460),'List 2'!C460,TRIM('List 2'!C460)))</f>
        <v/>
      </c>
      <c r="N960" s="0" t="str">
        <f aca="false">IF(K960="","",IF(ISNUMBER('List 2'!D460),'List 2'!D460,TRIM('List 2'!D460)))</f>
        <v/>
      </c>
      <c r="O960" s="0" t="str">
        <f aca="false">IF(K960="","",0)</f>
        <v/>
      </c>
      <c r="P960" s="0" t="str">
        <f aca="false">IF(K960="","",I460)</f>
        <v/>
      </c>
      <c r="Q960" s="0" t="str">
        <f aca="false">IF(K960="","",FALSE())</f>
        <v/>
      </c>
      <c r="R960" s="0" t="str">
        <f aca="false">IF(K960="","",TRUE())</f>
        <v/>
      </c>
      <c r="S960" s="0" t="str">
        <f aca="false">IF(K960="","",IF(AND(Q960,R960),IF(O960=P960,"Match","Qty Different"),IF(Q960,"Only in List 1","Only in List 2")))</f>
        <v/>
      </c>
      <c r="T960" s="0" t="str">
        <f aca="false">IF(K960="","",IF(ISNUMBER(--L960),TEXT(--L960,"000000000000.000"),LOWER(L960)))</f>
        <v/>
      </c>
      <c r="U960" s="0" t="str">
        <f aca="false">IF(K960="","",IF(ISNUMBER(--M960),TEXT(--M960,"000000000000.000"),LOWER(M960)))</f>
        <v/>
      </c>
      <c r="V960" s="0" t="str">
        <f aca="false">IF(K960="","",LOWER(N960))</f>
        <v/>
      </c>
      <c r="W960" s="0" t="str">
        <f aca="false">IF(K960="","",G460)</f>
        <v/>
      </c>
      <c r="X960" s="0" t="str">
        <f aca="false">IF(K960="","",1+SUMPRODUCT(($K$2:$K$1001&lt;&gt;"")*(($T$2:$T$1001&lt;T960)+($T$2:$T$1001=T960)*(($U$2:$U$1001&lt;U960)+($U$2:$U$1001=U960)*(($V$2:$V$1001&lt;V960)+($V$2:$V$1001=V960)*(($W$2:$W$1001&lt;W960)+($W$2:$W$1001=W960)*(ROW($K$2:$K$1001)&lt;ROW(K960))))))))</f>
        <v/>
      </c>
    </row>
    <row r="961" customFormat="false" ht="15" hidden="false" customHeight="false" outlineLevel="0" collapsed="false">
      <c r="K961" s="0" t="str">
        <f aca="false">IF(H461="","",IF(SUMPRODUCT(--($C$2:$C$501=H461))&gt;0,"",H461))</f>
        <v/>
      </c>
      <c r="L961" s="0" t="str">
        <f aca="false">IF(K961="","",IF(ISNUMBER('List 2'!A461),'List 2'!A461,TRIM('List 2'!A461)))</f>
        <v/>
      </c>
      <c r="M961" s="0" t="str">
        <f aca="false">IF(K961="","",IF(ISNUMBER('List 2'!C461),'List 2'!C461,TRIM('List 2'!C461)))</f>
        <v/>
      </c>
      <c r="N961" s="0" t="str">
        <f aca="false">IF(K961="","",IF(ISNUMBER('List 2'!D461),'List 2'!D461,TRIM('List 2'!D461)))</f>
        <v/>
      </c>
      <c r="O961" s="0" t="str">
        <f aca="false">IF(K961="","",0)</f>
        <v/>
      </c>
      <c r="P961" s="0" t="str">
        <f aca="false">IF(K961="","",I461)</f>
        <v/>
      </c>
      <c r="Q961" s="0" t="str">
        <f aca="false">IF(K961="","",FALSE())</f>
        <v/>
      </c>
      <c r="R961" s="0" t="str">
        <f aca="false">IF(K961="","",TRUE())</f>
        <v/>
      </c>
      <c r="S961" s="0" t="str">
        <f aca="false">IF(K961="","",IF(AND(Q961,R961),IF(O961=P961,"Match","Qty Different"),IF(Q961,"Only in List 1","Only in List 2")))</f>
        <v/>
      </c>
      <c r="T961" s="0" t="str">
        <f aca="false">IF(K961="","",IF(ISNUMBER(--L961),TEXT(--L961,"000000000000.000"),LOWER(L961)))</f>
        <v/>
      </c>
      <c r="U961" s="0" t="str">
        <f aca="false">IF(K961="","",IF(ISNUMBER(--M961),TEXT(--M961,"000000000000.000"),LOWER(M961)))</f>
        <v/>
      </c>
      <c r="V961" s="0" t="str">
        <f aca="false">IF(K961="","",LOWER(N961))</f>
        <v/>
      </c>
      <c r="W961" s="0" t="str">
        <f aca="false">IF(K961="","",G461)</f>
        <v/>
      </c>
      <c r="X961" s="0" t="str">
        <f aca="false">IF(K961="","",1+SUMPRODUCT(($K$2:$K$1001&lt;&gt;"")*(($T$2:$T$1001&lt;T961)+($T$2:$T$1001=T961)*(($U$2:$U$1001&lt;U961)+($U$2:$U$1001=U961)*(($V$2:$V$1001&lt;V961)+($V$2:$V$1001=V961)*(($W$2:$W$1001&lt;W961)+($W$2:$W$1001=W961)*(ROW($K$2:$K$1001)&lt;ROW(K961))))))))</f>
        <v/>
      </c>
    </row>
    <row r="962" customFormat="false" ht="15" hidden="false" customHeight="false" outlineLevel="0" collapsed="false">
      <c r="K962" s="0" t="str">
        <f aca="false">IF(H462="","",IF(SUMPRODUCT(--($C$2:$C$501=H462))&gt;0,"",H462))</f>
        <v/>
      </c>
      <c r="L962" s="0" t="str">
        <f aca="false">IF(K962="","",IF(ISNUMBER('List 2'!A462),'List 2'!A462,TRIM('List 2'!A462)))</f>
        <v/>
      </c>
      <c r="M962" s="0" t="str">
        <f aca="false">IF(K962="","",IF(ISNUMBER('List 2'!C462),'List 2'!C462,TRIM('List 2'!C462)))</f>
        <v/>
      </c>
      <c r="N962" s="0" t="str">
        <f aca="false">IF(K962="","",IF(ISNUMBER('List 2'!D462),'List 2'!D462,TRIM('List 2'!D462)))</f>
        <v/>
      </c>
      <c r="O962" s="0" t="str">
        <f aca="false">IF(K962="","",0)</f>
        <v/>
      </c>
      <c r="P962" s="0" t="str">
        <f aca="false">IF(K962="","",I462)</f>
        <v/>
      </c>
      <c r="Q962" s="0" t="str">
        <f aca="false">IF(K962="","",FALSE())</f>
        <v/>
      </c>
      <c r="R962" s="0" t="str">
        <f aca="false">IF(K962="","",TRUE())</f>
        <v/>
      </c>
      <c r="S962" s="0" t="str">
        <f aca="false">IF(K962="","",IF(AND(Q962,R962),IF(O962=P962,"Match","Qty Different"),IF(Q962,"Only in List 1","Only in List 2")))</f>
        <v/>
      </c>
      <c r="T962" s="0" t="str">
        <f aca="false">IF(K962="","",IF(ISNUMBER(--L962),TEXT(--L962,"000000000000.000"),LOWER(L962)))</f>
        <v/>
      </c>
      <c r="U962" s="0" t="str">
        <f aca="false">IF(K962="","",IF(ISNUMBER(--M962),TEXT(--M962,"000000000000.000"),LOWER(M962)))</f>
        <v/>
      </c>
      <c r="V962" s="0" t="str">
        <f aca="false">IF(K962="","",LOWER(N962))</f>
        <v/>
      </c>
      <c r="W962" s="0" t="str">
        <f aca="false">IF(K962="","",G462)</f>
        <v/>
      </c>
      <c r="X962" s="0" t="str">
        <f aca="false">IF(K962="","",1+SUMPRODUCT(($K$2:$K$1001&lt;&gt;"")*(($T$2:$T$1001&lt;T962)+($T$2:$T$1001=T962)*(($U$2:$U$1001&lt;U962)+($U$2:$U$1001=U962)*(($V$2:$V$1001&lt;V962)+($V$2:$V$1001=V962)*(($W$2:$W$1001&lt;W962)+($W$2:$W$1001=W962)*(ROW($K$2:$K$1001)&lt;ROW(K962))))))))</f>
        <v/>
      </c>
    </row>
    <row r="963" customFormat="false" ht="15" hidden="false" customHeight="false" outlineLevel="0" collapsed="false">
      <c r="K963" s="0" t="str">
        <f aca="false">IF(H463="","",IF(SUMPRODUCT(--($C$2:$C$501=H463))&gt;0,"",H463))</f>
        <v/>
      </c>
      <c r="L963" s="0" t="str">
        <f aca="false">IF(K963="","",IF(ISNUMBER('List 2'!A463),'List 2'!A463,TRIM('List 2'!A463)))</f>
        <v/>
      </c>
      <c r="M963" s="0" t="str">
        <f aca="false">IF(K963="","",IF(ISNUMBER('List 2'!C463),'List 2'!C463,TRIM('List 2'!C463)))</f>
        <v/>
      </c>
      <c r="N963" s="0" t="str">
        <f aca="false">IF(K963="","",IF(ISNUMBER('List 2'!D463),'List 2'!D463,TRIM('List 2'!D463)))</f>
        <v/>
      </c>
      <c r="O963" s="0" t="str">
        <f aca="false">IF(K963="","",0)</f>
        <v/>
      </c>
      <c r="P963" s="0" t="str">
        <f aca="false">IF(K963="","",I463)</f>
        <v/>
      </c>
      <c r="Q963" s="0" t="str">
        <f aca="false">IF(K963="","",FALSE())</f>
        <v/>
      </c>
      <c r="R963" s="0" t="str">
        <f aca="false">IF(K963="","",TRUE())</f>
        <v/>
      </c>
      <c r="S963" s="0" t="str">
        <f aca="false">IF(K963="","",IF(AND(Q963,R963),IF(O963=P963,"Match","Qty Different"),IF(Q963,"Only in List 1","Only in List 2")))</f>
        <v/>
      </c>
      <c r="T963" s="0" t="str">
        <f aca="false">IF(K963="","",IF(ISNUMBER(--L963),TEXT(--L963,"000000000000.000"),LOWER(L963)))</f>
        <v/>
      </c>
      <c r="U963" s="0" t="str">
        <f aca="false">IF(K963="","",IF(ISNUMBER(--M963),TEXT(--M963,"000000000000.000"),LOWER(M963)))</f>
        <v/>
      </c>
      <c r="V963" s="0" t="str">
        <f aca="false">IF(K963="","",LOWER(N963))</f>
        <v/>
      </c>
      <c r="W963" s="0" t="str">
        <f aca="false">IF(K963="","",G463)</f>
        <v/>
      </c>
      <c r="X963" s="0" t="str">
        <f aca="false">IF(K963="","",1+SUMPRODUCT(($K$2:$K$1001&lt;&gt;"")*(($T$2:$T$1001&lt;T963)+($T$2:$T$1001=T963)*(($U$2:$U$1001&lt;U963)+($U$2:$U$1001=U963)*(($V$2:$V$1001&lt;V963)+($V$2:$V$1001=V963)*(($W$2:$W$1001&lt;W963)+($W$2:$W$1001=W963)*(ROW($K$2:$K$1001)&lt;ROW(K963))))))))</f>
        <v/>
      </c>
    </row>
    <row r="964" customFormat="false" ht="15" hidden="false" customHeight="false" outlineLevel="0" collapsed="false">
      <c r="K964" s="0" t="str">
        <f aca="false">IF(H464="","",IF(SUMPRODUCT(--($C$2:$C$501=H464))&gt;0,"",H464))</f>
        <v/>
      </c>
      <c r="L964" s="0" t="str">
        <f aca="false">IF(K964="","",IF(ISNUMBER('List 2'!A464),'List 2'!A464,TRIM('List 2'!A464)))</f>
        <v/>
      </c>
      <c r="M964" s="0" t="str">
        <f aca="false">IF(K964="","",IF(ISNUMBER('List 2'!C464),'List 2'!C464,TRIM('List 2'!C464)))</f>
        <v/>
      </c>
      <c r="N964" s="0" t="str">
        <f aca="false">IF(K964="","",IF(ISNUMBER('List 2'!D464),'List 2'!D464,TRIM('List 2'!D464)))</f>
        <v/>
      </c>
      <c r="O964" s="0" t="str">
        <f aca="false">IF(K964="","",0)</f>
        <v/>
      </c>
      <c r="P964" s="0" t="str">
        <f aca="false">IF(K964="","",I464)</f>
        <v/>
      </c>
      <c r="Q964" s="0" t="str">
        <f aca="false">IF(K964="","",FALSE())</f>
        <v/>
      </c>
      <c r="R964" s="0" t="str">
        <f aca="false">IF(K964="","",TRUE())</f>
        <v/>
      </c>
      <c r="S964" s="0" t="str">
        <f aca="false">IF(K964="","",IF(AND(Q964,R964),IF(O964=P964,"Match","Qty Different"),IF(Q964,"Only in List 1","Only in List 2")))</f>
        <v/>
      </c>
      <c r="T964" s="0" t="str">
        <f aca="false">IF(K964="","",IF(ISNUMBER(--L964),TEXT(--L964,"000000000000.000"),LOWER(L964)))</f>
        <v/>
      </c>
      <c r="U964" s="0" t="str">
        <f aca="false">IF(K964="","",IF(ISNUMBER(--M964),TEXT(--M964,"000000000000.000"),LOWER(M964)))</f>
        <v/>
      </c>
      <c r="V964" s="0" t="str">
        <f aca="false">IF(K964="","",LOWER(N964))</f>
        <v/>
      </c>
      <c r="W964" s="0" t="str">
        <f aca="false">IF(K964="","",G464)</f>
        <v/>
      </c>
      <c r="X964" s="0" t="str">
        <f aca="false">IF(K964="","",1+SUMPRODUCT(($K$2:$K$1001&lt;&gt;"")*(($T$2:$T$1001&lt;T964)+($T$2:$T$1001=T964)*(($U$2:$U$1001&lt;U964)+($U$2:$U$1001=U964)*(($V$2:$V$1001&lt;V964)+($V$2:$V$1001=V964)*(($W$2:$W$1001&lt;W964)+($W$2:$W$1001=W964)*(ROW($K$2:$K$1001)&lt;ROW(K964))))))))</f>
        <v/>
      </c>
    </row>
    <row r="965" customFormat="false" ht="15" hidden="false" customHeight="false" outlineLevel="0" collapsed="false">
      <c r="K965" s="0" t="str">
        <f aca="false">IF(H465="","",IF(SUMPRODUCT(--($C$2:$C$501=H465))&gt;0,"",H465))</f>
        <v/>
      </c>
      <c r="L965" s="0" t="str">
        <f aca="false">IF(K965="","",IF(ISNUMBER('List 2'!A465),'List 2'!A465,TRIM('List 2'!A465)))</f>
        <v/>
      </c>
      <c r="M965" s="0" t="str">
        <f aca="false">IF(K965="","",IF(ISNUMBER('List 2'!C465),'List 2'!C465,TRIM('List 2'!C465)))</f>
        <v/>
      </c>
      <c r="N965" s="0" t="str">
        <f aca="false">IF(K965="","",IF(ISNUMBER('List 2'!D465),'List 2'!D465,TRIM('List 2'!D465)))</f>
        <v/>
      </c>
      <c r="O965" s="0" t="str">
        <f aca="false">IF(K965="","",0)</f>
        <v/>
      </c>
      <c r="P965" s="0" t="str">
        <f aca="false">IF(K965="","",I465)</f>
        <v/>
      </c>
      <c r="Q965" s="0" t="str">
        <f aca="false">IF(K965="","",FALSE())</f>
        <v/>
      </c>
      <c r="R965" s="0" t="str">
        <f aca="false">IF(K965="","",TRUE())</f>
        <v/>
      </c>
      <c r="S965" s="0" t="str">
        <f aca="false">IF(K965="","",IF(AND(Q965,R965),IF(O965=P965,"Match","Qty Different"),IF(Q965,"Only in List 1","Only in List 2")))</f>
        <v/>
      </c>
      <c r="T965" s="0" t="str">
        <f aca="false">IF(K965="","",IF(ISNUMBER(--L965),TEXT(--L965,"000000000000.000"),LOWER(L965)))</f>
        <v/>
      </c>
      <c r="U965" s="0" t="str">
        <f aca="false">IF(K965="","",IF(ISNUMBER(--M965),TEXT(--M965,"000000000000.000"),LOWER(M965)))</f>
        <v/>
      </c>
      <c r="V965" s="0" t="str">
        <f aca="false">IF(K965="","",LOWER(N965))</f>
        <v/>
      </c>
      <c r="W965" s="0" t="str">
        <f aca="false">IF(K965="","",G465)</f>
        <v/>
      </c>
      <c r="X965" s="0" t="str">
        <f aca="false">IF(K965="","",1+SUMPRODUCT(($K$2:$K$1001&lt;&gt;"")*(($T$2:$T$1001&lt;T965)+($T$2:$T$1001=T965)*(($U$2:$U$1001&lt;U965)+($U$2:$U$1001=U965)*(($V$2:$V$1001&lt;V965)+($V$2:$V$1001=V965)*(($W$2:$W$1001&lt;W965)+($W$2:$W$1001=W965)*(ROW($K$2:$K$1001)&lt;ROW(K965))))))))</f>
        <v/>
      </c>
    </row>
    <row r="966" customFormat="false" ht="15" hidden="false" customHeight="false" outlineLevel="0" collapsed="false">
      <c r="K966" s="0" t="str">
        <f aca="false">IF(H466="","",IF(SUMPRODUCT(--($C$2:$C$501=H466))&gt;0,"",H466))</f>
        <v/>
      </c>
      <c r="L966" s="0" t="str">
        <f aca="false">IF(K966="","",IF(ISNUMBER('List 2'!A466),'List 2'!A466,TRIM('List 2'!A466)))</f>
        <v/>
      </c>
      <c r="M966" s="0" t="str">
        <f aca="false">IF(K966="","",IF(ISNUMBER('List 2'!C466),'List 2'!C466,TRIM('List 2'!C466)))</f>
        <v/>
      </c>
      <c r="N966" s="0" t="str">
        <f aca="false">IF(K966="","",IF(ISNUMBER('List 2'!D466),'List 2'!D466,TRIM('List 2'!D466)))</f>
        <v/>
      </c>
      <c r="O966" s="0" t="str">
        <f aca="false">IF(K966="","",0)</f>
        <v/>
      </c>
      <c r="P966" s="0" t="str">
        <f aca="false">IF(K966="","",I466)</f>
        <v/>
      </c>
      <c r="Q966" s="0" t="str">
        <f aca="false">IF(K966="","",FALSE())</f>
        <v/>
      </c>
      <c r="R966" s="0" t="str">
        <f aca="false">IF(K966="","",TRUE())</f>
        <v/>
      </c>
      <c r="S966" s="0" t="str">
        <f aca="false">IF(K966="","",IF(AND(Q966,R966),IF(O966=P966,"Match","Qty Different"),IF(Q966,"Only in List 1","Only in List 2")))</f>
        <v/>
      </c>
      <c r="T966" s="0" t="str">
        <f aca="false">IF(K966="","",IF(ISNUMBER(--L966),TEXT(--L966,"000000000000.000"),LOWER(L966)))</f>
        <v/>
      </c>
      <c r="U966" s="0" t="str">
        <f aca="false">IF(K966="","",IF(ISNUMBER(--M966),TEXT(--M966,"000000000000.000"),LOWER(M966)))</f>
        <v/>
      </c>
      <c r="V966" s="0" t="str">
        <f aca="false">IF(K966="","",LOWER(N966))</f>
        <v/>
      </c>
      <c r="W966" s="0" t="str">
        <f aca="false">IF(K966="","",G466)</f>
        <v/>
      </c>
      <c r="X966" s="0" t="str">
        <f aca="false">IF(K966="","",1+SUMPRODUCT(($K$2:$K$1001&lt;&gt;"")*(($T$2:$T$1001&lt;T966)+($T$2:$T$1001=T966)*(($U$2:$U$1001&lt;U966)+($U$2:$U$1001=U966)*(($V$2:$V$1001&lt;V966)+($V$2:$V$1001=V966)*(($W$2:$W$1001&lt;W966)+($W$2:$W$1001=W966)*(ROW($K$2:$K$1001)&lt;ROW(K966))))))))</f>
        <v/>
      </c>
    </row>
    <row r="967" customFormat="false" ht="15" hidden="false" customHeight="false" outlineLevel="0" collapsed="false">
      <c r="K967" s="0" t="str">
        <f aca="false">IF(H467="","",IF(SUMPRODUCT(--($C$2:$C$501=H467))&gt;0,"",H467))</f>
        <v/>
      </c>
      <c r="L967" s="0" t="str">
        <f aca="false">IF(K967="","",IF(ISNUMBER('List 2'!A467),'List 2'!A467,TRIM('List 2'!A467)))</f>
        <v/>
      </c>
      <c r="M967" s="0" t="str">
        <f aca="false">IF(K967="","",IF(ISNUMBER('List 2'!C467),'List 2'!C467,TRIM('List 2'!C467)))</f>
        <v/>
      </c>
      <c r="N967" s="0" t="str">
        <f aca="false">IF(K967="","",IF(ISNUMBER('List 2'!D467),'List 2'!D467,TRIM('List 2'!D467)))</f>
        <v/>
      </c>
      <c r="O967" s="0" t="str">
        <f aca="false">IF(K967="","",0)</f>
        <v/>
      </c>
      <c r="P967" s="0" t="str">
        <f aca="false">IF(K967="","",I467)</f>
        <v/>
      </c>
      <c r="Q967" s="0" t="str">
        <f aca="false">IF(K967="","",FALSE())</f>
        <v/>
      </c>
      <c r="R967" s="0" t="str">
        <f aca="false">IF(K967="","",TRUE())</f>
        <v/>
      </c>
      <c r="S967" s="0" t="str">
        <f aca="false">IF(K967="","",IF(AND(Q967,R967),IF(O967=P967,"Match","Qty Different"),IF(Q967,"Only in List 1","Only in List 2")))</f>
        <v/>
      </c>
      <c r="T967" s="0" t="str">
        <f aca="false">IF(K967="","",IF(ISNUMBER(--L967),TEXT(--L967,"000000000000.000"),LOWER(L967)))</f>
        <v/>
      </c>
      <c r="U967" s="0" t="str">
        <f aca="false">IF(K967="","",IF(ISNUMBER(--M967),TEXT(--M967,"000000000000.000"),LOWER(M967)))</f>
        <v/>
      </c>
      <c r="V967" s="0" t="str">
        <f aca="false">IF(K967="","",LOWER(N967))</f>
        <v/>
      </c>
      <c r="W967" s="0" t="str">
        <f aca="false">IF(K967="","",G467)</f>
        <v/>
      </c>
      <c r="X967" s="0" t="str">
        <f aca="false">IF(K967="","",1+SUMPRODUCT(($K$2:$K$1001&lt;&gt;"")*(($T$2:$T$1001&lt;T967)+($T$2:$T$1001=T967)*(($U$2:$U$1001&lt;U967)+($U$2:$U$1001=U967)*(($V$2:$V$1001&lt;V967)+($V$2:$V$1001=V967)*(($W$2:$W$1001&lt;W967)+($W$2:$W$1001=W967)*(ROW($K$2:$K$1001)&lt;ROW(K967))))))))</f>
        <v/>
      </c>
    </row>
    <row r="968" customFormat="false" ht="15" hidden="false" customHeight="false" outlineLevel="0" collapsed="false">
      <c r="K968" s="0" t="str">
        <f aca="false">IF(H468="","",IF(SUMPRODUCT(--($C$2:$C$501=H468))&gt;0,"",H468))</f>
        <v/>
      </c>
      <c r="L968" s="0" t="str">
        <f aca="false">IF(K968="","",IF(ISNUMBER('List 2'!A468),'List 2'!A468,TRIM('List 2'!A468)))</f>
        <v/>
      </c>
      <c r="M968" s="0" t="str">
        <f aca="false">IF(K968="","",IF(ISNUMBER('List 2'!C468),'List 2'!C468,TRIM('List 2'!C468)))</f>
        <v/>
      </c>
      <c r="N968" s="0" t="str">
        <f aca="false">IF(K968="","",IF(ISNUMBER('List 2'!D468),'List 2'!D468,TRIM('List 2'!D468)))</f>
        <v/>
      </c>
      <c r="O968" s="0" t="str">
        <f aca="false">IF(K968="","",0)</f>
        <v/>
      </c>
      <c r="P968" s="0" t="str">
        <f aca="false">IF(K968="","",I468)</f>
        <v/>
      </c>
      <c r="Q968" s="0" t="str">
        <f aca="false">IF(K968="","",FALSE())</f>
        <v/>
      </c>
      <c r="R968" s="0" t="str">
        <f aca="false">IF(K968="","",TRUE())</f>
        <v/>
      </c>
      <c r="S968" s="0" t="str">
        <f aca="false">IF(K968="","",IF(AND(Q968,R968),IF(O968=P968,"Match","Qty Different"),IF(Q968,"Only in List 1","Only in List 2")))</f>
        <v/>
      </c>
      <c r="T968" s="0" t="str">
        <f aca="false">IF(K968="","",IF(ISNUMBER(--L968),TEXT(--L968,"000000000000.000"),LOWER(L968)))</f>
        <v/>
      </c>
      <c r="U968" s="0" t="str">
        <f aca="false">IF(K968="","",IF(ISNUMBER(--M968),TEXT(--M968,"000000000000.000"),LOWER(M968)))</f>
        <v/>
      </c>
      <c r="V968" s="0" t="str">
        <f aca="false">IF(K968="","",LOWER(N968))</f>
        <v/>
      </c>
      <c r="W968" s="0" t="str">
        <f aca="false">IF(K968="","",G468)</f>
        <v/>
      </c>
      <c r="X968" s="0" t="str">
        <f aca="false">IF(K968="","",1+SUMPRODUCT(($K$2:$K$1001&lt;&gt;"")*(($T$2:$T$1001&lt;T968)+($T$2:$T$1001=T968)*(($U$2:$U$1001&lt;U968)+($U$2:$U$1001=U968)*(($V$2:$V$1001&lt;V968)+($V$2:$V$1001=V968)*(($W$2:$W$1001&lt;W968)+($W$2:$W$1001=W968)*(ROW($K$2:$K$1001)&lt;ROW(K968))))))))</f>
        <v/>
      </c>
    </row>
    <row r="969" customFormat="false" ht="15" hidden="false" customHeight="false" outlineLevel="0" collapsed="false">
      <c r="K969" s="0" t="str">
        <f aca="false">IF(H469="","",IF(SUMPRODUCT(--($C$2:$C$501=H469))&gt;0,"",H469))</f>
        <v/>
      </c>
      <c r="L969" s="0" t="str">
        <f aca="false">IF(K969="","",IF(ISNUMBER('List 2'!A469),'List 2'!A469,TRIM('List 2'!A469)))</f>
        <v/>
      </c>
      <c r="M969" s="0" t="str">
        <f aca="false">IF(K969="","",IF(ISNUMBER('List 2'!C469),'List 2'!C469,TRIM('List 2'!C469)))</f>
        <v/>
      </c>
      <c r="N969" s="0" t="str">
        <f aca="false">IF(K969="","",IF(ISNUMBER('List 2'!D469),'List 2'!D469,TRIM('List 2'!D469)))</f>
        <v/>
      </c>
      <c r="O969" s="0" t="str">
        <f aca="false">IF(K969="","",0)</f>
        <v/>
      </c>
      <c r="P969" s="0" t="str">
        <f aca="false">IF(K969="","",I469)</f>
        <v/>
      </c>
      <c r="Q969" s="0" t="str">
        <f aca="false">IF(K969="","",FALSE())</f>
        <v/>
      </c>
      <c r="R969" s="0" t="str">
        <f aca="false">IF(K969="","",TRUE())</f>
        <v/>
      </c>
      <c r="S969" s="0" t="str">
        <f aca="false">IF(K969="","",IF(AND(Q969,R969),IF(O969=P969,"Match","Qty Different"),IF(Q969,"Only in List 1","Only in List 2")))</f>
        <v/>
      </c>
      <c r="T969" s="0" t="str">
        <f aca="false">IF(K969="","",IF(ISNUMBER(--L969),TEXT(--L969,"000000000000.000"),LOWER(L969)))</f>
        <v/>
      </c>
      <c r="U969" s="0" t="str">
        <f aca="false">IF(K969="","",IF(ISNUMBER(--M969),TEXT(--M969,"000000000000.000"),LOWER(M969)))</f>
        <v/>
      </c>
      <c r="V969" s="0" t="str">
        <f aca="false">IF(K969="","",LOWER(N969))</f>
        <v/>
      </c>
      <c r="W969" s="0" t="str">
        <f aca="false">IF(K969="","",G469)</f>
        <v/>
      </c>
      <c r="X969" s="0" t="str">
        <f aca="false">IF(K969="","",1+SUMPRODUCT(($K$2:$K$1001&lt;&gt;"")*(($T$2:$T$1001&lt;T969)+($T$2:$T$1001=T969)*(($U$2:$U$1001&lt;U969)+($U$2:$U$1001=U969)*(($V$2:$V$1001&lt;V969)+($V$2:$V$1001=V969)*(($W$2:$W$1001&lt;W969)+($W$2:$W$1001=W969)*(ROW($K$2:$K$1001)&lt;ROW(K969))))))))</f>
        <v/>
      </c>
    </row>
    <row r="970" customFormat="false" ht="15" hidden="false" customHeight="false" outlineLevel="0" collapsed="false">
      <c r="K970" s="0" t="str">
        <f aca="false">IF(H470="","",IF(SUMPRODUCT(--($C$2:$C$501=H470))&gt;0,"",H470))</f>
        <v/>
      </c>
      <c r="L970" s="0" t="str">
        <f aca="false">IF(K970="","",IF(ISNUMBER('List 2'!A470),'List 2'!A470,TRIM('List 2'!A470)))</f>
        <v/>
      </c>
      <c r="M970" s="0" t="str">
        <f aca="false">IF(K970="","",IF(ISNUMBER('List 2'!C470),'List 2'!C470,TRIM('List 2'!C470)))</f>
        <v/>
      </c>
      <c r="N970" s="0" t="str">
        <f aca="false">IF(K970="","",IF(ISNUMBER('List 2'!D470),'List 2'!D470,TRIM('List 2'!D470)))</f>
        <v/>
      </c>
      <c r="O970" s="0" t="str">
        <f aca="false">IF(K970="","",0)</f>
        <v/>
      </c>
      <c r="P970" s="0" t="str">
        <f aca="false">IF(K970="","",I470)</f>
        <v/>
      </c>
      <c r="Q970" s="0" t="str">
        <f aca="false">IF(K970="","",FALSE())</f>
        <v/>
      </c>
      <c r="R970" s="0" t="str">
        <f aca="false">IF(K970="","",TRUE())</f>
        <v/>
      </c>
      <c r="S970" s="0" t="str">
        <f aca="false">IF(K970="","",IF(AND(Q970,R970),IF(O970=P970,"Match","Qty Different"),IF(Q970,"Only in List 1","Only in List 2")))</f>
        <v/>
      </c>
      <c r="T970" s="0" t="str">
        <f aca="false">IF(K970="","",IF(ISNUMBER(--L970),TEXT(--L970,"000000000000.000"),LOWER(L970)))</f>
        <v/>
      </c>
      <c r="U970" s="0" t="str">
        <f aca="false">IF(K970="","",IF(ISNUMBER(--M970),TEXT(--M970,"000000000000.000"),LOWER(M970)))</f>
        <v/>
      </c>
      <c r="V970" s="0" t="str">
        <f aca="false">IF(K970="","",LOWER(N970))</f>
        <v/>
      </c>
      <c r="W970" s="0" t="str">
        <f aca="false">IF(K970="","",G470)</f>
        <v/>
      </c>
      <c r="X970" s="0" t="str">
        <f aca="false">IF(K970="","",1+SUMPRODUCT(($K$2:$K$1001&lt;&gt;"")*(($T$2:$T$1001&lt;T970)+($T$2:$T$1001=T970)*(($U$2:$U$1001&lt;U970)+($U$2:$U$1001=U970)*(($V$2:$V$1001&lt;V970)+($V$2:$V$1001=V970)*(($W$2:$W$1001&lt;W970)+($W$2:$W$1001=W970)*(ROW($K$2:$K$1001)&lt;ROW(K970))))))))</f>
        <v/>
      </c>
    </row>
    <row r="971" customFormat="false" ht="15" hidden="false" customHeight="false" outlineLevel="0" collapsed="false">
      <c r="K971" s="0" t="str">
        <f aca="false">IF(H471="","",IF(SUMPRODUCT(--($C$2:$C$501=H471))&gt;0,"",H471))</f>
        <v/>
      </c>
      <c r="L971" s="0" t="str">
        <f aca="false">IF(K971="","",IF(ISNUMBER('List 2'!A471),'List 2'!A471,TRIM('List 2'!A471)))</f>
        <v/>
      </c>
      <c r="M971" s="0" t="str">
        <f aca="false">IF(K971="","",IF(ISNUMBER('List 2'!C471),'List 2'!C471,TRIM('List 2'!C471)))</f>
        <v/>
      </c>
      <c r="N971" s="0" t="str">
        <f aca="false">IF(K971="","",IF(ISNUMBER('List 2'!D471),'List 2'!D471,TRIM('List 2'!D471)))</f>
        <v/>
      </c>
      <c r="O971" s="0" t="str">
        <f aca="false">IF(K971="","",0)</f>
        <v/>
      </c>
      <c r="P971" s="0" t="str">
        <f aca="false">IF(K971="","",I471)</f>
        <v/>
      </c>
      <c r="Q971" s="0" t="str">
        <f aca="false">IF(K971="","",FALSE())</f>
        <v/>
      </c>
      <c r="R971" s="0" t="str">
        <f aca="false">IF(K971="","",TRUE())</f>
        <v/>
      </c>
      <c r="S971" s="0" t="str">
        <f aca="false">IF(K971="","",IF(AND(Q971,R971),IF(O971=P971,"Match","Qty Different"),IF(Q971,"Only in List 1","Only in List 2")))</f>
        <v/>
      </c>
      <c r="T971" s="0" t="str">
        <f aca="false">IF(K971="","",IF(ISNUMBER(--L971),TEXT(--L971,"000000000000.000"),LOWER(L971)))</f>
        <v/>
      </c>
      <c r="U971" s="0" t="str">
        <f aca="false">IF(K971="","",IF(ISNUMBER(--M971),TEXT(--M971,"000000000000.000"),LOWER(M971)))</f>
        <v/>
      </c>
      <c r="V971" s="0" t="str">
        <f aca="false">IF(K971="","",LOWER(N971))</f>
        <v/>
      </c>
      <c r="W971" s="0" t="str">
        <f aca="false">IF(K971="","",G471)</f>
        <v/>
      </c>
      <c r="X971" s="0" t="str">
        <f aca="false">IF(K971="","",1+SUMPRODUCT(($K$2:$K$1001&lt;&gt;"")*(($T$2:$T$1001&lt;T971)+($T$2:$T$1001=T971)*(($U$2:$U$1001&lt;U971)+($U$2:$U$1001=U971)*(($V$2:$V$1001&lt;V971)+($V$2:$V$1001=V971)*(($W$2:$W$1001&lt;W971)+($W$2:$W$1001=W971)*(ROW($K$2:$K$1001)&lt;ROW(K971))))))))</f>
        <v/>
      </c>
    </row>
    <row r="972" customFormat="false" ht="15" hidden="false" customHeight="false" outlineLevel="0" collapsed="false">
      <c r="K972" s="0" t="str">
        <f aca="false">IF(H472="","",IF(SUMPRODUCT(--($C$2:$C$501=H472))&gt;0,"",H472))</f>
        <v/>
      </c>
      <c r="L972" s="0" t="str">
        <f aca="false">IF(K972="","",IF(ISNUMBER('List 2'!A472),'List 2'!A472,TRIM('List 2'!A472)))</f>
        <v/>
      </c>
      <c r="M972" s="0" t="str">
        <f aca="false">IF(K972="","",IF(ISNUMBER('List 2'!C472),'List 2'!C472,TRIM('List 2'!C472)))</f>
        <v/>
      </c>
      <c r="N972" s="0" t="str">
        <f aca="false">IF(K972="","",IF(ISNUMBER('List 2'!D472),'List 2'!D472,TRIM('List 2'!D472)))</f>
        <v/>
      </c>
      <c r="O972" s="0" t="str">
        <f aca="false">IF(K972="","",0)</f>
        <v/>
      </c>
      <c r="P972" s="0" t="str">
        <f aca="false">IF(K972="","",I472)</f>
        <v/>
      </c>
      <c r="Q972" s="0" t="str">
        <f aca="false">IF(K972="","",FALSE())</f>
        <v/>
      </c>
      <c r="R972" s="0" t="str">
        <f aca="false">IF(K972="","",TRUE())</f>
        <v/>
      </c>
      <c r="S972" s="0" t="str">
        <f aca="false">IF(K972="","",IF(AND(Q972,R972),IF(O972=P972,"Match","Qty Different"),IF(Q972,"Only in List 1","Only in List 2")))</f>
        <v/>
      </c>
      <c r="T972" s="0" t="str">
        <f aca="false">IF(K972="","",IF(ISNUMBER(--L972),TEXT(--L972,"000000000000.000"),LOWER(L972)))</f>
        <v/>
      </c>
      <c r="U972" s="0" t="str">
        <f aca="false">IF(K972="","",IF(ISNUMBER(--M972),TEXT(--M972,"000000000000.000"),LOWER(M972)))</f>
        <v/>
      </c>
      <c r="V972" s="0" t="str">
        <f aca="false">IF(K972="","",LOWER(N972))</f>
        <v/>
      </c>
      <c r="W972" s="0" t="str">
        <f aca="false">IF(K972="","",G472)</f>
        <v/>
      </c>
      <c r="X972" s="0" t="str">
        <f aca="false">IF(K972="","",1+SUMPRODUCT(($K$2:$K$1001&lt;&gt;"")*(($T$2:$T$1001&lt;T972)+($T$2:$T$1001=T972)*(($U$2:$U$1001&lt;U972)+($U$2:$U$1001=U972)*(($V$2:$V$1001&lt;V972)+($V$2:$V$1001=V972)*(($W$2:$W$1001&lt;W972)+($W$2:$W$1001=W972)*(ROW($K$2:$K$1001)&lt;ROW(K972))))))))</f>
        <v/>
      </c>
    </row>
    <row r="973" customFormat="false" ht="15" hidden="false" customHeight="false" outlineLevel="0" collapsed="false">
      <c r="K973" s="0" t="str">
        <f aca="false">IF(H473="","",IF(SUMPRODUCT(--($C$2:$C$501=H473))&gt;0,"",H473))</f>
        <v/>
      </c>
      <c r="L973" s="0" t="str">
        <f aca="false">IF(K973="","",IF(ISNUMBER('List 2'!A473),'List 2'!A473,TRIM('List 2'!A473)))</f>
        <v/>
      </c>
      <c r="M973" s="0" t="str">
        <f aca="false">IF(K973="","",IF(ISNUMBER('List 2'!C473),'List 2'!C473,TRIM('List 2'!C473)))</f>
        <v/>
      </c>
      <c r="N973" s="0" t="str">
        <f aca="false">IF(K973="","",IF(ISNUMBER('List 2'!D473),'List 2'!D473,TRIM('List 2'!D473)))</f>
        <v/>
      </c>
      <c r="O973" s="0" t="str">
        <f aca="false">IF(K973="","",0)</f>
        <v/>
      </c>
      <c r="P973" s="0" t="str">
        <f aca="false">IF(K973="","",I473)</f>
        <v/>
      </c>
      <c r="Q973" s="0" t="str">
        <f aca="false">IF(K973="","",FALSE())</f>
        <v/>
      </c>
      <c r="R973" s="0" t="str">
        <f aca="false">IF(K973="","",TRUE())</f>
        <v/>
      </c>
      <c r="S973" s="0" t="str">
        <f aca="false">IF(K973="","",IF(AND(Q973,R973),IF(O973=P973,"Match","Qty Different"),IF(Q973,"Only in List 1","Only in List 2")))</f>
        <v/>
      </c>
      <c r="T973" s="0" t="str">
        <f aca="false">IF(K973="","",IF(ISNUMBER(--L973),TEXT(--L973,"000000000000.000"),LOWER(L973)))</f>
        <v/>
      </c>
      <c r="U973" s="0" t="str">
        <f aca="false">IF(K973="","",IF(ISNUMBER(--M973),TEXT(--M973,"000000000000.000"),LOWER(M973)))</f>
        <v/>
      </c>
      <c r="V973" s="0" t="str">
        <f aca="false">IF(K973="","",LOWER(N973))</f>
        <v/>
      </c>
      <c r="W973" s="0" t="str">
        <f aca="false">IF(K973="","",G473)</f>
        <v/>
      </c>
      <c r="X973" s="0" t="str">
        <f aca="false">IF(K973="","",1+SUMPRODUCT(($K$2:$K$1001&lt;&gt;"")*(($T$2:$T$1001&lt;T973)+($T$2:$T$1001=T973)*(($U$2:$U$1001&lt;U973)+($U$2:$U$1001=U973)*(($V$2:$V$1001&lt;V973)+($V$2:$V$1001=V973)*(($W$2:$W$1001&lt;W973)+($W$2:$W$1001=W973)*(ROW($K$2:$K$1001)&lt;ROW(K973))))))))</f>
        <v/>
      </c>
    </row>
    <row r="974" customFormat="false" ht="15" hidden="false" customHeight="false" outlineLevel="0" collapsed="false">
      <c r="K974" s="0" t="str">
        <f aca="false">IF(H474="","",IF(SUMPRODUCT(--($C$2:$C$501=H474))&gt;0,"",H474))</f>
        <v/>
      </c>
      <c r="L974" s="0" t="str">
        <f aca="false">IF(K974="","",IF(ISNUMBER('List 2'!A474),'List 2'!A474,TRIM('List 2'!A474)))</f>
        <v/>
      </c>
      <c r="M974" s="0" t="str">
        <f aca="false">IF(K974="","",IF(ISNUMBER('List 2'!C474),'List 2'!C474,TRIM('List 2'!C474)))</f>
        <v/>
      </c>
      <c r="N974" s="0" t="str">
        <f aca="false">IF(K974="","",IF(ISNUMBER('List 2'!D474),'List 2'!D474,TRIM('List 2'!D474)))</f>
        <v/>
      </c>
      <c r="O974" s="0" t="str">
        <f aca="false">IF(K974="","",0)</f>
        <v/>
      </c>
      <c r="P974" s="0" t="str">
        <f aca="false">IF(K974="","",I474)</f>
        <v/>
      </c>
      <c r="Q974" s="0" t="str">
        <f aca="false">IF(K974="","",FALSE())</f>
        <v/>
      </c>
      <c r="R974" s="0" t="str">
        <f aca="false">IF(K974="","",TRUE())</f>
        <v/>
      </c>
      <c r="S974" s="0" t="str">
        <f aca="false">IF(K974="","",IF(AND(Q974,R974),IF(O974=P974,"Match","Qty Different"),IF(Q974,"Only in List 1","Only in List 2")))</f>
        <v/>
      </c>
      <c r="T974" s="0" t="str">
        <f aca="false">IF(K974="","",IF(ISNUMBER(--L974),TEXT(--L974,"000000000000.000"),LOWER(L974)))</f>
        <v/>
      </c>
      <c r="U974" s="0" t="str">
        <f aca="false">IF(K974="","",IF(ISNUMBER(--M974),TEXT(--M974,"000000000000.000"),LOWER(M974)))</f>
        <v/>
      </c>
      <c r="V974" s="0" t="str">
        <f aca="false">IF(K974="","",LOWER(N974))</f>
        <v/>
      </c>
      <c r="W974" s="0" t="str">
        <f aca="false">IF(K974="","",G474)</f>
        <v/>
      </c>
      <c r="X974" s="0" t="str">
        <f aca="false">IF(K974="","",1+SUMPRODUCT(($K$2:$K$1001&lt;&gt;"")*(($T$2:$T$1001&lt;T974)+($T$2:$T$1001=T974)*(($U$2:$U$1001&lt;U974)+($U$2:$U$1001=U974)*(($V$2:$V$1001&lt;V974)+($V$2:$V$1001=V974)*(($W$2:$W$1001&lt;W974)+($W$2:$W$1001=W974)*(ROW($K$2:$K$1001)&lt;ROW(K974))))))))</f>
        <v/>
      </c>
    </row>
    <row r="975" customFormat="false" ht="15" hidden="false" customHeight="false" outlineLevel="0" collapsed="false">
      <c r="K975" s="0" t="str">
        <f aca="false">IF(H475="","",IF(SUMPRODUCT(--($C$2:$C$501=H475))&gt;0,"",H475))</f>
        <v/>
      </c>
      <c r="L975" s="0" t="str">
        <f aca="false">IF(K975="","",IF(ISNUMBER('List 2'!A475),'List 2'!A475,TRIM('List 2'!A475)))</f>
        <v/>
      </c>
      <c r="M975" s="0" t="str">
        <f aca="false">IF(K975="","",IF(ISNUMBER('List 2'!C475),'List 2'!C475,TRIM('List 2'!C475)))</f>
        <v/>
      </c>
      <c r="N975" s="0" t="str">
        <f aca="false">IF(K975="","",IF(ISNUMBER('List 2'!D475),'List 2'!D475,TRIM('List 2'!D475)))</f>
        <v/>
      </c>
      <c r="O975" s="0" t="str">
        <f aca="false">IF(K975="","",0)</f>
        <v/>
      </c>
      <c r="P975" s="0" t="str">
        <f aca="false">IF(K975="","",I475)</f>
        <v/>
      </c>
      <c r="Q975" s="0" t="str">
        <f aca="false">IF(K975="","",FALSE())</f>
        <v/>
      </c>
      <c r="R975" s="0" t="str">
        <f aca="false">IF(K975="","",TRUE())</f>
        <v/>
      </c>
      <c r="S975" s="0" t="str">
        <f aca="false">IF(K975="","",IF(AND(Q975,R975),IF(O975=P975,"Match","Qty Different"),IF(Q975,"Only in List 1","Only in List 2")))</f>
        <v/>
      </c>
      <c r="T975" s="0" t="str">
        <f aca="false">IF(K975="","",IF(ISNUMBER(--L975),TEXT(--L975,"000000000000.000"),LOWER(L975)))</f>
        <v/>
      </c>
      <c r="U975" s="0" t="str">
        <f aca="false">IF(K975="","",IF(ISNUMBER(--M975),TEXT(--M975,"000000000000.000"),LOWER(M975)))</f>
        <v/>
      </c>
      <c r="V975" s="0" t="str">
        <f aca="false">IF(K975="","",LOWER(N975))</f>
        <v/>
      </c>
      <c r="W975" s="0" t="str">
        <f aca="false">IF(K975="","",G475)</f>
        <v/>
      </c>
      <c r="X975" s="0" t="str">
        <f aca="false">IF(K975="","",1+SUMPRODUCT(($K$2:$K$1001&lt;&gt;"")*(($T$2:$T$1001&lt;T975)+($T$2:$T$1001=T975)*(($U$2:$U$1001&lt;U975)+($U$2:$U$1001=U975)*(($V$2:$V$1001&lt;V975)+($V$2:$V$1001=V975)*(($W$2:$W$1001&lt;W975)+($W$2:$W$1001=W975)*(ROW($K$2:$K$1001)&lt;ROW(K975))))))))</f>
        <v/>
      </c>
    </row>
    <row r="976" customFormat="false" ht="15" hidden="false" customHeight="false" outlineLevel="0" collapsed="false">
      <c r="K976" s="0" t="str">
        <f aca="false">IF(H476="","",IF(SUMPRODUCT(--($C$2:$C$501=H476))&gt;0,"",H476))</f>
        <v/>
      </c>
      <c r="L976" s="0" t="str">
        <f aca="false">IF(K976="","",IF(ISNUMBER('List 2'!A476),'List 2'!A476,TRIM('List 2'!A476)))</f>
        <v/>
      </c>
      <c r="M976" s="0" t="str">
        <f aca="false">IF(K976="","",IF(ISNUMBER('List 2'!C476),'List 2'!C476,TRIM('List 2'!C476)))</f>
        <v/>
      </c>
      <c r="N976" s="0" t="str">
        <f aca="false">IF(K976="","",IF(ISNUMBER('List 2'!D476),'List 2'!D476,TRIM('List 2'!D476)))</f>
        <v/>
      </c>
      <c r="O976" s="0" t="str">
        <f aca="false">IF(K976="","",0)</f>
        <v/>
      </c>
      <c r="P976" s="0" t="str">
        <f aca="false">IF(K976="","",I476)</f>
        <v/>
      </c>
      <c r="Q976" s="0" t="str">
        <f aca="false">IF(K976="","",FALSE())</f>
        <v/>
      </c>
      <c r="R976" s="0" t="str">
        <f aca="false">IF(K976="","",TRUE())</f>
        <v/>
      </c>
      <c r="S976" s="0" t="str">
        <f aca="false">IF(K976="","",IF(AND(Q976,R976),IF(O976=P976,"Match","Qty Different"),IF(Q976,"Only in List 1","Only in List 2")))</f>
        <v/>
      </c>
      <c r="T976" s="0" t="str">
        <f aca="false">IF(K976="","",IF(ISNUMBER(--L976),TEXT(--L976,"000000000000.000"),LOWER(L976)))</f>
        <v/>
      </c>
      <c r="U976" s="0" t="str">
        <f aca="false">IF(K976="","",IF(ISNUMBER(--M976),TEXT(--M976,"000000000000.000"),LOWER(M976)))</f>
        <v/>
      </c>
      <c r="V976" s="0" t="str">
        <f aca="false">IF(K976="","",LOWER(N976))</f>
        <v/>
      </c>
      <c r="W976" s="0" t="str">
        <f aca="false">IF(K976="","",G476)</f>
        <v/>
      </c>
      <c r="X976" s="0" t="str">
        <f aca="false">IF(K976="","",1+SUMPRODUCT(($K$2:$K$1001&lt;&gt;"")*(($T$2:$T$1001&lt;T976)+($T$2:$T$1001=T976)*(($U$2:$U$1001&lt;U976)+($U$2:$U$1001=U976)*(($V$2:$V$1001&lt;V976)+($V$2:$V$1001=V976)*(($W$2:$W$1001&lt;W976)+($W$2:$W$1001=W976)*(ROW($K$2:$K$1001)&lt;ROW(K976))))))))</f>
        <v/>
      </c>
    </row>
    <row r="977" customFormat="false" ht="15" hidden="false" customHeight="false" outlineLevel="0" collapsed="false">
      <c r="K977" s="0" t="str">
        <f aca="false">IF(H477="","",IF(SUMPRODUCT(--($C$2:$C$501=H477))&gt;0,"",H477))</f>
        <v/>
      </c>
      <c r="L977" s="0" t="str">
        <f aca="false">IF(K977="","",IF(ISNUMBER('List 2'!A477),'List 2'!A477,TRIM('List 2'!A477)))</f>
        <v/>
      </c>
      <c r="M977" s="0" t="str">
        <f aca="false">IF(K977="","",IF(ISNUMBER('List 2'!C477),'List 2'!C477,TRIM('List 2'!C477)))</f>
        <v/>
      </c>
      <c r="N977" s="0" t="str">
        <f aca="false">IF(K977="","",IF(ISNUMBER('List 2'!D477),'List 2'!D477,TRIM('List 2'!D477)))</f>
        <v/>
      </c>
      <c r="O977" s="0" t="str">
        <f aca="false">IF(K977="","",0)</f>
        <v/>
      </c>
      <c r="P977" s="0" t="str">
        <f aca="false">IF(K977="","",I477)</f>
        <v/>
      </c>
      <c r="Q977" s="0" t="str">
        <f aca="false">IF(K977="","",FALSE())</f>
        <v/>
      </c>
      <c r="R977" s="0" t="str">
        <f aca="false">IF(K977="","",TRUE())</f>
        <v/>
      </c>
      <c r="S977" s="0" t="str">
        <f aca="false">IF(K977="","",IF(AND(Q977,R977),IF(O977=P977,"Match","Qty Different"),IF(Q977,"Only in List 1","Only in List 2")))</f>
        <v/>
      </c>
      <c r="T977" s="0" t="str">
        <f aca="false">IF(K977="","",IF(ISNUMBER(--L977),TEXT(--L977,"000000000000.000"),LOWER(L977)))</f>
        <v/>
      </c>
      <c r="U977" s="0" t="str">
        <f aca="false">IF(K977="","",IF(ISNUMBER(--M977),TEXT(--M977,"000000000000.000"),LOWER(M977)))</f>
        <v/>
      </c>
      <c r="V977" s="0" t="str">
        <f aca="false">IF(K977="","",LOWER(N977))</f>
        <v/>
      </c>
      <c r="W977" s="0" t="str">
        <f aca="false">IF(K977="","",G477)</f>
        <v/>
      </c>
      <c r="X977" s="0" t="str">
        <f aca="false">IF(K977="","",1+SUMPRODUCT(($K$2:$K$1001&lt;&gt;"")*(($T$2:$T$1001&lt;T977)+($T$2:$T$1001=T977)*(($U$2:$U$1001&lt;U977)+($U$2:$U$1001=U977)*(($V$2:$V$1001&lt;V977)+($V$2:$V$1001=V977)*(($W$2:$W$1001&lt;W977)+($W$2:$W$1001=W977)*(ROW($K$2:$K$1001)&lt;ROW(K977))))))))</f>
        <v/>
      </c>
    </row>
    <row r="978" customFormat="false" ht="15" hidden="false" customHeight="false" outlineLevel="0" collapsed="false">
      <c r="K978" s="0" t="str">
        <f aca="false">IF(H478="","",IF(SUMPRODUCT(--($C$2:$C$501=H478))&gt;0,"",H478))</f>
        <v/>
      </c>
      <c r="L978" s="0" t="str">
        <f aca="false">IF(K978="","",IF(ISNUMBER('List 2'!A478),'List 2'!A478,TRIM('List 2'!A478)))</f>
        <v/>
      </c>
      <c r="M978" s="0" t="str">
        <f aca="false">IF(K978="","",IF(ISNUMBER('List 2'!C478),'List 2'!C478,TRIM('List 2'!C478)))</f>
        <v/>
      </c>
      <c r="N978" s="0" t="str">
        <f aca="false">IF(K978="","",IF(ISNUMBER('List 2'!D478),'List 2'!D478,TRIM('List 2'!D478)))</f>
        <v/>
      </c>
      <c r="O978" s="0" t="str">
        <f aca="false">IF(K978="","",0)</f>
        <v/>
      </c>
      <c r="P978" s="0" t="str">
        <f aca="false">IF(K978="","",I478)</f>
        <v/>
      </c>
      <c r="Q978" s="0" t="str">
        <f aca="false">IF(K978="","",FALSE())</f>
        <v/>
      </c>
      <c r="R978" s="0" t="str">
        <f aca="false">IF(K978="","",TRUE())</f>
        <v/>
      </c>
      <c r="S978" s="0" t="str">
        <f aca="false">IF(K978="","",IF(AND(Q978,R978),IF(O978=P978,"Match","Qty Different"),IF(Q978,"Only in List 1","Only in List 2")))</f>
        <v/>
      </c>
      <c r="T978" s="0" t="str">
        <f aca="false">IF(K978="","",IF(ISNUMBER(--L978),TEXT(--L978,"000000000000.000"),LOWER(L978)))</f>
        <v/>
      </c>
      <c r="U978" s="0" t="str">
        <f aca="false">IF(K978="","",IF(ISNUMBER(--M978),TEXT(--M978,"000000000000.000"),LOWER(M978)))</f>
        <v/>
      </c>
      <c r="V978" s="0" t="str">
        <f aca="false">IF(K978="","",LOWER(N978))</f>
        <v/>
      </c>
      <c r="W978" s="0" t="str">
        <f aca="false">IF(K978="","",G478)</f>
        <v/>
      </c>
      <c r="X978" s="0" t="str">
        <f aca="false">IF(K978="","",1+SUMPRODUCT(($K$2:$K$1001&lt;&gt;"")*(($T$2:$T$1001&lt;T978)+($T$2:$T$1001=T978)*(($U$2:$U$1001&lt;U978)+($U$2:$U$1001=U978)*(($V$2:$V$1001&lt;V978)+($V$2:$V$1001=V978)*(($W$2:$W$1001&lt;W978)+($W$2:$W$1001=W978)*(ROW($K$2:$K$1001)&lt;ROW(K978))))))))</f>
        <v/>
      </c>
    </row>
    <row r="979" customFormat="false" ht="15" hidden="false" customHeight="false" outlineLevel="0" collapsed="false">
      <c r="K979" s="0" t="str">
        <f aca="false">IF(H479="","",IF(SUMPRODUCT(--($C$2:$C$501=H479))&gt;0,"",H479))</f>
        <v/>
      </c>
      <c r="L979" s="0" t="str">
        <f aca="false">IF(K979="","",IF(ISNUMBER('List 2'!A479),'List 2'!A479,TRIM('List 2'!A479)))</f>
        <v/>
      </c>
      <c r="M979" s="0" t="str">
        <f aca="false">IF(K979="","",IF(ISNUMBER('List 2'!C479),'List 2'!C479,TRIM('List 2'!C479)))</f>
        <v/>
      </c>
      <c r="N979" s="0" t="str">
        <f aca="false">IF(K979="","",IF(ISNUMBER('List 2'!D479),'List 2'!D479,TRIM('List 2'!D479)))</f>
        <v/>
      </c>
      <c r="O979" s="0" t="str">
        <f aca="false">IF(K979="","",0)</f>
        <v/>
      </c>
      <c r="P979" s="0" t="str">
        <f aca="false">IF(K979="","",I479)</f>
        <v/>
      </c>
      <c r="Q979" s="0" t="str">
        <f aca="false">IF(K979="","",FALSE())</f>
        <v/>
      </c>
      <c r="R979" s="0" t="str">
        <f aca="false">IF(K979="","",TRUE())</f>
        <v/>
      </c>
      <c r="S979" s="0" t="str">
        <f aca="false">IF(K979="","",IF(AND(Q979,R979),IF(O979=P979,"Match","Qty Different"),IF(Q979,"Only in List 1","Only in List 2")))</f>
        <v/>
      </c>
      <c r="T979" s="0" t="str">
        <f aca="false">IF(K979="","",IF(ISNUMBER(--L979),TEXT(--L979,"000000000000.000"),LOWER(L979)))</f>
        <v/>
      </c>
      <c r="U979" s="0" t="str">
        <f aca="false">IF(K979="","",IF(ISNUMBER(--M979),TEXT(--M979,"000000000000.000"),LOWER(M979)))</f>
        <v/>
      </c>
      <c r="V979" s="0" t="str">
        <f aca="false">IF(K979="","",LOWER(N979))</f>
        <v/>
      </c>
      <c r="W979" s="0" t="str">
        <f aca="false">IF(K979="","",G479)</f>
        <v/>
      </c>
      <c r="X979" s="0" t="str">
        <f aca="false">IF(K979="","",1+SUMPRODUCT(($K$2:$K$1001&lt;&gt;"")*(($T$2:$T$1001&lt;T979)+($T$2:$T$1001=T979)*(($U$2:$U$1001&lt;U979)+($U$2:$U$1001=U979)*(($V$2:$V$1001&lt;V979)+($V$2:$V$1001=V979)*(($W$2:$W$1001&lt;W979)+($W$2:$W$1001=W979)*(ROW($K$2:$K$1001)&lt;ROW(K979))))))))</f>
        <v/>
      </c>
    </row>
    <row r="980" customFormat="false" ht="15" hidden="false" customHeight="false" outlineLevel="0" collapsed="false">
      <c r="K980" s="0" t="str">
        <f aca="false">IF(H480="","",IF(SUMPRODUCT(--($C$2:$C$501=H480))&gt;0,"",H480))</f>
        <v/>
      </c>
      <c r="L980" s="0" t="str">
        <f aca="false">IF(K980="","",IF(ISNUMBER('List 2'!A480),'List 2'!A480,TRIM('List 2'!A480)))</f>
        <v/>
      </c>
      <c r="M980" s="0" t="str">
        <f aca="false">IF(K980="","",IF(ISNUMBER('List 2'!C480),'List 2'!C480,TRIM('List 2'!C480)))</f>
        <v/>
      </c>
      <c r="N980" s="0" t="str">
        <f aca="false">IF(K980="","",IF(ISNUMBER('List 2'!D480),'List 2'!D480,TRIM('List 2'!D480)))</f>
        <v/>
      </c>
      <c r="O980" s="0" t="str">
        <f aca="false">IF(K980="","",0)</f>
        <v/>
      </c>
      <c r="P980" s="0" t="str">
        <f aca="false">IF(K980="","",I480)</f>
        <v/>
      </c>
      <c r="Q980" s="0" t="str">
        <f aca="false">IF(K980="","",FALSE())</f>
        <v/>
      </c>
      <c r="R980" s="0" t="str">
        <f aca="false">IF(K980="","",TRUE())</f>
        <v/>
      </c>
      <c r="S980" s="0" t="str">
        <f aca="false">IF(K980="","",IF(AND(Q980,R980),IF(O980=P980,"Match","Qty Different"),IF(Q980,"Only in List 1","Only in List 2")))</f>
        <v/>
      </c>
      <c r="T980" s="0" t="str">
        <f aca="false">IF(K980="","",IF(ISNUMBER(--L980),TEXT(--L980,"000000000000.000"),LOWER(L980)))</f>
        <v/>
      </c>
      <c r="U980" s="0" t="str">
        <f aca="false">IF(K980="","",IF(ISNUMBER(--M980),TEXT(--M980,"000000000000.000"),LOWER(M980)))</f>
        <v/>
      </c>
      <c r="V980" s="0" t="str">
        <f aca="false">IF(K980="","",LOWER(N980))</f>
        <v/>
      </c>
      <c r="W980" s="0" t="str">
        <f aca="false">IF(K980="","",G480)</f>
        <v/>
      </c>
      <c r="X980" s="0" t="str">
        <f aca="false">IF(K980="","",1+SUMPRODUCT(($K$2:$K$1001&lt;&gt;"")*(($T$2:$T$1001&lt;T980)+($T$2:$T$1001=T980)*(($U$2:$U$1001&lt;U980)+($U$2:$U$1001=U980)*(($V$2:$V$1001&lt;V980)+($V$2:$V$1001=V980)*(($W$2:$W$1001&lt;W980)+($W$2:$W$1001=W980)*(ROW($K$2:$K$1001)&lt;ROW(K980))))))))</f>
        <v/>
      </c>
    </row>
    <row r="981" customFormat="false" ht="15" hidden="false" customHeight="false" outlineLevel="0" collapsed="false">
      <c r="K981" s="0" t="str">
        <f aca="false">IF(H481="","",IF(SUMPRODUCT(--($C$2:$C$501=H481))&gt;0,"",H481))</f>
        <v/>
      </c>
      <c r="L981" s="0" t="str">
        <f aca="false">IF(K981="","",IF(ISNUMBER('List 2'!A481),'List 2'!A481,TRIM('List 2'!A481)))</f>
        <v/>
      </c>
      <c r="M981" s="0" t="str">
        <f aca="false">IF(K981="","",IF(ISNUMBER('List 2'!C481),'List 2'!C481,TRIM('List 2'!C481)))</f>
        <v/>
      </c>
      <c r="N981" s="0" t="str">
        <f aca="false">IF(K981="","",IF(ISNUMBER('List 2'!D481),'List 2'!D481,TRIM('List 2'!D481)))</f>
        <v/>
      </c>
      <c r="O981" s="0" t="str">
        <f aca="false">IF(K981="","",0)</f>
        <v/>
      </c>
      <c r="P981" s="0" t="str">
        <f aca="false">IF(K981="","",I481)</f>
        <v/>
      </c>
      <c r="Q981" s="0" t="str">
        <f aca="false">IF(K981="","",FALSE())</f>
        <v/>
      </c>
      <c r="R981" s="0" t="str">
        <f aca="false">IF(K981="","",TRUE())</f>
        <v/>
      </c>
      <c r="S981" s="0" t="str">
        <f aca="false">IF(K981="","",IF(AND(Q981,R981),IF(O981=P981,"Match","Qty Different"),IF(Q981,"Only in List 1","Only in List 2")))</f>
        <v/>
      </c>
      <c r="T981" s="0" t="str">
        <f aca="false">IF(K981="","",IF(ISNUMBER(--L981),TEXT(--L981,"000000000000.000"),LOWER(L981)))</f>
        <v/>
      </c>
      <c r="U981" s="0" t="str">
        <f aca="false">IF(K981="","",IF(ISNUMBER(--M981),TEXT(--M981,"000000000000.000"),LOWER(M981)))</f>
        <v/>
      </c>
      <c r="V981" s="0" t="str">
        <f aca="false">IF(K981="","",LOWER(N981))</f>
        <v/>
      </c>
      <c r="W981" s="0" t="str">
        <f aca="false">IF(K981="","",G481)</f>
        <v/>
      </c>
      <c r="X981" s="0" t="str">
        <f aca="false">IF(K981="","",1+SUMPRODUCT(($K$2:$K$1001&lt;&gt;"")*(($T$2:$T$1001&lt;T981)+($T$2:$T$1001=T981)*(($U$2:$U$1001&lt;U981)+($U$2:$U$1001=U981)*(($V$2:$V$1001&lt;V981)+($V$2:$V$1001=V981)*(($W$2:$W$1001&lt;W981)+($W$2:$W$1001=W981)*(ROW($K$2:$K$1001)&lt;ROW(K981))))))))</f>
        <v/>
      </c>
    </row>
    <row r="982" customFormat="false" ht="15" hidden="false" customHeight="false" outlineLevel="0" collapsed="false">
      <c r="K982" s="0" t="str">
        <f aca="false">IF(H482="","",IF(SUMPRODUCT(--($C$2:$C$501=H482))&gt;0,"",H482))</f>
        <v/>
      </c>
      <c r="L982" s="0" t="str">
        <f aca="false">IF(K982="","",IF(ISNUMBER('List 2'!A482),'List 2'!A482,TRIM('List 2'!A482)))</f>
        <v/>
      </c>
      <c r="M982" s="0" t="str">
        <f aca="false">IF(K982="","",IF(ISNUMBER('List 2'!C482),'List 2'!C482,TRIM('List 2'!C482)))</f>
        <v/>
      </c>
      <c r="N982" s="0" t="str">
        <f aca="false">IF(K982="","",IF(ISNUMBER('List 2'!D482),'List 2'!D482,TRIM('List 2'!D482)))</f>
        <v/>
      </c>
      <c r="O982" s="0" t="str">
        <f aca="false">IF(K982="","",0)</f>
        <v/>
      </c>
      <c r="P982" s="0" t="str">
        <f aca="false">IF(K982="","",I482)</f>
        <v/>
      </c>
      <c r="Q982" s="0" t="str">
        <f aca="false">IF(K982="","",FALSE())</f>
        <v/>
      </c>
      <c r="R982" s="0" t="str">
        <f aca="false">IF(K982="","",TRUE())</f>
        <v/>
      </c>
      <c r="S982" s="0" t="str">
        <f aca="false">IF(K982="","",IF(AND(Q982,R982),IF(O982=P982,"Match","Qty Different"),IF(Q982,"Only in List 1","Only in List 2")))</f>
        <v/>
      </c>
      <c r="T982" s="0" t="str">
        <f aca="false">IF(K982="","",IF(ISNUMBER(--L982),TEXT(--L982,"000000000000.000"),LOWER(L982)))</f>
        <v/>
      </c>
      <c r="U982" s="0" t="str">
        <f aca="false">IF(K982="","",IF(ISNUMBER(--M982),TEXT(--M982,"000000000000.000"),LOWER(M982)))</f>
        <v/>
      </c>
      <c r="V982" s="0" t="str">
        <f aca="false">IF(K982="","",LOWER(N982))</f>
        <v/>
      </c>
      <c r="W982" s="0" t="str">
        <f aca="false">IF(K982="","",G482)</f>
        <v/>
      </c>
      <c r="X982" s="0" t="str">
        <f aca="false">IF(K982="","",1+SUMPRODUCT(($K$2:$K$1001&lt;&gt;"")*(($T$2:$T$1001&lt;T982)+($T$2:$T$1001=T982)*(($U$2:$U$1001&lt;U982)+($U$2:$U$1001=U982)*(($V$2:$V$1001&lt;V982)+($V$2:$V$1001=V982)*(($W$2:$W$1001&lt;W982)+($W$2:$W$1001=W982)*(ROW($K$2:$K$1001)&lt;ROW(K982))))))))</f>
        <v/>
      </c>
    </row>
    <row r="983" customFormat="false" ht="15" hidden="false" customHeight="false" outlineLevel="0" collapsed="false">
      <c r="K983" s="0" t="str">
        <f aca="false">IF(H483="","",IF(SUMPRODUCT(--($C$2:$C$501=H483))&gt;0,"",H483))</f>
        <v/>
      </c>
      <c r="L983" s="0" t="str">
        <f aca="false">IF(K983="","",IF(ISNUMBER('List 2'!A483),'List 2'!A483,TRIM('List 2'!A483)))</f>
        <v/>
      </c>
      <c r="M983" s="0" t="str">
        <f aca="false">IF(K983="","",IF(ISNUMBER('List 2'!C483),'List 2'!C483,TRIM('List 2'!C483)))</f>
        <v/>
      </c>
      <c r="N983" s="0" t="str">
        <f aca="false">IF(K983="","",IF(ISNUMBER('List 2'!D483),'List 2'!D483,TRIM('List 2'!D483)))</f>
        <v/>
      </c>
      <c r="O983" s="0" t="str">
        <f aca="false">IF(K983="","",0)</f>
        <v/>
      </c>
      <c r="P983" s="0" t="str">
        <f aca="false">IF(K983="","",I483)</f>
        <v/>
      </c>
      <c r="Q983" s="0" t="str">
        <f aca="false">IF(K983="","",FALSE())</f>
        <v/>
      </c>
      <c r="R983" s="0" t="str">
        <f aca="false">IF(K983="","",TRUE())</f>
        <v/>
      </c>
      <c r="S983" s="0" t="str">
        <f aca="false">IF(K983="","",IF(AND(Q983,R983),IF(O983=P983,"Match","Qty Different"),IF(Q983,"Only in List 1","Only in List 2")))</f>
        <v/>
      </c>
      <c r="T983" s="0" t="str">
        <f aca="false">IF(K983="","",IF(ISNUMBER(--L983),TEXT(--L983,"000000000000.000"),LOWER(L983)))</f>
        <v/>
      </c>
      <c r="U983" s="0" t="str">
        <f aca="false">IF(K983="","",IF(ISNUMBER(--M983),TEXT(--M983,"000000000000.000"),LOWER(M983)))</f>
        <v/>
      </c>
      <c r="V983" s="0" t="str">
        <f aca="false">IF(K983="","",LOWER(N983))</f>
        <v/>
      </c>
      <c r="W983" s="0" t="str">
        <f aca="false">IF(K983="","",G483)</f>
        <v/>
      </c>
      <c r="X983" s="0" t="str">
        <f aca="false">IF(K983="","",1+SUMPRODUCT(($K$2:$K$1001&lt;&gt;"")*(($T$2:$T$1001&lt;T983)+($T$2:$T$1001=T983)*(($U$2:$U$1001&lt;U983)+($U$2:$U$1001=U983)*(($V$2:$V$1001&lt;V983)+($V$2:$V$1001=V983)*(($W$2:$W$1001&lt;W983)+($W$2:$W$1001=W983)*(ROW($K$2:$K$1001)&lt;ROW(K983))))))))</f>
        <v/>
      </c>
    </row>
    <row r="984" customFormat="false" ht="15" hidden="false" customHeight="false" outlineLevel="0" collapsed="false">
      <c r="K984" s="0" t="str">
        <f aca="false">IF(H484="","",IF(SUMPRODUCT(--($C$2:$C$501=H484))&gt;0,"",H484))</f>
        <v/>
      </c>
      <c r="L984" s="0" t="str">
        <f aca="false">IF(K984="","",IF(ISNUMBER('List 2'!A484),'List 2'!A484,TRIM('List 2'!A484)))</f>
        <v/>
      </c>
      <c r="M984" s="0" t="str">
        <f aca="false">IF(K984="","",IF(ISNUMBER('List 2'!C484),'List 2'!C484,TRIM('List 2'!C484)))</f>
        <v/>
      </c>
      <c r="N984" s="0" t="str">
        <f aca="false">IF(K984="","",IF(ISNUMBER('List 2'!D484),'List 2'!D484,TRIM('List 2'!D484)))</f>
        <v/>
      </c>
      <c r="O984" s="0" t="str">
        <f aca="false">IF(K984="","",0)</f>
        <v/>
      </c>
      <c r="P984" s="0" t="str">
        <f aca="false">IF(K984="","",I484)</f>
        <v/>
      </c>
      <c r="Q984" s="0" t="str">
        <f aca="false">IF(K984="","",FALSE())</f>
        <v/>
      </c>
      <c r="R984" s="0" t="str">
        <f aca="false">IF(K984="","",TRUE())</f>
        <v/>
      </c>
      <c r="S984" s="0" t="str">
        <f aca="false">IF(K984="","",IF(AND(Q984,R984),IF(O984=P984,"Match","Qty Different"),IF(Q984,"Only in List 1","Only in List 2")))</f>
        <v/>
      </c>
      <c r="T984" s="0" t="str">
        <f aca="false">IF(K984="","",IF(ISNUMBER(--L984),TEXT(--L984,"000000000000.000"),LOWER(L984)))</f>
        <v/>
      </c>
      <c r="U984" s="0" t="str">
        <f aca="false">IF(K984="","",IF(ISNUMBER(--M984),TEXT(--M984,"000000000000.000"),LOWER(M984)))</f>
        <v/>
      </c>
      <c r="V984" s="0" t="str">
        <f aca="false">IF(K984="","",LOWER(N984))</f>
        <v/>
      </c>
      <c r="W984" s="0" t="str">
        <f aca="false">IF(K984="","",G484)</f>
        <v/>
      </c>
      <c r="X984" s="0" t="str">
        <f aca="false">IF(K984="","",1+SUMPRODUCT(($K$2:$K$1001&lt;&gt;"")*(($T$2:$T$1001&lt;T984)+($T$2:$T$1001=T984)*(($U$2:$U$1001&lt;U984)+($U$2:$U$1001=U984)*(($V$2:$V$1001&lt;V984)+($V$2:$V$1001=V984)*(($W$2:$W$1001&lt;W984)+($W$2:$W$1001=W984)*(ROW($K$2:$K$1001)&lt;ROW(K984))))))))</f>
        <v/>
      </c>
    </row>
    <row r="985" customFormat="false" ht="15" hidden="false" customHeight="false" outlineLevel="0" collapsed="false">
      <c r="K985" s="0" t="str">
        <f aca="false">IF(H485="","",IF(SUMPRODUCT(--($C$2:$C$501=H485))&gt;0,"",H485))</f>
        <v/>
      </c>
      <c r="L985" s="0" t="str">
        <f aca="false">IF(K985="","",IF(ISNUMBER('List 2'!A485),'List 2'!A485,TRIM('List 2'!A485)))</f>
        <v/>
      </c>
      <c r="M985" s="0" t="str">
        <f aca="false">IF(K985="","",IF(ISNUMBER('List 2'!C485),'List 2'!C485,TRIM('List 2'!C485)))</f>
        <v/>
      </c>
      <c r="N985" s="0" t="str">
        <f aca="false">IF(K985="","",IF(ISNUMBER('List 2'!D485),'List 2'!D485,TRIM('List 2'!D485)))</f>
        <v/>
      </c>
      <c r="O985" s="0" t="str">
        <f aca="false">IF(K985="","",0)</f>
        <v/>
      </c>
      <c r="P985" s="0" t="str">
        <f aca="false">IF(K985="","",I485)</f>
        <v/>
      </c>
      <c r="Q985" s="0" t="str">
        <f aca="false">IF(K985="","",FALSE())</f>
        <v/>
      </c>
      <c r="R985" s="0" t="str">
        <f aca="false">IF(K985="","",TRUE())</f>
        <v/>
      </c>
      <c r="S985" s="0" t="str">
        <f aca="false">IF(K985="","",IF(AND(Q985,R985),IF(O985=P985,"Match","Qty Different"),IF(Q985,"Only in List 1","Only in List 2")))</f>
        <v/>
      </c>
      <c r="T985" s="0" t="str">
        <f aca="false">IF(K985="","",IF(ISNUMBER(--L985),TEXT(--L985,"000000000000.000"),LOWER(L985)))</f>
        <v/>
      </c>
      <c r="U985" s="0" t="str">
        <f aca="false">IF(K985="","",IF(ISNUMBER(--M985),TEXT(--M985,"000000000000.000"),LOWER(M985)))</f>
        <v/>
      </c>
      <c r="V985" s="0" t="str">
        <f aca="false">IF(K985="","",LOWER(N985))</f>
        <v/>
      </c>
      <c r="W985" s="0" t="str">
        <f aca="false">IF(K985="","",G485)</f>
        <v/>
      </c>
      <c r="X985" s="0" t="str">
        <f aca="false">IF(K985="","",1+SUMPRODUCT(($K$2:$K$1001&lt;&gt;"")*(($T$2:$T$1001&lt;T985)+($T$2:$T$1001=T985)*(($U$2:$U$1001&lt;U985)+($U$2:$U$1001=U985)*(($V$2:$V$1001&lt;V985)+($V$2:$V$1001=V985)*(($W$2:$W$1001&lt;W985)+($W$2:$W$1001=W985)*(ROW($K$2:$K$1001)&lt;ROW(K985))))))))</f>
        <v/>
      </c>
    </row>
    <row r="986" customFormat="false" ht="15" hidden="false" customHeight="false" outlineLevel="0" collapsed="false">
      <c r="K986" s="0" t="str">
        <f aca="false">IF(H486="","",IF(SUMPRODUCT(--($C$2:$C$501=H486))&gt;0,"",H486))</f>
        <v/>
      </c>
      <c r="L986" s="0" t="str">
        <f aca="false">IF(K986="","",IF(ISNUMBER('List 2'!A486),'List 2'!A486,TRIM('List 2'!A486)))</f>
        <v/>
      </c>
      <c r="M986" s="0" t="str">
        <f aca="false">IF(K986="","",IF(ISNUMBER('List 2'!C486),'List 2'!C486,TRIM('List 2'!C486)))</f>
        <v/>
      </c>
      <c r="N986" s="0" t="str">
        <f aca="false">IF(K986="","",IF(ISNUMBER('List 2'!D486),'List 2'!D486,TRIM('List 2'!D486)))</f>
        <v/>
      </c>
      <c r="O986" s="0" t="str">
        <f aca="false">IF(K986="","",0)</f>
        <v/>
      </c>
      <c r="P986" s="0" t="str">
        <f aca="false">IF(K986="","",I486)</f>
        <v/>
      </c>
      <c r="Q986" s="0" t="str">
        <f aca="false">IF(K986="","",FALSE())</f>
        <v/>
      </c>
      <c r="R986" s="0" t="str">
        <f aca="false">IF(K986="","",TRUE())</f>
        <v/>
      </c>
      <c r="S986" s="0" t="str">
        <f aca="false">IF(K986="","",IF(AND(Q986,R986),IF(O986=P986,"Match","Qty Different"),IF(Q986,"Only in List 1","Only in List 2")))</f>
        <v/>
      </c>
      <c r="T986" s="0" t="str">
        <f aca="false">IF(K986="","",IF(ISNUMBER(--L986),TEXT(--L986,"000000000000.000"),LOWER(L986)))</f>
        <v/>
      </c>
      <c r="U986" s="0" t="str">
        <f aca="false">IF(K986="","",IF(ISNUMBER(--M986),TEXT(--M986,"000000000000.000"),LOWER(M986)))</f>
        <v/>
      </c>
      <c r="V986" s="0" t="str">
        <f aca="false">IF(K986="","",LOWER(N986))</f>
        <v/>
      </c>
      <c r="W986" s="0" t="str">
        <f aca="false">IF(K986="","",G486)</f>
        <v/>
      </c>
      <c r="X986" s="0" t="str">
        <f aca="false">IF(K986="","",1+SUMPRODUCT(($K$2:$K$1001&lt;&gt;"")*(($T$2:$T$1001&lt;T986)+($T$2:$T$1001=T986)*(($U$2:$U$1001&lt;U986)+($U$2:$U$1001=U986)*(($V$2:$V$1001&lt;V986)+($V$2:$V$1001=V986)*(($W$2:$W$1001&lt;W986)+($W$2:$W$1001=W986)*(ROW($K$2:$K$1001)&lt;ROW(K986))))))))</f>
        <v/>
      </c>
    </row>
    <row r="987" customFormat="false" ht="15" hidden="false" customHeight="false" outlineLevel="0" collapsed="false">
      <c r="K987" s="0" t="str">
        <f aca="false">IF(H487="","",IF(SUMPRODUCT(--($C$2:$C$501=H487))&gt;0,"",H487))</f>
        <v/>
      </c>
      <c r="L987" s="0" t="str">
        <f aca="false">IF(K987="","",IF(ISNUMBER('List 2'!A487),'List 2'!A487,TRIM('List 2'!A487)))</f>
        <v/>
      </c>
      <c r="M987" s="0" t="str">
        <f aca="false">IF(K987="","",IF(ISNUMBER('List 2'!C487),'List 2'!C487,TRIM('List 2'!C487)))</f>
        <v/>
      </c>
      <c r="N987" s="0" t="str">
        <f aca="false">IF(K987="","",IF(ISNUMBER('List 2'!D487),'List 2'!D487,TRIM('List 2'!D487)))</f>
        <v/>
      </c>
      <c r="O987" s="0" t="str">
        <f aca="false">IF(K987="","",0)</f>
        <v/>
      </c>
      <c r="P987" s="0" t="str">
        <f aca="false">IF(K987="","",I487)</f>
        <v/>
      </c>
      <c r="Q987" s="0" t="str">
        <f aca="false">IF(K987="","",FALSE())</f>
        <v/>
      </c>
      <c r="R987" s="0" t="str">
        <f aca="false">IF(K987="","",TRUE())</f>
        <v/>
      </c>
      <c r="S987" s="0" t="str">
        <f aca="false">IF(K987="","",IF(AND(Q987,R987),IF(O987=P987,"Match","Qty Different"),IF(Q987,"Only in List 1","Only in List 2")))</f>
        <v/>
      </c>
      <c r="T987" s="0" t="str">
        <f aca="false">IF(K987="","",IF(ISNUMBER(--L987),TEXT(--L987,"000000000000.000"),LOWER(L987)))</f>
        <v/>
      </c>
      <c r="U987" s="0" t="str">
        <f aca="false">IF(K987="","",IF(ISNUMBER(--M987),TEXT(--M987,"000000000000.000"),LOWER(M987)))</f>
        <v/>
      </c>
      <c r="V987" s="0" t="str">
        <f aca="false">IF(K987="","",LOWER(N987))</f>
        <v/>
      </c>
      <c r="W987" s="0" t="str">
        <f aca="false">IF(K987="","",G487)</f>
        <v/>
      </c>
      <c r="X987" s="0" t="str">
        <f aca="false">IF(K987="","",1+SUMPRODUCT(($K$2:$K$1001&lt;&gt;"")*(($T$2:$T$1001&lt;T987)+($T$2:$T$1001=T987)*(($U$2:$U$1001&lt;U987)+($U$2:$U$1001=U987)*(($V$2:$V$1001&lt;V987)+($V$2:$V$1001=V987)*(($W$2:$W$1001&lt;W987)+($W$2:$W$1001=W987)*(ROW($K$2:$K$1001)&lt;ROW(K987))))))))</f>
        <v/>
      </c>
    </row>
    <row r="988" customFormat="false" ht="15" hidden="false" customHeight="false" outlineLevel="0" collapsed="false">
      <c r="K988" s="0" t="str">
        <f aca="false">IF(H488="","",IF(SUMPRODUCT(--($C$2:$C$501=H488))&gt;0,"",H488))</f>
        <v/>
      </c>
      <c r="L988" s="0" t="str">
        <f aca="false">IF(K988="","",IF(ISNUMBER('List 2'!A488),'List 2'!A488,TRIM('List 2'!A488)))</f>
        <v/>
      </c>
      <c r="M988" s="0" t="str">
        <f aca="false">IF(K988="","",IF(ISNUMBER('List 2'!C488),'List 2'!C488,TRIM('List 2'!C488)))</f>
        <v/>
      </c>
      <c r="N988" s="0" t="str">
        <f aca="false">IF(K988="","",IF(ISNUMBER('List 2'!D488),'List 2'!D488,TRIM('List 2'!D488)))</f>
        <v/>
      </c>
      <c r="O988" s="0" t="str">
        <f aca="false">IF(K988="","",0)</f>
        <v/>
      </c>
      <c r="P988" s="0" t="str">
        <f aca="false">IF(K988="","",I488)</f>
        <v/>
      </c>
      <c r="Q988" s="0" t="str">
        <f aca="false">IF(K988="","",FALSE())</f>
        <v/>
      </c>
      <c r="R988" s="0" t="str">
        <f aca="false">IF(K988="","",TRUE())</f>
        <v/>
      </c>
      <c r="S988" s="0" t="str">
        <f aca="false">IF(K988="","",IF(AND(Q988,R988),IF(O988=P988,"Match","Qty Different"),IF(Q988,"Only in List 1","Only in List 2")))</f>
        <v/>
      </c>
      <c r="T988" s="0" t="str">
        <f aca="false">IF(K988="","",IF(ISNUMBER(--L988),TEXT(--L988,"000000000000.000"),LOWER(L988)))</f>
        <v/>
      </c>
      <c r="U988" s="0" t="str">
        <f aca="false">IF(K988="","",IF(ISNUMBER(--M988),TEXT(--M988,"000000000000.000"),LOWER(M988)))</f>
        <v/>
      </c>
      <c r="V988" s="0" t="str">
        <f aca="false">IF(K988="","",LOWER(N988))</f>
        <v/>
      </c>
      <c r="W988" s="0" t="str">
        <f aca="false">IF(K988="","",G488)</f>
        <v/>
      </c>
      <c r="X988" s="0" t="str">
        <f aca="false">IF(K988="","",1+SUMPRODUCT(($K$2:$K$1001&lt;&gt;"")*(($T$2:$T$1001&lt;T988)+($T$2:$T$1001=T988)*(($U$2:$U$1001&lt;U988)+($U$2:$U$1001=U988)*(($V$2:$V$1001&lt;V988)+($V$2:$V$1001=V988)*(($W$2:$W$1001&lt;W988)+($W$2:$W$1001=W988)*(ROW($K$2:$K$1001)&lt;ROW(K988))))))))</f>
        <v/>
      </c>
    </row>
    <row r="989" customFormat="false" ht="15" hidden="false" customHeight="false" outlineLevel="0" collapsed="false">
      <c r="K989" s="0" t="str">
        <f aca="false">IF(H489="","",IF(SUMPRODUCT(--($C$2:$C$501=H489))&gt;0,"",H489))</f>
        <v/>
      </c>
      <c r="L989" s="0" t="str">
        <f aca="false">IF(K989="","",IF(ISNUMBER('List 2'!A489),'List 2'!A489,TRIM('List 2'!A489)))</f>
        <v/>
      </c>
      <c r="M989" s="0" t="str">
        <f aca="false">IF(K989="","",IF(ISNUMBER('List 2'!C489),'List 2'!C489,TRIM('List 2'!C489)))</f>
        <v/>
      </c>
      <c r="N989" s="0" t="str">
        <f aca="false">IF(K989="","",IF(ISNUMBER('List 2'!D489),'List 2'!D489,TRIM('List 2'!D489)))</f>
        <v/>
      </c>
      <c r="O989" s="0" t="str">
        <f aca="false">IF(K989="","",0)</f>
        <v/>
      </c>
      <c r="P989" s="0" t="str">
        <f aca="false">IF(K989="","",I489)</f>
        <v/>
      </c>
      <c r="Q989" s="0" t="str">
        <f aca="false">IF(K989="","",FALSE())</f>
        <v/>
      </c>
      <c r="R989" s="0" t="str">
        <f aca="false">IF(K989="","",TRUE())</f>
        <v/>
      </c>
      <c r="S989" s="0" t="str">
        <f aca="false">IF(K989="","",IF(AND(Q989,R989),IF(O989=P989,"Match","Qty Different"),IF(Q989,"Only in List 1","Only in List 2")))</f>
        <v/>
      </c>
      <c r="T989" s="0" t="str">
        <f aca="false">IF(K989="","",IF(ISNUMBER(--L989),TEXT(--L989,"000000000000.000"),LOWER(L989)))</f>
        <v/>
      </c>
      <c r="U989" s="0" t="str">
        <f aca="false">IF(K989="","",IF(ISNUMBER(--M989),TEXT(--M989,"000000000000.000"),LOWER(M989)))</f>
        <v/>
      </c>
      <c r="V989" s="0" t="str">
        <f aca="false">IF(K989="","",LOWER(N989))</f>
        <v/>
      </c>
      <c r="W989" s="0" t="str">
        <f aca="false">IF(K989="","",G489)</f>
        <v/>
      </c>
      <c r="X989" s="0" t="str">
        <f aca="false">IF(K989="","",1+SUMPRODUCT(($K$2:$K$1001&lt;&gt;"")*(($T$2:$T$1001&lt;T989)+($T$2:$T$1001=T989)*(($U$2:$U$1001&lt;U989)+($U$2:$U$1001=U989)*(($V$2:$V$1001&lt;V989)+($V$2:$V$1001=V989)*(($W$2:$W$1001&lt;W989)+($W$2:$W$1001=W989)*(ROW($K$2:$K$1001)&lt;ROW(K989))))))))</f>
        <v/>
      </c>
    </row>
    <row r="990" customFormat="false" ht="15" hidden="false" customHeight="false" outlineLevel="0" collapsed="false">
      <c r="K990" s="0" t="str">
        <f aca="false">IF(H490="","",IF(SUMPRODUCT(--($C$2:$C$501=H490))&gt;0,"",H490))</f>
        <v/>
      </c>
      <c r="L990" s="0" t="str">
        <f aca="false">IF(K990="","",IF(ISNUMBER('List 2'!A490),'List 2'!A490,TRIM('List 2'!A490)))</f>
        <v/>
      </c>
      <c r="M990" s="0" t="str">
        <f aca="false">IF(K990="","",IF(ISNUMBER('List 2'!C490),'List 2'!C490,TRIM('List 2'!C490)))</f>
        <v/>
      </c>
      <c r="N990" s="0" t="str">
        <f aca="false">IF(K990="","",IF(ISNUMBER('List 2'!D490),'List 2'!D490,TRIM('List 2'!D490)))</f>
        <v/>
      </c>
      <c r="O990" s="0" t="str">
        <f aca="false">IF(K990="","",0)</f>
        <v/>
      </c>
      <c r="P990" s="0" t="str">
        <f aca="false">IF(K990="","",I490)</f>
        <v/>
      </c>
      <c r="Q990" s="0" t="str">
        <f aca="false">IF(K990="","",FALSE())</f>
        <v/>
      </c>
      <c r="R990" s="0" t="str">
        <f aca="false">IF(K990="","",TRUE())</f>
        <v/>
      </c>
      <c r="S990" s="0" t="str">
        <f aca="false">IF(K990="","",IF(AND(Q990,R990),IF(O990=P990,"Match","Qty Different"),IF(Q990,"Only in List 1","Only in List 2")))</f>
        <v/>
      </c>
      <c r="T990" s="0" t="str">
        <f aca="false">IF(K990="","",IF(ISNUMBER(--L990),TEXT(--L990,"000000000000.000"),LOWER(L990)))</f>
        <v/>
      </c>
      <c r="U990" s="0" t="str">
        <f aca="false">IF(K990="","",IF(ISNUMBER(--M990),TEXT(--M990,"000000000000.000"),LOWER(M990)))</f>
        <v/>
      </c>
      <c r="V990" s="0" t="str">
        <f aca="false">IF(K990="","",LOWER(N990))</f>
        <v/>
      </c>
      <c r="W990" s="0" t="str">
        <f aca="false">IF(K990="","",G490)</f>
        <v/>
      </c>
      <c r="X990" s="0" t="str">
        <f aca="false">IF(K990="","",1+SUMPRODUCT(($K$2:$K$1001&lt;&gt;"")*(($T$2:$T$1001&lt;T990)+($T$2:$T$1001=T990)*(($U$2:$U$1001&lt;U990)+($U$2:$U$1001=U990)*(($V$2:$V$1001&lt;V990)+($V$2:$V$1001=V990)*(($W$2:$W$1001&lt;W990)+($W$2:$W$1001=W990)*(ROW($K$2:$K$1001)&lt;ROW(K990))))))))</f>
        <v/>
      </c>
    </row>
    <row r="991" customFormat="false" ht="15" hidden="false" customHeight="false" outlineLevel="0" collapsed="false">
      <c r="K991" s="0" t="str">
        <f aca="false">IF(H491="","",IF(SUMPRODUCT(--($C$2:$C$501=H491))&gt;0,"",H491))</f>
        <v/>
      </c>
      <c r="L991" s="0" t="str">
        <f aca="false">IF(K991="","",IF(ISNUMBER('List 2'!A491),'List 2'!A491,TRIM('List 2'!A491)))</f>
        <v/>
      </c>
      <c r="M991" s="0" t="str">
        <f aca="false">IF(K991="","",IF(ISNUMBER('List 2'!C491),'List 2'!C491,TRIM('List 2'!C491)))</f>
        <v/>
      </c>
      <c r="N991" s="0" t="str">
        <f aca="false">IF(K991="","",IF(ISNUMBER('List 2'!D491),'List 2'!D491,TRIM('List 2'!D491)))</f>
        <v/>
      </c>
      <c r="O991" s="0" t="str">
        <f aca="false">IF(K991="","",0)</f>
        <v/>
      </c>
      <c r="P991" s="0" t="str">
        <f aca="false">IF(K991="","",I491)</f>
        <v/>
      </c>
      <c r="Q991" s="0" t="str">
        <f aca="false">IF(K991="","",FALSE())</f>
        <v/>
      </c>
      <c r="R991" s="0" t="str">
        <f aca="false">IF(K991="","",TRUE())</f>
        <v/>
      </c>
      <c r="S991" s="0" t="str">
        <f aca="false">IF(K991="","",IF(AND(Q991,R991),IF(O991=P991,"Match","Qty Different"),IF(Q991,"Only in List 1","Only in List 2")))</f>
        <v/>
      </c>
      <c r="T991" s="0" t="str">
        <f aca="false">IF(K991="","",IF(ISNUMBER(--L991),TEXT(--L991,"000000000000.000"),LOWER(L991)))</f>
        <v/>
      </c>
      <c r="U991" s="0" t="str">
        <f aca="false">IF(K991="","",IF(ISNUMBER(--M991),TEXT(--M991,"000000000000.000"),LOWER(M991)))</f>
        <v/>
      </c>
      <c r="V991" s="0" t="str">
        <f aca="false">IF(K991="","",LOWER(N991))</f>
        <v/>
      </c>
      <c r="W991" s="0" t="str">
        <f aca="false">IF(K991="","",G491)</f>
        <v/>
      </c>
      <c r="X991" s="0" t="str">
        <f aca="false">IF(K991="","",1+SUMPRODUCT(($K$2:$K$1001&lt;&gt;"")*(($T$2:$T$1001&lt;T991)+($T$2:$T$1001=T991)*(($U$2:$U$1001&lt;U991)+($U$2:$U$1001=U991)*(($V$2:$V$1001&lt;V991)+($V$2:$V$1001=V991)*(($W$2:$W$1001&lt;W991)+($W$2:$W$1001=W991)*(ROW($K$2:$K$1001)&lt;ROW(K991))))))))</f>
        <v/>
      </c>
    </row>
    <row r="992" customFormat="false" ht="15" hidden="false" customHeight="false" outlineLevel="0" collapsed="false">
      <c r="K992" s="0" t="str">
        <f aca="false">IF(H492="","",IF(SUMPRODUCT(--($C$2:$C$501=H492))&gt;0,"",H492))</f>
        <v/>
      </c>
      <c r="L992" s="0" t="str">
        <f aca="false">IF(K992="","",IF(ISNUMBER('List 2'!A492),'List 2'!A492,TRIM('List 2'!A492)))</f>
        <v/>
      </c>
      <c r="M992" s="0" t="str">
        <f aca="false">IF(K992="","",IF(ISNUMBER('List 2'!C492),'List 2'!C492,TRIM('List 2'!C492)))</f>
        <v/>
      </c>
      <c r="N992" s="0" t="str">
        <f aca="false">IF(K992="","",IF(ISNUMBER('List 2'!D492),'List 2'!D492,TRIM('List 2'!D492)))</f>
        <v/>
      </c>
      <c r="O992" s="0" t="str">
        <f aca="false">IF(K992="","",0)</f>
        <v/>
      </c>
      <c r="P992" s="0" t="str">
        <f aca="false">IF(K992="","",I492)</f>
        <v/>
      </c>
      <c r="Q992" s="0" t="str">
        <f aca="false">IF(K992="","",FALSE())</f>
        <v/>
      </c>
      <c r="R992" s="0" t="str">
        <f aca="false">IF(K992="","",TRUE())</f>
        <v/>
      </c>
      <c r="S992" s="0" t="str">
        <f aca="false">IF(K992="","",IF(AND(Q992,R992),IF(O992=P992,"Match","Qty Different"),IF(Q992,"Only in List 1","Only in List 2")))</f>
        <v/>
      </c>
      <c r="T992" s="0" t="str">
        <f aca="false">IF(K992="","",IF(ISNUMBER(--L992),TEXT(--L992,"000000000000.000"),LOWER(L992)))</f>
        <v/>
      </c>
      <c r="U992" s="0" t="str">
        <f aca="false">IF(K992="","",IF(ISNUMBER(--M992),TEXT(--M992,"000000000000.000"),LOWER(M992)))</f>
        <v/>
      </c>
      <c r="V992" s="0" t="str">
        <f aca="false">IF(K992="","",LOWER(N992))</f>
        <v/>
      </c>
      <c r="W992" s="0" t="str">
        <f aca="false">IF(K992="","",G492)</f>
        <v/>
      </c>
      <c r="X992" s="0" t="str">
        <f aca="false">IF(K992="","",1+SUMPRODUCT(($K$2:$K$1001&lt;&gt;"")*(($T$2:$T$1001&lt;T992)+($T$2:$T$1001=T992)*(($U$2:$U$1001&lt;U992)+($U$2:$U$1001=U992)*(($V$2:$V$1001&lt;V992)+($V$2:$V$1001=V992)*(($W$2:$W$1001&lt;W992)+($W$2:$W$1001=W992)*(ROW($K$2:$K$1001)&lt;ROW(K992))))))))</f>
        <v/>
      </c>
    </row>
    <row r="993" customFormat="false" ht="15" hidden="false" customHeight="false" outlineLevel="0" collapsed="false">
      <c r="K993" s="0" t="str">
        <f aca="false">IF(H493="","",IF(SUMPRODUCT(--($C$2:$C$501=H493))&gt;0,"",H493))</f>
        <v/>
      </c>
      <c r="L993" s="0" t="str">
        <f aca="false">IF(K993="","",IF(ISNUMBER('List 2'!A493),'List 2'!A493,TRIM('List 2'!A493)))</f>
        <v/>
      </c>
      <c r="M993" s="0" t="str">
        <f aca="false">IF(K993="","",IF(ISNUMBER('List 2'!C493),'List 2'!C493,TRIM('List 2'!C493)))</f>
        <v/>
      </c>
      <c r="N993" s="0" t="str">
        <f aca="false">IF(K993="","",IF(ISNUMBER('List 2'!D493),'List 2'!D493,TRIM('List 2'!D493)))</f>
        <v/>
      </c>
      <c r="O993" s="0" t="str">
        <f aca="false">IF(K993="","",0)</f>
        <v/>
      </c>
      <c r="P993" s="0" t="str">
        <f aca="false">IF(K993="","",I493)</f>
        <v/>
      </c>
      <c r="Q993" s="0" t="str">
        <f aca="false">IF(K993="","",FALSE())</f>
        <v/>
      </c>
      <c r="R993" s="0" t="str">
        <f aca="false">IF(K993="","",TRUE())</f>
        <v/>
      </c>
      <c r="S993" s="0" t="str">
        <f aca="false">IF(K993="","",IF(AND(Q993,R993),IF(O993=P993,"Match","Qty Different"),IF(Q993,"Only in List 1","Only in List 2")))</f>
        <v/>
      </c>
      <c r="T993" s="0" t="str">
        <f aca="false">IF(K993="","",IF(ISNUMBER(--L993),TEXT(--L993,"000000000000.000"),LOWER(L993)))</f>
        <v/>
      </c>
      <c r="U993" s="0" t="str">
        <f aca="false">IF(K993="","",IF(ISNUMBER(--M993),TEXT(--M993,"000000000000.000"),LOWER(M993)))</f>
        <v/>
      </c>
      <c r="V993" s="0" t="str">
        <f aca="false">IF(K993="","",LOWER(N993))</f>
        <v/>
      </c>
      <c r="W993" s="0" t="str">
        <f aca="false">IF(K993="","",G493)</f>
        <v/>
      </c>
      <c r="X993" s="0" t="str">
        <f aca="false">IF(K993="","",1+SUMPRODUCT(($K$2:$K$1001&lt;&gt;"")*(($T$2:$T$1001&lt;T993)+($T$2:$T$1001=T993)*(($U$2:$U$1001&lt;U993)+($U$2:$U$1001=U993)*(($V$2:$V$1001&lt;V993)+($V$2:$V$1001=V993)*(($W$2:$W$1001&lt;W993)+($W$2:$W$1001=W993)*(ROW($K$2:$K$1001)&lt;ROW(K993))))))))</f>
        <v/>
      </c>
    </row>
    <row r="994" customFormat="false" ht="15" hidden="false" customHeight="false" outlineLevel="0" collapsed="false">
      <c r="K994" s="0" t="str">
        <f aca="false">IF(H494="","",IF(SUMPRODUCT(--($C$2:$C$501=H494))&gt;0,"",H494))</f>
        <v/>
      </c>
      <c r="L994" s="0" t="str">
        <f aca="false">IF(K994="","",IF(ISNUMBER('List 2'!A494),'List 2'!A494,TRIM('List 2'!A494)))</f>
        <v/>
      </c>
      <c r="M994" s="0" t="str">
        <f aca="false">IF(K994="","",IF(ISNUMBER('List 2'!C494),'List 2'!C494,TRIM('List 2'!C494)))</f>
        <v/>
      </c>
      <c r="N994" s="0" t="str">
        <f aca="false">IF(K994="","",IF(ISNUMBER('List 2'!D494),'List 2'!D494,TRIM('List 2'!D494)))</f>
        <v/>
      </c>
      <c r="O994" s="0" t="str">
        <f aca="false">IF(K994="","",0)</f>
        <v/>
      </c>
      <c r="P994" s="0" t="str">
        <f aca="false">IF(K994="","",I494)</f>
        <v/>
      </c>
      <c r="Q994" s="0" t="str">
        <f aca="false">IF(K994="","",FALSE())</f>
        <v/>
      </c>
      <c r="R994" s="0" t="str">
        <f aca="false">IF(K994="","",TRUE())</f>
        <v/>
      </c>
      <c r="S994" s="0" t="str">
        <f aca="false">IF(K994="","",IF(AND(Q994,R994),IF(O994=P994,"Match","Qty Different"),IF(Q994,"Only in List 1","Only in List 2")))</f>
        <v/>
      </c>
      <c r="T994" s="0" t="str">
        <f aca="false">IF(K994="","",IF(ISNUMBER(--L994),TEXT(--L994,"000000000000.000"),LOWER(L994)))</f>
        <v/>
      </c>
      <c r="U994" s="0" t="str">
        <f aca="false">IF(K994="","",IF(ISNUMBER(--M994),TEXT(--M994,"000000000000.000"),LOWER(M994)))</f>
        <v/>
      </c>
      <c r="V994" s="0" t="str">
        <f aca="false">IF(K994="","",LOWER(N994))</f>
        <v/>
      </c>
      <c r="W994" s="0" t="str">
        <f aca="false">IF(K994="","",G494)</f>
        <v/>
      </c>
      <c r="X994" s="0" t="str">
        <f aca="false">IF(K994="","",1+SUMPRODUCT(($K$2:$K$1001&lt;&gt;"")*(($T$2:$T$1001&lt;T994)+($T$2:$T$1001=T994)*(($U$2:$U$1001&lt;U994)+($U$2:$U$1001=U994)*(($V$2:$V$1001&lt;V994)+($V$2:$V$1001=V994)*(($W$2:$W$1001&lt;W994)+($W$2:$W$1001=W994)*(ROW($K$2:$K$1001)&lt;ROW(K994))))))))</f>
        <v/>
      </c>
    </row>
    <row r="995" customFormat="false" ht="15" hidden="false" customHeight="false" outlineLevel="0" collapsed="false">
      <c r="K995" s="0" t="str">
        <f aca="false">IF(H495="","",IF(SUMPRODUCT(--($C$2:$C$501=H495))&gt;0,"",H495))</f>
        <v/>
      </c>
      <c r="L995" s="0" t="str">
        <f aca="false">IF(K995="","",IF(ISNUMBER('List 2'!A495),'List 2'!A495,TRIM('List 2'!A495)))</f>
        <v/>
      </c>
      <c r="M995" s="0" t="str">
        <f aca="false">IF(K995="","",IF(ISNUMBER('List 2'!C495),'List 2'!C495,TRIM('List 2'!C495)))</f>
        <v/>
      </c>
      <c r="N995" s="0" t="str">
        <f aca="false">IF(K995="","",IF(ISNUMBER('List 2'!D495),'List 2'!D495,TRIM('List 2'!D495)))</f>
        <v/>
      </c>
      <c r="O995" s="0" t="str">
        <f aca="false">IF(K995="","",0)</f>
        <v/>
      </c>
      <c r="P995" s="0" t="str">
        <f aca="false">IF(K995="","",I495)</f>
        <v/>
      </c>
      <c r="Q995" s="0" t="str">
        <f aca="false">IF(K995="","",FALSE())</f>
        <v/>
      </c>
      <c r="R995" s="0" t="str">
        <f aca="false">IF(K995="","",TRUE())</f>
        <v/>
      </c>
      <c r="S995" s="0" t="str">
        <f aca="false">IF(K995="","",IF(AND(Q995,R995),IF(O995=P995,"Match","Qty Different"),IF(Q995,"Only in List 1","Only in List 2")))</f>
        <v/>
      </c>
      <c r="T995" s="0" t="str">
        <f aca="false">IF(K995="","",IF(ISNUMBER(--L995),TEXT(--L995,"000000000000.000"),LOWER(L995)))</f>
        <v/>
      </c>
      <c r="U995" s="0" t="str">
        <f aca="false">IF(K995="","",IF(ISNUMBER(--M995),TEXT(--M995,"000000000000.000"),LOWER(M995)))</f>
        <v/>
      </c>
      <c r="V995" s="0" t="str">
        <f aca="false">IF(K995="","",LOWER(N995))</f>
        <v/>
      </c>
      <c r="W995" s="0" t="str">
        <f aca="false">IF(K995="","",G495)</f>
        <v/>
      </c>
      <c r="X995" s="0" t="str">
        <f aca="false">IF(K995="","",1+SUMPRODUCT(($K$2:$K$1001&lt;&gt;"")*(($T$2:$T$1001&lt;T995)+($T$2:$T$1001=T995)*(($U$2:$U$1001&lt;U995)+($U$2:$U$1001=U995)*(($V$2:$V$1001&lt;V995)+($V$2:$V$1001=V995)*(($W$2:$W$1001&lt;W995)+($W$2:$W$1001=W995)*(ROW($K$2:$K$1001)&lt;ROW(K995))))))))</f>
        <v/>
      </c>
    </row>
    <row r="996" customFormat="false" ht="15" hidden="false" customHeight="false" outlineLevel="0" collapsed="false">
      <c r="K996" s="0" t="str">
        <f aca="false">IF(H496="","",IF(SUMPRODUCT(--($C$2:$C$501=H496))&gt;0,"",H496))</f>
        <v/>
      </c>
      <c r="L996" s="0" t="str">
        <f aca="false">IF(K996="","",IF(ISNUMBER('List 2'!A496),'List 2'!A496,TRIM('List 2'!A496)))</f>
        <v/>
      </c>
      <c r="M996" s="0" t="str">
        <f aca="false">IF(K996="","",IF(ISNUMBER('List 2'!C496),'List 2'!C496,TRIM('List 2'!C496)))</f>
        <v/>
      </c>
      <c r="N996" s="0" t="str">
        <f aca="false">IF(K996="","",IF(ISNUMBER('List 2'!D496),'List 2'!D496,TRIM('List 2'!D496)))</f>
        <v/>
      </c>
      <c r="O996" s="0" t="str">
        <f aca="false">IF(K996="","",0)</f>
        <v/>
      </c>
      <c r="P996" s="0" t="str">
        <f aca="false">IF(K996="","",I496)</f>
        <v/>
      </c>
      <c r="Q996" s="0" t="str">
        <f aca="false">IF(K996="","",FALSE())</f>
        <v/>
      </c>
      <c r="R996" s="0" t="str">
        <f aca="false">IF(K996="","",TRUE())</f>
        <v/>
      </c>
      <c r="S996" s="0" t="str">
        <f aca="false">IF(K996="","",IF(AND(Q996,R996),IF(O996=P996,"Match","Qty Different"),IF(Q996,"Only in List 1","Only in List 2")))</f>
        <v/>
      </c>
      <c r="T996" s="0" t="str">
        <f aca="false">IF(K996="","",IF(ISNUMBER(--L996),TEXT(--L996,"000000000000.000"),LOWER(L996)))</f>
        <v/>
      </c>
      <c r="U996" s="0" t="str">
        <f aca="false">IF(K996="","",IF(ISNUMBER(--M996),TEXT(--M996,"000000000000.000"),LOWER(M996)))</f>
        <v/>
      </c>
      <c r="V996" s="0" t="str">
        <f aca="false">IF(K996="","",LOWER(N996))</f>
        <v/>
      </c>
      <c r="W996" s="0" t="str">
        <f aca="false">IF(K996="","",G496)</f>
        <v/>
      </c>
      <c r="X996" s="0" t="str">
        <f aca="false">IF(K996="","",1+SUMPRODUCT(($K$2:$K$1001&lt;&gt;"")*(($T$2:$T$1001&lt;T996)+($T$2:$T$1001=T996)*(($U$2:$U$1001&lt;U996)+($U$2:$U$1001=U996)*(($V$2:$V$1001&lt;V996)+($V$2:$V$1001=V996)*(($W$2:$W$1001&lt;W996)+($W$2:$W$1001=W996)*(ROW($K$2:$K$1001)&lt;ROW(K996))))))))</f>
        <v/>
      </c>
    </row>
    <row r="997" customFormat="false" ht="15" hidden="false" customHeight="false" outlineLevel="0" collapsed="false">
      <c r="K997" s="0" t="str">
        <f aca="false">IF(H497="","",IF(SUMPRODUCT(--($C$2:$C$501=H497))&gt;0,"",H497))</f>
        <v/>
      </c>
      <c r="L997" s="0" t="str">
        <f aca="false">IF(K997="","",IF(ISNUMBER('List 2'!A497),'List 2'!A497,TRIM('List 2'!A497)))</f>
        <v/>
      </c>
      <c r="M997" s="0" t="str">
        <f aca="false">IF(K997="","",IF(ISNUMBER('List 2'!C497),'List 2'!C497,TRIM('List 2'!C497)))</f>
        <v/>
      </c>
      <c r="N997" s="0" t="str">
        <f aca="false">IF(K997="","",IF(ISNUMBER('List 2'!D497),'List 2'!D497,TRIM('List 2'!D497)))</f>
        <v/>
      </c>
      <c r="O997" s="0" t="str">
        <f aca="false">IF(K997="","",0)</f>
        <v/>
      </c>
      <c r="P997" s="0" t="str">
        <f aca="false">IF(K997="","",I497)</f>
        <v/>
      </c>
      <c r="Q997" s="0" t="str">
        <f aca="false">IF(K997="","",FALSE())</f>
        <v/>
      </c>
      <c r="R997" s="0" t="str">
        <f aca="false">IF(K997="","",TRUE())</f>
        <v/>
      </c>
      <c r="S997" s="0" t="str">
        <f aca="false">IF(K997="","",IF(AND(Q997,R997),IF(O997=P997,"Match","Qty Different"),IF(Q997,"Only in List 1","Only in List 2")))</f>
        <v/>
      </c>
      <c r="T997" s="0" t="str">
        <f aca="false">IF(K997="","",IF(ISNUMBER(--L997),TEXT(--L997,"000000000000.000"),LOWER(L997)))</f>
        <v/>
      </c>
      <c r="U997" s="0" t="str">
        <f aca="false">IF(K997="","",IF(ISNUMBER(--M997),TEXT(--M997,"000000000000.000"),LOWER(M997)))</f>
        <v/>
      </c>
      <c r="V997" s="0" t="str">
        <f aca="false">IF(K997="","",LOWER(N997))</f>
        <v/>
      </c>
      <c r="W997" s="0" t="str">
        <f aca="false">IF(K997="","",G497)</f>
        <v/>
      </c>
      <c r="X997" s="0" t="str">
        <f aca="false">IF(K997="","",1+SUMPRODUCT(($K$2:$K$1001&lt;&gt;"")*(($T$2:$T$1001&lt;T997)+($T$2:$T$1001=T997)*(($U$2:$U$1001&lt;U997)+($U$2:$U$1001=U997)*(($V$2:$V$1001&lt;V997)+($V$2:$V$1001=V997)*(($W$2:$W$1001&lt;W997)+($W$2:$W$1001=W997)*(ROW($K$2:$K$1001)&lt;ROW(K997))))))))</f>
        <v/>
      </c>
    </row>
    <row r="998" customFormat="false" ht="15" hidden="false" customHeight="false" outlineLevel="0" collapsed="false">
      <c r="K998" s="0" t="str">
        <f aca="false">IF(H498="","",IF(SUMPRODUCT(--($C$2:$C$501=H498))&gt;0,"",H498))</f>
        <v/>
      </c>
      <c r="L998" s="0" t="str">
        <f aca="false">IF(K998="","",IF(ISNUMBER('List 2'!A498),'List 2'!A498,TRIM('List 2'!A498)))</f>
        <v/>
      </c>
      <c r="M998" s="0" t="str">
        <f aca="false">IF(K998="","",IF(ISNUMBER('List 2'!C498),'List 2'!C498,TRIM('List 2'!C498)))</f>
        <v/>
      </c>
      <c r="N998" s="0" t="str">
        <f aca="false">IF(K998="","",IF(ISNUMBER('List 2'!D498),'List 2'!D498,TRIM('List 2'!D498)))</f>
        <v/>
      </c>
      <c r="O998" s="0" t="str">
        <f aca="false">IF(K998="","",0)</f>
        <v/>
      </c>
      <c r="P998" s="0" t="str">
        <f aca="false">IF(K998="","",I498)</f>
        <v/>
      </c>
      <c r="Q998" s="0" t="str">
        <f aca="false">IF(K998="","",FALSE())</f>
        <v/>
      </c>
      <c r="R998" s="0" t="str">
        <f aca="false">IF(K998="","",TRUE())</f>
        <v/>
      </c>
      <c r="S998" s="0" t="str">
        <f aca="false">IF(K998="","",IF(AND(Q998,R998),IF(O998=P998,"Match","Qty Different"),IF(Q998,"Only in List 1","Only in List 2")))</f>
        <v/>
      </c>
      <c r="T998" s="0" t="str">
        <f aca="false">IF(K998="","",IF(ISNUMBER(--L998),TEXT(--L998,"000000000000.000"),LOWER(L998)))</f>
        <v/>
      </c>
      <c r="U998" s="0" t="str">
        <f aca="false">IF(K998="","",IF(ISNUMBER(--M998),TEXT(--M998,"000000000000.000"),LOWER(M998)))</f>
        <v/>
      </c>
      <c r="V998" s="0" t="str">
        <f aca="false">IF(K998="","",LOWER(N998))</f>
        <v/>
      </c>
      <c r="W998" s="0" t="str">
        <f aca="false">IF(K998="","",G498)</f>
        <v/>
      </c>
      <c r="X998" s="0" t="str">
        <f aca="false">IF(K998="","",1+SUMPRODUCT(($K$2:$K$1001&lt;&gt;"")*(($T$2:$T$1001&lt;T998)+($T$2:$T$1001=T998)*(($U$2:$U$1001&lt;U998)+($U$2:$U$1001=U998)*(($V$2:$V$1001&lt;V998)+($V$2:$V$1001=V998)*(($W$2:$W$1001&lt;W998)+($W$2:$W$1001=W998)*(ROW($K$2:$K$1001)&lt;ROW(K998))))))))</f>
        <v/>
      </c>
    </row>
    <row r="999" customFormat="false" ht="15" hidden="false" customHeight="false" outlineLevel="0" collapsed="false">
      <c r="K999" s="0" t="str">
        <f aca="false">IF(H499="","",IF(SUMPRODUCT(--($C$2:$C$501=H499))&gt;0,"",H499))</f>
        <v/>
      </c>
      <c r="L999" s="0" t="str">
        <f aca="false">IF(K999="","",IF(ISNUMBER('List 2'!A499),'List 2'!A499,TRIM('List 2'!A499)))</f>
        <v/>
      </c>
      <c r="M999" s="0" t="str">
        <f aca="false">IF(K999="","",IF(ISNUMBER('List 2'!C499),'List 2'!C499,TRIM('List 2'!C499)))</f>
        <v/>
      </c>
      <c r="N999" s="0" t="str">
        <f aca="false">IF(K999="","",IF(ISNUMBER('List 2'!D499),'List 2'!D499,TRIM('List 2'!D499)))</f>
        <v/>
      </c>
      <c r="O999" s="0" t="str">
        <f aca="false">IF(K999="","",0)</f>
        <v/>
      </c>
      <c r="P999" s="0" t="str">
        <f aca="false">IF(K999="","",I499)</f>
        <v/>
      </c>
      <c r="Q999" s="0" t="str">
        <f aca="false">IF(K999="","",FALSE())</f>
        <v/>
      </c>
      <c r="R999" s="0" t="str">
        <f aca="false">IF(K999="","",TRUE())</f>
        <v/>
      </c>
      <c r="S999" s="0" t="str">
        <f aca="false">IF(K999="","",IF(AND(Q999,R999),IF(O999=P999,"Match","Qty Different"),IF(Q999,"Only in List 1","Only in List 2")))</f>
        <v/>
      </c>
      <c r="T999" s="0" t="str">
        <f aca="false">IF(K999="","",IF(ISNUMBER(--L999),TEXT(--L999,"000000000000.000"),LOWER(L999)))</f>
        <v/>
      </c>
      <c r="U999" s="0" t="str">
        <f aca="false">IF(K999="","",IF(ISNUMBER(--M999),TEXT(--M999,"000000000000.000"),LOWER(M999)))</f>
        <v/>
      </c>
      <c r="V999" s="0" t="str">
        <f aca="false">IF(K999="","",LOWER(N999))</f>
        <v/>
      </c>
      <c r="W999" s="0" t="str">
        <f aca="false">IF(K999="","",G499)</f>
        <v/>
      </c>
      <c r="X999" s="0" t="str">
        <f aca="false">IF(K999="","",1+SUMPRODUCT(($K$2:$K$1001&lt;&gt;"")*(($T$2:$T$1001&lt;T999)+($T$2:$T$1001=T999)*(($U$2:$U$1001&lt;U999)+($U$2:$U$1001=U999)*(($V$2:$V$1001&lt;V999)+($V$2:$V$1001=V999)*(($W$2:$W$1001&lt;W999)+($W$2:$W$1001=W999)*(ROW($K$2:$K$1001)&lt;ROW(K999))))))))</f>
        <v/>
      </c>
    </row>
    <row r="1000" customFormat="false" ht="15" hidden="false" customHeight="false" outlineLevel="0" collapsed="false">
      <c r="K1000" s="0" t="str">
        <f aca="false">IF(H500="","",IF(SUMPRODUCT(--($C$2:$C$501=H500))&gt;0,"",H500))</f>
        <v/>
      </c>
      <c r="L1000" s="0" t="str">
        <f aca="false">IF(K1000="","",IF(ISNUMBER('List 2'!A500),'List 2'!A500,TRIM('List 2'!A500)))</f>
        <v/>
      </c>
      <c r="M1000" s="0" t="str">
        <f aca="false">IF(K1000="","",IF(ISNUMBER('List 2'!C500),'List 2'!C500,TRIM('List 2'!C500)))</f>
        <v/>
      </c>
      <c r="N1000" s="0" t="str">
        <f aca="false">IF(K1000="","",IF(ISNUMBER('List 2'!D500),'List 2'!D500,TRIM('List 2'!D500)))</f>
        <v/>
      </c>
      <c r="O1000" s="0" t="str">
        <f aca="false">IF(K1000="","",0)</f>
        <v/>
      </c>
      <c r="P1000" s="0" t="str">
        <f aca="false">IF(K1000="","",I500)</f>
        <v/>
      </c>
      <c r="Q1000" s="0" t="str">
        <f aca="false">IF(K1000="","",FALSE())</f>
        <v/>
      </c>
      <c r="R1000" s="0" t="str">
        <f aca="false">IF(K1000="","",TRUE())</f>
        <v/>
      </c>
      <c r="S1000" s="0" t="str">
        <f aca="false">IF(K1000="","",IF(AND(Q1000,R1000),IF(O1000=P1000,"Match","Qty Different"),IF(Q1000,"Only in List 1","Only in List 2")))</f>
        <v/>
      </c>
      <c r="T1000" s="0" t="str">
        <f aca="false">IF(K1000="","",IF(ISNUMBER(--L1000),TEXT(--L1000,"000000000000.000"),LOWER(L1000)))</f>
        <v/>
      </c>
      <c r="U1000" s="0" t="str">
        <f aca="false">IF(K1000="","",IF(ISNUMBER(--M1000),TEXT(--M1000,"000000000000.000"),LOWER(M1000)))</f>
        <v/>
      </c>
      <c r="V1000" s="0" t="str">
        <f aca="false">IF(K1000="","",LOWER(N1000))</f>
        <v/>
      </c>
      <c r="W1000" s="0" t="str">
        <f aca="false">IF(K1000="","",G500)</f>
        <v/>
      </c>
      <c r="X1000" s="0" t="str">
        <f aca="false">IF(K1000="","",1+SUMPRODUCT(($K$2:$K$1001&lt;&gt;"")*(($T$2:$T$1001&lt;T1000)+($T$2:$T$1001=T1000)*(($U$2:$U$1001&lt;U1000)+($U$2:$U$1001=U1000)*(($V$2:$V$1001&lt;V1000)+($V$2:$V$1001=V1000)*(($W$2:$W$1001&lt;W1000)+($W$2:$W$1001=W1000)*(ROW($K$2:$K$1001)&lt;ROW(K1000))))))))</f>
        <v/>
      </c>
    </row>
    <row r="1001" customFormat="false" ht="15" hidden="false" customHeight="false" outlineLevel="0" collapsed="false">
      <c r="K1001" s="0" t="str">
        <f aca="false">IF(H501="","",IF(SUMPRODUCT(--($C$2:$C$501=H501))&gt;0,"",H501))</f>
        <v/>
      </c>
      <c r="L1001" s="0" t="str">
        <f aca="false">IF(K1001="","",IF(ISNUMBER('List 2'!A501),'List 2'!A501,TRIM('List 2'!A501)))</f>
        <v/>
      </c>
      <c r="M1001" s="0" t="str">
        <f aca="false">IF(K1001="","",IF(ISNUMBER('List 2'!C501),'List 2'!C501,TRIM('List 2'!C501)))</f>
        <v/>
      </c>
      <c r="N1001" s="0" t="str">
        <f aca="false">IF(K1001="","",IF(ISNUMBER('List 2'!D501),'List 2'!D501,TRIM('List 2'!D501)))</f>
        <v/>
      </c>
      <c r="O1001" s="0" t="str">
        <f aca="false">IF(K1001="","",0)</f>
        <v/>
      </c>
      <c r="P1001" s="0" t="str">
        <f aca="false">IF(K1001="","",I501)</f>
        <v/>
      </c>
      <c r="Q1001" s="0" t="str">
        <f aca="false">IF(K1001="","",FALSE())</f>
        <v/>
      </c>
      <c r="R1001" s="0" t="str">
        <f aca="false">IF(K1001="","",TRUE())</f>
        <v/>
      </c>
      <c r="S1001" s="0" t="str">
        <f aca="false">IF(K1001="","",IF(AND(Q1001,R1001),IF(O1001=P1001,"Match","Qty Different"),IF(Q1001,"Only in List 1","Only in List 2")))</f>
        <v/>
      </c>
      <c r="T1001" s="0" t="str">
        <f aca="false">IF(K1001="","",IF(ISNUMBER(--L1001),TEXT(--L1001,"000000000000.000"),LOWER(L1001)))</f>
        <v/>
      </c>
      <c r="U1001" s="0" t="str">
        <f aca="false">IF(K1001="","",IF(ISNUMBER(--M1001),TEXT(--M1001,"000000000000.000"),LOWER(M1001)))</f>
        <v/>
      </c>
      <c r="V1001" s="0" t="str">
        <f aca="false">IF(K1001="","",LOWER(N1001))</f>
        <v/>
      </c>
      <c r="W1001" s="0" t="str">
        <f aca="false">IF(K1001="","",G501)</f>
        <v/>
      </c>
      <c r="X1001" s="0" t="str">
        <f aca="false">IF(K1001="","",1+SUMPRODUCT(($K$2:$K$1001&lt;&gt;"")*(($T$2:$T$1001&lt;T1001)+($T$2:$T$1001=T1001)*(($U$2:$U$1001&lt;U1001)+($U$2:$U$1001=U1001)*(($V$2:$V$1001&lt;V1001)+($V$2:$V$1001=V1001)*(($W$2:$W$1001&lt;W1001)+($W$2:$W$1001=W1001)*(ROW($K$2:$K$1001)&lt;ROW(K1001))))))))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2026-09-27T02:15:37Z</dcterms:created>
  <dc:creator>openpyxl</dc:creator>
  <dc:description/>
  <dc:language>en-US</dc:language>
  <cp:lastModifiedBy/>
  <dcterms:modified xsi:type="dcterms:W3CDTF">2026-09-27T02:15:37Z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